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tai\Documents\MEGAsync\@売上日報\26.07\"/>
    </mc:Choice>
  </mc:AlternateContent>
  <xr:revisionPtr revIDLastSave="0" documentId="13_ncr:1_{7D9E3AF4-F2F8-4211-9465-284D1A1A121D}" xr6:coauthVersionLast="47" xr6:coauthVersionMax="47" xr10:uidLastSave="{00000000-0000-0000-0000-000000000000}"/>
  <bookViews>
    <workbookView xWindow="-120" yWindow="-120" windowWidth="20730" windowHeight="11160" activeTab="11" xr2:uid="{25CAB944-81EF-4BBE-AD61-F2AD0BBC9BD2}"/>
  </bookViews>
  <sheets>
    <sheet name="01" sheetId="150" r:id="rId1"/>
    <sheet name="02" sheetId="2" r:id="rId2"/>
    <sheet name="03" sheetId="149" r:id="rId3"/>
    <sheet name="04" sheetId="148" r:id="rId4"/>
    <sheet name="05" sheetId="147" r:id="rId5"/>
    <sheet name="06" sheetId="146" r:id="rId6"/>
    <sheet name="07" sheetId="145" r:id="rId7"/>
    <sheet name="08" sheetId="144" r:id="rId8"/>
    <sheet name="09" sheetId="143" r:id="rId9"/>
    <sheet name="10" sheetId="142" r:id="rId10"/>
    <sheet name="11" sheetId="141" r:id="rId11"/>
    <sheet name="12" sheetId="140" r:id="rId12"/>
    <sheet name="13" sheetId="139" r:id="rId13"/>
    <sheet name="14" sheetId="138" r:id="rId14"/>
    <sheet name="15" sheetId="137" r:id="rId15"/>
    <sheet name="16" sheetId="136" r:id="rId16"/>
    <sheet name="17" sheetId="135" r:id="rId17"/>
    <sheet name="18" sheetId="134" r:id="rId18"/>
    <sheet name="19" sheetId="133" r:id="rId19"/>
    <sheet name="20" sheetId="132" r:id="rId20"/>
    <sheet name="21" sheetId="131" r:id="rId21"/>
    <sheet name="22" sheetId="130" r:id="rId22"/>
    <sheet name="23" sheetId="129" r:id="rId23"/>
    <sheet name="24" sheetId="128" r:id="rId24"/>
    <sheet name="25" sheetId="127" r:id="rId25"/>
    <sheet name="26" sheetId="126" r:id="rId26"/>
    <sheet name="27" sheetId="125" r:id="rId27"/>
    <sheet name="28" sheetId="124" r:id="rId28"/>
    <sheet name="29" sheetId="123" r:id="rId29"/>
    <sheet name="30" sheetId="122" r:id="rId30"/>
    <sheet name="31" sheetId="121" r:id="rId31"/>
  </sheets>
  <definedNames>
    <definedName name="_xlnm.Print_Area" localSheetId="0">'01'!$A$1:$O$58</definedName>
    <definedName name="_xlnm.Print_Area" localSheetId="1">'02'!$A$1:$O$58</definedName>
    <definedName name="_xlnm.Print_Area" localSheetId="2">'03'!$A$1:$O$58</definedName>
    <definedName name="_xlnm.Print_Area" localSheetId="3">'04'!$A$1:$O$58</definedName>
    <definedName name="_xlnm.Print_Area" localSheetId="4">'05'!$A$1:$O$58</definedName>
    <definedName name="_xlnm.Print_Area" localSheetId="5">'06'!$A$1:$O$58</definedName>
    <definedName name="_xlnm.Print_Area" localSheetId="6">'07'!$A$1:$O$58</definedName>
    <definedName name="_xlnm.Print_Area" localSheetId="7">'08'!$A$1:$O$58</definedName>
    <definedName name="_xlnm.Print_Area" localSheetId="8">'09'!$A$1:$O$58</definedName>
    <definedName name="_xlnm.Print_Area" localSheetId="9">'10'!$A$1:$O$58</definedName>
    <definedName name="_xlnm.Print_Area" localSheetId="10">'11'!$A$1:$O$58</definedName>
    <definedName name="_xlnm.Print_Area" localSheetId="11">'12'!$A$1:$O$58</definedName>
    <definedName name="_xlnm.Print_Area" localSheetId="12">'13'!$A$1:$O$58</definedName>
    <definedName name="_xlnm.Print_Area" localSheetId="13">'14'!$A$1:$O$58</definedName>
    <definedName name="_xlnm.Print_Area" localSheetId="14">'15'!$A$1:$O$58</definedName>
    <definedName name="_xlnm.Print_Area" localSheetId="15">'16'!$A$1:$O$58</definedName>
    <definedName name="_xlnm.Print_Area" localSheetId="16">'17'!$A$1:$O$58</definedName>
    <definedName name="_xlnm.Print_Area" localSheetId="17">'18'!$A$1:$O$58</definedName>
    <definedName name="_xlnm.Print_Area" localSheetId="18">'19'!$A$1:$O$58</definedName>
    <definedName name="_xlnm.Print_Area" localSheetId="19">'20'!$A$1:$O$58</definedName>
    <definedName name="_xlnm.Print_Area" localSheetId="20">'21'!$A$1:$O$58</definedName>
    <definedName name="_xlnm.Print_Area" localSheetId="21">'22'!$A$1:$O$58</definedName>
    <definedName name="_xlnm.Print_Area" localSheetId="22">'23'!$A$1:$O$58</definedName>
    <definedName name="_xlnm.Print_Area" localSheetId="23">'24'!$A$1:$O$58</definedName>
    <definedName name="_xlnm.Print_Area" localSheetId="24">'25'!$A$1:$O$58</definedName>
    <definedName name="_xlnm.Print_Area" localSheetId="25">'26'!$A$1:$O$58</definedName>
    <definedName name="_xlnm.Print_Area" localSheetId="26">'27'!$A$1:$O$58</definedName>
    <definedName name="_xlnm.Print_Area" localSheetId="27">'28'!$A$1:$O$58</definedName>
    <definedName name="_xlnm.Print_Area" localSheetId="28">'29'!$A$1:$O$58</definedName>
    <definedName name="_xlnm.Print_Area" localSheetId="29">'30'!$A$1:$O$58</definedName>
    <definedName name="_xlnm.Print_Area" localSheetId="30">'31'!$A$1:$O$58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44" l="1"/>
  <c r="M36" i="121"/>
  <c r="M29" i="121"/>
  <c r="C82" i="150"/>
  <c r="C83" i="150" s="1"/>
  <c r="L54" i="150" s="1"/>
  <c r="R75" i="150"/>
  <c r="Q75" i="150"/>
  <c r="P75" i="150"/>
  <c r="O75" i="150"/>
  <c r="N75" i="150"/>
  <c r="M75" i="150"/>
  <c r="L75" i="150"/>
  <c r="K75" i="150"/>
  <c r="J75" i="150"/>
  <c r="I75" i="150"/>
  <c r="H75" i="150"/>
  <c r="G75" i="150"/>
  <c r="F75" i="150"/>
  <c r="T71" i="150"/>
  <c r="S71" i="150"/>
  <c r="R71" i="150"/>
  <c r="Q71" i="150"/>
  <c r="P71" i="150"/>
  <c r="O71" i="150"/>
  <c r="N71" i="150"/>
  <c r="M71" i="150"/>
  <c r="L71" i="150"/>
  <c r="K71" i="150"/>
  <c r="J71" i="150"/>
  <c r="I71" i="150"/>
  <c r="H71" i="150"/>
  <c r="F71" i="150"/>
  <c r="E71" i="150"/>
  <c r="D71" i="150"/>
  <c r="U70" i="150"/>
  <c r="U69" i="150"/>
  <c r="U68" i="150"/>
  <c r="U67" i="150"/>
  <c r="U66" i="150"/>
  <c r="U65" i="150"/>
  <c r="G60" i="150"/>
  <c r="I4" i="150" s="1"/>
  <c r="J55" i="150"/>
  <c r="H55" i="150"/>
  <c r="D55" i="150"/>
  <c r="D53" i="150"/>
  <c r="L52" i="150"/>
  <c r="H52" i="150"/>
  <c r="D52" i="150"/>
  <c r="L51" i="150"/>
  <c r="H51" i="150"/>
  <c r="D51" i="150"/>
  <c r="L50" i="150"/>
  <c r="H50" i="150"/>
  <c r="D50" i="150"/>
  <c r="L49" i="150"/>
  <c r="H49" i="150"/>
  <c r="D49" i="150"/>
  <c r="J46" i="150"/>
  <c r="F46" i="150"/>
  <c r="D46" i="150"/>
  <c r="C45" i="150"/>
  <c r="B45" i="150"/>
  <c r="F44" i="150"/>
  <c r="E44" i="150"/>
  <c r="G44" i="150" s="1"/>
  <c r="D44" i="150"/>
  <c r="N43" i="150"/>
  <c r="M43" i="150"/>
  <c r="L43" i="150"/>
  <c r="J43" i="150"/>
  <c r="I43" i="150"/>
  <c r="H43" i="150"/>
  <c r="F43" i="150"/>
  <c r="E43" i="150"/>
  <c r="G43" i="150" s="1"/>
  <c r="D43" i="150"/>
  <c r="N42" i="150"/>
  <c r="M42" i="150"/>
  <c r="L42" i="150"/>
  <c r="J42" i="150"/>
  <c r="I42" i="150"/>
  <c r="H42" i="150"/>
  <c r="F42" i="150"/>
  <c r="E42" i="150"/>
  <c r="D42" i="150"/>
  <c r="N41" i="150"/>
  <c r="M41" i="150"/>
  <c r="L41" i="150"/>
  <c r="J41" i="150"/>
  <c r="I41" i="150"/>
  <c r="K41" i="150" s="1"/>
  <c r="H41" i="150"/>
  <c r="F41" i="150"/>
  <c r="E41" i="150"/>
  <c r="D41" i="150"/>
  <c r="C41" i="150"/>
  <c r="N40" i="150"/>
  <c r="M40" i="150"/>
  <c r="L40" i="150"/>
  <c r="J40" i="150"/>
  <c r="I40" i="150"/>
  <c r="H40" i="150"/>
  <c r="F40" i="150"/>
  <c r="E40" i="150"/>
  <c r="D40" i="150"/>
  <c r="J39" i="150"/>
  <c r="F39" i="150"/>
  <c r="D39" i="150"/>
  <c r="C38" i="150"/>
  <c r="B38" i="150"/>
  <c r="F37" i="150"/>
  <c r="E37" i="150"/>
  <c r="D37" i="150"/>
  <c r="N36" i="150"/>
  <c r="M36" i="150"/>
  <c r="L36" i="150"/>
  <c r="J36" i="150"/>
  <c r="I36" i="150"/>
  <c r="H36" i="150"/>
  <c r="F36" i="150"/>
  <c r="E36" i="150"/>
  <c r="D36" i="150"/>
  <c r="N35" i="150"/>
  <c r="M35" i="150"/>
  <c r="L35" i="150"/>
  <c r="J35" i="150"/>
  <c r="I35" i="150"/>
  <c r="H35" i="150"/>
  <c r="F35" i="150"/>
  <c r="E35" i="150"/>
  <c r="D35" i="150"/>
  <c r="N34" i="150"/>
  <c r="M34" i="150"/>
  <c r="L34" i="150"/>
  <c r="J34" i="150"/>
  <c r="I34" i="150"/>
  <c r="H34" i="150"/>
  <c r="F34" i="150"/>
  <c r="E34" i="150"/>
  <c r="D34" i="150"/>
  <c r="C34" i="150"/>
  <c r="N33" i="150"/>
  <c r="M33" i="150"/>
  <c r="L33" i="150"/>
  <c r="J33" i="150"/>
  <c r="I33" i="150"/>
  <c r="H33" i="150"/>
  <c r="F33" i="150"/>
  <c r="E33" i="150"/>
  <c r="D33" i="150"/>
  <c r="J32" i="150"/>
  <c r="F32" i="150"/>
  <c r="D32" i="150"/>
  <c r="C31" i="150"/>
  <c r="B31" i="150"/>
  <c r="F30" i="150"/>
  <c r="E30" i="150"/>
  <c r="D30" i="150"/>
  <c r="N29" i="150"/>
  <c r="M29" i="150"/>
  <c r="O29" i="150" s="1"/>
  <c r="L29" i="150"/>
  <c r="J29" i="150"/>
  <c r="I29" i="150"/>
  <c r="H29" i="150"/>
  <c r="F29" i="150"/>
  <c r="E29" i="150"/>
  <c r="D29" i="150"/>
  <c r="N28" i="150"/>
  <c r="M28" i="150"/>
  <c r="L28" i="150"/>
  <c r="J28" i="150"/>
  <c r="I28" i="150"/>
  <c r="H28" i="150"/>
  <c r="F28" i="150"/>
  <c r="E28" i="150"/>
  <c r="D28" i="150"/>
  <c r="N27" i="150"/>
  <c r="M27" i="150"/>
  <c r="L27" i="150"/>
  <c r="J27" i="150"/>
  <c r="I27" i="150"/>
  <c r="H27" i="150"/>
  <c r="F27" i="150"/>
  <c r="E27" i="150"/>
  <c r="G27" i="150" s="1"/>
  <c r="D27" i="150"/>
  <c r="C27" i="150"/>
  <c r="N26" i="150"/>
  <c r="M26" i="150"/>
  <c r="L26" i="150"/>
  <c r="J26" i="150"/>
  <c r="I26" i="150"/>
  <c r="H26" i="150"/>
  <c r="F26" i="150"/>
  <c r="E26" i="150"/>
  <c r="D26" i="150"/>
  <c r="J25" i="150"/>
  <c r="F25" i="150"/>
  <c r="D25" i="150"/>
  <c r="C24" i="150"/>
  <c r="B24" i="150"/>
  <c r="F23" i="150"/>
  <c r="E23" i="150"/>
  <c r="D23" i="150"/>
  <c r="N22" i="150"/>
  <c r="M22" i="150"/>
  <c r="L22" i="150"/>
  <c r="J22" i="150"/>
  <c r="I22" i="150"/>
  <c r="H22" i="150"/>
  <c r="F22" i="150"/>
  <c r="E22" i="150"/>
  <c r="D22" i="150"/>
  <c r="N21" i="150"/>
  <c r="M21" i="150"/>
  <c r="L21" i="150"/>
  <c r="J21" i="150"/>
  <c r="I21" i="150"/>
  <c r="H21" i="150"/>
  <c r="F21" i="150"/>
  <c r="E21" i="150"/>
  <c r="D21" i="150"/>
  <c r="N20" i="150"/>
  <c r="M20" i="150"/>
  <c r="L20" i="150"/>
  <c r="J20" i="150"/>
  <c r="I20" i="150"/>
  <c r="H20" i="150"/>
  <c r="F20" i="150"/>
  <c r="E20" i="150"/>
  <c r="D20" i="150"/>
  <c r="C20" i="150"/>
  <c r="N19" i="150"/>
  <c r="M19" i="150"/>
  <c r="L19" i="150"/>
  <c r="J19" i="150"/>
  <c r="I19" i="150"/>
  <c r="H19" i="150"/>
  <c r="F19" i="150"/>
  <c r="E19" i="150"/>
  <c r="D19" i="150"/>
  <c r="J18" i="150"/>
  <c r="F18" i="150"/>
  <c r="D18" i="150"/>
  <c r="C17" i="150"/>
  <c r="B17" i="150"/>
  <c r="F16" i="150"/>
  <c r="E16" i="150"/>
  <c r="D16" i="150"/>
  <c r="N15" i="150"/>
  <c r="M15" i="150"/>
  <c r="L15" i="150"/>
  <c r="J15" i="150"/>
  <c r="I15" i="150"/>
  <c r="H15" i="150"/>
  <c r="F15" i="150"/>
  <c r="E15" i="150"/>
  <c r="D15" i="150"/>
  <c r="N14" i="150"/>
  <c r="M14" i="150"/>
  <c r="O14" i="150" s="1"/>
  <c r="L14" i="150"/>
  <c r="J14" i="150"/>
  <c r="I14" i="150"/>
  <c r="H14" i="150"/>
  <c r="F14" i="150"/>
  <c r="E14" i="150"/>
  <c r="D14" i="150"/>
  <c r="N13" i="150"/>
  <c r="M13" i="150"/>
  <c r="O13" i="150" s="1"/>
  <c r="L13" i="150"/>
  <c r="J13" i="150"/>
  <c r="I13" i="150"/>
  <c r="H13" i="150"/>
  <c r="F13" i="150"/>
  <c r="E13" i="150"/>
  <c r="D13" i="150"/>
  <c r="C13" i="150"/>
  <c r="N12" i="150"/>
  <c r="M12" i="150"/>
  <c r="L12" i="150"/>
  <c r="J12" i="150"/>
  <c r="I12" i="150"/>
  <c r="H12" i="150"/>
  <c r="F12" i="150"/>
  <c r="E12" i="150"/>
  <c r="D12" i="150"/>
  <c r="J11" i="150"/>
  <c r="F11" i="150"/>
  <c r="D11" i="150"/>
  <c r="C10" i="150"/>
  <c r="B10" i="150"/>
  <c r="F9" i="150"/>
  <c r="E9" i="150"/>
  <c r="D9" i="150"/>
  <c r="N8" i="150"/>
  <c r="M8" i="150"/>
  <c r="L8" i="150"/>
  <c r="J8" i="150"/>
  <c r="I8" i="150"/>
  <c r="H8" i="150"/>
  <c r="F8" i="150"/>
  <c r="E8" i="150"/>
  <c r="D8" i="150"/>
  <c r="N7" i="150"/>
  <c r="M7" i="150"/>
  <c r="O7" i="150" s="1"/>
  <c r="L7" i="150"/>
  <c r="J7" i="150"/>
  <c r="I7" i="150"/>
  <c r="K7" i="150" s="1"/>
  <c r="H7" i="150"/>
  <c r="F7" i="150"/>
  <c r="E7" i="150"/>
  <c r="D7" i="150"/>
  <c r="N6" i="150"/>
  <c r="M6" i="150"/>
  <c r="L6" i="150"/>
  <c r="J6" i="150"/>
  <c r="I6" i="150"/>
  <c r="K6" i="150" s="1"/>
  <c r="H6" i="150"/>
  <c r="F6" i="150"/>
  <c r="E6" i="150"/>
  <c r="D6" i="150"/>
  <c r="C6" i="150"/>
  <c r="N5" i="150"/>
  <c r="M5" i="150"/>
  <c r="O5" i="150" s="1"/>
  <c r="L5" i="150"/>
  <c r="J5" i="150"/>
  <c r="I5" i="150"/>
  <c r="H5" i="150"/>
  <c r="F5" i="150"/>
  <c r="E5" i="150"/>
  <c r="D5" i="150"/>
  <c r="K3" i="150"/>
  <c r="F3" i="150"/>
  <c r="C3" i="150"/>
  <c r="L2" i="150"/>
  <c r="C82" i="149"/>
  <c r="C83" i="149" s="1"/>
  <c r="L54" i="149" s="1"/>
  <c r="R75" i="149"/>
  <c r="Q75" i="149"/>
  <c r="P75" i="149"/>
  <c r="O75" i="149"/>
  <c r="N75" i="149"/>
  <c r="M75" i="149"/>
  <c r="L75" i="149"/>
  <c r="K75" i="149"/>
  <c r="J75" i="149"/>
  <c r="I75" i="149"/>
  <c r="H75" i="149"/>
  <c r="G75" i="149"/>
  <c r="F75" i="149"/>
  <c r="T71" i="149"/>
  <c r="S71" i="149"/>
  <c r="R71" i="149"/>
  <c r="Q71" i="149"/>
  <c r="P71" i="149"/>
  <c r="O71" i="149"/>
  <c r="N71" i="149"/>
  <c r="M71" i="149"/>
  <c r="L71" i="149"/>
  <c r="K71" i="149"/>
  <c r="J71" i="149"/>
  <c r="I71" i="149"/>
  <c r="H71" i="149"/>
  <c r="F71" i="149"/>
  <c r="E71" i="149"/>
  <c r="D71" i="149"/>
  <c r="U70" i="149"/>
  <c r="U69" i="149"/>
  <c r="U68" i="149"/>
  <c r="U67" i="149"/>
  <c r="U66" i="149"/>
  <c r="U65" i="149"/>
  <c r="G60" i="149"/>
  <c r="I4" i="149" s="1"/>
  <c r="J55" i="149"/>
  <c r="H55" i="149"/>
  <c r="D55" i="149"/>
  <c r="D53" i="149"/>
  <c r="L52" i="149"/>
  <c r="H52" i="149"/>
  <c r="D52" i="149"/>
  <c r="L51" i="149"/>
  <c r="H51" i="149"/>
  <c r="D51" i="149"/>
  <c r="L50" i="149"/>
  <c r="H50" i="149"/>
  <c r="D50" i="149"/>
  <c r="L49" i="149"/>
  <c r="H49" i="149"/>
  <c r="D49" i="149"/>
  <c r="J46" i="149"/>
  <c r="F46" i="149"/>
  <c r="D46" i="149"/>
  <c r="C45" i="149"/>
  <c r="B45" i="149"/>
  <c r="F44" i="149"/>
  <c r="E44" i="149"/>
  <c r="D44" i="149"/>
  <c r="N43" i="149"/>
  <c r="M43" i="149"/>
  <c r="L43" i="149"/>
  <c r="J43" i="149"/>
  <c r="I43" i="149"/>
  <c r="H43" i="149"/>
  <c r="F43" i="149"/>
  <c r="E43" i="149"/>
  <c r="G43" i="149" s="1"/>
  <c r="D43" i="149"/>
  <c r="N42" i="149"/>
  <c r="M42" i="149"/>
  <c r="L42" i="149"/>
  <c r="J42" i="149"/>
  <c r="I42" i="149"/>
  <c r="H42" i="149"/>
  <c r="F42" i="149"/>
  <c r="E42" i="149"/>
  <c r="D42" i="149"/>
  <c r="N41" i="149"/>
  <c r="M41" i="149"/>
  <c r="L41" i="149"/>
  <c r="J41" i="149"/>
  <c r="I41" i="149"/>
  <c r="H41" i="149"/>
  <c r="F41" i="149"/>
  <c r="E41" i="149"/>
  <c r="D41" i="149"/>
  <c r="C41" i="149"/>
  <c r="N40" i="149"/>
  <c r="M40" i="149"/>
  <c r="O40" i="149" s="1"/>
  <c r="L40" i="149"/>
  <c r="J40" i="149"/>
  <c r="I40" i="149"/>
  <c r="K40" i="149" s="1"/>
  <c r="H40" i="149"/>
  <c r="F40" i="149"/>
  <c r="E40" i="149"/>
  <c r="D40" i="149"/>
  <c r="J39" i="149"/>
  <c r="F39" i="149"/>
  <c r="D39" i="149"/>
  <c r="C38" i="149"/>
  <c r="B38" i="149"/>
  <c r="F37" i="149"/>
  <c r="E37" i="149"/>
  <c r="D37" i="149"/>
  <c r="N36" i="149"/>
  <c r="M36" i="149"/>
  <c r="L36" i="149"/>
  <c r="J36" i="149"/>
  <c r="I36" i="149"/>
  <c r="H36" i="149"/>
  <c r="F36" i="149"/>
  <c r="E36" i="149"/>
  <c r="G36" i="149" s="1"/>
  <c r="D36" i="149"/>
  <c r="N35" i="149"/>
  <c r="M35" i="149"/>
  <c r="O35" i="149" s="1"/>
  <c r="L35" i="149"/>
  <c r="J35" i="149"/>
  <c r="I35" i="149"/>
  <c r="H35" i="149"/>
  <c r="F35" i="149"/>
  <c r="E35" i="149"/>
  <c r="G35" i="149" s="1"/>
  <c r="D35" i="149"/>
  <c r="N34" i="149"/>
  <c r="M34" i="149"/>
  <c r="L34" i="149"/>
  <c r="J34" i="149"/>
  <c r="I34" i="149"/>
  <c r="H34" i="149"/>
  <c r="F34" i="149"/>
  <c r="E34" i="149"/>
  <c r="D34" i="149"/>
  <c r="C34" i="149"/>
  <c r="N33" i="149"/>
  <c r="M33" i="149"/>
  <c r="L33" i="149"/>
  <c r="J33" i="149"/>
  <c r="I33" i="149"/>
  <c r="K33" i="149" s="1"/>
  <c r="H33" i="149"/>
  <c r="F33" i="149"/>
  <c r="E33" i="149"/>
  <c r="D33" i="149"/>
  <c r="J32" i="149"/>
  <c r="F32" i="149"/>
  <c r="D32" i="149"/>
  <c r="C31" i="149"/>
  <c r="B31" i="149"/>
  <c r="F30" i="149"/>
  <c r="E30" i="149"/>
  <c r="D30" i="149"/>
  <c r="N29" i="149"/>
  <c r="M29" i="149"/>
  <c r="L29" i="149"/>
  <c r="J29" i="149"/>
  <c r="I29" i="149"/>
  <c r="H29" i="149"/>
  <c r="F29" i="149"/>
  <c r="E29" i="149"/>
  <c r="D29" i="149"/>
  <c r="N28" i="149"/>
  <c r="M28" i="149"/>
  <c r="O28" i="149" s="1"/>
  <c r="L28" i="149"/>
  <c r="J28" i="149"/>
  <c r="I28" i="149"/>
  <c r="K28" i="149" s="1"/>
  <c r="H28" i="149"/>
  <c r="F28" i="149"/>
  <c r="E28" i="149"/>
  <c r="D28" i="149"/>
  <c r="N27" i="149"/>
  <c r="M27" i="149"/>
  <c r="L27" i="149"/>
  <c r="J27" i="149"/>
  <c r="I27" i="149"/>
  <c r="H27" i="149"/>
  <c r="F27" i="149"/>
  <c r="E27" i="149"/>
  <c r="D27" i="149"/>
  <c r="C27" i="149"/>
  <c r="N26" i="149"/>
  <c r="M26" i="149"/>
  <c r="O26" i="149" s="1"/>
  <c r="L26" i="149"/>
  <c r="J26" i="149"/>
  <c r="I26" i="149"/>
  <c r="H26" i="149"/>
  <c r="F26" i="149"/>
  <c r="E26" i="149"/>
  <c r="G26" i="149" s="1"/>
  <c r="D26" i="149"/>
  <c r="J25" i="149"/>
  <c r="F25" i="149"/>
  <c r="D25" i="149"/>
  <c r="C24" i="149"/>
  <c r="B24" i="149"/>
  <c r="F23" i="149"/>
  <c r="E23" i="149"/>
  <c r="G23" i="149" s="1"/>
  <c r="D23" i="149"/>
  <c r="N22" i="149"/>
  <c r="M22" i="149"/>
  <c r="L22" i="149"/>
  <c r="J22" i="149"/>
  <c r="I22" i="149"/>
  <c r="H22" i="149"/>
  <c r="F22" i="149"/>
  <c r="E22" i="149"/>
  <c r="D22" i="149"/>
  <c r="N21" i="149"/>
  <c r="M21" i="149"/>
  <c r="L21" i="149"/>
  <c r="J21" i="149"/>
  <c r="I21" i="149"/>
  <c r="K21" i="149" s="1"/>
  <c r="H21" i="149"/>
  <c r="F21" i="149"/>
  <c r="E21" i="149"/>
  <c r="G21" i="149" s="1"/>
  <c r="D21" i="149"/>
  <c r="N20" i="149"/>
  <c r="M20" i="149"/>
  <c r="L20" i="149"/>
  <c r="J20" i="149"/>
  <c r="I20" i="149"/>
  <c r="K20" i="149" s="1"/>
  <c r="H20" i="149"/>
  <c r="F20" i="149"/>
  <c r="E20" i="149"/>
  <c r="D20" i="149"/>
  <c r="C20" i="149"/>
  <c r="N19" i="149"/>
  <c r="M19" i="149"/>
  <c r="L19" i="149"/>
  <c r="J19" i="149"/>
  <c r="I19" i="149"/>
  <c r="K19" i="149" s="1"/>
  <c r="H19" i="149"/>
  <c r="F19" i="149"/>
  <c r="E19" i="149"/>
  <c r="D19" i="149"/>
  <c r="J18" i="149"/>
  <c r="F18" i="149"/>
  <c r="D18" i="149"/>
  <c r="C17" i="149"/>
  <c r="B17" i="149"/>
  <c r="F16" i="149"/>
  <c r="E16" i="149"/>
  <c r="D16" i="149"/>
  <c r="N15" i="149"/>
  <c r="M15" i="149"/>
  <c r="L15" i="149"/>
  <c r="J15" i="149"/>
  <c r="I15" i="149"/>
  <c r="H15" i="149"/>
  <c r="F15" i="149"/>
  <c r="E15" i="149"/>
  <c r="D15" i="149"/>
  <c r="N14" i="149"/>
  <c r="M14" i="149"/>
  <c r="L14" i="149"/>
  <c r="J14" i="149"/>
  <c r="I14" i="149"/>
  <c r="H14" i="149"/>
  <c r="F14" i="149"/>
  <c r="E14" i="149"/>
  <c r="D14" i="149"/>
  <c r="N13" i="149"/>
  <c r="M13" i="149"/>
  <c r="L13" i="149"/>
  <c r="J13" i="149"/>
  <c r="I13" i="149"/>
  <c r="H13" i="149"/>
  <c r="F13" i="149"/>
  <c r="E13" i="149"/>
  <c r="D13" i="149"/>
  <c r="C13" i="149"/>
  <c r="N12" i="149"/>
  <c r="M12" i="149"/>
  <c r="L12" i="149"/>
  <c r="J12" i="149"/>
  <c r="I12" i="149"/>
  <c r="H12" i="149"/>
  <c r="F12" i="149"/>
  <c r="E12" i="149"/>
  <c r="D12" i="149"/>
  <c r="J11" i="149"/>
  <c r="F11" i="149"/>
  <c r="D11" i="149"/>
  <c r="C10" i="149"/>
  <c r="B10" i="149"/>
  <c r="F9" i="149"/>
  <c r="E9" i="149"/>
  <c r="G9" i="149" s="1"/>
  <c r="D9" i="149"/>
  <c r="N8" i="149"/>
  <c r="M8" i="149"/>
  <c r="L8" i="149"/>
  <c r="J8" i="149"/>
  <c r="I8" i="149"/>
  <c r="H8" i="149"/>
  <c r="F8" i="149"/>
  <c r="E8" i="149"/>
  <c r="D8" i="149"/>
  <c r="N7" i="149"/>
  <c r="M7" i="149"/>
  <c r="L7" i="149"/>
  <c r="J7" i="149"/>
  <c r="I7" i="149"/>
  <c r="H7" i="149"/>
  <c r="F7" i="149"/>
  <c r="E7" i="149"/>
  <c r="D7" i="149"/>
  <c r="N6" i="149"/>
  <c r="M6" i="149"/>
  <c r="L6" i="149"/>
  <c r="J6" i="149"/>
  <c r="I6" i="149"/>
  <c r="H6" i="149"/>
  <c r="F6" i="149"/>
  <c r="E6" i="149"/>
  <c r="D6" i="149"/>
  <c r="C6" i="149"/>
  <c r="N5" i="149"/>
  <c r="M5" i="149"/>
  <c r="L5" i="149"/>
  <c r="J5" i="149"/>
  <c r="I5" i="149"/>
  <c r="H5" i="149"/>
  <c r="F5" i="149"/>
  <c r="E5" i="149"/>
  <c r="D5" i="149"/>
  <c r="K3" i="149"/>
  <c r="F3" i="149"/>
  <c r="C3" i="149"/>
  <c r="L2" i="149"/>
  <c r="C82" i="148"/>
  <c r="C83" i="148" s="1"/>
  <c r="L54" i="148" s="1"/>
  <c r="R75" i="148"/>
  <c r="Q75" i="148"/>
  <c r="P75" i="148"/>
  <c r="O75" i="148"/>
  <c r="N75" i="148"/>
  <c r="M75" i="148"/>
  <c r="L75" i="148"/>
  <c r="K75" i="148"/>
  <c r="J75" i="148"/>
  <c r="I75" i="148"/>
  <c r="H75" i="148"/>
  <c r="G75" i="148"/>
  <c r="F75" i="148"/>
  <c r="T71" i="148"/>
  <c r="S71" i="148"/>
  <c r="R71" i="148"/>
  <c r="Q71" i="148"/>
  <c r="P71" i="148"/>
  <c r="O71" i="148"/>
  <c r="N71" i="148"/>
  <c r="M71" i="148"/>
  <c r="L71" i="148"/>
  <c r="K71" i="148"/>
  <c r="J71" i="148"/>
  <c r="I71" i="148"/>
  <c r="H71" i="148"/>
  <c r="F71" i="148"/>
  <c r="E71" i="148"/>
  <c r="D71" i="148"/>
  <c r="U70" i="148"/>
  <c r="U69" i="148"/>
  <c r="U68" i="148"/>
  <c r="U67" i="148"/>
  <c r="U66" i="148"/>
  <c r="U65" i="148"/>
  <c r="G60" i="148"/>
  <c r="I4" i="148" s="1"/>
  <c r="J55" i="148"/>
  <c r="H55" i="148"/>
  <c r="D55" i="148"/>
  <c r="D53" i="148"/>
  <c r="L52" i="148"/>
  <c r="H52" i="148"/>
  <c r="D52" i="148"/>
  <c r="L51" i="148"/>
  <c r="H51" i="148"/>
  <c r="D51" i="148"/>
  <c r="L50" i="148"/>
  <c r="H50" i="148"/>
  <c r="D50" i="148"/>
  <c r="L49" i="148"/>
  <c r="H49" i="148"/>
  <c r="D49" i="148"/>
  <c r="J46" i="148"/>
  <c r="F46" i="148"/>
  <c r="D46" i="148"/>
  <c r="C45" i="148"/>
  <c r="B45" i="148"/>
  <c r="F44" i="148"/>
  <c r="E44" i="148"/>
  <c r="D44" i="148"/>
  <c r="N43" i="148"/>
  <c r="M43" i="148"/>
  <c r="L43" i="148"/>
  <c r="J43" i="148"/>
  <c r="I43" i="148"/>
  <c r="H43" i="148"/>
  <c r="F43" i="148"/>
  <c r="E43" i="148"/>
  <c r="G43" i="148" s="1"/>
  <c r="D43" i="148"/>
  <c r="N42" i="148"/>
  <c r="M42" i="148"/>
  <c r="L42" i="148"/>
  <c r="J42" i="148"/>
  <c r="I42" i="148"/>
  <c r="H42" i="148"/>
  <c r="F42" i="148"/>
  <c r="E42" i="148"/>
  <c r="D42" i="148"/>
  <c r="N41" i="148"/>
  <c r="M41" i="148"/>
  <c r="L41" i="148"/>
  <c r="J41" i="148"/>
  <c r="I41" i="148"/>
  <c r="K41" i="148" s="1"/>
  <c r="H41" i="148"/>
  <c r="F41" i="148"/>
  <c r="E41" i="148"/>
  <c r="G41" i="148" s="1"/>
  <c r="D41" i="148"/>
  <c r="C41" i="148"/>
  <c r="N40" i="148"/>
  <c r="M40" i="148"/>
  <c r="L40" i="148"/>
  <c r="J40" i="148"/>
  <c r="I40" i="148"/>
  <c r="H40" i="148"/>
  <c r="F40" i="148"/>
  <c r="E40" i="148"/>
  <c r="D40" i="148"/>
  <c r="J39" i="148"/>
  <c r="F39" i="148"/>
  <c r="D39" i="148"/>
  <c r="C38" i="148"/>
  <c r="B38" i="148"/>
  <c r="F37" i="148"/>
  <c r="E37" i="148"/>
  <c r="D37" i="148"/>
  <c r="N36" i="148"/>
  <c r="M36" i="148"/>
  <c r="L36" i="148"/>
  <c r="J36" i="148"/>
  <c r="I36" i="148"/>
  <c r="K36" i="148" s="1"/>
  <c r="H36" i="148"/>
  <c r="F36" i="148"/>
  <c r="E36" i="148"/>
  <c r="D36" i="148"/>
  <c r="N35" i="148"/>
  <c r="M35" i="148"/>
  <c r="L35" i="148"/>
  <c r="J35" i="148"/>
  <c r="I35" i="148"/>
  <c r="H35" i="148"/>
  <c r="F35" i="148"/>
  <c r="E35" i="148"/>
  <c r="D35" i="148"/>
  <c r="N34" i="148"/>
  <c r="M34" i="148"/>
  <c r="L34" i="148"/>
  <c r="J34" i="148"/>
  <c r="I34" i="148"/>
  <c r="H34" i="148"/>
  <c r="F34" i="148"/>
  <c r="E34" i="148"/>
  <c r="G34" i="148" s="1"/>
  <c r="D34" i="148"/>
  <c r="C34" i="148"/>
  <c r="N33" i="148"/>
  <c r="M33" i="148"/>
  <c r="L33" i="148"/>
  <c r="J33" i="148"/>
  <c r="I33" i="148"/>
  <c r="H33" i="148"/>
  <c r="F33" i="148"/>
  <c r="E33" i="148"/>
  <c r="D33" i="148"/>
  <c r="J32" i="148"/>
  <c r="F32" i="148"/>
  <c r="D32" i="148"/>
  <c r="C31" i="148"/>
  <c r="B31" i="148"/>
  <c r="F30" i="148"/>
  <c r="E30" i="148"/>
  <c r="D30" i="148"/>
  <c r="N29" i="148"/>
  <c r="M29" i="148"/>
  <c r="L29" i="148"/>
  <c r="J29" i="148"/>
  <c r="I29" i="148"/>
  <c r="H29" i="148"/>
  <c r="F29" i="148"/>
  <c r="E29" i="148"/>
  <c r="D29" i="148"/>
  <c r="N28" i="148"/>
  <c r="M28" i="148"/>
  <c r="L28" i="148"/>
  <c r="J28" i="148"/>
  <c r="I28" i="148"/>
  <c r="K28" i="148" s="1"/>
  <c r="H28" i="148"/>
  <c r="F28" i="148"/>
  <c r="E28" i="148"/>
  <c r="D28" i="148"/>
  <c r="N27" i="148"/>
  <c r="M27" i="148"/>
  <c r="L27" i="148"/>
  <c r="J27" i="148"/>
  <c r="I27" i="148"/>
  <c r="H27" i="148"/>
  <c r="F27" i="148"/>
  <c r="E27" i="148"/>
  <c r="D27" i="148"/>
  <c r="C27" i="148"/>
  <c r="N26" i="148"/>
  <c r="M26" i="148"/>
  <c r="L26" i="148"/>
  <c r="J26" i="148"/>
  <c r="I26" i="148"/>
  <c r="H26" i="148"/>
  <c r="F26" i="148"/>
  <c r="E26" i="148"/>
  <c r="D26" i="148"/>
  <c r="J25" i="148"/>
  <c r="F25" i="148"/>
  <c r="D25" i="148"/>
  <c r="C24" i="148"/>
  <c r="B24" i="148"/>
  <c r="F23" i="148"/>
  <c r="E23" i="148"/>
  <c r="D23" i="148"/>
  <c r="N22" i="148"/>
  <c r="M22" i="148"/>
  <c r="L22" i="148"/>
  <c r="J22" i="148"/>
  <c r="I22" i="148"/>
  <c r="H22" i="148"/>
  <c r="F22" i="148"/>
  <c r="E22" i="148"/>
  <c r="G22" i="148" s="1"/>
  <c r="D22" i="148"/>
  <c r="N21" i="148"/>
  <c r="M21" i="148"/>
  <c r="L21" i="148"/>
  <c r="J21" i="148"/>
  <c r="I21" i="148"/>
  <c r="H21" i="148"/>
  <c r="F21" i="148"/>
  <c r="E21" i="148"/>
  <c r="G21" i="148" s="1"/>
  <c r="D21" i="148"/>
  <c r="N20" i="148"/>
  <c r="M20" i="148"/>
  <c r="L20" i="148"/>
  <c r="J20" i="148"/>
  <c r="I20" i="148"/>
  <c r="H20" i="148"/>
  <c r="F20" i="148"/>
  <c r="E20" i="148"/>
  <c r="D20" i="148"/>
  <c r="C20" i="148"/>
  <c r="N19" i="148"/>
  <c r="M19" i="148"/>
  <c r="L19" i="148"/>
  <c r="J19" i="148"/>
  <c r="I19" i="148"/>
  <c r="H19" i="148"/>
  <c r="F19" i="148"/>
  <c r="E19" i="148"/>
  <c r="D19" i="148"/>
  <c r="J18" i="148"/>
  <c r="F18" i="148"/>
  <c r="D18" i="148"/>
  <c r="C17" i="148"/>
  <c r="B17" i="148"/>
  <c r="F16" i="148"/>
  <c r="E16" i="148"/>
  <c r="D16" i="148"/>
  <c r="N15" i="148"/>
  <c r="M15" i="148"/>
  <c r="L15" i="148"/>
  <c r="J15" i="148"/>
  <c r="I15" i="148"/>
  <c r="H15" i="148"/>
  <c r="F15" i="148"/>
  <c r="E15" i="148"/>
  <c r="D15" i="148"/>
  <c r="N14" i="148"/>
  <c r="M14" i="148"/>
  <c r="L14" i="148"/>
  <c r="J14" i="148"/>
  <c r="I14" i="148"/>
  <c r="H14" i="148"/>
  <c r="F14" i="148"/>
  <c r="E14" i="148"/>
  <c r="D14" i="148"/>
  <c r="N13" i="148"/>
  <c r="M13" i="148"/>
  <c r="L13" i="148"/>
  <c r="J13" i="148"/>
  <c r="I13" i="148"/>
  <c r="H13" i="148"/>
  <c r="F13" i="148"/>
  <c r="E13" i="148"/>
  <c r="D13" i="148"/>
  <c r="C13" i="148"/>
  <c r="N12" i="148"/>
  <c r="M12" i="148"/>
  <c r="L12" i="148"/>
  <c r="J12" i="148"/>
  <c r="I12" i="148"/>
  <c r="H12" i="148"/>
  <c r="F12" i="148"/>
  <c r="E12" i="148"/>
  <c r="D12" i="148"/>
  <c r="J11" i="148"/>
  <c r="F11" i="148"/>
  <c r="D11" i="148"/>
  <c r="C10" i="148"/>
  <c r="B10" i="148"/>
  <c r="F9" i="148"/>
  <c r="E9" i="148"/>
  <c r="D9" i="148"/>
  <c r="N8" i="148"/>
  <c r="M8" i="148"/>
  <c r="L8" i="148"/>
  <c r="J8" i="148"/>
  <c r="I8" i="148"/>
  <c r="H8" i="148"/>
  <c r="F8" i="148"/>
  <c r="E8" i="148"/>
  <c r="D8" i="148"/>
  <c r="N7" i="148"/>
  <c r="M7" i="148"/>
  <c r="L7" i="148"/>
  <c r="J7" i="148"/>
  <c r="I7" i="148"/>
  <c r="H7" i="148"/>
  <c r="F7" i="148"/>
  <c r="E7" i="148"/>
  <c r="D7" i="148"/>
  <c r="N6" i="148"/>
  <c r="M6" i="148"/>
  <c r="L6" i="148"/>
  <c r="J6" i="148"/>
  <c r="I6" i="148"/>
  <c r="H6" i="148"/>
  <c r="F6" i="148"/>
  <c r="E6" i="148"/>
  <c r="D6" i="148"/>
  <c r="C6" i="148"/>
  <c r="N5" i="148"/>
  <c r="M5" i="148"/>
  <c r="L5" i="148"/>
  <c r="J5" i="148"/>
  <c r="I5" i="148"/>
  <c r="H5" i="148"/>
  <c r="F5" i="148"/>
  <c r="E5" i="148"/>
  <c r="D5" i="148"/>
  <c r="K3" i="148"/>
  <c r="F3" i="148"/>
  <c r="C3" i="148"/>
  <c r="L2" i="148"/>
  <c r="C82" i="147"/>
  <c r="C83" i="147" s="1"/>
  <c r="L54" i="147" s="1"/>
  <c r="R75" i="147"/>
  <c r="Q75" i="147"/>
  <c r="P75" i="147"/>
  <c r="O75" i="147"/>
  <c r="N75" i="147"/>
  <c r="M75" i="147"/>
  <c r="L75" i="147"/>
  <c r="K75" i="147"/>
  <c r="J75" i="147"/>
  <c r="I75" i="147"/>
  <c r="H75" i="147"/>
  <c r="G75" i="147"/>
  <c r="F75" i="147"/>
  <c r="T71" i="147"/>
  <c r="S71" i="147"/>
  <c r="R71" i="147"/>
  <c r="Q71" i="147"/>
  <c r="P71" i="147"/>
  <c r="O71" i="147"/>
  <c r="N71" i="147"/>
  <c r="M71" i="147"/>
  <c r="L71" i="147"/>
  <c r="K71" i="147"/>
  <c r="J71" i="147"/>
  <c r="I71" i="147"/>
  <c r="H71" i="147"/>
  <c r="F71" i="147"/>
  <c r="E71" i="147"/>
  <c r="D71" i="147"/>
  <c r="U70" i="147"/>
  <c r="U69" i="147"/>
  <c r="U68" i="147"/>
  <c r="U67" i="147"/>
  <c r="U66" i="147"/>
  <c r="U65" i="147"/>
  <c r="G60" i="147"/>
  <c r="I4" i="147" s="1"/>
  <c r="J55" i="147"/>
  <c r="H55" i="147"/>
  <c r="D55" i="147"/>
  <c r="D53" i="147"/>
  <c r="L52" i="147"/>
  <c r="H52" i="147"/>
  <c r="D52" i="147"/>
  <c r="L51" i="147"/>
  <c r="H51" i="147"/>
  <c r="D51" i="147"/>
  <c r="L50" i="147"/>
  <c r="H50" i="147"/>
  <c r="D50" i="147"/>
  <c r="L49" i="147"/>
  <c r="H49" i="147"/>
  <c r="D49" i="147"/>
  <c r="J46" i="147"/>
  <c r="F46" i="147"/>
  <c r="D46" i="147"/>
  <c r="C45" i="147"/>
  <c r="B45" i="147"/>
  <c r="F44" i="147"/>
  <c r="E44" i="147"/>
  <c r="D44" i="147"/>
  <c r="N43" i="147"/>
  <c r="M43" i="147"/>
  <c r="L43" i="147"/>
  <c r="J43" i="147"/>
  <c r="I43" i="147"/>
  <c r="H43" i="147"/>
  <c r="F43" i="147"/>
  <c r="E43" i="147"/>
  <c r="D43" i="147"/>
  <c r="N42" i="147"/>
  <c r="M42" i="147"/>
  <c r="O42" i="147" s="1"/>
  <c r="L42" i="147"/>
  <c r="J42" i="147"/>
  <c r="I42" i="147"/>
  <c r="H42" i="147"/>
  <c r="F42" i="147"/>
  <c r="E42" i="147"/>
  <c r="D42" i="147"/>
  <c r="N41" i="147"/>
  <c r="M41" i="147"/>
  <c r="L41" i="147"/>
  <c r="J41" i="147"/>
  <c r="I41" i="147"/>
  <c r="H41" i="147"/>
  <c r="F41" i="147"/>
  <c r="E41" i="147"/>
  <c r="D41" i="147"/>
  <c r="C41" i="147"/>
  <c r="N40" i="147"/>
  <c r="M40" i="147"/>
  <c r="L40" i="147"/>
  <c r="J40" i="147"/>
  <c r="I40" i="147"/>
  <c r="H40" i="147"/>
  <c r="F40" i="147"/>
  <c r="E40" i="147"/>
  <c r="D40" i="147"/>
  <c r="J39" i="147"/>
  <c r="F39" i="147"/>
  <c r="D39" i="147"/>
  <c r="C38" i="147"/>
  <c r="B38" i="147"/>
  <c r="F37" i="147"/>
  <c r="E37" i="147"/>
  <c r="D37" i="147"/>
  <c r="N36" i="147"/>
  <c r="M36" i="147"/>
  <c r="L36" i="147"/>
  <c r="J36" i="147"/>
  <c r="I36" i="147"/>
  <c r="H36" i="147"/>
  <c r="F36" i="147"/>
  <c r="E36" i="147"/>
  <c r="D36" i="147"/>
  <c r="N35" i="147"/>
  <c r="M35" i="147"/>
  <c r="L35" i="147"/>
  <c r="J35" i="147"/>
  <c r="I35" i="147"/>
  <c r="K35" i="147" s="1"/>
  <c r="H35" i="147"/>
  <c r="F35" i="147"/>
  <c r="E35" i="147"/>
  <c r="D35" i="147"/>
  <c r="N34" i="147"/>
  <c r="M34" i="147"/>
  <c r="L34" i="147"/>
  <c r="J34" i="147"/>
  <c r="I34" i="147"/>
  <c r="H34" i="147"/>
  <c r="F34" i="147"/>
  <c r="E34" i="147"/>
  <c r="D34" i="147"/>
  <c r="C34" i="147"/>
  <c r="N33" i="147"/>
  <c r="M33" i="147"/>
  <c r="O33" i="147" s="1"/>
  <c r="L33" i="147"/>
  <c r="J33" i="147"/>
  <c r="I33" i="147"/>
  <c r="H33" i="147"/>
  <c r="F33" i="147"/>
  <c r="E33" i="147"/>
  <c r="D33" i="147"/>
  <c r="J32" i="147"/>
  <c r="F32" i="147"/>
  <c r="D32" i="147"/>
  <c r="C31" i="147"/>
  <c r="B31" i="147"/>
  <c r="F30" i="147"/>
  <c r="E30" i="147"/>
  <c r="D30" i="147"/>
  <c r="N29" i="147"/>
  <c r="M29" i="147"/>
  <c r="L29" i="147"/>
  <c r="J29" i="147"/>
  <c r="I29" i="147"/>
  <c r="H29" i="147"/>
  <c r="F29" i="147"/>
  <c r="E29" i="147"/>
  <c r="D29" i="147"/>
  <c r="N28" i="147"/>
  <c r="M28" i="147"/>
  <c r="L28" i="147"/>
  <c r="J28" i="147"/>
  <c r="I28" i="147"/>
  <c r="K28" i="147" s="1"/>
  <c r="H28" i="147"/>
  <c r="F28" i="147"/>
  <c r="E28" i="147"/>
  <c r="D28" i="147"/>
  <c r="N27" i="147"/>
  <c r="M27" i="147"/>
  <c r="L27" i="147"/>
  <c r="J27" i="147"/>
  <c r="I27" i="147"/>
  <c r="H27" i="147"/>
  <c r="F27" i="147"/>
  <c r="E27" i="147"/>
  <c r="D27" i="147"/>
  <c r="C27" i="147"/>
  <c r="N26" i="147"/>
  <c r="M26" i="147"/>
  <c r="L26" i="147"/>
  <c r="J26" i="147"/>
  <c r="I26" i="147"/>
  <c r="H26" i="147"/>
  <c r="F26" i="147"/>
  <c r="E26" i="147"/>
  <c r="D26" i="147"/>
  <c r="J25" i="147"/>
  <c r="F25" i="147"/>
  <c r="D25" i="147"/>
  <c r="C24" i="147"/>
  <c r="B24" i="147"/>
  <c r="F23" i="147"/>
  <c r="E23" i="147"/>
  <c r="D23" i="147"/>
  <c r="N22" i="147"/>
  <c r="M22" i="147"/>
  <c r="L22" i="147"/>
  <c r="J22" i="147"/>
  <c r="I22" i="147"/>
  <c r="H22" i="147"/>
  <c r="F22" i="147"/>
  <c r="E22" i="147"/>
  <c r="D22" i="147"/>
  <c r="N21" i="147"/>
  <c r="M21" i="147"/>
  <c r="L21" i="147"/>
  <c r="J21" i="147"/>
  <c r="I21" i="147"/>
  <c r="H21" i="147"/>
  <c r="F21" i="147"/>
  <c r="E21" i="147"/>
  <c r="D21" i="147"/>
  <c r="N20" i="147"/>
  <c r="M20" i="147"/>
  <c r="L20" i="147"/>
  <c r="J20" i="147"/>
  <c r="I20" i="147"/>
  <c r="H20" i="147"/>
  <c r="F20" i="147"/>
  <c r="E20" i="147"/>
  <c r="D20" i="147"/>
  <c r="C20" i="147"/>
  <c r="N19" i="147"/>
  <c r="M19" i="147"/>
  <c r="L19" i="147"/>
  <c r="J19" i="147"/>
  <c r="I19" i="147"/>
  <c r="K19" i="147" s="1"/>
  <c r="H19" i="147"/>
  <c r="F19" i="147"/>
  <c r="E19" i="147"/>
  <c r="D19" i="147"/>
  <c r="J18" i="147"/>
  <c r="F18" i="147"/>
  <c r="D18" i="147"/>
  <c r="C17" i="147"/>
  <c r="B17" i="147"/>
  <c r="F16" i="147"/>
  <c r="E16" i="147"/>
  <c r="D16" i="147"/>
  <c r="N15" i="147"/>
  <c r="M15" i="147"/>
  <c r="L15" i="147"/>
  <c r="J15" i="147"/>
  <c r="I15" i="147"/>
  <c r="H15" i="147"/>
  <c r="F15" i="147"/>
  <c r="E15" i="147"/>
  <c r="D15" i="147"/>
  <c r="N14" i="147"/>
  <c r="M14" i="147"/>
  <c r="L14" i="147"/>
  <c r="J14" i="147"/>
  <c r="I14" i="147"/>
  <c r="H14" i="147"/>
  <c r="F14" i="147"/>
  <c r="E14" i="147"/>
  <c r="D14" i="147"/>
  <c r="N13" i="147"/>
  <c r="M13" i="147"/>
  <c r="O13" i="147" s="1"/>
  <c r="L13" i="147"/>
  <c r="J13" i="147"/>
  <c r="I13" i="147"/>
  <c r="H13" i="147"/>
  <c r="F13" i="147"/>
  <c r="E13" i="147"/>
  <c r="D13" i="147"/>
  <c r="C13" i="147"/>
  <c r="N12" i="147"/>
  <c r="M12" i="147"/>
  <c r="L12" i="147"/>
  <c r="J12" i="147"/>
  <c r="I12" i="147"/>
  <c r="H12" i="147"/>
  <c r="F12" i="147"/>
  <c r="E12" i="147"/>
  <c r="D12" i="147"/>
  <c r="J11" i="147"/>
  <c r="F11" i="147"/>
  <c r="D11" i="147"/>
  <c r="C10" i="147"/>
  <c r="B10" i="147"/>
  <c r="F9" i="147"/>
  <c r="E9" i="147"/>
  <c r="G9" i="147" s="1"/>
  <c r="D9" i="147"/>
  <c r="N8" i="147"/>
  <c r="M8" i="147"/>
  <c r="O8" i="147" s="1"/>
  <c r="L8" i="147"/>
  <c r="J8" i="147"/>
  <c r="I8" i="147"/>
  <c r="H8" i="147"/>
  <c r="F8" i="147"/>
  <c r="E8" i="147"/>
  <c r="D8" i="147"/>
  <c r="N7" i="147"/>
  <c r="M7" i="147"/>
  <c r="L7" i="147"/>
  <c r="J7" i="147"/>
  <c r="I7" i="147"/>
  <c r="H7" i="147"/>
  <c r="F7" i="147"/>
  <c r="E7" i="147"/>
  <c r="D7" i="147"/>
  <c r="N6" i="147"/>
  <c r="M6" i="147"/>
  <c r="L6" i="147"/>
  <c r="J6" i="147"/>
  <c r="I6" i="147"/>
  <c r="K6" i="147" s="1"/>
  <c r="H6" i="147"/>
  <c r="F6" i="147"/>
  <c r="E6" i="147"/>
  <c r="G6" i="147" s="1"/>
  <c r="D6" i="147"/>
  <c r="C6" i="147"/>
  <c r="N5" i="147"/>
  <c r="M5" i="147"/>
  <c r="L5" i="147"/>
  <c r="J5" i="147"/>
  <c r="I5" i="147"/>
  <c r="H5" i="147"/>
  <c r="F5" i="147"/>
  <c r="E5" i="147"/>
  <c r="D5" i="147"/>
  <c r="K3" i="147"/>
  <c r="F3" i="147"/>
  <c r="C3" i="147"/>
  <c r="L2" i="147"/>
  <c r="C82" i="146"/>
  <c r="C83" i="146" s="1"/>
  <c r="L54" i="146" s="1"/>
  <c r="R75" i="146"/>
  <c r="Q75" i="146"/>
  <c r="P75" i="146"/>
  <c r="O75" i="146"/>
  <c r="N75" i="146"/>
  <c r="M75" i="146"/>
  <c r="L75" i="146"/>
  <c r="K75" i="146"/>
  <c r="J75" i="146"/>
  <c r="I75" i="146"/>
  <c r="H75" i="146"/>
  <c r="G75" i="146"/>
  <c r="F75" i="146"/>
  <c r="T71" i="146"/>
  <c r="S71" i="146"/>
  <c r="R71" i="146"/>
  <c r="Q71" i="146"/>
  <c r="P71" i="146"/>
  <c r="O71" i="146"/>
  <c r="N71" i="146"/>
  <c r="M71" i="146"/>
  <c r="L71" i="146"/>
  <c r="K71" i="146"/>
  <c r="J71" i="146"/>
  <c r="I71" i="146"/>
  <c r="H71" i="146"/>
  <c r="F71" i="146"/>
  <c r="E71" i="146"/>
  <c r="D71" i="146"/>
  <c r="U70" i="146"/>
  <c r="U69" i="146"/>
  <c r="U68" i="146"/>
  <c r="U67" i="146"/>
  <c r="U66" i="146"/>
  <c r="U65" i="146"/>
  <c r="G60" i="146"/>
  <c r="I4" i="146" s="1"/>
  <c r="J55" i="146"/>
  <c r="H55" i="146"/>
  <c r="D55" i="146"/>
  <c r="D53" i="146"/>
  <c r="L52" i="146"/>
  <c r="H52" i="146"/>
  <c r="D52" i="146"/>
  <c r="L51" i="146"/>
  <c r="H51" i="146"/>
  <c r="D51" i="146"/>
  <c r="L50" i="146"/>
  <c r="H50" i="146"/>
  <c r="D50" i="146"/>
  <c r="L49" i="146"/>
  <c r="H49" i="146"/>
  <c r="D49" i="146"/>
  <c r="J46" i="146"/>
  <c r="F46" i="146"/>
  <c r="D46" i="146"/>
  <c r="C45" i="146"/>
  <c r="B45" i="146"/>
  <c r="F44" i="146"/>
  <c r="E44" i="146"/>
  <c r="D44" i="146"/>
  <c r="N43" i="146"/>
  <c r="M43" i="146"/>
  <c r="O43" i="146" s="1"/>
  <c r="L43" i="146"/>
  <c r="J43" i="146"/>
  <c r="I43" i="146"/>
  <c r="H43" i="146"/>
  <c r="F43" i="146"/>
  <c r="E43" i="146"/>
  <c r="G43" i="146" s="1"/>
  <c r="D43" i="146"/>
  <c r="N42" i="146"/>
  <c r="M42" i="146"/>
  <c r="L42" i="146"/>
  <c r="J42" i="146"/>
  <c r="I42" i="146"/>
  <c r="H42" i="146"/>
  <c r="F42" i="146"/>
  <c r="E42" i="146"/>
  <c r="D42" i="146"/>
  <c r="N41" i="146"/>
  <c r="M41" i="146"/>
  <c r="O41" i="146" s="1"/>
  <c r="L41" i="146"/>
  <c r="J41" i="146"/>
  <c r="I41" i="146"/>
  <c r="H41" i="146"/>
  <c r="F41" i="146"/>
  <c r="E41" i="146"/>
  <c r="G41" i="146" s="1"/>
  <c r="D41" i="146"/>
  <c r="C41" i="146"/>
  <c r="N40" i="146"/>
  <c r="M40" i="146"/>
  <c r="L40" i="146"/>
  <c r="J40" i="146"/>
  <c r="I40" i="146"/>
  <c r="H40" i="146"/>
  <c r="F40" i="146"/>
  <c r="E40" i="146"/>
  <c r="G40" i="146" s="1"/>
  <c r="D40" i="146"/>
  <c r="J39" i="146"/>
  <c r="F39" i="146"/>
  <c r="D39" i="146"/>
  <c r="C38" i="146"/>
  <c r="B38" i="146"/>
  <c r="F37" i="146"/>
  <c r="E37" i="146"/>
  <c r="G37" i="146" s="1"/>
  <c r="D37" i="146"/>
  <c r="N36" i="146"/>
  <c r="M36" i="146"/>
  <c r="L36" i="146"/>
  <c r="J36" i="146"/>
  <c r="I36" i="146"/>
  <c r="H36" i="146"/>
  <c r="F36" i="146"/>
  <c r="E36" i="146"/>
  <c r="D36" i="146"/>
  <c r="N35" i="146"/>
  <c r="M35" i="146"/>
  <c r="L35" i="146"/>
  <c r="J35" i="146"/>
  <c r="I35" i="146"/>
  <c r="K35" i="146" s="1"/>
  <c r="H35" i="146"/>
  <c r="F35" i="146"/>
  <c r="E35" i="146"/>
  <c r="D35" i="146"/>
  <c r="N34" i="146"/>
  <c r="M34" i="146"/>
  <c r="L34" i="146"/>
  <c r="J34" i="146"/>
  <c r="I34" i="146"/>
  <c r="K34" i="146" s="1"/>
  <c r="H34" i="146"/>
  <c r="F34" i="146"/>
  <c r="E34" i="146"/>
  <c r="D34" i="146"/>
  <c r="C34" i="146"/>
  <c r="N33" i="146"/>
  <c r="M33" i="146"/>
  <c r="O33" i="146" s="1"/>
  <c r="L33" i="146"/>
  <c r="J33" i="146"/>
  <c r="I33" i="146"/>
  <c r="H33" i="146"/>
  <c r="F33" i="146"/>
  <c r="E33" i="146"/>
  <c r="D33" i="146"/>
  <c r="J32" i="146"/>
  <c r="F32" i="146"/>
  <c r="D32" i="146"/>
  <c r="C31" i="146"/>
  <c r="B31" i="146"/>
  <c r="F30" i="146"/>
  <c r="E30" i="146"/>
  <c r="D30" i="146"/>
  <c r="N29" i="146"/>
  <c r="M29" i="146"/>
  <c r="L29" i="146"/>
  <c r="J29" i="146"/>
  <c r="I29" i="146"/>
  <c r="H29" i="146"/>
  <c r="F29" i="146"/>
  <c r="E29" i="146"/>
  <c r="G29" i="146" s="1"/>
  <c r="D29" i="146"/>
  <c r="N28" i="146"/>
  <c r="M28" i="146"/>
  <c r="L28" i="146"/>
  <c r="J28" i="146"/>
  <c r="I28" i="146"/>
  <c r="H28" i="146"/>
  <c r="F28" i="146"/>
  <c r="E28" i="146"/>
  <c r="D28" i="146"/>
  <c r="N27" i="146"/>
  <c r="M27" i="146"/>
  <c r="L27" i="146"/>
  <c r="J27" i="146"/>
  <c r="I27" i="146"/>
  <c r="K27" i="146" s="1"/>
  <c r="H27" i="146"/>
  <c r="F27" i="146"/>
  <c r="E27" i="146"/>
  <c r="D27" i="146"/>
  <c r="C27" i="146"/>
  <c r="N26" i="146"/>
  <c r="M26" i="146"/>
  <c r="L26" i="146"/>
  <c r="J26" i="146"/>
  <c r="I26" i="146"/>
  <c r="H26" i="146"/>
  <c r="F26" i="146"/>
  <c r="E26" i="146"/>
  <c r="D26" i="146"/>
  <c r="J25" i="146"/>
  <c r="F25" i="146"/>
  <c r="D25" i="146"/>
  <c r="C24" i="146"/>
  <c r="B24" i="146"/>
  <c r="F23" i="146"/>
  <c r="E23" i="146"/>
  <c r="D23" i="146"/>
  <c r="N22" i="146"/>
  <c r="M22" i="146"/>
  <c r="L22" i="146"/>
  <c r="J22" i="146"/>
  <c r="I22" i="146"/>
  <c r="H22" i="146"/>
  <c r="F22" i="146"/>
  <c r="E22" i="146"/>
  <c r="D22" i="146"/>
  <c r="N21" i="146"/>
  <c r="M21" i="146"/>
  <c r="O21" i="146" s="1"/>
  <c r="L21" i="146"/>
  <c r="J21" i="146"/>
  <c r="I21" i="146"/>
  <c r="H21" i="146"/>
  <c r="F21" i="146"/>
  <c r="E21" i="146"/>
  <c r="D21" i="146"/>
  <c r="N20" i="146"/>
  <c r="M20" i="146"/>
  <c r="L20" i="146"/>
  <c r="J20" i="146"/>
  <c r="I20" i="146"/>
  <c r="H20" i="146"/>
  <c r="F20" i="146"/>
  <c r="E20" i="146"/>
  <c r="D20" i="146"/>
  <c r="C20" i="146"/>
  <c r="N19" i="146"/>
  <c r="M19" i="146"/>
  <c r="L19" i="146"/>
  <c r="J19" i="146"/>
  <c r="I19" i="146"/>
  <c r="K19" i="146" s="1"/>
  <c r="H19" i="146"/>
  <c r="F19" i="146"/>
  <c r="E19" i="146"/>
  <c r="D19" i="146"/>
  <c r="J18" i="146"/>
  <c r="F18" i="146"/>
  <c r="D18" i="146"/>
  <c r="C17" i="146"/>
  <c r="B17" i="146"/>
  <c r="F16" i="146"/>
  <c r="E16" i="146"/>
  <c r="D16" i="146"/>
  <c r="N15" i="146"/>
  <c r="M15" i="146"/>
  <c r="L15" i="146"/>
  <c r="J15" i="146"/>
  <c r="I15" i="146"/>
  <c r="H15" i="146"/>
  <c r="F15" i="146"/>
  <c r="E15" i="146"/>
  <c r="G15" i="146" s="1"/>
  <c r="D15" i="146"/>
  <c r="N14" i="146"/>
  <c r="M14" i="146"/>
  <c r="L14" i="146"/>
  <c r="J14" i="146"/>
  <c r="I14" i="146"/>
  <c r="K14" i="146" s="1"/>
  <c r="H14" i="146"/>
  <c r="F14" i="146"/>
  <c r="E14" i="146"/>
  <c r="D14" i="146"/>
  <c r="N13" i="146"/>
  <c r="M13" i="146"/>
  <c r="O13" i="146" s="1"/>
  <c r="L13" i="146"/>
  <c r="J13" i="146"/>
  <c r="I13" i="146"/>
  <c r="H13" i="146"/>
  <c r="F13" i="146"/>
  <c r="E13" i="146"/>
  <c r="D13" i="146"/>
  <c r="C13" i="146"/>
  <c r="N12" i="146"/>
  <c r="M12" i="146"/>
  <c r="O12" i="146" s="1"/>
  <c r="L12" i="146"/>
  <c r="J12" i="146"/>
  <c r="I12" i="146"/>
  <c r="H12" i="146"/>
  <c r="F12" i="146"/>
  <c r="E12" i="146"/>
  <c r="D12" i="146"/>
  <c r="J11" i="146"/>
  <c r="F11" i="146"/>
  <c r="D11" i="146"/>
  <c r="C10" i="146"/>
  <c r="B10" i="146"/>
  <c r="F9" i="146"/>
  <c r="E9" i="146"/>
  <c r="D9" i="146"/>
  <c r="N8" i="146"/>
  <c r="M8" i="146"/>
  <c r="L8" i="146"/>
  <c r="J8" i="146"/>
  <c r="I8" i="146"/>
  <c r="H8" i="146"/>
  <c r="F8" i="146"/>
  <c r="E8" i="146"/>
  <c r="D8" i="146"/>
  <c r="N7" i="146"/>
  <c r="M7" i="146"/>
  <c r="O7" i="146" s="1"/>
  <c r="L7" i="146"/>
  <c r="J7" i="146"/>
  <c r="I7" i="146"/>
  <c r="H7" i="146"/>
  <c r="F7" i="146"/>
  <c r="E7" i="146"/>
  <c r="D7" i="146"/>
  <c r="N6" i="146"/>
  <c r="M6" i="146"/>
  <c r="L6" i="146"/>
  <c r="J6" i="146"/>
  <c r="I6" i="146"/>
  <c r="K6" i="146" s="1"/>
  <c r="H6" i="146"/>
  <c r="F6" i="146"/>
  <c r="E6" i="146"/>
  <c r="D6" i="146"/>
  <c r="C6" i="146"/>
  <c r="N5" i="146"/>
  <c r="M5" i="146"/>
  <c r="L5" i="146"/>
  <c r="J5" i="146"/>
  <c r="I5" i="146"/>
  <c r="K5" i="146" s="1"/>
  <c r="H5" i="146"/>
  <c r="F5" i="146"/>
  <c r="E5" i="146"/>
  <c r="D5" i="146"/>
  <c r="K3" i="146"/>
  <c r="F3" i="146"/>
  <c r="C3" i="146"/>
  <c r="L2" i="146"/>
  <c r="C82" i="145"/>
  <c r="C83" i="145" s="1"/>
  <c r="L54" i="145" s="1"/>
  <c r="R75" i="145"/>
  <c r="Q75" i="145"/>
  <c r="P75" i="145"/>
  <c r="O75" i="145"/>
  <c r="N75" i="145"/>
  <c r="M75" i="145"/>
  <c r="L75" i="145"/>
  <c r="K75" i="145"/>
  <c r="J75" i="145"/>
  <c r="I75" i="145"/>
  <c r="H75" i="145"/>
  <c r="G75" i="145"/>
  <c r="F75" i="145"/>
  <c r="T71" i="145"/>
  <c r="S71" i="145"/>
  <c r="R71" i="145"/>
  <c r="Q71" i="145"/>
  <c r="P71" i="145"/>
  <c r="O71" i="145"/>
  <c r="N71" i="145"/>
  <c r="M71" i="145"/>
  <c r="L71" i="145"/>
  <c r="K71" i="145"/>
  <c r="J71" i="145"/>
  <c r="I71" i="145"/>
  <c r="H71" i="145"/>
  <c r="F71" i="145"/>
  <c r="E71" i="145"/>
  <c r="D71" i="145"/>
  <c r="U70" i="145"/>
  <c r="U69" i="145"/>
  <c r="U68" i="145"/>
  <c r="U67" i="145"/>
  <c r="U66" i="145"/>
  <c r="U65" i="145"/>
  <c r="G60" i="145"/>
  <c r="I4" i="145" s="1"/>
  <c r="J55" i="145"/>
  <c r="H55" i="145"/>
  <c r="D55" i="145"/>
  <c r="D53" i="145"/>
  <c r="L52" i="145"/>
  <c r="H52" i="145"/>
  <c r="D52" i="145"/>
  <c r="L51" i="145"/>
  <c r="H51" i="145"/>
  <c r="D51" i="145"/>
  <c r="L50" i="145"/>
  <c r="H50" i="145"/>
  <c r="D50" i="145"/>
  <c r="L49" i="145"/>
  <c r="H49" i="145"/>
  <c r="D49" i="145"/>
  <c r="J46" i="145"/>
  <c r="F46" i="145"/>
  <c r="D46" i="145"/>
  <c r="C45" i="145"/>
  <c r="B45" i="145"/>
  <c r="F44" i="145"/>
  <c r="E44" i="145"/>
  <c r="D44" i="145"/>
  <c r="N43" i="145"/>
  <c r="M43" i="145"/>
  <c r="O43" i="145" s="1"/>
  <c r="L43" i="145"/>
  <c r="J43" i="145"/>
  <c r="I43" i="145"/>
  <c r="H43" i="145"/>
  <c r="F43" i="145"/>
  <c r="E43" i="145"/>
  <c r="D43" i="145"/>
  <c r="N42" i="145"/>
  <c r="M42" i="145"/>
  <c r="O42" i="145" s="1"/>
  <c r="L42" i="145"/>
  <c r="J42" i="145"/>
  <c r="I42" i="145"/>
  <c r="H42" i="145"/>
  <c r="F42" i="145"/>
  <c r="E42" i="145"/>
  <c r="D42" i="145"/>
  <c r="N41" i="145"/>
  <c r="M41" i="145"/>
  <c r="L41" i="145"/>
  <c r="J41" i="145"/>
  <c r="I41" i="145"/>
  <c r="H41" i="145"/>
  <c r="F41" i="145"/>
  <c r="E41" i="145"/>
  <c r="G41" i="145" s="1"/>
  <c r="D41" i="145"/>
  <c r="C41" i="145"/>
  <c r="N40" i="145"/>
  <c r="M40" i="145"/>
  <c r="L40" i="145"/>
  <c r="J40" i="145"/>
  <c r="I40" i="145"/>
  <c r="K40" i="145" s="1"/>
  <c r="H40" i="145"/>
  <c r="F40" i="145"/>
  <c r="E40" i="145"/>
  <c r="D40" i="145"/>
  <c r="J39" i="145"/>
  <c r="F39" i="145"/>
  <c r="D39" i="145"/>
  <c r="C38" i="145"/>
  <c r="B38" i="145"/>
  <c r="F37" i="145"/>
  <c r="E37" i="145"/>
  <c r="D37" i="145"/>
  <c r="N36" i="145"/>
  <c r="M36" i="145"/>
  <c r="L36" i="145"/>
  <c r="J36" i="145"/>
  <c r="I36" i="145"/>
  <c r="K36" i="145" s="1"/>
  <c r="H36" i="145"/>
  <c r="F36" i="145"/>
  <c r="E36" i="145"/>
  <c r="G36" i="145" s="1"/>
  <c r="D36" i="145"/>
  <c r="N35" i="145"/>
  <c r="M35" i="145"/>
  <c r="L35" i="145"/>
  <c r="J35" i="145"/>
  <c r="I35" i="145"/>
  <c r="H35" i="145"/>
  <c r="F35" i="145"/>
  <c r="E35" i="145"/>
  <c r="D35" i="145"/>
  <c r="N34" i="145"/>
  <c r="M34" i="145"/>
  <c r="O34" i="145" s="1"/>
  <c r="L34" i="145"/>
  <c r="J34" i="145"/>
  <c r="I34" i="145"/>
  <c r="H34" i="145"/>
  <c r="F34" i="145"/>
  <c r="E34" i="145"/>
  <c r="D34" i="145"/>
  <c r="C34" i="145"/>
  <c r="N33" i="145"/>
  <c r="M33" i="145"/>
  <c r="L33" i="145"/>
  <c r="J33" i="145"/>
  <c r="I33" i="145"/>
  <c r="H33" i="145"/>
  <c r="F33" i="145"/>
  <c r="E33" i="145"/>
  <c r="G33" i="145" s="1"/>
  <c r="D33" i="145"/>
  <c r="J32" i="145"/>
  <c r="F32" i="145"/>
  <c r="D32" i="145"/>
  <c r="C31" i="145"/>
  <c r="B31" i="145"/>
  <c r="F30" i="145"/>
  <c r="E30" i="145"/>
  <c r="G30" i="145" s="1"/>
  <c r="D30" i="145"/>
  <c r="N29" i="145"/>
  <c r="M29" i="145"/>
  <c r="O29" i="145" s="1"/>
  <c r="L29" i="145"/>
  <c r="J29" i="145"/>
  <c r="I29" i="145"/>
  <c r="H29" i="145"/>
  <c r="F29" i="145"/>
  <c r="E29" i="145"/>
  <c r="D29" i="145"/>
  <c r="N28" i="145"/>
  <c r="M28" i="145"/>
  <c r="L28" i="145"/>
  <c r="J28" i="145"/>
  <c r="I28" i="145"/>
  <c r="H28" i="145"/>
  <c r="F28" i="145"/>
  <c r="E28" i="145"/>
  <c r="D28" i="145"/>
  <c r="N27" i="145"/>
  <c r="M27" i="145"/>
  <c r="L27" i="145"/>
  <c r="J27" i="145"/>
  <c r="I27" i="145"/>
  <c r="H27" i="145"/>
  <c r="F27" i="145"/>
  <c r="E27" i="145"/>
  <c r="D27" i="145"/>
  <c r="C27" i="145"/>
  <c r="N26" i="145"/>
  <c r="M26" i="145"/>
  <c r="L26" i="145"/>
  <c r="J26" i="145"/>
  <c r="I26" i="145"/>
  <c r="H26" i="145"/>
  <c r="F26" i="145"/>
  <c r="E26" i="145"/>
  <c r="D26" i="145"/>
  <c r="J25" i="145"/>
  <c r="F25" i="145"/>
  <c r="D25" i="145"/>
  <c r="C24" i="145"/>
  <c r="B24" i="145"/>
  <c r="F23" i="145"/>
  <c r="E23" i="145"/>
  <c r="D23" i="145"/>
  <c r="N22" i="145"/>
  <c r="M22" i="145"/>
  <c r="O22" i="145" s="1"/>
  <c r="L22" i="145"/>
  <c r="J22" i="145"/>
  <c r="I22" i="145"/>
  <c r="H22" i="145"/>
  <c r="F22" i="145"/>
  <c r="E22" i="145"/>
  <c r="D22" i="145"/>
  <c r="N21" i="145"/>
  <c r="M21" i="145"/>
  <c r="O21" i="145" s="1"/>
  <c r="L21" i="145"/>
  <c r="J21" i="145"/>
  <c r="I21" i="145"/>
  <c r="K21" i="145" s="1"/>
  <c r="H21" i="145"/>
  <c r="F21" i="145"/>
  <c r="E21" i="145"/>
  <c r="D21" i="145"/>
  <c r="N20" i="145"/>
  <c r="M20" i="145"/>
  <c r="L20" i="145"/>
  <c r="J20" i="145"/>
  <c r="I20" i="145"/>
  <c r="H20" i="145"/>
  <c r="F20" i="145"/>
  <c r="E20" i="145"/>
  <c r="D20" i="145"/>
  <c r="C20" i="145"/>
  <c r="N19" i="145"/>
  <c r="M19" i="145"/>
  <c r="O19" i="145" s="1"/>
  <c r="L19" i="145"/>
  <c r="J19" i="145"/>
  <c r="I19" i="145"/>
  <c r="H19" i="145"/>
  <c r="F19" i="145"/>
  <c r="E19" i="145"/>
  <c r="D19" i="145"/>
  <c r="J18" i="145"/>
  <c r="F18" i="145"/>
  <c r="D18" i="145"/>
  <c r="C17" i="145"/>
  <c r="B17" i="145"/>
  <c r="F16" i="145"/>
  <c r="E16" i="145"/>
  <c r="D16" i="145"/>
  <c r="N15" i="145"/>
  <c r="M15" i="145"/>
  <c r="L15" i="145"/>
  <c r="J15" i="145"/>
  <c r="I15" i="145"/>
  <c r="H15" i="145"/>
  <c r="F15" i="145"/>
  <c r="E15" i="145"/>
  <c r="G15" i="145" s="1"/>
  <c r="D15" i="145"/>
  <c r="N14" i="145"/>
  <c r="M14" i="145"/>
  <c r="L14" i="145"/>
  <c r="J14" i="145"/>
  <c r="I14" i="145"/>
  <c r="K14" i="145" s="1"/>
  <c r="H14" i="145"/>
  <c r="F14" i="145"/>
  <c r="E14" i="145"/>
  <c r="G14" i="145" s="1"/>
  <c r="D14" i="145"/>
  <c r="N13" i="145"/>
  <c r="M13" i="145"/>
  <c r="L13" i="145"/>
  <c r="J13" i="145"/>
  <c r="I13" i="145"/>
  <c r="H13" i="145"/>
  <c r="F13" i="145"/>
  <c r="E13" i="145"/>
  <c r="D13" i="145"/>
  <c r="C13" i="145"/>
  <c r="N12" i="145"/>
  <c r="M12" i="145"/>
  <c r="O12" i="145" s="1"/>
  <c r="L12" i="145"/>
  <c r="J12" i="145"/>
  <c r="I12" i="145"/>
  <c r="K12" i="145" s="1"/>
  <c r="H12" i="145"/>
  <c r="F12" i="145"/>
  <c r="E12" i="145"/>
  <c r="D12" i="145"/>
  <c r="J11" i="145"/>
  <c r="F11" i="145"/>
  <c r="D11" i="145"/>
  <c r="C10" i="145"/>
  <c r="B10" i="145"/>
  <c r="F9" i="145"/>
  <c r="E9" i="145"/>
  <c r="D9" i="145"/>
  <c r="N8" i="145"/>
  <c r="M8" i="145"/>
  <c r="L8" i="145"/>
  <c r="J8" i="145"/>
  <c r="I8" i="145"/>
  <c r="H8" i="145"/>
  <c r="F8" i="145"/>
  <c r="E8" i="145"/>
  <c r="D8" i="145"/>
  <c r="N7" i="145"/>
  <c r="M7" i="145"/>
  <c r="O7" i="145" s="1"/>
  <c r="L7" i="145"/>
  <c r="J7" i="145"/>
  <c r="I7" i="145"/>
  <c r="H7" i="145"/>
  <c r="F7" i="145"/>
  <c r="E7" i="145"/>
  <c r="G7" i="145" s="1"/>
  <c r="D7" i="145"/>
  <c r="N6" i="145"/>
  <c r="M6" i="145"/>
  <c r="O6" i="145" s="1"/>
  <c r="L6" i="145"/>
  <c r="J6" i="145"/>
  <c r="I6" i="145"/>
  <c r="H6" i="145"/>
  <c r="F6" i="145"/>
  <c r="E6" i="145"/>
  <c r="D6" i="145"/>
  <c r="C6" i="145"/>
  <c r="N5" i="145"/>
  <c r="M5" i="145"/>
  <c r="L5" i="145"/>
  <c r="J5" i="145"/>
  <c r="I5" i="145"/>
  <c r="K5" i="145" s="1"/>
  <c r="H5" i="145"/>
  <c r="F5" i="145"/>
  <c r="E5" i="145"/>
  <c r="G5" i="145" s="1"/>
  <c r="D5" i="145"/>
  <c r="K3" i="145"/>
  <c r="F3" i="145"/>
  <c r="C3" i="145"/>
  <c r="L2" i="145"/>
  <c r="C82" i="144"/>
  <c r="C83" i="144" s="1"/>
  <c r="L54" i="144" s="1"/>
  <c r="R75" i="144"/>
  <c r="Q75" i="144"/>
  <c r="P75" i="144"/>
  <c r="O75" i="144"/>
  <c r="N75" i="144"/>
  <c r="M75" i="144"/>
  <c r="L75" i="144"/>
  <c r="K75" i="144"/>
  <c r="J75" i="144"/>
  <c r="I75" i="144"/>
  <c r="H75" i="144"/>
  <c r="G75" i="144"/>
  <c r="F75" i="144"/>
  <c r="T71" i="144"/>
  <c r="S71" i="144"/>
  <c r="R71" i="144"/>
  <c r="Q71" i="144"/>
  <c r="P71" i="144"/>
  <c r="O71" i="144"/>
  <c r="N71" i="144"/>
  <c r="M71" i="144"/>
  <c r="L71" i="144"/>
  <c r="K71" i="144"/>
  <c r="J71" i="144"/>
  <c r="I71" i="144"/>
  <c r="H71" i="144"/>
  <c r="F71" i="144"/>
  <c r="E71" i="144"/>
  <c r="D71" i="144"/>
  <c r="U70" i="144"/>
  <c r="U69" i="144"/>
  <c r="U68" i="144"/>
  <c r="U67" i="144"/>
  <c r="U66" i="144"/>
  <c r="U65" i="144"/>
  <c r="G60" i="144"/>
  <c r="I4" i="144" s="1"/>
  <c r="J55" i="144"/>
  <c r="H55" i="144"/>
  <c r="D55" i="144"/>
  <c r="D53" i="144"/>
  <c r="L52" i="144"/>
  <c r="H52" i="144"/>
  <c r="D52" i="144"/>
  <c r="L51" i="144"/>
  <c r="H51" i="144"/>
  <c r="D51" i="144"/>
  <c r="L50" i="144"/>
  <c r="H50" i="144"/>
  <c r="D50" i="144"/>
  <c r="L49" i="144"/>
  <c r="H49" i="144"/>
  <c r="D49" i="144"/>
  <c r="J46" i="144"/>
  <c r="F46" i="144"/>
  <c r="D46" i="144"/>
  <c r="C45" i="144"/>
  <c r="B45" i="144"/>
  <c r="F44" i="144"/>
  <c r="E44" i="144"/>
  <c r="D44" i="144"/>
  <c r="N43" i="144"/>
  <c r="M43" i="144"/>
  <c r="L43" i="144"/>
  <c r="J43" i="144"/>
  <c r="I43" i="144"/>
  <c r="H43" i="144"/>
  <c r="F43" i="144"/>
  <c r="E43" i="144"/>
  <c r="D43" i="144"/>
  <c r="N42" i="144"/>
  <c r="M42" i="144"/>
  <c r="O42" i="144" s="1"/>
  <c r="L42" i="144"/>
  <c r="J42" i="144"/>
  <c r="I42" i="144"/>
  <c r="H42" i="144"/>
  <c r="F42" i="144"/>
  <c r="E42" i="144"/>
  <c r="D42" i="144"/>
  <c r="N41" i="144"/>
  <c r="M41" i="144"/>
  <c r="L41" i="144"/>
  <c r="J41" i="144"/>
  <c r="I41" i="144"/>
  <c r="H41" i="144"/>
  <c r="F41" i="144"/>
  <c r="E41" i="144"/>
  <c r="D41" i="144"/>
  <c r="C41" i="144"/>
  <c r="N40" i="144"/>
  <c r="M40" i="144"/>
  <c r="O40" i="144" s="1"/>
  <c r="L40" i="144"/>
  <c r="J40" i="144"/>
  <c r="I40" i="144"/>
  <c r="H40" i="144"/>
  <c r="F40" i="144"/>
  <c r="E40" i="144"/>
  <c r="D40" i="144"/>
  <c r="J39" i="144"/>
  <c r="F39" i="144"/>
  <c r="D39" i="144"/>
  <c r="C38" i="144"/>
  <c r="B38" i="144"/>
  <c r="F37" i="144"/>
  <c r="E37" i="144"/>
  <c r="D37" i="144"/>
  <c r="N36" i="144"/>
  <c r="M36" i="144"/>
  <c r="L36" i="144"/>
  <c r="J36" i="144"/>
  <c r="I36" i="144"/>
  <c r="H36" i="144"/>
  <c r="F36" i="144"/>
  <c r="E36" i="144"/>
  <c r="G36" i="144" s="1"/>
  <c r="D36" i="144"/>
  <c r="N35" i="144"/>
  <c r="M35" i="144"/>
  <c r="L35" i="144"/>
  <c r="J35" i="144"/>
  <c r="I35" i="144"/>
  <c r="H35" i="144"/>
  <c r="F35" i="144"/>
  <c r="E35" i="144"/>
  <c r="D35" i="144"/>
  <c r="N34" i="144"/>
  <c r="M34" i="144"/>
  <c r="L34" i="144"/>
  <c r="J34" i="144"/>
  <c r="I34" i="144"/>
  <c r="H34" i="144"/>
  <c r="F34" i="144"/>
  <c r="E34" i="144"/>
  <c r="D34" i="144"/>
  <c r="C34" i="144"/>
  <c r="N33" i="144"/>
  <c r="M33" i="144"/>
  <c r="O33" i="144" s="1"/>
  <c r="L33" i="144"/>
  <c r="J33" i="144"/>
  <c r="I33" i="144"/>
  <c r="H33" i="144"/>
  <c r="F33" i="144"/>
  <c r="E33" i="144"/>
  <c r="D33" i="144"/>
  <c r="J32" i="144"/>
  <c r="F32" i="144"/>
  <c r="D32" i="144"/>
  <c r="C31" i="144"/>
  <c r="B31" i="144"/>
  <c r="F30" i="144"/>
  <c r="E30" i="144"/>
  <c r="D30" i="144"/>
  <c r="N29" i="144"/>
  <c r="M29" i="144"/>
  <c r="L29" i="144"/>
  <c r="J29" i="144"/>
  <c r="I29" i="144"/>
  <c r="H29" i="144"/>
  <c r="F29" i="144"/>
  <c r="E29" i="144"/>
  <c r="D29" i="144"/>
  <c r="N28" i="144"/>
  <c r="M28" i="144"/>
  <c r="L28" i="144"/>
  <c r="J28" i="144"/>
  <c r="I28" i="144"/>
  <c r="H28" i="144"/>
  <c r="F28" i="144"/>
  <c r="E28" i="144"/>
  <c r="G28" i="144" s="1"/>
  <c r="D28" i="144"/>
  <c r="N27" i="144"/>
  <c r="M27" i="144"/>
  <c r="O27" i="144" s="1"/>
  <c r="L27" i="144"/>
  <c r="J27" i="144"/>
  <c r="I27" i="144"/>
  <c r="H27" i="144"/>
  <c r="F27" i="144"/>
  <c r="E27" i="144"/>
  <c r="D27" i="144"/>
  <c r="C27" i="144"/>
  <c r="N26" i="144"/>
  <c r="M26" i="144"/>
  <c r="L26" i="144"/>
  <c r="J26" i="144"/>
  <c r="I26" i="144"/>
  <c r="H26" i="144"/>
  <c r="F26" i="144"/>
  <c r="E26" i="144"/>
  <c r="G26" i="144" s="1"/>
  <c r="D26" i="144"/>
  <c r="J25" i="144"/>
  <c r="F25" i="144"/>
  <c r="D25" i="144"/>
  <c r="C24" i="144"/>
  <c r="B24" i="144"/>
  <c r="F23" i="144"/>
  <c r="E23" i="144"/>
  <c r="G23" i="144" s="1"/>
  <c r="D23" i="144"/>
  <c r="N22" i="144"/>
  <c r="M22" i="144"/>
  <c r="L22" i="144"/>
  <c r="J22" i="144"/>
  <c r="I22" i="144"/>
  <c r="H22" i="144"/>
  <c r="F22" i="144"/>
  <c r="E22" i="144"/>
  <c r="D22" i="144"/>
  <c r="N21" i="144"/>
  <c r="M21" i="144"/>
  <c r="L21" i="144"/>
  <c r="J21" i="144"/>
  <c r="I21" i="144"/>
  <c r="H21" i="144"/>
  <c r="F21" i="144"/>
  <c r="E21" i="144"/>
  <c r="D21" i="144"/>
  <c r="N20" i="144"/>
  <c r="M20" i="144"/>
  <c r="L20" i="144"/>
  <c r="J20" i="144"/>
  <c r="I20" i="144"/>
  <c r="H20" i="144"/>
  <c r="F20" i="144"/>
  <c r="E20" i="144"/>
  <c r="D20" i="144"/>
  <c r="C20" i="144"/>
  <c r="N19" i="144"/>
  <c r="M19" i="144"/>
  <c r="L19" i="144"/>
  <c r="J19" i="144"/>
  <c r="I19" i="144"/>
  <c r="H19" i="144"/>
  <c r="F19" i="144"/>
  <c r="E19" i="144"/>
  <c r="G19" i="144" s="1"/>
  <c r="D19" i="144"/>
  <c r="J18" i="144"/>
  <c r="F18" i="144"/>
  <c r="D18" i="144"/>
  <c r="C17" i="144"/>
  <c r="B17" i="144"/>
  <c r="F16" i="144"/>
  <c r="E16" i="144"/>
  <c r="G16" i="144" s="1"/>
  <c r="D16" i="144"/>
  <c r="N15" i="144"/>
  <c r="M15" i="144"/>
  <c r="L15" i="144"/>
  <c r="J15" i="144"/>
  <c r="I15" i="144"/>
  <c r="H15" i="144"/>
  <c r="E15" i="144"/>
  <c r="D15" i="144"/>
  <c r="N14" i="144"/>
  <c r="M14" i="144"/>
  <c r="L14" i="144"/>
  <c r="J14" i="144"/>
  <c r="I14" i="144"/>
  <c r="H14" i="144"/>
  <c r="F14" i="144"/>
  <c r="E14" i="144"/>
  <c r="G14" i="144" s="1"/>
  <c r="D14" i="144"/>
  <c r="N13" i="144"/>
  <c r="M13" i="144"/>
  <c r="L13" i="144"/>
  <c r="J13" i="144"/>
  <c r="I13" i="144"/>
  <c r="H13" i="144"/>
  <c r="F13" i="144"/>
  <c r="E13" i="144"/>
  <c r="D13" i="144"/>
  <c r="C13" i="144"/>
  <c r="N12" i="144"/>
  <c r="M12" i="144"/>
  <c r="L12" i="144"/>
  <c r="J12" i="144"/>
  <c r="I12" i="144"/>
  <c r="K12" i="144" s="1"/>
  <c r="H12" i="144"/>
  <c r="F12" i="144"/>
  <c r="E12" i="144"/>
  <c r="D12" i="144"/>
  <c r="J11" i="144"/>
  <c r="F11" i="144"/>
  <c r="D11" i="144"/>
  <c r="C10" i="144"/>
  <c r="B10" i="144"/>
  <c r="F9" i="144"/>
  <c r="E9" i="144"/>
  <c r="D9" i="144"/>
  <c r="N8" i="144"/>
  <c r="M8" i="144"/>
  <c r="L8" i="144"/>
  <c r="J8" i="144"/>
  <c r="I8" i="144"/>
  <c r="H8" i="144"/>
  <c r="F8" i="144"/>
  <c r="E8" i="144"/>
  <c r="D8" i="144"/>
  <c r="N7" i="144"/>
  <c r="M7" i="144"/>
  <c r="L7" i="144"/>
  <c r="J7" i="144"/>
  <c r="I7" i="144"/>
  <c r="H7" i="144"/>
  <c r="F7" i="144"/>
  <c r="E7" i="144"/>
  <c r="D7" i="144"/>
  <c r="N6" i="144"/>
  <c r="M6" i="144"/>
  <c r="L6" i="144"/>
  <c r="J6" i="144"/>
  <c r="I6" i="144"/>
  <c r="H6" i="144"/>
  <c r="F6" i="144"/>
  <c r="E6" i="144"/>
  <c r="G6" i="144" s="1"/>
  <c r="D6" i="144"/>
  <c r="C6" i="144"/>
  <c r="N5" i="144"/>
  <c r="M5" i="144"/>
  <c r="L5" i="144"/>
  <c r="J5" i="144"/>
  <c r="I5" i="144"/>
  <c r="H5" i="144"/>
  <c r="F5" i="144"/>
  <c r="E5" i="144"/>
  <c r="D5" i="144"/>
  <c r="K3" i="144"/>
  <c r="F3" i="144"/>
  <c r="C3" i="144"/>
  <c r="L2" i="144"/>
  <c r="C82" i="143"/>
  <c r="C83" i="143" s="1"/>
  <c r="L54" i="143" s="1"/>
  <c r="R75" i="143"/>
  <c r="Q75" i="143"/>
  <c r="P75" i="143"/>
  <c r="O75" i="143"/>
  <c r="N75" i="143"/>
  <c r="M75" i="143"/>
  <c r="L75" i="143"/>
  <c r="K75" i="143"/>
  <c r="J75" i="143"/>
  <c r="I75" i="143"/>
  <c r="H75" i="143"/>
  <c r="G75" i="143"/>
  <c r="F75" i="143"/>
  <c r="T71" i="143"/>
  <c r="S71" i="143"/>
  <c r="R71" i="143"/>
  <c r="Q71" i="143"/>
  <c r="P71" i="143"/>
  <c r="O71" i="143"/>
  <c r="N71" i="143"/>
  <c r="M71" i="143"/>
  <c r="L71" i="143"/>
  <c r="K71" i="143"/>
  <c r="J71" i="143"/>
  <c r="I71" i="143"/>
  <c r="H71" i="143"/>
  <c r="F71" i="143"/>
  <c r="E71" i="143"/>
  <c r="D71" i="143"/>
  <c r="U70" i="143"/>
  <c r="U69" i="143"/>
  <c r="U68" i="143"/>
  <c r="U67" i="143"/>
  <c r="U66" i="143"/>
  <c r="U65" i="143"/>
  <c r="G60" i="143"/>
  <c r="I4" i="143" s="1"/>
  <c r="J55" i="143"/>
  <c r="H55" i="143"/>
  <c r="D55" i="143"/>
  <c r="D53" i="143"/>
  <c r="L52" i="143"/>
  <c r="H52" i="143"/>
  <c r="D52" i="143"/>
  <c r="L51" i="143"/>
  <c r="H51" i="143"/>
  <c r="D51" i="143"/>
  <c r="L50" i="143"/>
  <c r="H50" i="143"/>
  <c r="D50" i="143"/>
  <c r="L49" i="143"/>
  <c r="H49" i="143"/>
  <c r="D49" i="143"/>
  <c r="J46" i="143"/>
  <c r="F46" i="143"/>
  <c r="D46" i="143"/>
  <c r="C45" i="143"/>
  <c r="B45" i="143"/>
  <c r="F44" i="143"/>
  <c r="E44" i="143"/>
  <c r="D44" i="143"/>
  <c r="N43" i="143"/>
  <c r="M43" i="143"/>
  <c r="L43" i="143"/>
  <c r="J43" i="143"/>
  <c r="I43" i="143"/>
  <c r="H43" i="143"/>
  <c r="F43" i="143"/>
  <c r="E43" i="143"/>
  <c r="D43" i="143"/>
  <c r="N42" i="143"/>
  <c r="M42" i="143"/>
  <c r="O42" i="143" s="1"/>
  <c r="L42" i="143"/>
  <c r="J42" i="143"/>
  <c r="I42" i="143"/>
  <c r="H42" i="143"/>
  <c r="F42" i="143"/>
  <c r="E42" i="143"/>
  <c r="D42" i="143"/>
  <c r="N41" i="143"/>
  <c r="M41" i="143"/>
  <c r="O41" i="143" s="1"/>
  <c r="L41" i="143"/>
  <c r="J41" i="143"/>
  <c r="I41" i="143"/>
  <c r="H41" i="143"/>
  <c r="F41" i="143"/>
  <c r="E41" i="143"/>
  <c r="D41" i="143"/>
  <c r="C41" i="143"/>
  <c r="N40" i="143"/>
  <c r="M40" i="143"/>
  <c r="O40" i="143" s="1"/>
  <c r="L40" i="143"/>
  <c r="J40" i="143"/>
  <c r="I40" i="143"/>
  <c r="H40" i="143"/>
  <c r="F40" i="143"/>
  <c r="E40" i="143"/>
  <c r="G40" i="143" s="1"/>
  <c r="D40" i="143"/>
  <c r="J39" i="143"/>
  <c r="F39" i="143"/>
  <c r="D39" i="143"/>
  <c r="C38" i="143"/>
  <c r="B38" i="143"/>
  <c r="F37" i="143"/>
  <c r="E37" i="143"/>
  <c r="G37" i="143" s="1"/>
  <c r="D37" i="143"/>
  <c r="N36" i="143"/>
  <c r="M36" i="143"/>
  <c r="L36" i="143"/>
  <c r="J36" i="143"/>
  <c r="I36" i="143"/>
  <c r="H36" i="143"/>
  <c r="F36" i="143"/>
  <c r="E36" i="143"/>
  <c r="D36" i="143"/>
  <c r="N35" i="143"/>
  <c r="M35" i="143"/>
  <c r="L35" i="143"/>
  <c r="J35" i="143"/>
  <c r="I35" i="143"/>
  <c r="K35" i="143" s="1"/>
  <c r="H35" i="143"/>
  <c r="F35" i="143"/>
  <c r="E35" i="143"/>
  <c r="G35" i="143" s="1"/>
  <c r="D35" i="143"/>
  <c r="N34" i="143"/>
  <c r="M34" i="143"/>
  <c r="L34" i="143"/>
  <c r="J34" i="143"/>
  <c r="I34" i="143"/>
  <c r="K34" i="143" s="1"/>
  <c r="H34" i="143"/>
  <c r="F34" i="143"/>
  <c r="E34" i="143"/>
  <c r="D34" i="143"/>
  <c r="C34" i="143"/>
  <c r="N33" i="143"/>
  <c r="M33" i="143"/>
  <c r="O33" i="143" s="1"/>
  <c r="L33" i="143"/>
  <c r="J33" i="143"/>
  <c r="I33" i="143"/>
  <c r="K33" i="143" s="1"/>
  <c r="H33" i="143"/>
  <c r="F33" i="143"/>
  <c r="E33" i="143"/>
  <c r="D33" i="143"/>
  <c r="J32" i="143"/>
  <c r="F32" i="143"/>
  <c r="D32" i="143"/>
  <c r="C31" i="143"/>
  <c r="B31" i="143"/>
  <c r="F30" i="143"/>
  <c r="E30" i="143"/>
  <c r="D30" i="143"/>
  <c r="N29" i="143"/>
  <c r="M29" i="143"/>
  <c r="O29" i="143" s="1"/>
  <c r="L29" i="143"/>
  <c r="J29" i="143"/>
  <c r="I29" i="143"/>
  <c r="H29" i="143"/>
  <c r="F29" i="143"/>
  <c r="E29" i="143"/>
  <c r="D29" i="143"/>
  <c r="N28" i="143"/>
  <c r="M28" i="143"/>
  <c r="L28" i="143"/>
  <c r="J28" i="143"/>
  <c r="I28" i="143"/>
  <c r="H28" i="143"/>
  <c r="F28" i="143"/>
  <c r="E28" i="143"/>
  <c r="G28" i="143" s="1"/>
  <c r="D28" i="143"/>
  <c r="N27" i="143"/>
  <c r="M27" i="143"/>
  <c r="O27" i="143" s="1"/>
  <c r="L27" i="143"/>
  <c r="J27" i="143"/>
  <c r="I27" i="143"/>
  <c r="H27" i="143"/>
  <c r="F27" i="143"/>
  <c r="E27" i="143"/>
  <c r="G27" i="143" s="1"/>
  <c r="D27" i="143"/>
  <c r="C27" i="143"/>
  <c r="N26" i="143"/>
  <c r="M26" i="143"/>
  <c r="L26" i="143"/>
  <c r="J26" i="143"/>
  <c r="I26" i="143"/>
  <c r="K26" i="143" s="1"/>
  <c r="H26" i="143"/>
  <c r="F26" i="143"/>
  <c r="E26" i="143"/>
  <c r="G26" i="143" s="1"/>
  <c r="D26" i="143"/>
  <c r="J25" i="143"/>
  <c r="F25" i="143"/>
  <c r="D25" i="143"/>
  <c r="C24" i="143"/>
  <c r="B24" i="143"/>
  <c r="F23" i="143"/>
  <c r="E23" i="143"/>
  <c r="G23" i="143" s="1"/>
  <c r="D23" i="143"/>
  <c r="N22" i="143"/>
  <c r="M22" i="143"/>
  <c r="L22" i="143"/>
  <c r="J22" i="143"/>
  <c r="I22" i="143"/>
  <c r="K22" i="143" s="1"/>
  <c r="H22" i="143"/>
  <c r="F22" i="143"/>
  <c r="E22" i="143"/>
  <c r="D22" i="143"/>
  <c r="N21" i="143"/>
  <c r="M21" i="143"/>
  <c r="L21" i="143"/>
  <c r="J21" i="143"/>
  <c r="I21" i="143"/>
  <c r="H21" i="143"/>
  <c r="F21" i="143"/>
  <c r="E21" i="143"/>
  <c r="D21" i="143"/>
  <c r="N20" i="143"/>
  <c r="M20" i="143"/>
  <c r="O20" i="143" s="1"/>
  <c r="L20" i="143"/>
  <c r="J20" i="143"/>
  <c r="I20" i="143"/>
  <c r="H20" i="143"/>
  <c r="F20" i="143"/>
  <c r="E20" i="143"/>
  <c r="D20" i="143"/>
  <c r="C20" i="143"/>
  <c r="N19" i="143"/>
  <c r="M19" i="143"/>
  <c r="L19" i="143"/>
  <c r="J19" i="143"/>
  <c r="I19" i="143"/>
  <c r="H19" i="143"/>
  <c r="F19" i="143"/>
  <c r="E19" i="143"/>
  <c r="G19" i="143" s="1"/>
  <c r="D19" i="143"/>
  <c r="J18" i="143"/>
  <c r="F18" i="143"/>
  <c r="D18" i="143"/>
  <c r="C17" i="143"/>
  <c r="B17" i="143"/>
  <c r="F16" i="143"/>
  <c r="E16" i="143"/>
  <c r="G16" i="143" s="1"/>
  <c r="D16" i="143"/>
  <c r="N15" i="143"/>
  <c r="M15" i="143"/>
  <c r="L15" i="143"/>
  <c r="J15" i="143"/>
  <c r="I15" i="143"/>
  <c r="H15" i="143"/>
  <c r="F15" i="143"/>
  <c r="E15" i="143"/>
  <c r="D15" i="143"/>
  <c r="N14" i="143"/>
  <c r="M14" i="143"/>
  <c r="L14" i="143"/>
  <c r="J14" i="143"/>
  <c r="I14" i="143"/>
  <c r="H14" i="143"/>
  <c r="F14" i="143"/>
  <c r="E14" i="143"/>
  <c r="D14" i="143"/>
  <c r="N13" i="143"/>
  <c r="M13" i="143"/>
  <c r="L13" i="143"/>
  <c r="J13" i="143"/>
  <c r="I13" i="143"/>
  <c r="H13" i="143"/>
  <c r="F13" i="143"/>
  <c r="E13" i="143"/>
  <c r="G13" i="143" s="1"/>
  <c r="D13" i="143"/>
  <c r="C13" i="143"/>
  <c r="N12" i="143"/>
  <c r="M12" i="143"/>
  <c r="L12" i="143"/>
  <c r="J12" i="143"/>
  <c r="I12" i="143"/>
  <c r="H12" i="143"/>
  <c r="F12" i="143"/>
  <c r="E12" i="143"/>
  <c r="D12" i="143"/>
  <c r="J11" i="143"/>
  <c r="F11" i="143"/>
  <c r="D11" i="143"/>
  <c r="C10" i="143"/>
  <c r="B10" i="143"/>
  <c r="F9" i="143"/>
  <c r="E9" i="143"/>
  <c r="D9" i="143"/>
  <c r="N8" i="143"/>
  <c r="M8" i="143"/>
  <c r="L8" i="143"/>
  <c r="J8" i="143"/>
  <c r="I8" i="143"/>
  <c r="K8" i="143" s="1"/>
  <c r="H8" i="143"/>
  <c r="F8" i="143"/>
  <c r="E8" i="143"/>
  <c r="D8" i="143"/>
  <c r="N7" i="143"/>
  <c r="M7" i="143"/>
  <c r="O7" i="143" s="1"/>
  <c r="L7" i="143"/>
  <c r="J7" i="143"/>
  <c r="I7" i="143"/>
  <c r="H7" i="143"/>
  <c r="F7" i="143"/>
  <c r="E7" i="143"/>
  <c r="D7" i="143"/>
  <c r="N6" i="143"/>
  <c r="M6" i="143"/>
  <c r="L6" i="143"/>
  <c r="J6" i="143"/>
  <c r="I6" i="143"/>
  <c r="H6" i="143"/>
  <c r="F6" i="143"/>
  <c r="E6" i="143"/>
  <c r="D6" i="143"/>
  <c r="C6" i="143"/>
  <c r="N5" i="143"/>
  <c r="M5" i="143"/>
  <c r="L5" i="143"/>
  <c r="J5" i="143"/>
  <c r="I5" i="143"/>
  <c r="H5" i="143"/>
  <c r="F5" i="143"/>
  <c r="E5" i="143"/>
  <c r="D5" i="143"/>
  <c r="K3" i="143"/>
  <c r="F3" i="143"/>
  <c r="C3" i="143"/>
  <c r="L2" i="143"/>
  <c r="C82" i="142"/>
  <c r="C83" i="142" s="1"/>
  <c r="L54" i="142" s="1"/>
  <c r="R75" i="142"/>
  <c r="Q75" i="142"/>
  <c r="P75" i="142"/>
  <c r="O75" i="142"/>
  <c r="N75" i="142"/>
  <c r="M75" i="142"/>
  <c r="L75" i="142"/>
  <c r="K75" i="142"/>
  <c r="J75" i="142"/>
  <c r="I75" i="142"/>
  <c r="H75" i="142"/>
  <c r="G75" i="142"/>
  <c r="F75" i="142"/>
  <c r="T71" i="142"/>
  <c r="S71" i="142"/>
  <c r="R71" i="142"/>
  <c r="Q71" i="142"/>
  <c r="P71" i="142"/>
  <c r="O71" i="142"/>
  <c r="N71" i="142"/>
  <c r="M71" i="142"/>
  <c r="L71" i="142"/>
  <c r="K71" i="142"/>
  <c r="J71" i="142"/>
  <c r="I71" i="142"/>
  <c r="H71" i="142"/>
  <c r="F71" i="142"/>
  <c r="E71" i="142"/>
  <c r="D71" i="142"/>
  <c r="U70" i="142"/>
  <c r="U69" i="142"/>
  <c r="U68" i="142"/>
  <c r="U67" i="142"/>
  <c r="U66" i="142"/>
  <c r="U65" i="142"/>
  <c r="G60" i="142"/>
  <c r="I4" i="142" s="1"/>
  <c r="J55" i="142"/>
  <c r="H55" i="142"/>
  <c r="D55" i="142"/>
  <c r="D53" i="142"/>
  <c r="L52" i="142"/>
  <c r="H52" i="142"/>
  <c r="D52" i="142"/>
  <c r="L51" i="142"/>
  <c r="H51" i="142"/>
  <c r="D51" i="142"/>
  <c r="L50" i="142"/>
  <c r="H50" i="142"/>
  <c r="D50" i="142"/>
  <c r="L49" i="142"/>
  <c r="H49" i="142"/>
  <c r="D49" i="142"/>
  <c r="J46" i="142"/>
  <c r="F46" i="142"/>
  <c r="D46" i="142"/>
  <c r="C45" i="142"/>
  <c r="B45" i="142"/>
  <c r="F44" i="142"/>
  <c r="E44" i="142"/>
  <c r="G44" i="142" s="1"/>
  <c r="D44" i="142"/>
  <c r="N43" i="142"/>
  <c r="M43" i="142"/>
  <c r="L43" i="142"/>
  <c r="J43" i="142"/>
  <c r="I43" i="142"/>
  <c r="K43" i="142" s="1"/>
  <c r="H43" i="142"/>
  <c r="F43" i="142"/>
  <c r="E43" i="142"/>
  <c r="G43" i="142" s="1"/>
  <c r="D43" i="142"/>
  <c r="N42" i="142"/>
  <c r="M42" i="142"/>
  <c r="L42" i="142"/>
  <c r="J42" i="142"/>
  <c r="I42" i="142"/>
  <c r="H42" i="142"/>
  <c r="F42" i="142"/>
  <c r="E42" i="142"/>
  <c r="D42" i="142"/>
  <c r="N41" i="142"/>
  <c r="M41" i="142"/>
  <c r="L41" i="142"/>
  <c r="J41" i="142"/>
  <c r="I41" i="142"/>
  <c r="H41" i="142"/>
  <c r="F41" i="142"/>
  <c r="E41" i="142"/>
  <c r="D41" i="142"/>
  <c r="C41" i="142"/>
  <c r="N40" i="142"/>
  <c r="M40" i="142"/>
  <c r="L40" i="142"/>
  <c r="J40" i="142"/>
  <c r="I40" i="142"/>
  <c r="H40" i="142"/>
  <c r="F40" i="142"/>
  <c r="E40" i="142"/>
  <c r="D40" i="142"/>
  <c r="J39" i="142"/>
  <c r="F39" i="142"/>
  <c r="D39" i="142"/>
  <c r="C38" i="142"/>
  <c r="B38" i="142"/>
  <c r="F37" i="142"/>
  <c r="E37" i="142"/>
  <c r="D37" i="142"/>
  <c r="N36" i="142"/>
  <c r="M36" i="142"/>
  <c r="L36" i="142"/>
  <c r="J36" i="142"/>
  <c r="I36" i="142"/>
  <c r="H36" i="142"/>
  <c r="F36" i="142"/>
  <c r="E36" i="142"/>
  <c r="G36" i="142" s="1"/>
  <c r="D36" i="142"/>
  <c r="N35" i="142"/>
  <c r="M35" i="142"/>
  <c r="O35" i="142" s="1"/>
  <c r="L35" i="142"/>
  <c r="J35" i="142"/>
  <c r="I35" i="142"/>
  <c r="H35" i="142"/>
  <c r="F35" i="142"/>
  <c r="E35" i="142"/>
  <c r="D35" i="142"/>
  <c r="N34" i="142"/>
  <c r="M34" i="142"/>
  <c r="L34" i="142"/>
  <c r="J34" i="142"/>
  <c r="I34" i="142"/>
  <c r="H34" i="142"/>
  <c r="F34" i="142"/>
  <c r="E34" i="142"/>
  <c r="D34" i="142"/>
  <c r="C34" i="142"/>
  <c r="N33" i="142"/>
  <c r="M33" i="142"/>
  <c r="L33" i="142"/>
  <c r="J33" i="142"/>
  <c r="I33" i="142"/>
  <c r="H33" i="142"/>
  <c r="F33" i="142"/>
  <c r="E33" i="142"/>
  <c r="D33" i="142"/>
  <c r="J32" i="142"/>
  <c r="F32" i="142"/>
  <c r="D32" i="142"/>
  <c r="C31" i="142"/>
  <c r="B31" i="142"/>
  <c r="F30" i="142"/>
  <c r="E30" i="142"/>
  <c r="D30" i="142"/>
  <c r="N29" i="142"/>
  <c r="M29" i="142"/>
  <c r="L29" i="142"/>
  <c r="J29" i="142"/>
  <c r="I29" i="142"/>
  <c r="H29" i="142"/>
  <c r="F29" i="142"/>
  <c r="E29" i="142"/>
  <c r="D29" i="142"/>
  <c r="N28" i="142"/>
  <c r="M28" i="142"/>
  <c r="O28" i="142" s="1"/>
  <c r="L28" i="142"/>
  <c r="J28" i="142"/>
  <c r="I28" i="142"/>
  <c r="K28" i="142" s="1"/>
  <c r="H28" i="142"/>
  <c r="F28" i="142"/>
  <c r="E28" i="142"/>
  <c r="D28" i="142"/>
  <c r="N27" i="142"/>
  <c r="M27" i="142"/>
  <c r="L27" i="142"/>
  <c r="J27" i="142"/>
  <c r="I27" i="142"/>
  <c r="H27" i="142"/>
  <c r="F27" i="142"/>
  <c r="E27" i="142"/>
  <c r="D27" i="142"/>
  <c r="C27" i="142"/>
  <c r="N26" i="142"/>
  <c r="M26" i="142"/>
  <c r="L26" i="142"/>
  <c r="J26" i="142"/>
  <c r="I26" i="142"/>
  <c r="H26" i="142"/>
  <c r="F26" i="142"/>
  <c r="E26" i="142"/>
  <c r="D26" i="142"/>
  <c r="J25" i="142"/>
  <c r="F25" i="142"/>
  <c r="D25" i="142"/>
  <c r="C24" i="142"/>
  <c r="B24" i="142"/>
  <c r="F23" i="142"/>
  <c r="E23" i="142"/>
  <c r="D23" i="142"/>
  <c r="N22" i="142"/>
  <c r="M22" i="142"/>
  <c r="L22" i="142"/>
  <c r="J22" i="142"/>
  <c r="I22" i="142"/>
  <c r="H22" i="142"/>
  <c r="F22" i="142"/>
  <c r="E22" i="142"/>
  <c r="G22" i="142" s="1"/>
  <c r="D22" i="142"/>
  <c r="N21" i="142"/>
  <c r="M21" i="142"/>
  <c r="L21" i="142"/>
  <c r="J21" i="142"/>
  <c r="I21" i="142"/>
  <c r="H21" i="142"/>
  <c r="F21" i="142"/>
  <c r="E21" i="142"/>
  <c r="D21" i="142"/>
  <c r="N20" i="142"/>
  <c r="M20" i="142"/>
  <c r="L20" i="142"/>
  <c r="J20" i="142"/>
  <c r="I20" i="142"/>
  <c r="H20" i="142"/>
  <c r="F20" i="142"/>
  <c r="E20" i="142"/>
  <c r="D20" i="142"/>
  <c r="C20" i="142"/>
  <c r="N19" i="142"/>
  <c r="M19" i="142"/>
  <c r="L19" i="142"/>
  <c r="J19" i="142"/>
  <c r="I19" i="142"/>
  <c r="K19" i="142" s="1"/>
  <c r="H19" i="142"/>
  <c r="F19" i="142"/>
  <c r="E19" i="142"/>
  <c r="D19" i="142"/>
  <c r="J18" i="142"/>
  <c r="F18" i="142"/>
  <c r="D18" i="142"/>
  <c r="C17" i="142"/>
  <c r="B17" i="142"/>
  <c r="F16" i="142"/>
  <c r="E16" i="142"/>
  <c r="D16" i="142"/>
  <c r="N15" i="142"/>
  <c r="M15" i="142"/>
  <c r="O15" i="142" s="1"/>
  <c r="L15" i="142"/>
  <c r="J15" i="142"/>
  <c r="I15" i="142"/>
  <c r="H15" i="142"/>
  <c r="F15" i="142"/>
  <c r="E15" i="142"/>
  <c r="D15" i="142"/>
  <c r="N14" i="142"/>
  <c r="M14" i="142"/>
  <c r="L14" i="142"/>
  <c r="J14" i="142"/>
  <c r="I14" i="142"/>
  <c r="H14" i="142"/>
  <c r="F14" i="142"/>
  <c r="E14" i="142"/>
  <c r="D14" i="142"/>
  <c r="N13" i="142"/>
  <c r="M13" i="142"/>
  <c r="O13" i="142" s="1"/>
  <c r="L13" i="142"/>
  <c r="J13" i="142"/>
  <c r="I13" i="142"/>
  <c r="H13" i="142"/>
  <c r="F13" i="142"/>
  <c r="E13" i="142"/>
  <c r="D13" i="142"/>
  <c r="C13" i="142"/>
  <c r="N12" i="142"/>
  <c r="M12" i="142"/>
  <c r="L12" i="142"/>
  <c r="J12" i="142"/>
  <c r="I12" i="142"/>
  <c r="K12" i="142" s="1"/>
  <c r="H12" i="142"/>
  <c r="F12" i="142"/>
  <c r="E12" i="142"/>
  <c r="D12" i="142"/>
  <c r="J11" i="142"/>
  <c r="F11" i="142"/>
  <c r="D11" i="142"/>
  <c r="C10" i="142"/>
  <c r="B10" i="142"/>
  <c r="F9" i="142"/>
  <c r="E9" i="142"/>
  <c r="D9" i="142"/>
  <c r="N8" i="142"/>
  <c r="M8" i="142"/>
  <c r="L8" i="142"/>
  <c r="J8" i="142"/>
  <c r="I8" i="142"/>
  <c r="H8" i="142"/>
  <c r="F8" i="142"/>
  <c r="E8" i="142"/>
  <c r="D8" i="142"/>
  <c r="N7" i="142"/>
  <c r="M7" i="142"/>
  <c r="O7" i="142" s="1"/>
  <c r="L7" i="142"/>
  <c r="J7" i="142"/>
  <c r="I7" i="142"/>
  <c r="H7" i="142"/>
  <c r="F7" i="142"/>
  <c r="E7" i="142"/>
  <c r="D7" i="142"/>
  <c r="N6" i="142"/>
  <c r="M6" i="142"/>
  <c r="O6" i="142" s="1"/>
  <c r="L6" i="142"/>
  <c r="J6" i="142"/>
  <c r="I6" i="142"/>
  <c r="H6" i="142"/>
  <c r="F6" i="142"/>
  <c r="E6" i="142"/>
  <c r="D6" i="142"/>
  <c r="C6" i="142"/>
  <c r="N5" i="142"/>
  <c r="M5" i="142"/>
  <c r="L5" i="142"/>
  <c r="J5" i="142"/>
  <c r="I5" i="142"/>
  <c r="H5" i="142"/>
  <c r="F5" i="142"/>
  <c r="E5" i="142"/>
  <c r="G5" i="142" s="1"/>
  <c r="D5" i="142"/>
  <c r="K3" i="142"/>
  <c r="F3" i="142"/>
  <c r="C3" i="142"/>
  <c r="L2" i="142"/>
  <c r="C82" i="141"/>
  <c r="C83" i="141" s="1"/>
  <c r="L54" i="141" s="1"/>
  <c r="R75" i="141"/>
  <c r="Q75" i="141"/>
  <c r="P75" i="141"/>
  <c r="O75" i="141"/>
  <c r="N75" i="141"/>
  <c r="M75" i="141"/>
  <c r="L75" i="141"/>
  <c r="K75" i="141"/>
  <c r="J75" i="141"/>
  <c r="I75" i="141"/>
  <c r="H75" i="141"/>
  <c r="G75" i="141"/>
  <c r="F75" i="141"/>
  <c r="T71" i="141"/>
  <c r="S71" i="141"/>
  <c r="R71" i="141"/>
  <c r="Q71" i="141"/>
  <c r="P71" i="141"/>
  <c r="O71" i="141"/>
  <c r="N71" i="141"/>
  <c r="M71" i="141"/>
  <c r="L71" i="141"/>
  <c r="K71" i="141"/>
  <c r="J71" i="141"/>
  <c r="I71" i="141"/>
  <c r="H71" i="141"/>
  <c r="F71" i="141"/>
  <c r="E71" i="141"/>
  <c r="D71" i="141"/>
  <c r="U70" i="141"/>
  <c r="U69" i="141"/>
  <c r="U68" i="141"/>
  <c r="U67" i="141"/>
  <c r="U66" i="141"/>
  <c r="U65" i="141"/>
  <c r="G60" i="141"/>
  <c r="I4" i="141" s="1"/>
  <c r="J55" i="141"/>
  <c r="H55" i="141"/>
  <c r="D55" i="141"/>
  <c r="D53" i="141"/>
  <c r="L52" i="141"/>
  <c r="H52" i="141"/>
  <c r="D52" i="141"/>
  <c r="L51" i="141"/>
  <c r="H51" i="141"/>
  <c r="D51" i="141"/>
  <c r="L50" i="141"/>
  <c r="H50" i="141"/>
  <c r="D50" i="141"/>
  <c r="L49" i="141"/>
  <c r="H49" i="141"/>
  <c r="D49" i="141"/>
  <c r="J46" i="141"/>
  <c r="F46" i="141"/>
  <c r="D46" i="141"/>
  <c r="C45" i="141"/>
  <c r="B45" i="141"/>
  <c r="F44" i="141"/>
  <c r="E44" i="141"/>
  <c r="D44" i="141"/>
  <c r="N43" i="141"/>
  <c r="M43" i="141"/>
  <c r="L43" i="141"/>
  <c r="J43" i="141"/>
  <c r="I43" i="141"/>
  <c r="K43" i="141" s="1"/>
  <c r="H43" i="141"/>
  <c r="F43" i="141"/>
  <c r="E43" i="141"/>
  <c r="D43" i="141"/>
  <c r="N42" i="141"/>
  <c r="M42" i="141"/>
  <c r="L42" i="141"/>
  <c r="J42" i="141"/>
  <c r="I42" i="141"/>
  <c r="K42" i="141" s="1"/>
  <c r="H42" i="141"/>
  <c r="F42" i="141"/>
  <c r="E42" i="141"/>
  <c r="D42" i="141"/>
  <c r="N41" i="141"/>
  <c r="M41" i="141"/>
  <c r="L41" i="141"/>
  <c r="J41" i="141"/>
  <c r="I41" i="141"/>
  <c r="H41" i="141"/>
  <c r="F41" i="141"/>
  <c r="E41" i="141"/>
  <c r="D41" i="141"/>
  <c r="C41" i="141"/>
  <c r="N40" i="141"/>
  <c r="M40" i="141"/>
  <c r="O40" i="141" s="1"/>
  <c r="L40" i="141"/>
  <c r="J40" i="141"/>
  <c r="I40" i="141"/>
  <c r="H40" i="141"/>
  <c r="F40" i="141"/>
  <c r="E40" i="141"/>
  <c r="D40" i="141"/>
  <c r="J39" i="141"/>
  <c r="F39" i="141"/>
  <c r="D39" i="141"/>
  <c r="C38" i="141"/>
  <c r="B38" i="141"/>
  <c r="F37" i="141"/>
  <c r="E37" i="141"/>
  <c r="D37" i="141"/>
  <c r="N36" i="141"/>
  <c r="M36" i="141"/>
  <c r="L36" i="141"/>
  <c r="J36" i="141"/>
  <c r="I36" i="141"/>
  <c r="H36" i="141"/>
  <c r="F36" i="141"/>
  <c r="E36" i="141"/>
  <c r="G36" i="141" s="1"/>
  <c r="D36" i="141"/>
  <c r="N35" i="141"/>
  <c r="M35" i="141"/>
  <c r="O35" i="141" s="1"/>
  <c r="L35" i="141"/>
  <c r="J35" i="141"/>
  <c r="I35" i="141"/>
  <c r="H35" i="141"/>
  <c r="F35" i="141"/>
  <c r="E35" i="141"/>
  <c r="G35" i="141" s="1"/>
  <c r="D35" i="141"/>
  <c r="N34" i="141"/>
  <c r="M34" i="141"/>
  <c r="L34" i="141"/>
  <c r="J34" i="141"/>
  <c r="I34" i="141"/>
  <c r="H34" i="141"/>
  <c r="F34" i="141"/>
  <c r="E34" i="141"/>
  <c r="D34" i="141"/>
  <c r="C34" i="141"/>
  <c r="N33" i="141"/>
  <c r="M33" i="141"/>
  <c r="L33" i="141"/>
  <c r="J33" i="141"/>
  <c r="I33" i="141"/>
  <c r="K33" i="141" s="1"/>
  <c r="H33" i="141"/>
  <c r="F33" i="141"/>
  <c r="E33" i="141"/>
  <c r="D33" i="141"/>
  <c r="J32" i="141"/>
  <c r="F32" i="141"/>
  <c r="D32" i="141"/>
  <c r="C31" i="141"/>
  <c r="B31" i="141"/>
  <c r="F30" i="141"/>
  <c r="E30" i="141"/>
  <c r="D30" i="141"/>
  <c r="N29" i="141"/>
  <c r="M29" i="141"/>
  <c r="L29" i="141"/>
  <c r="J29" i="141"/>
  <c r="I29" i="141"/>
  <c r="H29" i="141"/>
  <c r="F29" i="141"/>
  <c r="E29" i="141"/>
  <c r="D29" i="141"/>
  <c r="N28" i="141"/>
  <c r="M28" i="141"/>
  <c r="O28" i="141" s="1"/>
  <c r="L28" i="141"/>
  <c r="J28" i="141"/>
  <c r="I28" i="141"/>
  <c r="K28" i="141" s="1"/>
  <c r="H28" i="141"/>
  <c r="F28" i="141"/>
  <c r="E28" i="141"/>
  <c r="D28" i="141"/>
  <c r="N27" i="141"/>
  <c r="M27" i="141"/>
  <c r="O27" i="141" s="1"/>
  <c r="L27" i="141"/>
  <c r="J27" i="141"/>
  <c r="I27" i="141"/>
  <c r="H27" i="141"/>
  <c r="F27" i="141"/>
  <c r="E27" i="141"/>
  <c r="D27" i="141"/>
  <c r="C27" i="141"/>
  <c r="N26" i="141"/>
  <c r="M26" i="141"/>
  <c r="L26" i="141"/>
  <c r="J26" i="141"/>
  <c r="I26" i="141"/>
  <c r="H26" i="141"/>
  <c r="F26" i="141"/>
  <c r="E26" i="141"/>
  <c r="G26" i="141" s="1"/>
  <c r="D26" i="141"/>
  <c r="J25" i="141"/>
  <c r="F25" i="141"/>
  <c r="D25" i="141"/>
  <c r="C24" i="141"/>
  <c r="B24" i="141"/>
  <c r="F23" i="141"/>
  <c r="E23" i="141"/>
  <c r="D23" i="141"/>
  <c r="N22" i="141"/>
  <c r="M22" i="141"/>
  <c r="L22" i="141"/>
  <c r="J22" i="141"/>
  <c r="I22" i="141"/>
  <c r="H22" i="141"/>
  <c r="F22" i="141"/>
  <c r="E22" i="141"/>
  <c r="D22" i="141"/>
  <c r="N21" i="141"/>
  <c r="M21" i="141"/>
  <c r="L21" i="141"/>
  <c r="J21" i="141"/>
  <c r="I21" i="141"/>
  <c r="K21" i="141" s="1"/>
  <c r="H21" i="141"/>
  <c r="F21" i="141"/>
  <c r="E21" i="141"/>
  <c r="D21" i="141"/>
  <c r="N20" i="141"/>
  <c r="M20" i="141"/>
  <c r="L20" i="141"/>
  <c r="J20" i="141"/>
  <c r="I20" i="141"/>
  <c r="K20" i="141" s="1"/>
  <c r="H20" i="141"/>
  <c r="F20" i="141"/>
  <c r="E20" i="141"/>
  <c r="D20" i="141"/>
  <c r="C20" i="141"/>
  <c r="N19" i="141"/>
  <c r="M19" i="141"/>
  <c r="L19" i="141"/>
  <c r="J19" i="141"/>
  <c r="I19" i="141"/>
  <c r="K19" i="141" s="1"/>
  <c r="H19" i="141"/>
  <c r="F19" i="141"/>
  <c r="E19" i="141"/>
  <c r="D19" i="141"/>
  <c r="J18" i="141"/>
  <c r="F18" i="141"/>
  <c r="D18" i="141"/>
  <c r="C17" i="141"/>
  <c r="B17" i="141"/>
  <c r="F16" i="141"/>
  <c r="E16" i="141"/>
  <c r="D16" i="141"/>
  <c r="N15" i="141"/>
  <c r="M15" i="141"/>
  <c r="O15" i="141" s="1"/>
  <c r="L15" i="141"/>
  <c r="J15" i="141"/>
  <c r="I15" i="141"/>
  <c r="H15" i="141"/>
  <c r="F15" i="141"/>
  <c r="E15" i="141"/>
  <c r="D15" i="141"/>
  <c r="N14" i="141"/>
  <c r="M14" i="141"/>
  <c r="L14" i="141"/>
  <c r="J14" i="141"/>
  <c r="I14" i="141"/>
  <c r="H14" i="141"/>
  <c r="F14" i="141"/>
  <c r="E14" i="141"/>
  <c r="D14" i="141"/>
  <c r="N13" i="141"/>
  <c r="M13" i="141"/>
  <c r="O13" i="141" s="1"/>
  <c r="L13" i="141"/>
  <c r="J13" i="141"/>
  <c r="I13" i="141"/>
  <c r="H13" i="141"/>
  <c r="F13" i="141"/>
  <c r="E13" i="141"/>
  <c r="G13" i="141" s="1"/>
  <c r="D13" i="141"/>
  <c r="C13" i="141"/>
  <c r="N12" i="141"/>
  <c r="M12" i="141"/>
  <c r="L12" i="141"/>
  <c r="J12" i="141"/>
  <c r="I12" i="141"/>
  <c r="H12" i="141"/>
  <c r="F12" i="141"/>
  <c r="E12" i="141"/>
  <c r="G12" i="141" s="1"/>
  <c r="D12" i="141"/>
  <c r="J11" i="141"/>
  <c r="F11" i="141"/>
  <c r="D11" i="141"/>
  <c r="C10" i="141"/>
  <c r="B10" i="141"/>
  <c r="F9" i="141"/>
  <c r="E9" i="141"/>
  <c r="G9" i="141" s="1"/>
  <c r="D9" i="141"/>
  <c r="N8" i="141"/>
  <c r="M8" i="141"/>
  <c r="L8" i="141"/>
  <c r="J8" i="141"/>
  <c r="I8" i="141"/>
  <c r="K8" i="141" s="1"/>
  <c r="H8" i="141"/>
  <c r="F8" i="141"/>
  <c r="E8" i="141"/>
  <c r="D8" i="141"/>
  <c r="N7" i="141"/>
  <c r="M7" i="141"/>
  <c r="L7" i="141"/>
  <c r="J7" i="141"/>
  <c r="I7" i="141"/>
  <c r="H7" i="141"/>
  <c r="F7" i="141"/>
  <c r="E7" i="141"/>
  <c r="D7" i="141"/>
  <c r="N6" i="141"/>
  <c r="M6" i="141"/>
  <c r="L6" i="141"/>
  <c r="J6" i="141"/>
  <c r="I6" i="141"/>
  <c r="K6" i="141" s="1"/>
  <c r="H6" i="141"/>
  <c r="F6" i="141"/>
  <c r="E6" i="141"/>
  <c r="D6" i="141"/>
  <c r="C6" i="141"/>
  <c r="N5" i="141"/>
  <c r="M5" i="141"/>
  <c r="L5" i="141"/>
  <c r="J5" i="141"/>
  <c r="I5" i="141"/>
  <c r="H5" i="141"/>
  <c r="F5" i="141"/>
  <c r="E5" i="141"/>
  <c r="D5" i="141"/>
  <c r="K3" i="141"/>
  <c r="F3" i="141"/>
  <c r="C3" i="141"/>
  <c r="L2" i="141"/>
  <c r="C82" i="140"/>
  <c r="C83" i="140" s="1"/>
  <c r="L54" i="140" s="1"/>
  <c r="R75" i="140"/>
  <c r="Q75" i="140"/>
  <c r="P75" i="140"/>
  <c r="O75" i="140"/>
  <c r="N75" i="140"/>
  <c r="M75" i="140"/>
  <c r="L75" i="140"/>
  <c r="K75" i="140"/>
  <c r="J75" i="140"/>
  <c r="I75" i="140"/>
  <c r="H75" i="140"/>
  <c r="G75" i="140"/>
  <c r="F75" i="140"/>
  <c r="T71" i="140"/>
  <c r="S71" i="140"/>
  <c r="R71" i="140"/>
  <c r="Q71" i="140"/>
  <c r="P71" i="140"/>
  <c r="O71" i="140"/>
  <c r="N71" i="140"/>
  <c r="M71" i="140"/>
  <c r="L71" i="140"/>
  <c r="K71" i="140"/>
  <c r="J71" i="140"/>
  <c r="I71" i="140"/>
  <c r="H71" i="140"/>
  <c r="F71" i="140"/>
  <c r="E71" i="140"/>
  <c r="D71" i="140"/>
  <c r="U70" i="140"/>
  <c r="U69" i="140"/>
  <c r="U68" i="140"/>
  <c r="U67" i="140"/>
  <c r="U66" i="140"/>
  <c r="U65" i="140"/>
  <c r="G60" i="140"/>
  <c r="I4" i="140" s="1"/>
  <c r="J55" i="140"/>
  <c r="H55" i="140"/>
  <c r="D55" i="140"/>
  <c r="D53" i="140"/>
  <c r="L52" i="140"/>
  <c r="H52" i="140"/>
  <c r="D52" i="140"/>
  <c r="L51" i="140"/>
  <c r="H51" i="140"/>
  <c r="D51" i="140"/>
  <c r="L50" i="140"/>
  <c r="H50" i="140"/>
  <c r="D50" i="140"/>
  <c r="L49" i="140"/>
  <c r="H49" i="140"/>
  <c r="D49" i="140"/>
  <c r="J46" i="140"/>
  <c r="F46" i="140"/>
  <c r="D46" i="140"/>
  <c r="C45" i="140"/>
  <c r="B45" i="140"/>
  <c r="F44" i="140"/>
  <c r="E44" i="140"/>
  <c r="G44" i="140" s="1"/>
  <c r="D44" i="140"/>
  <c r="N43" i="140"/>
  <c r="M43" i="140"/>
  <c r="L43" i="140"/>
  <c r="J43" i="140"/>
  <c r="I43" i="140"/>
  <c r="H43" i="140"/>
  <c r="F43" i="140"/>
  <c r="E43" i="140"/>
  <c r="D43" i="140"/>
  <c r="N42" i="140"/>
  <c r="M42" i="140"/>
  <c r="L42" i="140"/>
  <c r="J42" i="140"/>
  <c r="I42" i="140"/>
  <c r="H42" i="140"/>
  <c r="F42" i="140"/>
  <c r="E42" i="140"/>
  <c r="D42" i="140"/>
  <c r="N41" i="140"/>
  <c r="M41" i="140"/>
  <c r="L41" i="140"/>
  <c r="J41" i="140"/>
  <c r="I41" i="140"/>
  <c r="K41" i="140" s="1"/>
  <c r="H41" i="140"/>
  <c r="F41" i="140"/>
  <c r="E41" i="140"/>
  <c r="D41" i="140"/>
  <c r="C41" i="140"/>
  <c r="N40" i="140"/>
  <c r="M40" i="140"/>
  <c r="L40" i="140"/>
  <c r="J40" i="140"/>
  <c r="I40" i="140"/>
  <c r="H40" i="140"/>
  <c r="F40" i="140"/>
  <c r="E40" i="140"/>
  <c r="D40" i="140"/>
  <c r="J39" i="140"/>
  <c r="F39" i="140"/>
  <c r="D39" i="140"/>
  <c r="C38" i="140"/>
  <c r="B38" i="140"/>
  <c r="F37" i="140"/>
  <c r="E37" i="140"/>
  <c r="D37" i="140"/>
  <c r="N36" i="140"/>
  <c r="M36" i="140"/>
  <c r="L36" i="140"/>
  <c r="J36" i="140"/>
  <c r="I36" i="140"/>
  <c r="H36" i="140"/>
  <c r="F36" i="140"/>
  <c r="E36" i="140"/>
  <c r="D36" i="140"/>
  <c r="N35" i="140"/>
  <c r="M35" i="140"/>
  <c r="O35" i="140" s="1"/>
  <c r="L35" i="140"/>
  <c r="J35" i="140"/>
  <c r="I35" i="140"/>
  <c r="H35" i="140"/>
  <c r="F35" i="140"/>
  <c r="E35" i="140"/>
  <c r="D35" i="140"/>
  <c r="N34" i="140"/>
  <c r="M34" i="140"/>
  <c r="L34" i="140"/>
  <c r="J34" i="140"/>
  <c r="I34" i="140"/>
  <c r="H34" i="140"/>
  <c r="F34" i="140"/>
  <c r="E34" i="140"/>
  <c r="D34" i="140"/>
  <c r="C34" i="140"/>
  <c r="N33" i="140"/>
  <c r="M33" i="140"/>
  <c r="L33" i="140"/>
  <c r="J33" i="140"/>
  <c r="I33" i="140"/>
  <c r="H33" i="140"/>
  <c r="F33" i="140"/>
  <c r="E33" i="140"/>
  <c r="D33" i="140"/>
  <c r="J32" i="140"/>
  <c r="F32" i="140"/>
  <c r="D32" i="140"/>
  <c r="C31" i="140"/>
  <c r="B31" i="140"/>
  <c r="F30" i="140"/>
  <c r="E30" i="140"/>
  <c r="D30" i="140"/>
  <c r="N29" i="140"/>
  <c r="M29" i="140"/>
  <c r="L29" i="140"/>
  <c r="J29" i="140"/>
  <c r="I29" i="140"/>
  <c r="K29" i="140" s="1"/>
  <c r="H29" i="140"/>
  <c r="F29" i="140"/>
  <c r="E29" i="140"/>
  <c r="G29" i="140" s="1"/>
  <c r="D29" i="140"/>
  <c r="N28" i="140"/>
  <c r="M28" i="140"/>
  <c r="L28" i="140"/>
  <c r="J28" i="140"/>
  <c r="I28" i="140"/>
  <c r="K28" i="140" s="1"/>
  <c r="H28" i="140"/>
  <c r="F28" i="140"/>
  <c r="E28" i="140"/>
  <c r="D28" i="140"/>
  <c r="N27" i="140"/>
  <c r="M27" i="140"/>
  <c r="L27" i="140"/>
  <c r="J27" i="140"/>
  <c r="I27" i="140"/>
  <c r="H27" i="140"/>
  <c r="F27" i="140"/>
  <c r="E27" i="140"/>
  <c r="D27" i="140"/>
  <c r="C27" i="140"/>
  <c r="N26" i="140"/>
  <c r="M26" i="140"/>
  <c r="O26" i="140" s="1"/>
  <c r="L26" i="140"/>
  <c r="J26" i="140"/>
  <c r="I26" i="140"/>
  <c r="H26" i="140"/>
  <c r="F26" i="140"/>
  <c r="E26" i="140"/>
  <c r="D26" i="140"/>
  <c r="J25" i="140"/>
  <c r="F25" i="140"/>
  <c r="D25" i="140"/>
  <c r="C24" i="140"/>
  <c r="B24" i="140"/>
  <c r="F23" i="140"/>
  <c r="E23" i="140"/>
  <c r="D23" i="140"/>
  <c r="N22" i="140"/>
  <c r="M22" i="140"/>
  <c r="L22" i="140"/>
  <c r="J22" i="140"/>
  <c r="I22" i="140"/>
  <c r="H22" i="140"/>
  <c r="F22" i="140"/>
  <c r="E22" i="140"/>
  <c r="G22" i="140" s="1"/>
  <c r="D22" i="140"/>
  <c r="N21" i="140"/>
  <c r="M21" i="140"/>
  <c r="O21" i="140" s="1"/>
  <c r="L21" i="140"/>
  <c r="J21" i="140"/>
  <c r="I21" i="140"/>
  <c r="H21" i="140"/>
  <c r="F21" i="140"/>
  <c r="E21" i="140"/>
  <c r="G21" i="140" s="1"/>
  <c r="D21" i="140"/>
  <c r="N20" i="140"/>
  <c r="M20" i="140"/>
  <c r="L20" i="140"/>
  <c r="J20" i="140"/>
  <c r="I20" i="140"/>
  <c r="H20" i="140"/>
  <c r="F20" i="140"/>
  <c r="E20" i="140"/>
  <c r="D20" i="140"/>
  <c r="C20" i="140"/>
  <c r="N19" i="140"/>
  <c r="M19" i="140"/>
  <c r="L19" i="140"/>
  <c r="J19" i="140"/>
  <c r="I19" i="140"/>
  <c r="K19" i="140" s="1"/>
  <c r="H19" i="140"/>
  <c r="F19" i="140"/>
  <c r="E19" i="140"/>
  <c r="D19" i="140"/>
  <c r="J18" i="140"/>
  <c r="F18" i="140"/>
  <c r="D18" i="140"/>
  <c r="C17" i="140"/>
  <c r="B17" i="140"/>
  <c r="F16" i="140"/>
  <c r="E16" i="140"/>
  <c r="D16" i="140"/>
  <c r="N15" i="140"/>
  <c r="M15" i="140"/>
  <c r="L15" i="140"/>
  <c r="J15" i="140"/>
  <c r="I15" i="140"/>
  <c r="H15" i="140"/>
  <c r="F15" i="140"/>
  <c r="E15" i="140"/>
  <c r="D15" i="140"/>
  <c r="N14" i="140"/>
  <c r="M14" i="140"/>
  <c r="O14" i="140" s="1"/>
  <c r="L14" i="140"/>
  <c r="J14" i="140"/>
  <c r="I14" i="140"/>
  <c r="K14" i="140" s="1"/>
  <c r="H14" i="140"/>
  <c r="F14" i="140"/>
  <c r="E14" i="140"/>
  <c r="D14" i="140"/>
  <c r="N13" i="140"/>
  <c r="M13" i="140"/>
  <c r="O13" i="140" s="1"/>
  <c r="L13" i="140"/>
  <c r="J13" i="140"/>
  <c r="I13" i="140"/>
  <c r="H13" i="140"/>
  <c r="F13" i="140"/>
  <c r="E13" i="140"/>
  <c r="D13" i="140"/>
  <c r="C13" i="140"/>
  <c r="N12" i="140"/>
  <c r="M12" i="140"/>
  <c r="L12" i="140"/>
  <c r="J12" i="140"/>
  <c r="I12" i="140"/>
  <c r="H12" i="140"/>
  <c r="F12" i="140"/>
  <c r="E12" i="140"/>
  <c r="D12" i="140"/>
  <c r="J11" i="140"/>
  <c r="F11" i="140"/>
  <c r="D11" i="140"/>
  <c r="C10" i="140"/>
  <c r="B10" i="140"/>
  <c r="F9" i="140"/>
  <c r="E9" i="140"/>
  <c r="G9" i="140" s="1"/>
  <c r="D9" i="140"/>
  <c r="N8" i="140"/>
  <c r="M8" i="140"/>
  <c r="L8" i="140"/>
  <c r="J8" i="140"/>
  <c r="I8" i="140"/>
  <c r="H8" i="140"/>
  <c r="F8" i="140"/>
  <c r="E8" i="140"/>
  <c r="D8" i="140"/>
  <c r="N7" i="140"/>
  <c r="M7" i="140"/>
  <c r="L7" i="140"/>
  <c r="J7" i="140"/>
  <c r="I7" i="140"/>
  <c r="H7" i="140"/>
  <c r="F7" i="140"/>
  <c r="E7" i="140"/>
  <c r="D7" i="140"/>
  <c r="N6" i="140"/>
  <c r="M6" i="140"/>
  <c r="L6" i="140"/>
  <c r="J6" i="140"/>
  <c r="I6" i="140"/>
  <c r="H6" i="140"/>
  <c r="F6" i="140"/>
  <c r="E6" i="140"/>
  <c r="D6" i="140"/>
  <c r="C6" i="140"/>
  <c r="N5" i="140"/>
  <c r="M5" i="140"/>
  <c r="L5" i="140"/>
  <c r="J5" i="140"/>
  <c r="I5" i="140"/>
  <c r="H5" i="140"/>
  <c r="F5" i="140"/>
  <c r="E5" i="140"/>
  <c r="D5" i="140"/>
  <c r="K3" i="140"/>
  <c r="F3" i="140"/>
  <c r="C3" i="140"/>
  <c r="L2" i="140"/>
  <c r="C82" i="139"/>
  <c r="C83" i="139" s="1"/>
  <c r="L54" i="139" s="1"/>
  <c r="R75" i="139"/>
  <c r="Q75" i="139"/>
  <c r="P75" i="139"/>
  <c r="O75" i="139"/>
  <c r="N75" i="139"/>
  <c r="M75" i="139"/>
  <c r="L75" i="139"/>
  <c r="K75" i="139"/>
  <c r="J75" i="139"/>
  <c r="I75" i="139"/>
  <c r="H75" i="139"/>
  <c r="G75" i="139"/>
  <c r="F75" i="139"/>
  <c r="T71" i="139"/>
  <c r="S71" i="139"/>
  <c r="R71" i="139"/>
  <c r="Q71" i="139"/>
  <c r="P71" i="139"/>
  <c r="O71" i="139"/>
  <c r="N71" i="139"/>
  <c r="M71" i="139"/>
  <c r="L71" i="139"/>
  <c r="K71" i="139"/>
  <c r="J71" i="139"/>
  <c r="I71" i="139"/>
  <c r="H71" i="139"/>
  <c r="F71" i="139"/>
  <c r="E71" i="139"/>
  <c r="D71" i="139"/>
  <c r="U70" i="139"/>
  <c r="U69" i="139"/>
  <c r="U68" i="139"/>
  <c r="U67" i="139"/>
  <c r="U66" i="139"/>
  <c r="U65" i="139"/>
  <c r="G60" i="139"/>
  <c r="I4" i="139" s="1"/>
  <c r="J55" i="139"/>
  <c r="H55" i="139"/>
  <c r="D55" i="139"/>
  <c r="D53" i="139"/>
  <c r="L52" i="139"/>
  <c r="H52" i="139"/>
  <c r="D52" i="139"/>
  <c r="L51" i="139"/>
  <c r="H51" i="139"/>
  <c r="D51" i="139"/>
  <c r="L50" i="139"/>
  <c r="H50" i="139"/>
  <c r="D50" i="139"/>
  <c r="L49" i="139"/>
  <c r="H49" i="139"/>
  <c r="D49" i="139"/>
  <c r="J46" i="139"/>
  <c r="F46" i="139"/>
  <c r="D46" i="139"/>
  <c r="C45" i="139"/>
  <c r="B45" i="139"/>
  <c r="F44" i="139"/>
  <c r="E44" i="139"/>
  <c r="D44" i="139"/>
  <c r="N43" i="139"/>
  <c r="M43" i="139"/>
  <c r="L43" i="139"/>
  <c r="J43" i="139"/>
  <c r="I43" i="139"/>
  <c r="H43" i="139"/>
  <c r="F43" i="139"/>
  <c r="E43" i="139"/>
  <c r="D43" i="139"/>
  <c r="N42" i="139"/>
  <c r="M42" i="139"/>
  <c r="L42" i="139"/>
  <c r="J42" i="139"/>
  <c r="I42" i="139"/>
  <c r="H42" i="139"/>
  <c r="F42" i="139"/>
  <c r="E42" i="139"/>
  <c r="D42" i="139"/>
  <c r="N41" i="139"/>
  <c r="M41" i="139"/>
  <c r="L41" i="139"/>
  <c r="J41" i="139"/>
  <c r="I41" i="139"/>
  <c r="H41" i="139"/>
  <c r="F41" i="139"/>
  <c r="E41" i="139"/>
  <c r="D41" i="139"/>
  <c r="C41" i="139"/>
  <c r="N40" i="139"/>
  <c r="M40" i="139"/>
  <c r="L40" i="139"/>
  <c r="J40" i="139"/>
  <c r="I40" i="139"/>
  <c r="H40" i="139"/>
  <c r="F40" i="139"/>
  <c r="E40" i="139"/>
  <c r="D40" i="139"/>
  <c r="J39" i="139"/>
  <c r="F39" i="139"/>
  <c r="D39" i="139"/>
  <c r="C38" i="139"/>
  <c r="B38" i="139"/>
  <c r="F37" i="139"/>
  <c r="E37" i="139"/>
  <c r="D37" i="139"/>
  <c r="N36" i="139"/>
  <c r="M36" i="139"/>
  <c r="O36" i="139" s="1"/>
  <c r="L36" i="139"/>
  <c r="J36" i="139"/>
  <c r="I36" i="139"/>
  <c r="K36" i="139" s="1"/>
  <c r="H36" i="139"/>
  <c r="F36" i="139"/>
  <c r="E36" i="139"/>
  <c r="D36" i="139"/>
  <c r="N35" i="139"/>
  <c r="M35" i="139"/>
  <c r="O35" i="139" s="1"/>
  <c r="L35" i="139"/>
  <c r="J35" i="139"/>
  <c r="I35" i="139"/>
  <c r="H35" i="139"/>
  <c r="F35" i="139"/>
  <c r="E35" i="139"/>
  <c r="D35" i="139"/>
  <c r="N34" i="139"/>
  <c r="M34" i="139"/>
  <c r="L34" i="139"/>
  <c r="J34" i="139"/>
  <c r="I34" i="139"/>
  <c r="H34" i="139"/>
  <c r="F34" i="139"/>
  <c r="E34" i="139"/>
  <c r="G34" i="139" s="1"/>
  <c r="D34" i="139"/>
  <c r="C34" i="139"/>
  <c r="N33" i="139"/>
  <c r="M33" i="139"/>
  <c r="L33" i="139"/>
  <c r="J33" i="139"/>
  <c r="I33" i="139"/>
  <c r="H33" i="139"/>
  <c r="F33" i="139"/>
  <c r="E33" i="139"/>
  <c r="D33" i="139"/>
  <c r="J32" i="139"/>
  <c r="F32" i="139"/>
  <c r="D32" i="139"/>
  <c r="C31" i="139"/>
  <c r="B31" i="139"/>
  <c r="F30" i="139"/>
  <c r="E30" i="139"/>
  <c r="D30" i="139"/>
  <c r="N29" i="139"/>
  <c r="M29" i="139"/>
  <c r="L29" i="139"/>
  <c r="J29" i="139"/>
  <c r="I29" i="139"/>
  <c r="K29" i="139" s="1"/>
  <c r="H29" i="139"/>
  <c r="F29" i="139"/>
  <c r="E29" i="139"/>
  <c r="G29" i="139" s="1"/>
  <c r="D29" i="139"/>
  <c r="N28" i="139"/>
  <c r="M28" i="139"/>
  <c r="L28" i="139"/>
  <c r="J28" i="139"/>
  <c r="I28" i="139"/>
  <c r="K28" i="139" s="1"/>
  <c r="H28" i="139"/>
  <c r="F28" i="139"/>
  <c r="E28" i="139"/>
  <c r="D28" i="139"/>
  <c r="N27" i="139"/>
  <c r="M27" i="139"/>
  <c r="L27" i="139"/>
  <c r="J27" i="139"/>
  <c r="I27" i="139"/>
  <c r="H27" i="139"/>
  <c r="F27" i="139"/>
  <c r="E27" i="139"/>
  <c r="D27" i="139"/>
  <c r="C27" i="139"/>
  <c r="N26" i="139"/>
  <c r="M26" i="139"/>
  <c r="O26" i="139" s="1"/>
  <c r="L26" i="139"/>
  <c r="J26" i="139"/>
  <c r="I26" i="139"/>
  <c r="H26" i="139"/>
  <c r="F26" i="139"/>
  <c r="E26" i="139"/>
  <c r="D26" i="139"/>
  <c r="J25" i="139"/>
  <c r="F25" i="139"/>
  <c r="D25" i="139"/>
  <c r="C24" i="139"/>
  <c r="B24" i="139"/>
  <c r="F23" i="139"/>
  <c r="E23" i="139"/>
  <c r="D23" i="139"/>
  <c r="N22" i="139"/>
  <c r="M22" i="139"/>
  <c r="L22" i="139"/>
  <c r="J22" i="139"/>
  <c r="I22" i="139"/>
  <c r="H22" i="139"/>
  <c r="F22" i="139"/>
  <c r="E22" i="139"/>
  <c r="G22" i="139" s="1"/>
  <c r="D22" i="139"/>
  <c r="N21" i="139"/>
  <c r="M21" i="139"/>
  <c r="L21" i="139"/>
  <c r="J21" i="139"/>
  <c r="I21" i="139"/>
  <c r="H21" i="139"/>
  <c r="F21" i="139"/>
  <c r="E21" i="139"/>
  <c r="D21" i="139"/>
  <c r="N20" i="139"/>
  <c r="M20" i="139"/>
  <c r="L20" i="139"/>
  <c r="J20" i="139"/>
  <c r="I20" i="139"/>
  <c r="H20" i="139"/>
  <c r="F20" i="139"/>
  <c r="E20" i="139"/>
  <c r="D20" i="139"/>
  <c r="C20" i="139"/>
  <c r="N19" i="139"/>
  <c r="M19" i="139"/>
  <c r="L19" i="139"/>
  <c r="J19" i="139"/>
  <c r="I19" i="139"/>
  <c r="H19" i="139"/>
  <c r="F19" i="139"/>
  <c r="E19" i="139"/>
  <c r="D19" i="139"/>
  <c r="J18" i="139"/>
  <c r="F18" i="139"/>
  <c r="D18" i="139"/>
  <c r="C17" i="139"/>
  <c r="B17" i="139"/>
  <c r="F16" i="139"/>
  <c r="E16" i="139"/>
  <c r="D16" i="139"/>
  <c r="N15" i="139"/>
  <c r="M15" i="139"/>
  <c r="L15" i="139"/>
  <c r="J15" i="139"/>
  <c r="I15" i="139"/>
  <c r="H15" i="139"/>
  <c r="F15" i="139"/>
  <c r="E15" i="139"/>
  <c r="D15" i="139"/>
  <c r="N14" i="139"/>
  <c r="M14" i="139"/>
  <c r="L14" i="139"/>
  <c r="J14" i="139"/>
  <c r="I14" i="139"/>
  <c r="H14" i="139"/>
  <c r="F14" i="139"/>
  <c r="E14" i="139"/>
  <c r="D14" i="139"/>
  <c r="N13" i="139"/>
  <c r="M13" i="139"/>
  <c r="L13" i="139"/>
  <c r="J13" i="139"/>
  <c r="I13" i="139"/>
  <c r="H13" i="139"/>
  <c r="F13" i="139"/>
  <c r="E13" i="139"/>
  <c r="D13" i="139"/>
  <c r="C13" i="139"/>
  <c r="N12" i="139"/>
  <c r="M12" i="139"/>
  <c r="L12" i="139"/>
  <c r="J12" i="139"/>
  <c r="I12" i="139"/>
  <c r="H12" i="139"/>
  <c r="F12" i="139"/>
  <c r="E12" i="139"/>
  <c r="D12" i="139"/>
  <c r="J11" i="139"/>
  <c r="F11" i="139"/>
  <c r="D11" i="139"/>
  <c r="C10" i="139"/>
  <c r="B10" i="139"/>
  <c r="F9" i="139"/>
  <c r="E9" i="139"/>
  <c r="D9" i="139"/>
  <c r="N8" i="139"/>
  <c r="M8" i="139"/>
  <c r="L8" i="139"/>
  <c r="J8" i="139"/>
  <c r="I8" i="139"/>
  <c r="H8" i="139"/>
  <c r="F8" i="139"/>
  <c r="E8" i="139"/>
  <c r="D8" i="139"/>
  <c r="N7" i="139"/>
  <c r="M7" i="139"/>
  <c r="L7" i="139"/>
  <c r="J7" i="139"/>
  <c r="I7" i="139"/>
  <c r="H7" i="139"/>
  <c r="F7" i="139"/>
  <c r="E7" i="139"/>
  <c r="D7" i="139"/>
  <c r="N6" i="139"/>
  <c r="M6" i="139"/>
  <c r="L6" i="139"/>
  <c r="J6" i="139"/>
  <c r="I6" i="139"/>
  <c r="H6" i="139"/>
  <c r="F6" i="139"/>
  <c r="E6" i="139"/>
  <c r="D6" i="139"/>
  <c r="C6" i="139"/>
  <c r="N5" i="139"/>
  <c r="M5" i="139"/>
  <c r="L5" i="139"/>
  <c r="J5" i="139"/>
  <c r="I5" i="139"/>
  <c r="H5" i="139"/>
  <c r="F5" i="139"/>
  <c r="E5" i="139"/>
  <c r="D5" i="139"/>
  <c r="K3" i="139"/>
  <c r="F3" i="139"/>
  <c r="C3" i="139"/>
  <c r="L2" i="139"/>
  <c r="C82" i="138"/>
  <c r="C83" i="138" s="1"/>
  <c r="L54" i="138" s="1"/>
  <c r="R75" i="138"/>
  <c r="Q75" i="138"/>
  <c r="P75" i="138"/>
  <c r="O75" i="138"/>
  <c r="N75" i="138"/>
  <c r="M75" i="138"/>
  <c r="L75" i="138"/>
  <c r="K75" i="138"/>
  <c r="J75" i="138"/>
  <c r="I75" i="138"/>
  <c r="H75" i="138"/>
  <c r="G75" i="138"/>
  <c r="F75" i="138"/>
  <c r="T71" i="138"/>
  <c r="S71" i="138"/>
  <c r="R71" i="138"/>
  <c r="Q71" i="138"/>
  <c r="P71" i="138"/>
  <c r="O71" i="138"/>
  <c r="N71" i="138"/>
  <c r="M71" i="138"/>
  <c r="L71" i="138"/>
  <c r="K71" i="138"/>
  <c r="J71" i="138"/>
  <c r="I71" i="138"/>
  <c r="H71" i="138"/>
  <c r="F71" i="138"/>
  <c r="E71" i="138"/>
  <c r="D71" i="138"/>
  <c r="U70" i="138"/>
  <c r="U69" i="138"/>
  <c r="U68" i="138"/>
  <c r="U67" i="138"/>
  <c r="U66" i="138"/>
  <c r="U65" i="138"/>
  <c r="G60" i="138"/>
  <c r="I4" i="138" s="1"/>
  <c r="J55" i="138"/>
  <c r="H55" i="138"/>
  <c r="D55" i="138"/>
  <c r="D53" i="138"/>
  <c r="L52" i="138"/>
  <c r="H52" i="138"/>
  <c r="D52" i="138"/>
  <c r="L51" i="138"/>
  <c r="H51" i="138"/>
  <c r="D51" i="138"/>
  <c r="L50" i="138"/>
  <c r="H50" i="138"/>
  <c r="D50" i="138"/>
  <c r="L49" i="138"/>
  <c r="H49" i="138"/>
  <c r="D49" i="138"/>
  <c r="J46" i="138"/>
  <c r="F46" i="138"/>
  <c r="D46" i="138"/>
  <c r="C45" i="138"/>
  <c r="B45" i="138"/>
  <c r="F44" i="138"/>
  <c r="E44" i="138"/>
  <c r="D44" i="138"/>
  <c r="N43" i="138"/>
  <c r="M43" i="138"/>
  <c r="L43" i="138"/>
  <c r="J43" i="138"/>
  <c r="I43" i="138"/>
  <c r="H43" i="138"/>
  <c r="F43" i="138"/>
  <c r="E43" i="138"/>
  <c r="G43" i="138" s="1"/>
  <c r="D43" i="138"/>
  <c r="N42" i="138"/>
  <c r="M42" i="138"/>
  <c r="O42" i="138" s="1"/>
  <c r="L42" i="138"/>
  <c r="J42" i="138"/>
  <c r="I42" i="138"/>
  <c r="H42" i="138"/>
  <c r="F42" i="138"/>
  <c r="E42" i="138"/>
  <c r="D42" i="138"/>
  <c r="N41" i="138"/>
  <c r="M41" i="138"/>
  <c r="L41" i="138"/>
  <c r="J41" i="138"/>
  <c r="I41" i="138"/>
  <c r="H41" i="138"/>
  <c r="F41" i="138"/>
  <c r="E41" i="138"/>
  <c r="D41" i="138"/>
  <c r="C41" i="138"/>
  <c r="N40" i="138"/>
  <c r="M40" i="138"/>
  <c r="L40" i="138"/>
  <c r="J40" i="138"/>
  <c r="I40" i="138"/>
  <c r="H40" i="138"/>
  <c r="F40" i="138"/>
  <c r="E40" i="138"/>
  <c r="D40" i="138"/>
  <c r="J39" i="138"/>
  <c r="F39" i="138"/>
  <c r="D39" i="138"/>
  <c r="C38" i="138"/>
  <c r="B38" i="138"/>
  <c r="F37" i="138"/>
  <c r="E37" i="138"/>
  <c r="D37" i="138"/>
  <c r="N36" i="138"/>
  <c r="M36" i="138"/>
  <c r="L36" i="138"/>
  <c r="J36" i="138"/>
  <c r="I36" i="138"/>
  <c r="H36" i="138"/>
  <c r="F36" i="138"/>
  <c r="E36" i="138"/>
  <c r="D36" i="138"/>
  <c r="N35" i="138"/>
  <c r="M35" i="138"/>
  <c r="O35" i="138" s="1"/>
  <c r="L35" i="138"/>
  <c r="J35" i="138"/>
  <c r="I35" i="138"/>
  <c r="K35" i="138" s="1"/>
  <c r="H35" i="138"/>
  <c r="F35" i="138"/>
  <c r="E35" i="138"/>
  <c r="D35" i="138"/>
  <c r="N34" i="138"/>
  <c r="M34" i="138"/>
  <c r="L34" i="138"/>
  <c r="J34" i="138"/>
  <c r="I34" i="138"/>
  <c r="H34" i="138"/>
  <c r="F34" i="138"/>
  <c r="E34" i="138"/>
  <c r="D34" i="138"/>
  <c r="C34" i="138"/>
  <c r="N33" i="138"/>
  <c r="M33" i="138"/>
  <c r="O33" i="138" s="1"/>
  <c r="L33" i="138"/>
  <c r="J33" i="138"/>
  <c r="I33" i="138"/>
  <c r="H33" i="138"/>
  <c r="F33" i="138"/>
  <c r="E33" i="138"/>
  <c r="D33" i="138"/>
  <c r="J32" i="138"/>
  <c r="F32" i="138"/>
  <c r="D32" i="138"/>
  <c r="C31" i="138"/>
  <c r="B31" i="138"/>
  <c r="F30" i="138"/>
  <c r="E30" i="138"/>
  <c r="D30" i="138"/>
  <c r="N29" i="138"/>
  <c r="M29" i="138"/>
  <c r="L29" i="138"/>
  <c r="J29" i="138"/>
  <c r="I29" i="138"/>
  <c r="H29" i="138"/>
  <c r="F29" i="138"/>
  <c r="E29" i="138"/>
  <c r="D29" i="138"/>
  <c r="N28" i="138"/>
  <c r="M28" i="138"/>
  <c r="L28" i="138"/>
  <c r="J28" i="138"/>
  <c r="I28" i="138"/>
  <c r="K28" i="138" s="1"/>
  <c r="H28" i="138"/>
  <c r="F28" i="138"/>
  <c r="E28" i="138"/>
  <c r="D28" i="138"/>
  <c r="N27" i="138"/>
  <c r="M27" i="138"/>
  <c r="L27" i="138"/>
  <c r="J27" i="138"/>
  <c r="I27" i="138"/>
  <c r="H27" i="138"/>
  <c r="F27" i="138"/>
  <c r="E27" i="138"/>
  <c r="D27" i="138"/>
  <c r="C27" i="138"/>
  <c r="N26" i="138"/>
  <c r="M26" i="138"/>
  <c r="L26" i="138"/>
  <c r="J26" i="138"/>
  <c r="I26" i="138"/>
  <c r="H26" i="138"/>
  <c r="F26" i="138"/>
  <c r="E26" i="138"/>
  <c r="D26" i="138"/>
  <c r="J25" i="138"/>
  <c r="F25" i="138"/>
  <c r="D25" i="138"/>
  <c r="C24" i="138"/>
  <c r="B24" i="138"/>
  <c r="F23" i="138"/>
  <c r="E23" i="138"/>
  <c r="D23" i="138"/>
  <c r="N22" i="138"/>
  <c r="M22" i="138"/>
  <c r="L22" i="138"/>
  <c r="J22" i="138"/>
  <c r="I22" i="138"/>
  <c r="H22" i="138"/>
  <c r="F22" i="138"/>
  <c r="E22" i="138"/>
  <c r="D22" i="138"/>
  <c r="N21" i="138"/>
  <c r="M21" i="138"/>
  <c r="L21" i="138"/>
  <c r="J21" i="138"/>
  <c r="I21" i="138"/>
  <c r="H21" i="138"/>
  <c r="F21" i="138"/>
  <c r="E21" i="138"/>
  <c r="D21" i="138"/>
  <c r="N20" i="138"/>
  <c r="M20" i="138"/>
  <c r="O20" i="138" s="1"/>
  <c r="L20" i="138"/>
  <c r="J20" i="138"/>
  <c r="I20" i="138"/>
  <c r="H20" i="138"/>
  <c r="F20" i="138"/>
  <c r="E20" i="138"/>
  <c r="D20" i="138"/>
  <c r="C20" i="138"/>
  <c r="N19" i="138"/>
  <c r="M19" i="138"/>
  <c r="L19" i="138"/>
  <c r="J19" i="138"/>
  <c r="I19" i="138"/>
  <c r="H19" i="138"/>
  <c r="F19" i="138"/>
  <c r="E19" i="138"/>
  <c r="G19" i="138" s="1"/>
  <c r="D19" i="138"/>
  <c r="J18" i="138"/>
  <c r="F18" i="138"/>
  <c r="D18" i="138"/>
  <c r="C17" i="138"/>
  <c r="B17" i="138"/>
  <c r="F16" i="138"/>
  <c r="E16" i="138"/>
  <c r="G16" i="138" s="1"/>
  <c r="D16" i="138"/>
  <c r="N15" i="138"/>
  <c r="M15" i="138"/>
  <c r="L15" i="138"/>
  <c r="J15" i="138"/>
  <c r="I15" i="138"/>
  <c r="H15" i="138"/>
  <c r="F15" i="138"/>
  <c r="E15" i="138"/>
  <c r="D15" i="138"/>
  <c r="N14" i="138"/>
  <c r="M14" i="138"/>
  <c r="L14" i="138"/>
  <c r="J14" i="138"/>
  <c r="I14" i="138"/>
  <c r="H14" i="138"/>
  <c r="F14" i="138"/>
  <c r="E14" i="138"/>
  <c r="D14" i="138"/>
  <c r="N13" i="138"/>
  <c r="M13" i="138"/>
  <c r="L13" i="138"/>
  <c r="J13" i="138"/>
  <c r="I13" i="138"/>
  <c r="K13" i="138" s="1"/>
  <c r="H13" i="138"/>
  <c r="F13" i="138"/>
  <c r="E13" i="138"/>
  <c r="D13" i="138"/>
  <c r="C13" i="138"/>
  <c r="N12" i="138"/>
  <c r="M12" i="138"/>
  <c r="L12" i="138"/>
  <c r="J12" i="138"/>
  <c r="I12" i="138"/>
  <c r="H12" i="138"/>
  <c r="F12" i="138"/>
  <c r="E12" i="138"/>
  <c r="D12" i="138"/>
  <c r="J11" i="138"/>
  <c r="F11" i="138"/>
  <c r="D11" i="138"/>
  <c r="C10" i="138"/>
  <c r="B10" i="138"/>
  <c r="F9" i="138"/>
  <c r="E9" i="138"/>
  <c r="D9" i="138"/>
  <c r="N8" i="138"/>
  <c r="M8" i="138"/>
  <c r="O8" i="138" s="1"/>
  <c r="L8" i="138"/>
  <c r="J8" i="138"/>
  <c r="I8" i="138"/>
  <c r="H8" i="138"/>
  <c r="F8" i="138"/>
  <c r="E8" i="138"/>
  <c r="D8" i="138"/>
  <c r="N7" i="138"/>
  <c r="M7" i="138"/>
  <c r="L7" i="138"/>
  <c r="J7" i="138"/>
  <c r="I7" i="138"/>
  <c r="H7" i="138"/>
  <c r="F7" i="138"/>
  <c r="E7" i="138"/>
  <c r="D7" i="138"/>
  <c r="N6" i="138"/>
  <c r="M6" i="138"/>
  <c r="L6" i="138"/>
  <c r="J6" i="138"/>
  <c r="I6" i="138"/>
  <c r="H6" i="138"/>
  <c r="F6" i="138"/>
  <c r="E6" i="138"/>
  <c r="G6" i="138" s="1"/>
  <c r="D6" i="138"/>
  <c r="C6" i="138"/>
  <c r="N5" i="138"/>
  <c r="M5" i="138"/>
  <c r="L5" i="138"/>
  <c r="J5" i="138"/>
  <c r="I5" i="138"/>
  <c r="H5" i="138"/>
  <c r="F5" i="138"/>
  <c r="E5" i="138"/>
  <c r="D5" i="138"/>
  <c r="K3" i="138"/>
  <c r="F3" i="138"/>
  <c r="C3" i="138"/>
  <c r="L2" i="138"/>
  <c r="C82" i="137"/>
  <c r="C83" i="137" s="1"/>
  <c r="L54" i="137" s="1"/>
  <c r="R75" i="137"/>
  <c r="Q75" i="137"/>
  <c r="P75" i="137"/>
  <c r="O75" i="137"/>
  <c r="N75" i="137"/>
  <c r="M75" i="137"/>
  <c r="L75" i="137"/>
  <c r="K75" i="137"/>
  <c r="J75" i="137"/>
  <c r="I75" i="137"/>
  <c r="H75" i="137"/>
  <c r="G75" i="137"/>
  <c r="F75" i="137"/>
  <c r="T71" i="137"/>
  <c r="S71" i="137"/>
  <c r="R71" i="137"/>
  <c r="Q71" i="137"/>
  <c r="P71" i="137"/>
  <c r="O71" i="137"/>
  <c r="N71" i="137"/>
  <c r="M71" i="137"/>
  <c r="L71" i="137"/>
  <c r="K71" i="137"/>
  <c r="J71" i="137"/>
  <c r="I71" i="137"/>
  <c r="H71" i="137"/>
  <c r="F71" i="137"/>
  <c r="E71" i="137"/>
  <c r="D71" i="137"/>
  <c r="U70" i="137"/>
  <c r="U69" i="137"/>
  <c r="U68" i="137"/>
  <c r="U67" i="137"/>
  <c r="U66" i="137"/>
  <c r="U65" i="137"/>
  <c r="G60" i="137"/>
  <c r="I4" i="137" s="1"/>
  <c r="J55" i="137"/>
  <c r="H55" i="137"/>
  <c r="D55" i="137"/>
  <c r="D53" i="137"/>
  <c r="L52" i="137"/>
  <c r="H52" i="137"/>
  <c r="D52" i="137"/>
  <c r="L51" i="137"/>
  <c r="H51" i="137"/>
  <c r="D51" i="137"/>
  <c r="L50" i="137"/>
  <c r="H50" i="137"/>
  <c r="D50" i="137"/>
  <c r="L49" i="137"/>
  <c r="H49" i="137"/>
  <c r="D49" i="137"/>
  <c r="J46" i="137"/>
  <c r="F46" i="137"/>
  <c r="D46" i="137"/>
  <c r="C45" i="137"/>
  <c r="B45" i="137"/>
  <c r="F44" i="137"/>
  <c r="E44" i="137"/>
  <c r="D44" i="137"/>
  <c r="N43" i="137"/>
  <c r="M43" i="137"/>
  <c r="O43" i="137" s="1"/>
  <c r="L43" i="137"/>
  <c r="J43" i="137"/>
  <c r="I43" i="137"/>
  <c r="H43" i="137"/>
  <c r="F43" i="137"/>
  <c r="E43" i="137"/>
  <c r="D43" i="137"/>
  <c r="N42" i="137"/>
  <c r="M42" i="137"/>
  <c r="L42" i="137"/>
  <c r="J42" i="137"/>
  <c r="I42" i="137"/>
  <c r="H42" i="137"/>
  <c r="F42" i="137"/>
  <c r="E42" i="137"/>
  <c r="D42" i="137"/>
  <c r="N41" i="137"/>
  <c r="M41" i="137"/>
  <c r="O41" i="137" s="1"/>
  <c r="L41" i="137"/>
  <c r="J41" i="137"/>
  <c r="I41" i="137"/>
  <c r="H41" i="137"/>
  <c r="F41" i="137"/>
  <c r="E41" i="137"/>
  <c r="G41" i="137" s="1"/>
  <c r="D41" i="137"/>
  <c r="C41" i="137"/>
  <c r="N40" i="137"/>
  <c r="M40" i="137"/>
  <c r="L40" i="137"/>
  <c r="J40" i="137"/>
  <c r="I40" i="137"/>
  <c r="H40" i="137"/>
  <c r="F40" i="137"/>
  <c r="E40" i="137"/>
  <c r="D40" i="137"/>
  <c r="J39" i="137"/>
  <c r="F39" i="137"/>
  <c r="D39" i="137"/>
  <c r="C38" i="137"/>
  <c r="B38" i="137"/>
  <c r="F37" i="137"/>
  <c r="E37" i="137"/>
  <c r="D37" i="137"/>
  <c r="N36" i="137"/>
  <c r="M36" i="137"/>
  <c r="L36" i="137"/>
  <c r="J36" i="137"/>
  <c r="I36" i="137"/>
  <c r="K36" i="137" s="1"/>
  <c r="H36" i="137"/>
  <c r="F36" i="137"/>
  <c r="E36" i="137"/>
  <c r="D36" i="137"/>
  <c r="N35" i="137"/>
  <c r="M35" i="137"/>
  <c r="L35" i="137"/>
  <c r="J35" i="137"/>
  <c r="I35" i="137"/>
  <c r="H35" i="137"/>
  <c r="F35" i="137"/>
  <c r="E35" i="137"/>
  <c r="D35" i="137"/>
  <c r="N34" i="137"/>
  <c r="M34" i="137"/>
  <c r="L34" i="137"/>
  <c r="J34" i="137"/>
  <c r="I34" i="137"/>
  <c r="K34" i="137" s="1"/>
  <c r="H34" i="137"/>
  <c r="F34" i="137"/>
  <c r="E34" i="137"/>
  <c r="D34" i="137"/>
  <c r="C34" i="137"/>
  <c r="N33" i="137"/>
  <c r="M33" i="137"/>
  <c r="L33" i="137"/>
  <c r="J33" i="137"/>
  <c r="I33" i="137"/>
  <c r="H33" i="137"/>
  <c r="F33" i="137"/>
  <c r="E33" i="137"/>
  <c r="D33" i="137"/>
  <c r="J32" i="137"/>
  <c r="F32" i="137"/>
  <c r="D32" i="137"/>
  <c r="C31" i="137"/>
  <c r="B31" i="137"/>
  <c r="F30" i="137"/>
  <c r="E30" i="137"/>
  <c r="D30" i="137"/>
  <c r="N29" i="137"/>
  <c r="M29" i="137"/>
  <c r="L29" i="137"/>
  <c r="J29" i="137"/>
  <c r="I29" i="137"/>
  <c r="H29" i="137"/>
  <c r="F29" i="137"/>
  <c r="E29" i="137"/>
  <c r="D29" i="137"/>
  <c r="N28" i="137"/>
  <c r="M28" i="137"/>
  <c r="L28" i="137"/>
  <c r="J28" i="137"/>
  <c r="I28" i="137"/>
  <c r="H28" i="137"/>
  <c r="F28" i="137"/>
  <c r="E28" i="137"/>
  <c r="D28" i="137"/>
  <c r="N27" i="137"/>
  <c r="M27" i="137"/>
  <c r="L27" i="137"/>
  <c r="J27" i="137"/>
  <c r="I27" i="137"/>
  <c r="H27" i="137"/>
  <c r="F27" i="137"/>
  <c r="E27" i="137"/>
  <c r="G27" i="137" s="1"/>
  <c r="D27" i="137"/>
  <c r="C27" i="137"/>
  <c r="N26" i="137"/>
  <c r="M26" i="137"/>
  <c r="L26" i="137"/>
  <c r="J26" i="137"/>
  <c r="I26" i="137"/>
  <c r="H26" i="137"/>
  <c r="F26" i="137"/>
  <c r="E26" i="137"/>
  <c r="D26" i="137"/>
  <c r="J25" i="137"/>
  <c r="F25" i="137"/>
  <c r="D25" i="137"/>
  <c r="C24" i="137"/>
  <c r="B24" i="137"/>
  <c r="F23" i="137"/>
  <c r="E23" i="137"/>
  <c r="D23" i="137"/>
  <c r="N22" i="137"/>
  <c r="M22" i="137"/>
  <c r="L22" i="137"/>
  <c r="J22" i="137"/>
  <c r="I22" i="137"/>
  <c r="H22" i="137"/>
  <c r="F22" i="137"/>
  <c r="E22" i="137"/>
  <c r="D22" i="137"/>
  <c r="N21" i="137"/>
  <c r="M21" i="137"/>
  <c r="L21" i="137"/>
  <c r="J21" i="137"/>
  <c r="I21" i="137"/>
  <c r="H21" i="137"/>
  <c r="F21" i="137"/>
  <c r="E21" i="137"/>
  <c r="D21" i="137"/>
  <c r="N20" i="137"/>
  <c r="M20" i="137"/>
  <c r="L20" i="137"/>
  <c r="J20" i="137"/>
  <c r="I20" i="137"/>
  <c r="H20" i="137"/>
  <c r="F20" i="137"/>
  <c r="E20" i="137"/>
  <c r="D20" i="137"/>
  <c r="C20" i="137"/>
  <c r="N19" i="137"/>
  <c r="M19" i="137"/>
  <c r="L19" i="137"/>
  <c r="J19" i="137"/>
  <c r="I19" i="137"/>
  <c r="H19" i="137"/>
  <c r="F19" i="137"/>
  <c r="E19" i="137"/>
  <c r="D19" i="137"/>
  <c r="J18" i="137"/>
  <c r="F18" i="137"/>
  <c r="D18" i="137"/>
  <c r="C17" i="137"/>
  <c r="B17" i="137"/>
  <c r="F16" i="137"/>
  <c r="E16" i="137"/>
  <c r="D16" i="137"/>
  <c r="N15" i="137"/>
  <c r="M15" i="137"/>
  <c r="L15" i="137"/>
  <c r="J15" i="137"/>
  <c r="I15" i="137"/>
  <c r="H15" i="137"/>
  <c r="F15" i="137"/>
  <c r="E15" i="137"/>
  <c r="D15" i="137"/>
  <c r="N14" i="137"/>
  <c r="M14" i="137"/>
  <c r="L14" i="137"/>
  <c r="J14" i="137"/>
  <c r="I14" i="137"/>
  <c r="K14" i="137" s="1"/>
  <c r="H14" i="137"/>
  <c r="F14" i="137"/>
  <c r="E14" i="137"/>
  <c r="D14" i="137"/>
  <c r="N13" i="137"/>
  <c r="M13" i="137"/>
  <c r="L13" i="137"/>
  <c r="J13" i="137"/>
  <c r="I13" i="137"/>
  <c r="H13" i="137"/>
  <c r="F13" i="137"/>
  <c r="E13" i="137"/>
  <c r="D13" i="137"/>
  <c r="C13" i="137"/>
  <c r="N12" i="137"/>
  <c r="M12" i="137"/>
  <c r="O12" i="137" s="1"/>
  <c r="L12" i="137"/>
  <c r="J12" i="137"/>
  <c r="I12" i="137"/>
  <c r="H12" i="137"/>
  <c r="F12" i="137"/>
  <c r="E12" i="137"/>
  <c r="D12" i="137"/>
  <c r="J11" i="137"/>
  <c r="F11" i="137"/>
  <c r="D11" i="137"/>
  <c r="C10" i="137"/>
  <c r="B10" i="137"/>
  <c r="F9" i="137"/>
  <c r="E9" i="137"/>
  <c r="D9" i="137"/>
  <c r="N8" i="137"/>
  <c r="M8" i="137"/>
  <c r="L8" i="137"/>
  <c r="J8" i="137"/>
  <c r="I8" i="137"/>
  <c r="H8" i="137"/>
  <c r="F8" i="137"/>
  <c r="E8" i="137"/>
  <c r="D8" i="137"/>
  <c r="N7" i="137"/>
  <c r="M7" i="137"/>
  <c r="O7" i="137" s="1"/>
  <c r="L7" i="137"/>
  <c r="J7" i="137"/>
  <c r="I7" i="137"/>
  <c r="H7" i="137"/>
  <c r="F7" i="137"/>
  <c r="E7" i="137"/>
  <c r="D7" i="137"/>
  <c r="N6" i="137"/>
  <c r="M6" i="137"/>
  <c r="L6" i="137"/>
  <c r="J6" i="137"/>
  <c r="I6" i="137"/>
  <c r="H6" i="137"/>
  <c r="F6" i="137"/>
  <c r="E6" i="137"/>
  <c r="D6" i="137"/>
  <c r="C6" i="137"/>
  <c r="N5" i="137"/>
  <c r="M5" i="137"/>
  <c r="L5" i="137"/>
  <c r="J5" i="137"/>
  <c r="I5" i="137"/>
  <c r="K5" i="137" s="1"/>
  <c r="H5" i="137"/>
  <c r="F5" i="137"/>
  <c r="E5" i="137"/>
  <c r="D5" i="137"/>
  <c r="K3" i="137"/>
  <c r="F3" i="137"/>
  <c r="C3" i="137"/>
  <c r="L2" i="137"/>
  <c r="C82" i="136"/>
  <c r="C83" i="136" s="1"/>
  <c r="L54" i="136" s="1"/>
  <c r="R75" i="136"/>
  <c r="Q75" i="136"/>
  <c r="P75" i="136"/>
  <c r="O75" i="136"/>
  <c r="N75" i="136"/>
  <c r="M75" i="136"/>
  <c r="L75" i="136"/>
  <c r="K75" i="136"/>
  <c r="J75" i="136"/>
  <c r="I75" i="136"/>
  <c r="H75" i="136"/>
  <c r="G75" i="136"/>
  <c r="F75" i="136"/>
  <c r="T71" i="136"/>
  <c r="S71" i="136"/>
  <c r="R71" i="136"/>
  <c r="Q71" i="136"/>
  <c r="P71" i="136"/>
  <c r="O71" i="136"/>
  <c r="N71" i="136"/>
  <c r="M71" i="136"/>
  <c r="L71" i="136"/>
  <c r="K71" i="136"/>
  <c r="J71" i="136"/>
  <c r="I71" i="136"/>
  <c r="H71" i="136"/>
  <c r="F71" i="136"/>
  <c r="E71" i="136"/>
  <c r="D71" i="136"/>
  <c r="U70" i="136"/>
  <c r="U69" i="136"/>
  <c r="U68" i="136"/>
  <c r="U67" i="136"/>
  <c r="U66" i="136"/>
  <c r="U65" i="136"/>
  <c r="G60" i="136"/>
  <c r="I4" i="136" s="1"/>
  <c r="J55" i="136"/>
  <c r="H55" i="136"/>
  <c r="D55" i="136"/>
  <c r="D53" i="136"/>
  <c r="L52" i="136"/>
  <c r="H52" i="136"/>
  <c r="D52" i="136"/>
  <c r="L51" i="136"/>
  <c r="H51" i="136"/>
  <c r="D51" i="136"/>
  <c r="L50" i="136"/>
  <c r="H50" i="136"/>
  <c r="D50" i="136"/>
  <c r="L49" i="136"/>
  <c r="H49" i="136"/>
  <c r="D49" i="136"/>
  <c r="J46" i="136"/>
  <c r="F46" i="136"/>
  <c r="D46" i="136"/>
  <c r="C45" i="136"/>
  <c r="B45" i="136"/>
  <c r="F44" i="136"/>
  <c r="E44" i="136"/>
  <c r="D44" i="136"/>
  <c r="N43" i="136"/>
  <c r="M43" i="136"/>
  <c r="L43" i="136"/>
  <c r="J43" i="136"/>
  <c r="I43" i="136"/>
  <c r="K43" i="136" s="1"/>
  <c r="H43" i="136"/>
  <c r="F43" i="136"/>
  <c r="E43" i="136"/>
  <c r="D43" i="136"/>
  <c r="N42" i="136"/>
  <c r="M42" i="136"/>
  <c r="L42" i="136"/>
  <c r="J42" i="136"/>
  <c r="I42" i="136"/>
  <c r="H42" i="136"/>
  <c r="F42" i="136"/>
  <c r="E42" i="136"/>
  <c r="D42" i="136"/>
  <c r="N41" i="136"/>
  <c r="M41" i="136"/>
  <c r="L41" i="136"/>
  <c r="J41" i="136"/>
  <c r="I41" i="136"/>
  <c r="H41" i="136"/>
  <c r="F41" i="136"/>
  <c r="E41" i="136"/>
  <c r="D41" i="136"/>
  <c r="C41" i="136"/>
  <c r="N40" i="136"/>
  <c r="M40" i="136"/>
  <c r="L40" i="136"/>
  <c r="J40" i="136"/>
  <c r="I40" i="136"/>
  <c r="H40" i="136"/>
  <c r="F40" i="136"/>
  <c r="E40" i="136"/>
  <c r="D40" i="136"/>
  <c r="J39" i="136"/>
  <c r="F39" i="136"/>
  <c r="D39" i="136"/>
  <c r="C38" i="136"/>
  <c r="B38" i="136"/>
  <c r="F37" i="136"/>
  <c r="E37" i="136"/>
  <c r="D37" i="136"/>
  <c r="N36" i="136"/>
  <c r="M36" i="136"/>
  <c r="L36" i="136"/>
  <c r="J36" i="136"/>
  <c r="I36" i="136"/>
  <c r="H36" i="136"/>
  <c r="F36" i="136"/>
  <c r="E36" i="136"/>
  <c r="D36" i="136"/>
  <c r="N35" i="136"/>
  <c r="M35" i="136"/>
  <c r="L35" i="136"/>
  <c r="J35" i="136"/>
  <c r="I35" i="136"/>
  <c r="K35" i="136" s="1"/>
  <c r="H35" i="136"/>
  <c r="F35" i="136"/>
  <c r="E35" i="136"/>
  <c r="D35" i="136"/>
  <c r="N34" i="136"/>
  <c r="M34" i="136"/>
  <c r="L34" i="136"/>
  <c r="J34" i="136"/>
  <c r="I34" i="136"/>
  <c r="H34" i="136"/>
  <c r="F34" i="136"/>
  <c r="E34" i="136"/>
  <c r="D34" i="136"/>
  <c r="C34" i="136"/>
  <c r="N33" i="136"/>
  <c r="M33" i="136"/>
  <c r="L33" i="136"/>
  <c r="J33" i="136"/>
  <c r="I33" i="136"/>
  <c r="H33" i="136"/>
  <c r="F33" i="136"/>
  <c r="E33" i="136"/>
  <c r="D33" i="136"/>
  <c r="J32" i="136"/>
  <c r="F32" i="136"/>
  <c r="D32" i="136"/>
  <c r="C31" i="136"/>
  <c r="B31" i="136"/>
  <c r="F30" i="136"/>
  <c r="E30" i="136"/>
  <c r="D30" i="136"/>
  <c r="N29" i="136"/>
  <c r="M29" i="136"/>
  <c r="L29" i="136"/>
  <c r="J29" i="136"/>
  <c r="I29" i="136"/>
  <c r="H29" i="136"/>
  <c r="F29" i="136"/>
  <c r="E29" i="136"/>
  <c r="D29" i="136"/>
  <c r="N28" i="136"/>
  <c r="M28" i="136"/>
  <c r="L28" i="136"/>
  <c r="J28" i="136"/>
  <c r="I28" i="136"/>
  <c r="H28" i="136"/>
  <c r="F28" i="136"/>
  <c r="E28" i="136"/>
  <c r="G28" i="136" s="1"/>
  <c r="D28" i="136"/>
  <c r="N27" i="136"/>
  <c r="M27" i="136"/>
  <c r="L27" i="136"/>
  <c r="J27" i="136"/>
  <c r="I27" i="136"/>
  <c r="H27" i="136"/>
  <c r="F27" i="136"/>
  <c r="E27" i="136"/>
  <c r="D27" i="136"/>
  <c r="C27" i="136"/>
  <c r="N26" i="136"/>
  <c r="M26" i="136"/>
  <c r="L26" i="136"/>
  <c r="J26" i="136"/>
  <c r="I26" i="136"/>
  <c r="H26" i="136"/>
  <c r="F26" i="136"/>
  <c r="E26" i="136"/>
  <c r="D26" i="136"/>
  <c r="J25" i="136"/>
  <c r="F25" i="136"/>
  <c r="D25" i="136"/>
  <c r="C24" i="136"/>
  <c r="B24" i="136"/>
  <c r="F23" i="136"/>
  <c r="E23" i="136"/>
  <c r="D23" i="136"/>
  <c r="N22" i="136"/>
  <c r="M22" i="136"/>
  <c r="L22" i="136"/>
  <c r="J22" i="136"/>
  <c r="I22" i="136"/>
  <c r="H22" i="136"/>
  <c r="F22" i="136"/>
  <c r="E22" i="136"/>
  <c r="D22" i="136"/>
  <c r="N21" i="136"/>
  <c r="M21" i="136"/>
  <c r="L21" i="136"/>
  <c r="J21" i="136"/>
  <c r="I21" i="136"/>
  <c r="H21" i="136"/>
  <c r="F21" i="136"/>
  <c r="E21" i="136"/>
  <c r="D21" i="136"/>
  <c r="N20" i="136"/>
  <c r="M20" i="136"/>
  <c r="L20" i="136"/>
  <c r="J20" i="136"/>
  <c r="I20" i="136"/>
  <c r="H20" i="136"/>
  <c r="F20" i="136"/>
  <c r="E20" i="136"/>
  <c r="D20" i="136"/>
  <c r="C20" i="136"/>
  <c r="N19" i="136"/>
  <c r="M19" i="136"/>
  <c r="L19" i="136"/>
  <c r="J19" i="136"/>
  <c r="I19" i="136"/>
  <c r="H19" i="136"/>
  <c r="F19" i="136"/>
  <c r="E19" i="136"/>
  <c r="D19" i="136"/>
  <c r="J18" i="136"/>
  <c r="F18" i="136"/>
  <c r="D18" i="136"/>
  <c r="C17" i="136"/>
  <c r="B17" i="136"/>
  <c r="F16" i="136"/>
  <c r="E16" i="136"/>
  <c r="G16" i="136" s="1"/>
  <c r="D16" i="136"/>
  <c r="N15" i="136"/>
  <c r="M15" i="136"/>
  <c r="L15" i="136"/>
  <c r="J15" i="136"/>
  <c r="I15" i="136"/>
  <c r="H15" i="136"/>
  <c r="F15" i="136"/>
  <c r="E15" i="136"/>
  <c r="D15" i="136"/>
  <c r="N14" i="136"/>
  <c r="M14" i="136"/>
  <c r="L14" i="136"/>
  <c r="J14" i="136"/>
  <c r="I14" i="136"/>
  <c r="H14" i="136"/>
  <c r="F14" i="136"/>
  <c r="E14" i="136"/>
  <c r="D14" i="136"/>
  <c r="N13" i="136"/>
  <c r="M13" i="136"/>
  <c r="L13" i="136"/>
  <c r="J13" i="136"/>
  <c r="I13" i="136"/>
  <c r="K13" i="136" s="1"/>
  <c r="H13" i="136"/>
  <c r="F13" i="136"/>
  <c r="E13" i="136"/>
  <c r="D13" i="136"/>
  <c r="C13" i="136"/>
  <c r="N12" i="136"/>
  <c r="M12" i="136"/>
  <c r="L12" i="136"/>
  <c r="J12" i="136"/>
  <c r="I12" i="136"/>
  <c r="K12" i="136" s="1"/>
  <c r="H12" i="136"/>
  <c r="F12" i="136"/>
  <c r="E12" i="136"/>
  <c r="D12" i="136"/>
  <c r="J11" i="136"/>
  <c r="F11" i="136"/>
  <c r="D11" i="136"/>
  <c r="C10" i="136"/>
  <c r="B10" i="136"/>
  <c r="F9" i="136"/>
  <c r="E9" i="136"/>
  <c r="D9" i="136"/>
  <c r="N8" i="136"/>
  <c r="M8" i="136"/>
  <c r="O8" i="136" s="1"/>
  <c r="L8" i="136"/>
  <c r="J8" i="136"/>
  <c r="I8" i="136"/>
  <c r="H8" i="136"/>
  <c r="F8" i="136"/>
  <c r="E8" i="136"/>
  <c r="D8" i="136"/>
  <c r="N7" i="136"/>
  <c r="M7" i="136"/>
  <c r="L7" i="136"/>
  <c r="J7" i="136"/>
  <c r="I7" i="136"/>
  <c r="H7" i="136"/>
  <c r="F7" i="136"/>
  <c r="E7" i="136"/>
  <c r="D7" i="136"/>
  <c r="N6" i="136"/>
  <c r="M6" i="136"/>
  <c r="L6" i="136"/>
  <c r="J6" i="136"/>
  <c r="I6" i="136"/>
  <c r="H6" i="136"/>
  <c r="F6" i="136"/>
  <c r="E6" i="136"/>
  <c r="D6" i="136"/>
  <c r="C6" i="136"/>
  <c r="N5" i="136"/>
  <c r="M5" i="136"/>
  <c r="L5" i="136"/>
  <c r="J5" i="136"/>
  <c r="I5" i="136"/>
  <c r="H5" i="136"/>
  <c r="F5" i="136"/>
  <c r="E5" i="136"/>
  <c r="D5" i="136"/>
  <c r="K3" i="136"/>
  <c r="F3" i="136"/>
  <c r="C3" i="136"/>
  <c r="L2" i="136"/>
  <c r="C82" i="135"/>
  <c r="C83" i="135" s="1"/>
  <c r="L54" i="135" s="1"/>
  <c r="R75" i="135"/>
  <c r="Q75" i="135"/>
  <c r="P75" i="135"/>
  <c r="O75" i="135"/>
  <c r="N75" i="135"/>
  <c r="M75" i="135"/>
  <c r="L75" i="135"/>
  <c r="K75" i="135"/>
  <c r="J75" i="135"/>
  <c r="I75" i="135"/>
  <c r="H75" i="135"/>
  <c r="G75" i="135"/>
  <c r="F75" i="135"/>
  <c r="T71" i="135"/>
  <c r="S71" i="135"/>
  <c r="R71" i="135"/>
  <c r="Q71" i="135"/>
  <c r="P71" i="135"/>
  <c r="O71" i="135"/>
  <c r="N71" i="135"/>
  <c r="M71" i="135"/>
  <c r="L71" i="135"/>
  <c r="K71" i="135"/>
  <c r="J71" i="135"/>
  <c r="I71" i="135"/>
  <c r="H71" i="135"/>
  <c r="F71" i="135"/>
  <c r="E71" i="135"/>
  <c r="D71" i="135"/>
  <c r="U70" i="135"/>
  <c r="U69" i="135"/>
  <c r="U68" i="135"/>
  <c r="U67" i="135"/>
  <c r="U66" i="135"/>
  <c r="U65" i="135"/>
  <c r="G60" i="135"/>
  <c r="I4" i="135" s="1"/>
  <c r="J55" i="135"/>
  <c r="H55" i="135"/>
  <c r="D55" i="135"/>
  <c r="D53" i="135"/>
  <c r="L52" i="135"/>
  <c r="H52" i="135"/>
  <c r="D52" i="135"/>
  <c r="L51" i="135"/>
  <c r="H51" i="135"/>
  <c r="D51" i="135"/>
  <c r="L50" i="135"/>
  <c r="H50" i="135"/>
  <c r="D50" i="135"/>
  <c r="L49" i="135"/>
  <c r="H49" i="135"/>
  <c r="D49" i="135"/>
  <c r="J46" i="135"/>
  <c r="F46" i="135"/>
  <c r="D46" i="135"/>
  <c r="C45" i="135"/>
  <c r="B45" i="135"/>
  <c r="F44" i="135"/>
  <c r="E44" i="135"/>
  <c r="D44" i="135"/>
  <c r="N43" i="135"/>
  <c r="M43" i="135"/>
  <c r="L43" i="135"/>
  <c r="J43" i="135"/>
  <c r="I43" i="135"/>
  <c r="H43" i="135"/>
  <c r="F43" i="135"/>
  <c r="E43" i="135"/>
  <c r="D43" i="135"/>
  <c r="N42" i="135"/>
  <c r="M42" i="135"/>
  <c r="L42" i="135"/>
  <c r="J42" i="135"/>
  <c r="I42" i="135"/>
  <c r="H42" i="135"/>
  <c r="F42" i="135"/>
  <c r="E42" i="135"/>
  <c r="D42" i="135"/>
  <c r="N41" i="135"/>
  <c r="M41" i="135"/>
  <c r="L41" i="135"/>
  <c r="J41" i="135"/>
  <c r="I41" i="135"/>
  <c r="H41" i="135"/>
  <c r="F41" i="135"/>
  <c r="E41" i="135"/>
  <c r="D41" i="135"/>
  <c r="C41" i="135"/>
  <c r="N40" i="135"/>
  <c r="M40" i="135"/>
  <c r="L40" i="135"/>
  <c r="J40" i="135"/>
  <c r="I40" i="135"/>
  <c r="H40" i="135"/>
  <c r="F40" i="135"/>
  <c r="E40" i="135"/>
  <c r="D40" i="135"/>
  <c r="J39" i="135"/>
  <c r="F39" i="135"/>
  <c r="D39" i="135"/>
  <c r="C38" i="135"/>
  <c r="B38" i="135"/>
  <c r="F37" i="135"/>
  <c r="E37" i="135"/>
  <c r="D37" i="135"/>
  <c r="N36" i="135"/>
  <c r="M36" i="135"/>
  <c r="L36" i="135"/>
  <c r="J36" i="135"/>
  <c r="I36" i="135"/>
  <c r="H36" i="135"/>
  <c r="F36" i="135"/>
  <c r="E36" i="135"/>
  <c r="D36" i="135"/>
  <c r="N35" i="135"/>
  <c r="M35" i="135"/>
  <c r="L35" i="135"/>
  <c r="J35" i="135"/>
  <c r="I35" i="135"/>
  <c r="H35" i="135"/>
  <c r="F35" i="135"/>
  <c r="E35" i="135"/>
  <c r="D35" i="135"/>
  <c r="N34" i="135"/>
  <c r="M34" i="135"/>
  <c r="L34" i="135"/>
  <c r="J34" i="135"/>
  <c r="I34" i="135"/>
  <c r="H34" i="135"/>
  <c r="F34" i="135"/>
  <c r="E34" i="135"/>
  <c r="G34" i="135" s="1"/>
  <c r="D34" i="135"/>
  <c r="C34" i="135"/>
  <c r="N33" i="135"/>
  <c r="M33" i="135"/>
  <c r="L33" i="135"/>
  <c r="J33" i="135"/>
  <c r="I33" i="135"/>
  <c r="H33" i="135"/>
  <c r="F33" i="135"/>
  <c r="E33" i="135"/>
  <c r="D33" i="135"/>
  <c r="J32" i="135"/>
  <c r="F32" i="135"/>
  <c r="D32" i="135"/>
  <c r="C31" i="135"/>
  <c r="B31" i="135"/>
  <c r="F30" i="135"/>
  <c r="E30" i="135"/>
  <c r="D30" i="135"/>
  <c r="N29" i="135"/>
  <c r="M29" i="135"/>
  <c r="L29" i="135"/>
  <c r="J29" i="135"/>
  <c r="I29" i="135"/>
  <c r="H29" i="135"/>
  <c r="F29" i="135"/>
  <c r="E29" i="135"/>
  <c r="D29" i="135"/>
  <c r="N28" i="135"/>
  <c r="M28" i="135"/>
  <c r="L28" i="135"/>
  <c r="J28" i="135"/>
  <c r="I28" i="135"/>
  <c r="H28" i="135"/>
  <c r="F28" i="135"/>
  <c r="E28" i="135"/>
  <c r="D28" i="135"/>
  <c r="N27" i="135"/>
  <c r="M27" i="135"/>
  <c r="L27" i="135"/>
  <c r="J27" i="135"/>
  <c r="I27" i="135"/>
  <c r="H27" i="135"/>
  <c r="F27" i="135"/>
  <c r="E27" i="135"/>
  <c r="G27" i="135" s="1"/>
  <c r="D27" i="135"/>
  <c r="C27" i="135"/>
  <c r="N26" i="135"/>
  <c r="M26" i="135"/>
  <c r="L26" i="135"/>
  <c r="J26" i="135"/>
  <c r="I26" i="135"/>
  <c r="H26" i="135"/>
  <c r="F26" i="135"/>
  <c r="E26" i="135"/>
  <c r="D26" i="135"/>
  <c r="J25" i="135"/>
  <c r="F25" i="135"/>
  <c r="D25" i="135"/>
  <c r="C24" i="135"/>
  <c r="B24" i="135"/>
  <c r="F23" i="135"/>
  <c r="E23" i="135"/>
  <c r="G23" i="135" s="1"/>
  <c r="D23" i="135"/>
  <c r="N22" i="135"/>
  <c r="M22" i="135"/>
  <c r="L22" i="135"/>
  <c r="J22" i="135"/>
  <c r="I22" i="135"/>
  <c r="H22" i="135"/>
  <c r="F22" i="135"/>
  <c r="E22" i="135"/>
  <c r="G22" i="135" s="1"/>
  <c r="D22" i="135"/>
  <c r="N21" i="135"/>
  <c r="M21" i="135"/>
  <c r="L21" i="135"/>
  <c r="J21" i="135"/>
  <c r="I21" i="135"/>
  <c r="H21" i="135"/>
  <c r="F21" i="135"/>
  <c r="E21" i="135"/>
  <c r="D21" i="135"/>
  <c r="N20" i="135"/>
  <c r="M20" i="135"/>
  <c r="L20" i="135"/>
  <c r="J20" i="135"/>
  <c r="I20" i="135"/>
  <c r="K20" i="135" s="1"/>
  <c r="H20" i="135"/>
  <c r="F20" i="135"/>
  <c r="E20" i="135"/>
  <c r="D20" i="135"/>
  <c r="C20" i="135"/>
  <c r="N19" i="135"/>
  <c r="M19" i="135"/>
  <c r="L19" i="135"/>
  <c r="J19" i="135"/>
  <c r="I19" i="135"/>
  <c r="H19" i="135"/>
  <c r="F19" i="135"/>
  <c r="E19" i="135"/>
  <c r="D19" i="135"/>
  <c r="J18" i="135"/>
  <c r="F18" i="135"/>
  <c r="D18" i="135"/>
  <c r="C17" i="135"/>
  <c r="B17" i="135"/>
  <c r="F16" i="135"/>
  <c r="E16" i="135"/>
  <c r="D16" i="135"/>
  <c r="N15" i="135"/>
  <c r="M15" i="135"/>
  <c r="O15" i="135" s="1"/>
  <c r="L15" i="135"/>
  <c r="J15" i="135"/>
  <c r="I15" i="135"/>
  <c r="H15" i="135"/>
  <c r="F15" i="135"/>
  <c r="E15" i="135"/>
  <c r="G15" i="135" s="1"/>
  <c r="D15" i="135"/>
  <c r="N14" i="135"/>
  <c r="M14" i="135"/>
  <c r="L14" i="135"/>
  <c r="J14" i="135"/>
  <c r="I14" i="135"/>
  <c r="H14" i="135"/>
  <c r="F14" i="135"/>
  <c r="E14" i="135"/>
  <c r="D14" i="135"/>
  <c r="N13" i="135"/>
  <c r="M13" i="135"/>
  <c r="L13" i="135"/>
  <c r="J13" i="135"/>
  <c r="I13" i="135"/>
  <c r="H13" i="135"/>
  <c r="F13" i="135"/>
  <c r="E13" i="135"/>
  <c r="D13" i="135"/>
  <c r="C13" i="135"/>
  <c r="N12" i="135"/>
  <c r="M12" i="135"/>
  <c r="L12" i="135"/>
  <c r="J12" i="135"/>
  <c r="I12" i="135"/>
  <c r="H12" i="135"/>
  <c r="F12" i="135"/>
  <c r="E12" i="135"/>
  <c r="D12" i="135"/>
  <c r="J11" i="135"/>
  <c r="F11" i="135"/>
  <c r="D11" i="135"/>
  <c r="C10" i="135"/>
  <c r="B10" i="135"/>
  <c r="F9" i="135"/>
  <c r="E9" i="135"/>
  <c r="D9" i="135"/>
  <c r="N8" i="135"/>
  <c r="M8" i="135"/>
  <c r="L8" i="135"/>
  <c r="J8" i="135"/>
  <c r="I8" i="135"/>
  <c r="H8" i="135"/>
  <c r="F8" i="135"/>
  <c r="E8" i="135"/>
  <c r="D8" i="135"/>
  <c r="N7" i="135"/>
  <c r="M7" i="135"/>
  <c r="O7" i="135" s="1"/>
  <c r="L7" i="135"/>
  <c r="J7" i="135"/>
  <c r="I7" i="135"/>
  <c r="H7" i="135"/>
  <c r="F7" i="135"/>
  <c r="E7" i="135"/>
  <c r="D7" i="135"/>
  <c r="N6" i="135"/>
  <c r="M6" i="135"/>
  <c r="L6" i="135"/>
  <c r="J6" i="135"/>
  <c r="I6" i="135"/>
  <c r="H6" i="135"/>
  <c r="F6" i="135"/>
  <c r="E6" i="135"/>
  <c r="D6" i="135"/>
  <c r="C6" i="135"/>
  <c r="N5" i="135"/>
  <c r="M5" i="135"/>
  <c r="L5" i="135"/>
  <c r="J5" i="135"/>
  <c r="I5" i="135"/>
  <c r="H5" i="135"/>
  <c r="F5" i="135"/>
  <c r="E5" i="135"/>
  <c r="D5" i="135"/>
  <c r="K3" i="135"/>
  <c r="F3" i="135"/>
  <c r="C3" i="135"/>
  <c r="L2" i="135"/>
  <c r="C82" i="134"/>
  <c r="C83" i="134" s="1"/>
  <c r="L54" i="134" s="1"/>
  <c r="R75" i="134"/>
  <c r="Q75" i="134"/>
  <c r="P75" i="134"/>
  <c r="O75" i="134"/>
  <c r="N75" i="134"/>
  <c r="M75" i="134"/>
  <c r="L75" i="134"/>
  <c r="K75" i="134"/>
  <c r="J75" i="134"/>
  <c r="I75" i="134"/>
  <c r="H75" i="134"/>
  <c r="G75" i="134"/>
  <c r="F75" i="134"/>
  <c r="T71" i="134"/>
  <c r="S71" i="134"/>
  <c r="R71" i="134"/>
  <c r="Q71" i="134"/>
  <c r="P71" i="134"/>
  <c r="O71" i="134"/>
  <c r="N71" i="134"/>
  <c r="M71" i="134"/>
  <c r="L71" i="134"/>
  <c r="K71" i="134"/>
  <c r="J71" i="134"/>
  <c r="I71" i="134"/>
  <c r="H71" i="134"/>
  <c r="F71" i="134"/>
  <c r="E71" i="134"/>
  <c r="D71" i="134"/>
  <c r="U70" i="134"/>
  <c r="U69" i="134"/>
  <c r="U68" i="134"/>
  <c r="U67" i="134"/>
  <c r="U66" i="134"/>
  <c r="U65" i="134"/>
  <c r="G60" i="134"/>
  <c r="I4" i="134" s="1"/>
  <c r="J55" i="134"/>
  <c r="H55" i="134"/>
  <c r="D55" i="134"/>
  <c r="D53" i="134"/>
  <c r="L52" i="134"/>
  <c r="H52" i="134"/>
  <c r="D52" i="134"/>
  <c r="L51" i="134"/>
  <c r="H51" i="134"/>
  <c r="D51" i="134"/>
  <c r="L50" i="134"/>
  <c r="H50" i="134"/>
  <c r="D50" i="134"/>
  <c r="L49" i="134"/>
  <c r="H49" i="134"/>
  <c r="D49" i="134"/>
  <c r="J46" i="134"/>
  <c r="F46" i="134"/>
  <c r="D46" i="134"/>
  <c r="C45" i="134"/>
  <c r="B45" i="134"/>
  <c r="F44" i="134"/>
  <c r="E44" i="134"/>
  <c r="D44" i="134"/>
  <c r="N43" i="134"/>
  <c r="M43" i="134"/>
  <c r="L43" i="134"/>
  <c r="J43" i="134"/>
  <c r="I43" i="134"/>
  <c r="H43" i="134"/>
  <c r="F43" i="134"/>
  <c r="E43" i="134"/>
  <c r="G43" i="134" s="1"/>
  <c r="D43" i="134"/>
  <c r="N42" i="134"/>
  <c r="M42" i="134"/>
  <c r="L42" i="134"/>
  <c r="J42" i="134"/>
  <c r="I42" i="134"/>
  <c r="H42" i="134"/>
  <c r="F42" i="134"/>
  <c r="E42" i="134"/>
  <c r="D42" i="134"/>
  <c r="N41" i="134"/>
  <c r="M41" i="134"/>
  <c r="L41" i="134"/>
  <c r="J41" i="134"/>
  <c r="I41" i="134"/>
  <c r="H41" i="134"/>
  <c r="F41" i="134"/>
  <c r="E41" i="134"/>
  <c r="D41" i="134"/>
  <c r="C41" i="134"/>
  <c r="N40" i="134"/>
  <c r="M40" i="134"/>
  <c r="L40" i="134"/>
  <c r="J40" i="134"/>
  <c r="I40" i="134"/>
  <c r="H40" i="134"/>
  <c r="F40" i="134"/>
  <c r="E40" i="134"/>
  <c r="D40" i="134"/>
  <c r="J39" i="134"/>
  <c r="F39" i="134"/>
  <c r="D39" i="134"/>
  <c r="C38" i="134"/>
  <c r="B38" i="134"/>
  <c r="F37" i="134"/>
  <c r="E37" i="134"/>
  <c r="D37" i="134"/>
  <c r="N36" i="134"/>
  <c r="M36" i="134"/>
  <c r="L36" i="134"/>
  <c r="J36" i="134"/>
  <c r="I36" i="134"/>
  <c r="H36" i="134"/>
  <c r="F36" i="134"/>
  <c r="E36" i="134"/>
  <c r="G36" i="134" s="1"/>
  <c r="D36" i="134"/>
  <c r="N35" i="134"/>
  <c r="M35" i="134"/>
  <c r="L35" i="134"/>
  <c r="J35" i="134"/>
  <c r="I35" i="134"/>
  <c r="H35" i="134"/>
  <c r="F35" i="134"/>
  <c r="E35" i="134"/>
  <c r="D35" i="134"/>
  <c r="N34" i="134"/>
  <c r="M34" i="134"/>
  <c r="L34" i="134"/>
  <c r="J34" i="134"/>
  <c r="I34" i="134"/>
  <c r="H34" i="134"/>
  <c r="F34" i="134"/>
  <c r="E34" i="134"/>
  <c r="D34" i="134"/>
  <c r="C34" i="134"/>
  <c r="N33" i="134"/>
  <c r="M33" i="134"/>
  <c r="L33" i="134"/>
  <c r="J33" i="134"/>
  <c r="I33" i="134"/>
  <c r="H33" i="134"/>
  <c r="F33" i="134"/>
  <c r="E33" i="134"/>
  <c r="D33" i="134"/>
  <c r="J32" i="134"/>
  <c r="F32" i="134"/>
  <c r="D32" i="134"/>
  <c r="C31" i="134"/>
  <c r="B31" i="134"/>
  <c r="F30" i="134"/>
  <c r="E30" i="134"/>
  <c r="D30" i="134"/>
  <c r="N29" i="134"/>
  <c r="M29" i="134"/>
  <c r="L29" i="134"/>
  <c r="J29" i="134"/>
  <c r="I29" i="134"/>
  <c r="K29" i="134" s="1"/>
  <c r="H29" i="134"/>
  <c r="F29" i="134"/>
  <c r="E29" i="134"/>
  <c r="D29" i="134"/>
  <c r="N28" i="134"/>
  <c r="M28" i="134"/>
  <c r="O28" i="134" s="1"/>
  <c r="L28" i="134"/>
  <c r="J28" i="134"/>
  <c r="I28" i="134"/>
  <c r="H28" i="134"/>
  <c r="F28" i="134"/>
  <c r="E28" i="134"/>
  <c r="D28" i="134"/>
  <c r="N27" i="134"/>
  <c r="M27" i="134"/>
  <c r="L27" i="134"/>
  <c r="J27" i="134"/>
  <c r="I27" i="134"/>
  <c r="H27" i="134"/>
  <c r="F27" i="134"/>
  <c r="E27" i="134"/>
  <c r="D27" i="134"/>
  <c r="C27" i="134"/>
  <c r="N26" i="134"/>
  <c r="M26" i="134"/>
  <c r="L26" i="134"/>
  <c r="J26" i="134"/>
  <c r="I26" i="134"/>
  <c r="H26" i="134"/>
  <c r="F26" i="134"/>
  <c r="E26" i="134"/>
  <c r="D26" i="134"/>
  <c r="J25" i="134"/>
  <c r="F25" i="134"/>
  <c r="D25" i="134"/>
  <c r="C24" i="134"/>
  <c r="B24" i="134"/>
  <c r="F23" i="134"/>
  <c r="E23" i="134"/>
  <c r="D23" i="134"/>
  <c r="N22" i="134"/>
  <c r="M22" i="134"/>
  <c r="L22" i="134"/>
  <c r="J22" i="134"/>
  <c r="I22" i="134"/>
  <c r="H22" i="134"/>
  <c r="F22" i="134"/>
  <c r="E22" i="134"/>
  <c r="G22" i="134" s="1"/>
  <c r="D22" i="134"/>
  <c r="N21" i="134"/>
  <c r="M21" i="134"/>
  <c r="L21" i="134"/>
  <c r="J21" i="134"/>
  <c r="I21" i="134"/>
  <c r="K21" i="134" s="1"/>
  <c r="H21" i="134"/>
  <c r="F21" i="134"/>
  <c r="E21" i="134"/>
  <c r="D21" i="134"/>
  <c r="N20" i="134"/>
  <c r="M20" i="134"/>
  <c r="L20" i="134"/>
  <c r="J20" i="134"/>
  <c r="I20" i="134"/>
  <c r="H20" i="134"/>
  <c r="F20" i="134"/>
  <c r="E20" i="134"/>
  <c r="D20" i="134"/>
  <c r="C20" i="134"/>
  <c r="N19" i="134"/>
  <c r="M19" i="134"/>
  <c r="L19" i="134"/>
  <c r="J19" i="134"/>
  <c r="I19" i="134"/>
  <c r="H19" i="134"/>
  <c r="F19" i="134"/>
  <c r="E19" i="134"/>
  <c r="D19" i="134"/>
  <c r="J18" i="134"/>
  <c r="F18" i="134"/>
  <c r="D18" i="134"/>
  <c r="C17" i="134"/>
  <c r="B17" i="134"/>
  <c r="F16" i="134"/>
  <c r="E16" i="134"/>
  <c r="D16" i="134"/>
  <c r="N15" i="134"/>
  <c r="M15" i="134"/>
  <c r="L15" i="134"/>
  <c r="J15" i="134"/>
  <c r="I15" i="134"/>
  <c r="H15" i="134"/>
  <c r="F15" i="134"/>
  <c r="E15" i="134"/>
  <c r="D15" i="134"/>
  <c r="N14" i="134"/>
  <c r="M14" i="134"/>
  <c r="L14" i="134"/>
  <c r="J14" i="134"/>
  <c r="I14" i="134"/>
  <c r="H14" i="134"/>
  <c r="F14" i="134"/>
  <c r="E14" i="134"/>
  <c r="G14" i="134" s="1"/>
  <c r="D14" i="134"/>
  <c r="N13" i="134"/>
  <c r="M13" i="134"/>
  <c r="L13" i="134"/>
  <c r="J13" i="134"/>
  <c r="I13" i="134"/>
  <c r="H13" i="134"/>
  <c r="F13" i="134"/>
  <c r="E13" i="134"/>
  <c r="D13" i="134"/>
  <c r="C13" i="134"/>
  <c r="N12" i="134"/>
  <c r="M12" i="134"/>
  <c r="L12" i="134"/>
  <c r="J12" i="134"/>
  <c r="I12" i="134"/>
  <c r="H12" i="134"/>
  <c r="F12" i="134"/>
  <c r="E12" i="134"/>
  <c r="D12" i="134"/>
  <c r="J11" i="134"/>
  <c r="F11" i="134"/>
  <c r="D11" i="134"/>
  <c r="C10" i="134"/>
  <c r="B10" i="134"/>
  <c r="F9" i="134"/>
  <c r="E9" i="134"/>
  <c r="D9" i="134"/>
  <c r="N8" i="134"/>
  <c r="M8" i="134"/>
  <c r="L8" i="134"/>
  <c r="J8" i="134"/>
  <c r="I8" i="134"/>
  <c r="H8" i="134"/>
  <c r="F8" i="134"/>
  <c r="E8" i="134"/>
  <c r="D8" i="134"/>
  <c r="N7" i="134"/>
  <c r="M7" i="134"/>
  <c r="L7" i="134"/>
  <c r="J7" i="134"/>
  <c r="I7" i="134"/>
  <c r="H7" i="134"/>
  <c r="F7" i="134"/>
  <c r="E7" i="134"/>
  <c r="D7" i="134"/>
  <c r="N6" i="134"/>
  <c r="M6" i="134"/>
  <c r="O6" i="134" s="1"/>
  <c r="L6" i="134"/>
  <c r="J6" i="134"/>
  <c r="I6" i="134"/>
  <c r="K6" i="134" s="1"/>
  <c r="H6" i="134"/>
  <c r="F6" i="134"/>
  <c r="E6" i="134"/>
  <c r="D6" i="134"/>
  <c r="C6" i="134"/>
  <c r="N5" i="134"/>
  <c r="M5" i="134"/>
  <c r="L5" i="134"/>
  <c r="J5" i="134"/>
  <c r="I5" i="134"/>
  <c r="H5" i="134"/>
  <c r="F5" i="134"/>
  <c r="E5" i="134"/>
  <c r="D5" i="134"/>
  <c r="K3" i="134"/>
  <c r="F3" i="134"/>
  <c r="C3" i="134"/>
  <c r="L2" i="134"/>
  <c r="C82" i="133"/>
  <c r="C83" i="133" s="1"/>
  <c r="L54" i="133" s="1"/>
  <c r="R75" i="133"/>
  <c r="Q75" i="133"/>
  <c r="P75" i="133"/>
  <c r="O75" i="133"/>
  <c r="N75" i="133"/>
  <c r="M75" i="133"/>
  <c r="L75" i="133"/>
  <c r="K75" i="133"/>
  <c r="J75" i="133"/>
  <c r="I75" i="133"/>
  <c r="H75" i="133"/>
  <c r="G75" i="133"/>
  <c r="F75" i="133"/>
  <c r="T71" i="133"/>
  <c r="S71" i="133"/>
  <c r="R71" i="133"/>
  <c r="Q71" i="133"/>
  <c r="P71" i="133"/>
  <c r="O71" i="133"/>
  <c r="N71" i="133"/>
  <c r="M71" i="133"/>
  <c r="L71" i="133"/>
  <c r="K71" i="133"/>
  <c r="J71" i="133"/>
  <c r="I71" i="133"/>
  <c r="H71" i="133"/>
  <c r="F71" i="133"/>
  <c r="E71" i="133"/>
  <c r="D71" i="133"/>
  <c r="U70" i="133"/>
  <c r="U69" i="133"/>
  <c r="U68" i="133"/>
  <c r="U67" i="133"/>
  <c r="U66" i="133"/>
  <c r="U65" i="133"/>
  <c r="G60" i="133"/>
  <c r="I4" i="133" s="1"/>
  <c r="J55" i="133"/>
  <c r="H55" i="133"/>
  <c r="D55" i="133"/>
  <c r="D53" i="133"/>
  <c r="L52" i="133"/>
  <c r="H52" i="133"/>
  <c r="D52" i="133"/>
  <c r="L51" i="133"/>
  <c r="H51" i="133"/>
  <c r="D51" i="133"/>
  <c r="L50" i="133"/>
  <c r="H50" i="133"/>
  <c r="D50" i="133"/>
  <c r="L49" i="133"/>
  <c r="H49" i="133"/>
  <c r="D49" i="133"/>
  <c r="J46" i="133"/>
  <c r="F46" i="133"/>
  <c r="D46" i="133"/>
  <c r="C45" i="133"/>
  <c r="B45" i="133"/>
  <c r="F44" i="133"/>
  <c r="E44" i="133"/>
  <c r="D44" i="133"/>
  <c r="N43" i="133"/>
  <c r="M43" i="133"/>
  <c r="L43" i="133"/>
  <c r="J43" i="133"/>
  <c r="I43" i="133"/>
  <c r="H43" i="133"/>
  <c r="F43" i="133"/>
  <c r="E43" i="133"/>
  <c r="G43" i="133" s="1"/>
  <c r="D43" i="133"/>
  <c r="N42" i="133"/>
  <c r="M42" i="133"/>
  <c r="L42" i="133"/>
  <c r="J42" i="133"/>
  <c r="I42" i="133"/>
  <c r="H42" i="133"/>
  <c r="F42" i="133"/>
  <c r="E42" i="133"/>
  <c r="D42" i="133"/>
  <c r="N41" i="133"/>
  <c r="M41" i="133"/>
  <c r="L41" i="133"/>
  <c r="J41" i="133"/>
  <c r="I41" i="133"/>
  <c r="H41" i="133"/>
  <c r="F41" i="133"/>
  <c r="E41" i="133"/>
  <c r="D41" i="133"/>
  <c r="C41" i="133"/>
  <c r="N40" i="133"/>
  <c r="M40" i="133"/>
  <c r="L40" i="133"/>
  <c r="J40" i="133"/>
  <c r="I40" i="133"/>
  <c r="H40" i="133"/>
  <c r="F40" i="133"/>
  <c r="E40" i="133"/>
  <c r="D40" i="133"/>
  <c r="J39" i="133"/>
  <c r="F39" i="133"/>
  <c r="D39" i="133"/>
  <c r="C38" i="133"/>
  <c r="B38" i="133"/>
  <c r="F37" i="133"/>
  <c r="E37" i="133"/>
  <c r="D37" i="133"/>
  <c r="N36" i="133"/>
  <c r="M36" i="133"/>
  <c r="L36" i="133"/>
  <c r="J36" i="133"/>
  <c r="I36" i="133"/>
  <c r="H36" i="133"/>
  <c r="F36" i="133"/>
  <c r="E36" i="133"/>
  <c r="D36" i="133"/>
  <c r="N35" i="133"/>
  <c r="M35" i="133"/>
  <c r="O35" i="133" s="1"/>
  <c r="L35" i="133"/>
  <c r="J35" i="133"/>
  <c r="I35" i="133"/>
  <c r="H35" i="133"/>
  <c r="F35" i="133"/>
  <c r="E35" i="133"/>
  <c r="D35" i="133"/>
  <c r="N34" i="133"/>
  <c r="M34" i="133"/>
  <c r="L34" i="133"/>
  <c r="J34" i="133"/>
  <c r="I34" i="133"/>
  <c r="H34" i="133"/>
  <c r="F34" i="133"/>
  <c r="E34" i="133"/>
  <c r="D34" i="133"/>
  <c r="C34" i="133"/>
  <c r="N33" i="133"/>
  <c r="M33" i="133"/>
  <c r="L33" i="133"/>
  <c r="J33" i="133"/>
  <c r="I33" i="133"/>
  <c r="H33" i="133"/>
  <c r="F33" i="133"/>
  <c r="E33" i="133"/>
  <c r="D33" i="133"/>
  <c r="J32" i="133"/>
  <c r="F32" i="133"/>
  <c r="D32" i="133"/>
  <c r="C31" i="133"/>
  <c r="B31" i="133"/>
  <c r="F30" i="133"/>
  <c r="E30" i="133"/>
  <c r="D30" i="133"/>
  <c r="N29" i="133"/>
  <c r="M29" i="133"/>
  <c r="L29" i="133"/>
  <c r="J29" i="133"/>
  <c r="I29" i="133"/>
  <c r="H29" i="133"/>
  <c r="F29" i="133"/>
  <c r="E29" i="133"/>
  <c r="D29" i="133"/>
  <c r="N28" i="133"/>
  <c r="M28" i="133"/>
  <c r="L28" i="133"/>
  <c r="J28" i="133"/>
  <c r="I28" i="133"/>
  <c r="K28" i="133" s="1"/>
  <c r="H28" i="133"/>
  <c r="F28" i="133"/>
  <c r="E28" i="133"/>
  <c r="D28" i="133"/>
  <c r="N27" i="133"/>
  <c r="M27" i="133"/>
  <c r="L27" i="133"/>
  <c r="J27" i="133"/>
  <c r="I27" i="133"/>
  <c r="H27" i="133"/>
  <c r="F27" i="133"/>
  <c r="E27" i="133"/>
  <c r="D27" i="133"/>
  <c r="C27" i="133"/>
  <c r="N26" i="133"/>
  <c r="M26" i="133"/>
  <c r="O26" i="133" s="1"/>
  <c r="L26" i="133"/>
  <c r="J26" i="133"/>
  <c r="I26" i="133"/>
  <c r="H26" i="133"/>
  <c r="F26" i="133"/>
  <c r="E26" i="133"/>
  <c r="D26" i="133"/>
  <c r="J25" i="133"/>
  <c r="F25" i="133"/>
  <c r="D25" i="133"/>
  <c r="C24" i="133"/>
  <c r="B24" i="133"/>
  <c r="F23" i="133"/>
  <c r="E23" i="133"/>
  <c r="D23" i="133"/>
  <c r="N22" i="133"/>
  <c r="M22" i="133"/>
  <c r="L22" i="133"/>
  <c r="J22" i="133"/>
  <c r="I22" i="133"/>
  <c r="H22" i="133"/>
  <c r="F22" i="133"/>
  <c r="E22" i="133"/>
  <c r="D22" i="133"/>
  <c r="N21" i="133"/>
  <c r="M21" i="133"/>
  <c r="L21" i="133"/>
  <c r="J21" i="133"/>
  <c r="I21" i="133"/>
  <c r="H21" i="133"/>
  <c r="F21" i="133"/>
  <c r="E21" i="133"/>
  <c r="G21" i="133" s="1"/>
  <c r="D21" i="133"/>
  <c r="N20" i="133"/>
  <c r="M20" i="133"/>
  <c r="L20" i="133"/>
  <c r="J20" i="133"/>
  <c r="I20" i="133"/>
  <c r="H20" i="133"/>
  <c r="F20" i="133"/>
  <c r="E20" i="133"/>
  <c r="D20" i="133"/>
  <c r="C20" i="133"/>
  <c r="N19" i="133"/>
  <c r="M19" i="133"/>
  <c r="O19" i="133" s="1"/>
  <c r="L19" i="133"/>
  <c r="J19" i="133"/>
  <c r="I19" i="133"/>
  <c r="K19" i="133" s="1"/>
  <c r="H19" i="133"/>
  <c r="F19" i="133"/>
  <c r="E19" i="133"/>
  <c r="D19" i="133"/>
  <c r="J18" i="133"/>
  <c r="F18" i="133"/>
  <c r="D18" i="133"/>
  <c r="C17" i="133"/>
  <c r="B17" i="133"/>
  <c r="F16" i="133"/>
  <c r="E16" i="133"/>
  <c r="D16" i="133"/>
  <c r="N15" i="133"/>
  <c r="M15" i="133"/>
  <c r="L15" i="133"/>
  <c r="J15" i="133"/>
  <c r="I15" i="133"/>
  <c r="H15" i="133"/>
  <c r="F15" i="133"/>
  <c r="E15" i="133"/>
  <c r="D15" i="133"/>
  <c r="N14" i="133"/>
  <c r="M14" i="133"/>
  <c r="L14" i="133"/>
  <c r="J14" i="133"/>
  <c r="I14" i="133"/>
  <c r="H14" i="133"/>
  <c r="F14" i="133"/>
  <c r="E14" i="133"/>
  <c r="G14" i="133" s="1"/>
  <c r="D14" i="133"/>
  <c r="N13" i="133"/>
  <c r="M13" i="133"/>
  <c r="O13" i="133" s="1"/>
  <c r="L13" i="133"/>
  <c r="J13" i="133"/>
  <c r="I13" i="133"/>
  <c r="H13" i="133"/>
  <c r="F13" i="133"/>
  <c r="E13" i="133"/>
  <c r="D13" i="133"/>
  <c r="C13" i="133"/>
  <c r="N12" i="133"/>
  <c r="M12" i="133"/>
  <c r="L12" i="133"/>
  <c r="J12" i="133"/>
  <c r="I12" i="133"/>
  <c r="H12" i="133"/>
  <c r="F12" i="133"/>
  <c r="E12" i="133"/>
  <c r="D12" i="133"/>
  <c r="J11" i="133"/>
  <c r="F11" i="133"/>
  <c r="D11" i="133"/>
  <c r="C10" i="133"/>
  <c r="B10" i="133"/>
  <c r="F9" i="133"/>
  <c r="E9" i="133"/>
  <c r="D9" i="133"/>
  <c r="N8" i="133"/>
  <c r="M8" i="133"/>
  <c r="L8" i="133"/>
  <c r="J8" i="133"/>
  <c r="I8" i="133"/>
  <c r="H8" i="133"/>
  <c r="F8" i="133"/>
  <c r="E8" i="133"/>
  <c r="D8" i="133"/>
  <c r="N7" i="133"/>
  <c r="M7" i="133"/>
  <c r="L7" i="133"/>
  <c r="J7" i="133"/>
  <c r="I7" i="133"/>
  <c r="H7" i="133"/>
  <c r="F7" i="133"/>
  <c r="E7" i="133"/>
  <c r="D7" i="133"/>
  <c r="N6" i="133"/>
  <c r="M6" i="133"/>
  <c r="L6" i="133"/>
  <c r="J6" i="133"/>
  <c r="I6" i="133"/>
  <c r="H6" i="133"/>
  <c r="F6" i="133"/>
  <c r="E6" i="133"/>
  <c r="D6" i="133"/>
  <c r="C6" i="133"/>
  <c r="N5" i="133"/>
  <c r="M5" i="133"/>
  <c r="L5" i="133"/>
  <c r="J5" i="133"/>
  <c r="I5" i="133"/>
  <c r="H5" i="133"/>
  <c r="F5" i="133"/>
  <c r="E5" i="133"/>
  <c r="D5" i="133"/>
  <c r="K3" i="133"/>
  <c r="F3" i="133"/>
  <c r="C3" i="133"/>
  <c r="L2" i="133"/>
  <c r="C82" i="132"/>
  <c r="C83" i="132" s="1"/>
  <c r="L54" i="132" s="1"/>
  <c r="R75" i="132"/>
  <c r="Q75" i="132"/>
  <c r="P75" i="132"/>
  <c r="O75" i="132"/>
  <c r="N75" i="132"/>
  <c r="M75" i="132"/>
  <c r="L75" i="132"/>
  <c r="K75" i="132"/>
  <c r="J75" i="132"/>
  <c r="I75" i="132"/>
  <c r="H75" i="132"/>
  <c r="G75" i="132"/>
  <c r="F75" i="132"/>
  <c r="T71" i="132"/>
  <c r="S71" i="132"/>
  <c r="R71" i="132"/>
  <c r="Q71" i="132"/>
  <c r="P71" i="132"/>
  <c r="O71" i="132"/>
  <c r="N71" i="132"/>
  <c r="M71" i="132"/>
  <c r="L71" i="132"/>
  <c r="K71" i="132"/>
  <c r="J71" i="132"/>
  <c r="I71" i="132"/>
  <c r="H71" i="132"/>
  <c r="F71" i="132"/>
  <c r="E71" i="132"/>
  <c r="D71" i="132"/>
  <c r="U70" i="132"/>
  <c r="U69" i="132"/>
  <c r="U68" i="132"/>
  <c r="U67" i="132"/>
  <c r="U66" i="132"/>
  <c r="U65" i="132"/>
  <c r="G60" i="132"/>
  <c r="I4" i="132" s="1"/>
  <c r="J55" i="132"/>
  <c r="H55" i="132"/>
  <c r="D55" i="132"/>
  <c r="D53" i="132"/>
  <c r="L52" i="132"/>
  <c r="H52" i="132"/>
  <c r="D52" i="132"/>
  <c r="L51" i="132"/>
  <c r="H51" i="132"/>
  <c r="D51" i="132"/>
  <c r="L50" i="132"/>
  <c r="H50" i="132"/>
  <c r="D50" i="132"/>
  <c r="L49" i="132"/>
  <c r="H49" i="132"/>
  <c r="D49" i="132"/>
  <c r="J46" i="132"/>
  <c r="F46" i="132"/>
  <c r="D46" i="132"/>
  <c r="C45" i="132"/>
  <c r="B45" i="132"/>
  <c r="F44" i="132"/>
  <c r="E44" i="132"/>
  <c r="D44" i="132"/>
  <c r="N43" i="132"/>
  <c r="M43" i="132"/>
  <c r="L43" i="132"/>
  <c r="J43" i="132"/>
  <c r="I43" i="132"/>
  <c r="H43" i="132"/>
  <c r="F43" i="132"/>
  <c r="E43" i="132"/>
  <c r="D43" i="132"/>
  <c r="N42" i="132"/>
  <c r="M42" i="132"/>
  <c r="L42" i="132"/>
  <c r="J42" i="132"/>
  <c r="I42" i="132"/>
  <c r="H42" i="132"/>
  <c r="F42" i="132"/>
  <c r="E42" i="132"/>
  <c r="D42" i="132"/>
  <c r="N41" i="132"/>
  <c r="M41" i="132"/>
  <c r="L41" i="132"/>
  <c r="J41" i="132"/>
  <c r="I41" i="132"/>
  <c r="H41" i="132"/>
  <c r="F41" i="132"/>
  <c r="E41" i="132"/>
  <c r="D41" i="132"/>
  <c r="C41" i="132"/>
  <c r="N40" i="132"/>
  <c r="M40" i="132"/>
  <c r="L40" i="132"/>
  <c r="J40" i="132"/>
  <c r="I40" i="132"/>
  <c r="H40" i="132"/>
  <c r="F40" i="132"/>
  <c r="E40" i="132"/>
  <c r="D40" i="132"/>
  <c r="J39" i="132"/>
  <c r="F39" i="132"/>
  <c r="D39" i="132"/>
  <c r="C38" i="132"/>
  <c r="B38" i="132"/>
  <c r="F37" i="132"/>
  <c r="E37" i="132"/>
  <c r="D37" i="132"/>
  <c r="N36" i="132"/>
  <c r="M36" i="132"/>
  <c r="L36" i="132"/>
  <c r="J36" i="132"/>
  <c r="I36" i="132"/>
  <c r="H36" i="132"/>
  <c r="F36" i="132"/>
  <c r="E36" i="132"/>
  <c r="D36" i="132"/>
  <c r="N35" i="132"/>
  <c r="M35" i="132"/>
  <c r="L35" i="132"/>
  <c r="J35" i="132"/>
  <c r="I35" i="132"/>
  <c r="H35" i="132"/>
  <c r="F35" i="132"/>
  <c r="E35" i="132"/>
  <c r="D35" i="132"/>
  <c r="N34" i="132"/>
  <c r="M34" i="132"/>
  <c r="L34" i="132"/>
  <c r="J34" i="132"/>
  <c r="I34" i="132"/>
  <c r="H34" i="132"/>
  <c r="F34" i="132"/>
  <c r="E34" i="132"/>
  <c r="D34" i="132"/>
  <c r="C34" i="132"/>
  <c r="N33" i="132"/>
  <c r="M33" i="132"/>
  <c r="L33" i="132"/>
  <c r="J33" i="132"/>
  <c r="I33" i="132"/>
  <c r="H33" i="132"/>
  <c r="F33" i="132"/>
  <c r="E33" i="132"/>
  <c r="G33" i="132" s="1"/>
  <c r="D33" i="132"/>
  <c r="J32" i="132"/>
  <c r="F32" i="132"/>
  <c r="D32" i="132"/>
  <c r="C31" i="132"/>
  <c r="B31" i="132"/>
  <c r="F30" i="132"/>
  <c r="E30" i="132"/>
  <c r="G30" i="132" s="1"/>
  <c r="D30" i="132"/>
  <c r="N29" i="132"/>
  <c r="M29" i="132"/>
  <c r="L29" i="132"/>
  <c r="J29" i="132"/>
  <c r="I29" i="132"/>
  <c r="H29" i="132"/>
  <c r="F29" i="132"/>
  <c r="E29" i="132"/>
  <c r="D29" i="132"/>
  <c r="N28" i="132"/>
  <c r="M28" i="132"/>
  <c r="L28" i="132"/>
  <c r="J28" i="132"/>
  <c r="I28" i="132"/>
  <c r="H28" i="132"/>
  <c r="F28" i="132"/>
  <c r="E28" i="132"/>
  <c r="D28" i="132"/>
  <c r="N27" i="132"/>
  <c r="M27" i="132"/>
  <c r="L27" i="132"/>
  <c r="J27" i="132"/>
  <c r="I27" i="132"/>
  <c r="K27" i="132" s="1"/>
  <c r="H27" i="132"/>
  <c r="F27" i="132"/>
  <c r="E27" i="132"/>
  <c r="D27" i="132"/>
  <c r="C27" i="132"/>
  <c r="N26" i="132"/>
  <c r="M26" i="132"/>
  <c r="L26" i="132"/>
  <c r="J26" i="132"/>
  <c r="I26" i="132"/>
  <c r="H26" i="132"/>
  <c r="F26" i="132"/>
  <c r="E26" i="132"/>
  <c r="D26" i="132"/>
  <c r="J25" i="132"/>
  <c r="F25" i="132"/>
  <c r="D25" i="132"/>
  <c r="C24" i="132"/>
  <c r="B24" i="132"/>
  <c r="F23" i="132"/>
  <c r="E23" i="132"/>
  <c r="D23" i="132"/>
  <c r="N22" i="132"/>
  <c r="M22" i="132"/>
  <c r="O22" i="132" s="1"/>
  <c r="L22" i="132"/>
  <c r="J22" i="132"/>
  <c r="I22" i="132"/>
  <c r="H22" i="132"/>
  <c r="F22" i="132"/>
  <c r="E22" i="132"/>
  <c r="D22" i="132"/>
  <c r="N21" i="132"/>
  <c r="M21" i="132"/>
  <c r="L21" i="132"/>
  <c r="J21" i="132"/>
  <c r="I21" i="132"/>
  <c r="H21" i="132"/>
  <c r="F21" i="132"/>
  <c r="E21" i="132"/>
  <c r="G21" i="132" s="1"/>
  <c r="D21" i="132"/>
  <c r="N20" i="132"/>
  <c r="M20" i="132"/>
  <c r="L20" i="132"/>
  <c r="J20" i="132"/>
  <c r="I20" i="132"/>
  <c r="H20" i="132"/>
  <c r="F20" i="132"/>
  <c r="E20" i="132"/>
  <c r="D20" i="132"/>
  <c r="C20" i="132"/>
  <c r="N19" i="132"/>
  <c r="M19" i="132"/>
  <c r="L19" i="132"/>
  <c r="J19" i="132"/>
  <c r="I19" i="132"/>
  <c r="K19" i="132" s="1"/>
  <c r="H19" i="132"/>
  <c r="F19" i="132"/>
  <c r="E19" i="132"/>
  <c r="D19" i="132"/>
  <c r="J18" i="132"/>
  <c r="F18" i="132"/>
  <c r="D18" i="132"/>
  <c r="C17" i="132"/>
  <c r="B17" i="132"/>
  <c r="F16" i="132"/>
  <c r="E16" i="132"/>
  <c r="D16" i="132"/>
  <c r="N15" i="132"/>
  <c r="M15" i="132"/>
  <c r="L15" i="132"/>
  <c r="J15" i="132"/>
  <c r="I15" i="132"/>
  <c r="K15" i="132" s="1"/>
  <c r="H15" i="132"/>
  <c r="F15" i="132"/>
  <c r="E15" i="132"/>
  <c r="D15" i="132"/>
  <c r="N14" i="132"/>
  <c r="M14" i="132"/>
  <c r="L14" i="132"/>
  <c r="J14" i="132"/>
  <c r="I14" i="132"/>
  <c r="H14" i="132"/>
  <c r="F14" i="132"/>
  <c r="E14" i="132"/>
  <c r="D14" i="132"/>
  <c r="N13" i="132"/>
  <c r="M13" i="132"/>
  <c r="L13" i="132"/>
  <c r="J13" i="132"/>
  <c r="I13" i="132"/>
  <c r="H13" i="132"/>
  <c r="F13" i="132"/>
  <c r="E13" i="132"/>
  <c r="D13" i="132"/>
  <c r="C13" i="132"/>
  <c r="N12" i="132"/>
  <c r="M12" i="132"/>
  <c r="L12" i="132"/>
  <c r="J12" i="132"/>
  <c r="I12" i="132"/>
  <c r="H12" i="132"/>
  <c r="F12" i="132"/>
  <c r="E12" i="132"/>
  <c r="D12" i="132"/>
  <c r="J11" i="132"/>
  <c r="F11" i="132"/>
  <c r="D11" i="132"/>
  <c r="C10" i="132"/>
  <c r="B10" i="132"/>
  <c r="F9" i="132"/>
  <c r="E9" i="132"/>
  <c r="D9" i="132"/>
  <c r="N8" i="132"/>
  <c r="M8" i="132"/>
  <c r="L8" i="132"/>
  <c r="J8" i="132"/>
  <c r="I8" i="132"/>
  <c r="H8" i="132"/>
  <c r="F8" i="132"/>
  <c r="E8" i="132"/>
  <c r="G8" i="132" s="1"/>
  <c r="D8" i="132"/>
  <c r="N7" i="132"/>
  <c r="M7" i="132"/>
  <c r="L7" i="132"/>
  <c r="J7" i="132"/>
  <c r="I7" i="132"/>
  <c r="H7" i="132"/>
  <c r="F7" i="132"/>
  <c r="E7" i="132"/>
  <c r="D7" i="132"/>
  <c r="N6" i="132"/>
  <c r="M6" i="132"/>
  <c r="L6" i="132"/>
  <c r="J6" i="132"/>
  <c r="I6" i="132"/>
  <c r="H6" i="132"/>
  <c r="F6" i="132"/>
  <c r="E6" i="132"/>
  <c r="D6" i="132"/>
  <c r="C6" i="132"/>
  <c r="N5" i="132"/>
  <c r="M5" i="132"/>
  <c r="L5" i="132"/>
  <c r="J5" i="132"/>
  <c r="I5" i="132"/>
  <c r="H5" i="132"/>
  <c r="F5" i="132"/>
  <c r="E5" i="132"/>
  <c r="D5" i="132"/>
  <c r="K3" i="132"/>
  <c r="F3" i="132"/>
  <c r="C3" i="132"/>
  <c r="L2" i="132"/>
  <c r="C82" i="131"/>
  <c r="C83" i="131" s="1"/>
  <c r="L54" i="131" s="1"/>
  <c r="R75" i="131"/>
  <c r="Q75" i="131"/>
  <c r="P75" i="131"/>
  <c r="O75" i="131"/>
  <c r="N75" i="131"/>
  <c r="M75" i="131"/>
  <c r="L75" i="131"/>
  <c r="K75" i="131"/>
  <c r="J75" i="131"/>
  <c r="I75" i="131"/>
  <c r="H75" i="131"/>
  <c r="G75" i="131"/>
  <c r="F75" i="131"/>
  <c r="T71" i="131"/>
  <c r="S71" i="131"/>
  <c r="R71" i="131"/>
  <c r="Q71" i="131"/>
  <c r="P71" i="131"/>
  <c r="O71" i="131"/>
  <c r="N71" i="131"/>
  <c r="M71" i="131"/>
  <c r="L71" i="131"/>
  <c r="K71" i="131"/>
  <c r="J71" i="131"/>
  <c r="I71" i="131"/>
  <c r="H71" i="131"/>
  <c r="F71" i="131"/>
  <c r="E71" i="131"/>
  <c r="D71" i="131"/>
  <c r="U70" i="131"/>
  <c r="U69" i="131"/>
  <c r="U68" i="131"/>
  <c r="U67" i="131"/>
  <c r="U66" i="131"/>
  <c r="U65" i="131"/>
  <c r="G60" i="131"/>
  <c r="I4" i="131" s="1"/>
  <c r="J55" i="131"/>
  <c r="H55" i="131"/>
  <c r="D55" i="131"/>
  <c r="D53" i="131"/>
  <c r="L52" i="131"/>
  <c r="H52" i="131"/>
  <c r="D52" i="131"/>
  <c r="L51" i="131"/>
  <c r="H51" i="131"/>
  <c r="D51" i="131"/>
  <c r="L50" i="131"/>
  <c r="H50" i="131"/>
  <c r="D50" i="131"/>
  <c r="L49" i="131"/>
  <c r="H49" i="131"/>
  <c r="D49" i="131"/>
  <c r="J46" i="131"/>
  <c r="F46" i="131"/>
  <c r="D46" i="131"/>
  <c r="C45" i="131"/>
  <c r="B45" i="131"/>
  <c r="F44" i="131"/>
  <c r="E44" i="131"/>
  <c r="D44" i="131"/>
  <c r="N43" i="131"/>
  <c r="M43" i="131"/>
  <c r="O43" i="131" s="1"/>
  <c r="L43" i="131"/>
  <c r="J43" i="131"/>
  <c r="I43" i="131"/>
  <c r="H43" i="131"/>
  <c r="F43" i="131"/>
  <c r="E43" i="131"/>
  <c r="D43" i="131"/>
  <c r="N42" i="131"/>
  <c r="M42" i="131"/>
  <c r="L42" i="131"/>
  <c r="J42" i="131"/>
  <c r="I42" i="131"/>
  <c r="H42" i="131"/>
  <c r="F42" i="131"/>
  <c r="E42" i="131"/>
  <c r="D42" i="131"/>
  <c r="N41" i="131"/>
  <c r="M41" i="131"/>
  <c r="L41" i="131"/>
  <c r="J41" i="131"/>
  <c r="I41" i="131"/>
  <c r="K41" i="131" s="1"/>
  <c r="H41" i="131"/>
  <c r="F41" i="131"/>
  <c r="E41" i="131"/>
  <c r="D41" i="131"/>
  <c r="C41" i="131"/>
  <c r="N40" i="131"/>
  <c r="M40" i="131"/>
  <c r="L40" i="131"/>
  <c r="J40" i="131"/>
  <c r="I40" i="131"/>
  <c r="H40" i="131"/>
  <c r="F40" i="131"/>
  <c r="E40" i="131"/>
  <c r="D40" i="131"/>
  <c r="J39" i="131"/>
  <c r="F39" i="131"/>
  <c r="D39" i="131"/>
  <c r="C38" i="131"/>
  <c r="B38" i="131"/>
  <c r="F37" i="131"/>
  <c r="E37" i="131"/>
  <c r="D37" i="131"/>
  <c r="N36" i="131"/>
  <c r="M36" i="131"/>
  <c r="O36" i="131" s="1"/>
  <c r="L36" i="131"/>
  <c r="J36" i="131"/>
  <c r="I36" i="131"/>
  <c r="H36" i="131"/>
  <c r="F36" i="131"/>
  <c r="E36" i="131"/>
  <c r="D36" i="131"/>
  <c r="N35" i="131"/>
  <c r="M35" i="131"/>
  <c r="L35" i="131"/>
  <c r="J35" i="131"/>
  <c r="I35" i="131"/>
  <c r="H35" i="131"/>
  <c r="F35" i="131"/>
  <c r="E35" i="131"/>
  <c r="D35" i="131"/>
  <c r="N34" i="131"/>
  <c r="M34" i="131"/>
  <c r="L34" i="131"/>
  <c r="J34" i="131"/>
  <c r="I34" i="131"/>
  <c r="H34" i="131"/>
  <c r="F34" i="131"/>
  <c r="E34" i="131"/>
  <c r="G34" i="131" s="1"/>
  <c r="D34" i="131"/>
  <c r="C34" i="131"/>
  <c r="N33" i="131"/>
  <c r="M33" i="131"/>
  <c r="L33" i="131"/>
  <c r="J33" i="131"/>
  <c r="I33" i="131"/>
  <c r="H33" i="131"/>
  <c r="F33" i="131"/>
  <c r="E33" i="131"/>
  <c r="D33" i="131"/>
  <c r="J32" i="131"/>
  <c r="F32" i="131"/>
  <c r="D32" i="131"/>
  <c r="C31" i="131"/>
  <c r="B31" i="131"/>
  <c r="F30" i="131"/>
  <c r="E30" i="131"/>
  <c r="D30" i="131"/>
  <c r="N29" i="131"/>
  <c r="M29" i="131"/>
  <c r="L29" i="131"/>
  <c r="J29" i="131"/>
  <c r="I29" i="131"/>
  <c r="K29" i="131" s="1"/>
  <c r="H29" i="131"/>
  <c r="F29" i="131"/>
  <c r="E29" i="131"/>
  <c r="D29" i="131"/>
  <c r="N28" i="131"/>
  <c r="M28" i="131"/>
  <c r="L28" i="131"/>
  <c r="J28" i="131"/>
  <c r="I28" i="131"/>
  <c r="H28" i="131"/>
  <c r="F28" i="131"/>
  <c r="E28" i="131"/>
  <c r="D28" i="131"/>
  <c r="N27" i="131"/>
  <c r="M27" i="131"/>
  <c r="L27" i="131"/>
  <c r="J27" i="131"/>
  <c r="I27" i="131"/>
  <c r="H27" i="131"/>
  <c r="F27" i="131"/>
  <c r="E27" i="131"/>
  <c r="D27" i="131"/>
  <c r="C27" i="131"/>
  <c r="N26" i="131"/>
  <c r="M26" i="131"/>
  <c r="O26" i="131" s="1"/>
  <c r="L26" i="131"/>
  <c r="J26" i="131"/>
  <c r="I26" i="131"/>
  <c r="H26" i="131"/>
  <c r="F26" i="131"/>
  <c r="E26" i="131"/>
  <c r="D26" i="131"/>
  <c r="J25" i="131"/>
  <c r="F25" i="131"/>
  <c r="D25" i="131"/>
  <c r="C24" i="131"/>
  <c r="B24" i="131"/>
  <c r="F23" i="131"/>
  <c r="E23" i="131"/>
  <c r="D23" i="131"/>
  <c r="N22" i="131"/>
  <c r="M22" i="131"/>
  <c r="L22" i="131"/>
  <c r="J22" i="131"/>
  <c r="I22" i="131"/>
  <c r="H22" i="131"/>
  <c r="F22" i="131"/>
  <c r="E22" i="131"/>
  <c r="D22" i="131"/>
  <c r="N21" i="131"/>
  <c r="M21" i="131"/>
  <c r="L21" i="131"/>
  <c r="J21" i="131"/>
  <c r="I21" i="131"/>
  <c r="H21" i="131"/>
  <c r="F21" i="131"/>
  <c r="E21" i="131"/>
  <c r="G21" i="131" s="1"/>
  <c r="D21" i="131"/>
  <c r="N20" i="131"/>
  <c r="M20" i="131"/>
  <c r="L20" i="131"/>
  <c r="J20" i="131"/>
  <c r="I20" i="131"/>
  <c r="H20" i="131"/>
  <c r="F20" i="131"/>
  <c r="E20" i="131"/>
  <c r="D20" i="131"/>
  <c r="C20" i="131"/>
  <c r="N19" i="131"/>
  <c r="M19" i="131"/>
  <c r="L19" i="131"/>
  <c r="J19" i="131"/>
  <c r="I19" i="131"/>
  <c r="K19" i="131" s="1"/>
  <c r="H19" i="131"/>
  <c r="F19" i="131"/>
  <c r="E19" i="131"/>
  <c r="D19" i="131"/>
  <c r="J18" i="131"/>
  <c r="F18" i="131"/>
  <c r="D18" i="131"/>
  <c r="C17" i="131"/>
  <c r="B17" i="131"/>
  <c r="F16" i="131"/>
  <c r="E16" i="131"/>
  <c r="D16" i="131"/>
  <c r="N15" i="131"/>
  <c r="M15" i="131"/>
  <c r="L15" i="131"/>
  <c r="J15" i="131"/>
  <c r="I15" i="131"/>
  <c r="H15" i="131"/>
  <c r="F15" i="131"/>
  <c r="E15" i="131"/>
  <c r="D15" i="131"/>
  <c r="N14" i="131"/>
  <c r="M14" i="131"/>
  <c r="O14" i="131" s="1"/>
  <c r="L14" i="131"/>
  <c r="J14" i="131"/>
  <c r="I14" i="131"/>
  <c r="K14" i="131" s="1"/>
  <c r="H14" i="131"/>
  <c r="F14" i="131"/>
  <c r="E14" i="131"/>
  <c r="D14" i="131"/>
  <c r="N13" i="131"/>
  <c r="M13" i="131"/>
  <c r="L13" i="131"/>
  <c r="J13" i="131"/>
  <c r="I13" i="131"/>
  <c r="H13" i="131"/>
  <c r="F13" i="131"/>
  <c r="E13" i="131"/>
  <c r="D13" i="131"/>
  <c r="C13" i="131"/>
  <c r="N12" i="131"/>
  <c r="M12" i="131"/>
  <c r="L12" i="131"/>
  <c r="J12" i="131"/>
  <c r="I12" i="131"/>
  <c r="H12" i="131"/>
  <c r="F12" i="131"/>
  <c r="E12" i="131"/>
  <c r="D12" i="131"/>
  <c r="J11" i="131"/>
  <c r="F11" i="131"/>
  <c r="D11" i="131"/>
  <c r="C10" i="131"/>
  <c r="B10" i="131"/>
  <c r="F9" i="131"/>
  <c r="E9" i="131"/>
  <c r="D9" i="131"/>
  <c r="N8" i="131"/>
  <c r="M8" i="131"/>
  <c r="L8" i="131"/>
  <c r="J8" i="131"/>
  <c r="I8" i="131"/>
  <c r="H8" i="131"/>
  <c r="F8" i="131"/>
  <c r="E8" i="131"/>
  <c r="D8" i="131"/>
  <c r="N7" i="131"/>
  <c r="M7" i="131"/>
  <c r="L7" i="131"/>
  <c r="J7" i="131"/>
  <c r="I7" i="131"/>
  <c r="H7" i="131"/>
  <c r="F7" i="131"/>
  <c r="E7" i="131"/>
  <c r="D7" i="131"/>
  <c r="N6" i="131"/>
  <c r="M6" i="131"/>
  <c r="L6" i="131"/>
  <c r="J6" i="131"/>
  <c r="I6" i="131"/>
  <c r="H6" i="131"/>
  <c r="F6" i="131"/>
  <c r="E6" i="131"/>
  <c r="D6" i="131"/>
  <c r="C6" i="131"/>
  <c r="N5" i="131"/>
  <c r="M5" i="131"/>
  <c r="L5" i="131"/>
  <c r="J5" i="131"/>
  <c r="I5" i="131"/>
  <c r="H5" i="131"/>
  <c r="F5" i="131"/>
  <c r="E5" i="131"/>
  <c r="D5" i="131"/>
  <c r="K3" i="131"/>
  <c r="F3" i="131"/>
  <c r="C3" i="131"/>
  <c r="L2" i="131"/>
  <c r="C82" i="130"/>
  <c r="C83" i="130" s="1"/>
  <c r="L54" i="130" s="1"/>
  <c r="R75" i="130"/>
  <c r="Q75" i="130"/>
  <c r="P75" i="130"/>
  <c r="O75" i="130"/>
  <c r="N75" i="130"/>
  <c r="M75" i="130"/>
  <c r="L75" i="130"/>
  <c r="K75" i="130"/>
  <c r="J75" i="130"/>
  <c r="I75" i="130"/>
  <c r="H75" i="130"/>
  <c r="G75" i="130"/>
  <c r="F75" i="130"/>
  <c r="T71" i="130"/>
  <c r="S71" i="130"/>
  <c r="R71" i="130"/>
  <c r="Q71" i="130"/>
  <c r="P71" i="130"/>
  <c r="O71" i="130"/>
  <c r="N71" i="130"/>
  <c r="M71" i="130"/>
  <c r="L71" i="130"/>
  <c r="K71" i="130"/>
  <c r="J71" i="130"/>
  <c r="I71" i="130"/>
  <c r="H71" i="130"/>
  <c r="F71" i="130"/>
  <c r="E71" i="130"/>
  <c r="D71" i="130"/>
  <c r="U70" i="130"/>
  <c r="U69" i="130"/>
  <c r="U68" i="130"/>
  <c r="U67" i="130"/>
  <c r="U66" i="130"/>
  <c r="U65" i="130"/>
  <c r="G60" i="130"/>
  <c r="I4" i="130" s="1"/>
  <c r="J55" i="130"/>
  <c r="H55" i="130"/>
  <c r="D55" i="130"/>
  <c r="D53" i="130"/>
  <c r="L52" i="130"/>
  <c r="H52" i="130"/>
  <c r="D52" i="130"/>
  <c r="L51" i="130"/>
  <c r="H51" i="130"/>
  <c r="D51" i="130"/>
  <c r="L50" i="130"/>
  <c r="H50" i="130"/>
  <c r="D50" i="130"/>
  <c r="L49" i="130"/>
  <c r="H49" i="130"/>
  <c r="D49" i="130"/>
  <c r="J46" i="130"/>
  <c r="F46" i="130"/>
  <c r="D46" i="130"/>
  <c r="C45" i="130"/>
  <c r="B45" i="130"/>
  <c r="F44" i="130"/>
  <c r="E44" i="130"/>
  <c r="D44" i="130"/>
  <c r="N43" i="130"/>
  <c r="M43" i="130"/>
  <c r="L43" i="130"/>
  <c r="J43" i="130"/>
  <c r="I43" i="130"/>
  <c r="H43" i="130"/>
  <c r="F43" i="130"/>
  <c r="E43" i="130"/>
  <c r="D43" i="130"/>
  <c r="N42" i="130"/>
  <c r="M42" i="130"/>
  <c r="O42" i="130" s="1"/>
  <c r="L42" i="130"/>
  <c r="J42" i="130"/>
  <c r="I42" i="130"/>
  <c r="H42" i="130"/>
  <c r="F42" i="130"/>
  <c r="E42" i="130"/>
  <c r="D42" i="130"/>
  <c r="N41" i="130"/>
  <c r="M41" i="130"/>
  <c r="L41" i="130"/>
  <c r="J41" i="130"/>
  <c r="I41" i="130"/>
  <c r="H41" i="130"/>
  <c r="F41" i="130"/>
  <c r="E41" i="130"/>
  <c r="D41" i="130"/>
  <c r="C41" i="130"/>
  <c r="N40" i="130"/>
  <c r="M40" i="130"/>
  <c r="L40" i="130"/>
  <c r="J40" i="130"/>
  <c r="I40" i="130"/>
  <c r="H40" i="130"/>
  <c r="F40" i="130"/>
  <c r="E40" i="130"/>
  <c r="D40" i="130"/>
  <c r="J39" i="130"/>
  <c r="F39" i="130"/>
  <c r="D39" i="130"/>
  <c r="C38" i="130"/>
  <c r="B38" i="130"/>
  <c r="F37" i="130"/>
  <c r="E37" i="130"/>
  <c r="D37" i="130"/>
  <c r="N36" i="130"/>
  <c r="M36" i="130"/>
  <c r="L36" i="130"/>
  <c r="J36" i="130"/>
  <c r="I36" i="130"/>
  <c r="H36" i="130"/>
  <c r="F36" i="130"/>
  <c r="E36" i="130"/>
  <c r="D36" i="130"/>
  <c r="N35" i="130"/>
  <c r="M35" i="130"/>
  <c r="L35" i="130"/>
  <c r="J35" i="130"/>
  <c r="I35" i="130"/>
  <c r="K35" i="130" s="1"/>
  <c r="H35" i="130"/>
  <c r="F35" i="130"/>
  <c r="E35" i="130"/>
  <c r="D35" i="130"/>
  <c r="N34" i="130"/>
  <c r="M34" i="130"/>
  <c r="L34" i="130"/>
  <c r="J34" i="130"/>
  <c r="I34" i="130"/>
  <c r="H34" i="130"/>
  <c r="F34" i="130"/>
  <c r="E34" i="130"/>
  <c r="D34" i="130"/>
  <c r="C34" i="130"/>
  <c r="N33" i="130"/>
  <c r="M33" i="130"/>
  <c r="L33" i="130"/>
  <c r="J33" i="130"/>
  <c r="I33" i="130"/>
  <c r="H33" i="130"/>
  <c r="F33" i="130"/>
  <c r="E33" i="130"/>
  <c r="D33" i="130"/>
  <c r="J32" i="130"/>
  <c r="F32" i="130"/>
  <c r="D32" i="130"/>
  <c r="C31" i="130"/>
  <c r="B31" i="130"/>
  <c r="F30" i="130"/>
  <c r="E30" i="130"/>
  <c r="D30" i="130"/>
  <c r="N29" i="130"/>
  <c r="M29" i="130"/>
  <c r="L29" i="130"/>
  <c r="J29" i="130"/>
  <c r="I29" i="130"/>
  <c r="H29" i="130"/>
  <c r="F29" i="130"/>
  <c r="E29" i="130"/>
  <c r="D29" i="130"/>
  <c r="N28" i="130"/>
  <c r="M28" i="130"/>
  <c r="L28" i="130"/>
  <c r="J28" i="130"/>
  <c r="I28" i="130"/>
  <c r="K28" i="130" s="1"/>
  <c r="H28" i="130"/>
  <c r="F28" i="130"/>
  <c r="E28" i="130"/>
  <c r="D28" i="130"/>
  <c r="N27" i="130"/>
  <c r="M27" i="130"/>
  <c r="L27" i="130"/>
  <c r="J27" i="130"/>
  <c r="I27" i="130"/>
  <c r="H27" i="130"/>
  <c r="F27" i="130"/>
  <c r="E27" i="130"/>
  <c r="D27" i="130"/>
  <c r="C27" i="130"/>
  <c r="N26" i="130"/>
  <c r="M26" i="130"/>
  <c r="L26" i="130"/>
  <c r="J26" i="130"/>
  <c r="I26" i="130"/>
  <c r="H26" i="130"/>
  <c r="F26" i="130"/>
  <c r="E26" i="130"/>
  <c r="D26" i="130"/>
  <c r="J25" i="130"/>
  <c r="F25" i="130"/>
  <c r="D25" i="130"/>
  <c r="C24" i="130"/>
  <c r="B24" i="130"/>
  <c r="F23" i="130"/>
  <c r="E23" i="130"/>
  <c r="D23" i="130"/>
  <c r="N22" i="130"/>
  <c r="M22" i="130"/>
  <c r="L22" i="130"/>
  <c r="J22" i="130"/>
  <c r="I22" i="130"/>
  <c r="H22" i="130"/>
  <c r="F22" i="130"/>
  <c r="E22" i="130"/>
  <c r="D22" i="130"/>
  <c r="N21" i="130"/>
  <c r="M21" i="130"/>
  <c r="L21" i="130"/>
  <c r="J21" i="130"/>
  <c r="I21" i="130"/>
  <c r="H21" i="130"/>
  <c r="F21" i="130"/>
  <c r="E21" i="130"/>
  <c r="D21" i="130"/>
  <c r="N20" i="130"/>
  <c r="M20" i="130"/>
  <c r="L20" i="130"/>
  <c r="J20" i="130"/>
  <c r="I20" i="130"/>
  <c r="H20" i="130"/>
  <c r="F20" i="130"/>
  <c r="E20" i="130"/>
  <c r="D20" i="130"/>
  <c r="C20" i="130"/>
  <c r="N19" i="130"/>
  <c r="M19" i="130"/>
  <c r="L19" i="130"/>
  <c r="J19" i="130"/>
  <c r="I19" i="130"/>
  <c r="H19" i="130"/>
  <c r="F19" i="130"/>
  <c r="E19" i="130"/>
  <c r="G19" i="130" s="1"/>
  <c r="D19" i="130"/>
  <c r="J18" i="130"/>
  <c r="F18" i="130"/>
  <c r="D18" i="130"/>
  <c r="C17" i="130"/>
  <c r="B17" i="130"/>
  <c r="F16" i="130"/>
  <c r="E16" i="130"/>
  <c r="G16" i="130" s="1"/>
  <c r="D16" i="130"/>
  <c r="N15" i="130"/>
  <c r="M15" i="130"/>
  <c r="L15" i="130"/>
  <c r="J15" i="130"/>
  <c r="I15" i="130"/>
  <c r="H15" i="130"/>
  <c r="F15" i="130"/>
  <c r="E15" i="130"/>
  <c r="D15" i="130"/>
  <c r="N14" i="130"/>
  <c r="M14" i="130"/>
  <c r="L14" i="130"/>
  <c r="J14" i="130"/>
  <c r="I14" i="130"/>
  <c r="H14" i="130"/>
  <c r="F14" i="130"/>
  <c r="E14" i="130"/>
  <c r="D14" i="130"/>
  <c r="N13" i="130"/>
  <c r="M13" i="130"/>
  <c r="L13" i="130"/>
  <c r="J13" i="130"/>
  <c r="I13" i="130"/>
  <c r="H13" i="130"/>
  <c r="F13" i="130"/>
  <c r="E13" i="130"/>
  <c r="D13" i="130"/>
  <c r="C13" i="130"/>
  <c r="N12" i="130"/>
  <c r="M12" i="130"/>
  <c r="L12" i="130"/>
  <c r="J12" i="130"/>
  <c r="I12" i="130"/>
  <c r="H12" i="130"/>
  <c r="F12" i="130"/>
  <c r="E12" i="130"/>
  <c r="D12" i="130"/>
  <c r="J11" i="130"/>
  <c r="F11" i="130"/>
  <c r="D11" i="130"/>
  <c r="C10" i="130"/>
  <c r="B10" i="130"/>
  <c r="F9" i="130"/>
  <c r="E9" i="130"/>
  <c r="D9" i="130"/>
  <c r="N8" i="130"/>
  <c r="M8" i="130"/>
  <c r="L8" i="130"/>
  <c r="J8" i="130"/>
  <c r="I8" i="130"/>
  <c r="H8" i="130"/>
  <c r="F8" i="130"/>
  <c r="E8" i="130"/>
  <c r="D8" i="130"/>
  <c r="N7" i="130"/>
  <c r="M7" i="130"/>
  <c r="L7" i="130"/>
  <c r="J7" i="130"/>
  <c r="I7" i="130"/>
  <c r="H7" i="130"/>
  <c r="F7" i="130"/>
  <c r="E7" i="130"/>
  <c r="D7" i="130"/>
  <c r="N6" i="130"/>
  <c r="M6" i="130"/>
  <c r="L6" i="130"/>
  <c r="J6" i="130"/>
  <c r="I6" i="130"/>
  <c r="H6" i="130"/>
  <c r="F6" i="130"/>
  <c r="E6" i="130"/>
  <c r="D6" i="130"/>
  <c r="C6" i="130"/>
  <c r="N5" i="130"/>
  <c r="M5" i="130"/>
  <c r="L5" i="130"/>
  <c r="J5" i="130"/>
  <c r="I5" i="130"/>
  <c r="H5" i="130"/>
  <c r="F5" i="130"/>
  <c r="E5" i="130"/>
  <c r="D5" i="130"/>
  <c r="K3" i="130"/>
  <c r="F3" i="130"/>
  <c r="C3" i="130"/>
  <c r="L2" i="130"/>
  <c r="C82" i="129"/>
  <c r="C83" i="129" s="1"/>
  <c r="L54" i="129" s="1"/>
  <c r="R75" i="129"/>
  <c r="Q75" i="129"/>
  <c r="P75" i="129"/>
  <c r="O75" i="129"/>
  <c r="N75" i="129"/>
  <c r="M75" i="129"/>
  <c r="L75" i="129"/>
  <c r="K75" i="129"/>
  <c r="J75" i="129"/>
  <c r="I75" i="129"/>
  <c r="H75" i="129"/>
  <c r="G75" i="129"/>
  <c r="F75" i="129"/>
  <c r="T71" i="129"/>
  <c r="S71" i="129"/>
  <c r="R71" i="129"/>
  <c r="Q71" i="129"/>
  <c r="P71" i="129"/>
  <c r="O71" i="129"/>
  <c r="N71" i="129"/>
  <c r="M71" i="129"/>
  <c r="L71" i="129"/>
  <c r="K71" i="129"/>
  <c r="J71" i="129"/>
  <c r="I71" i="129"/>
  <c r="H71" i="129"/>
  <c r="F71" i="129"/>
  <c r="E71" i="129"/>
  <c r="D71" i="129"/>
  <c r="U70" i="129"/>
  <c r="U69" i="129"/>
  <c r="U68" i="129"/>
  <c r="U67" i="129"/>
  <c r="U66" i="129"/>
  <c r="U65" i="129"/>
  <c r="G60" i="129"/>
  <c r="I4" i="129" s="1"/>
  <c r="J55" i="129"/>
  <c r="H55" i="129"/>
  <c r="D55" i="129"/>
  <c r="D53" i="129"/>
  <c r="L52" i="129"/>
  <c r="H52" i="129"/>
  <c r="D52" i="129"/>
  <c r="L51" i="129"/>
  <c r="H51" i="129"/>
  <c r="D51" i="129"/>
  <c r="L50" i="129"/>
  <c r="H50" i="129"/>
  <c r="D50" i="129"/>
  <c r="L49" i="129"/>
  <c r="H49" i="129"/>
  <c r="D49" i="129"/>
  <c r="J46" i="129"/>
  <c r="F46" i="129"/>
  <c r="D46" i="129"/>
  <c r="C45" i="129"/>
  <c r="B45" i="129"/>
  <c r="F44" i="129"/>
  <c r="E44" i="129"/>
  <c r="D44" i="129"/>
  <c r="N43" i="129"/>
  <c r="M43" i="129"/>
  <c r="L43" i="129"/>
  <c r="J43" i="129"/>
  <c r="I43" i="129"/>
  <c r="H43" i="129"/>
  <c r="F43" i="129"/>
  <c r="E43" i="129"/>
  <c r="D43" i="129"/>
  <c r="N42" i="129"/>
  <c r="M42" i="129"/>
  <c r="L42" i="129"/>
  <c r="J42" i="129"/>
  <c r="I42" i="129"/>
  <c r="H42" i="129"/>
  <c r="F42" i="129"/>
  <c r="E42" i="129"/>
  <c r="D42" i="129"/>
  <c r="N41" i="129"/>
  <c r="M41" i="129"/>
  <c r="O41" i="129" s="1"/>
  <c r="L41" i="129"/>
  <c r="J41" i="129"/>
  <c r="I41" i="129"/>
  <c r="H41" i="129"/>
  <c r="F41" i="129"/>
  <c r="E41" i="129"/>
  <c r="D41" i="129"/>
  <c r="C41" i="129"/>
  <c r="N40" i="129"/>
  <c r="M40" i="129"/>
  <c r="L40" i="129"/>
  <c r="J40" i="129"/>
  <c r="I40" i="129"/>
  <c r="H40" i="129"/>
  <c r="F40" i="129"/>
  <c r="E40" i="129"/>
  <c r="D40" i="129"/>
  <c r="J39" i="129"/>
  <c r="F39" i="129"/>
  <c r="D39" i="129"/>
  <c r="C38" i="129"/>
  <c r="B38" i="129"/>
  <c r="F37" i="129"/>
  <c r="E37" i="129"/>
  <c r="D37" i="129"/>
  <c r="N36" i="129"/>
  <c r="M36" i="129"/>
  <c r="L36" i="129"/>
  <c r="J36" i="129"/>
  <c r="I36" i="129"/>
  <c r="H36" i="129"/>
  <c r="F36" i="129"/>
  <c r="E36" i="129"/>
  <c r="G36" i="129" s="1"/>
  <c r="D36" i="129"/>
  <c r="N35" i="129"/>
  <c r="M35" i="129"/>
  <c r="L35" i="129"/>
  <c r="J35" i="129"/>
  <c r="I35" i="129"/>
  <c r="H35" i="129"/>
  <c r="F35" i="129"/>
  <c r="E35" i="129"/>
  <c r="D35" i="129"/>
  <c r="N34" i="129"/>
  <c r="M34" i="129"/>
  <c r="L34" i="129"/>
  <c r="J34" i="129"/>
  <c r="I34" i="129"/>
  <c r="H34" i="129"/>
  <c r="F34" i="129"/>
  <c r="E34" i="129"/>
  <c r="D34" i="129"/>
  <c r="C34" i="129"/>
  <c r="N33" i="129"/>
  <c r="M33" i="129"/>
  <c r="L33" i="129"/>
  <c r="J33" i="129"/>
  <c r="I33" i="129"/>
  <c r="H33" i="129"/>
  <c r="F33" i="129"/>
  <c r="E33" i="129"/>
  <c r="D33" i="129"/>
  <c r="J32" i="129"/>
  <c r="F32" i="129"/>
  <c r="D32" i="129"/>
  <c r="C31" i="129"/>
  <c r="B31" i="129"/>
  <c r="F30" i="129"/>
  <c r="E30" i="129"/>
  <c r="D30" i="129"/>
  <c r="N29" i="129"/>
  <c r="M29" i="129"/>
  <c r="L29" i="129"/>
  <c r="J29" i="129"/>
  <c r="I29" i="129"/>
  <c r="H29" i="129"/>
  <c r="F29" i="129"/>
  <c r="E29" i="129"/>
  <c r="D29" i="129"/>
  <c r="N28" i="129"/>
  <c r="M28" i="129"/>
  <c r="O28" i="129" s="1"/>
  <c r="L28" i="129"/>
  <c r="J28" i="129"/>
  <c r="I28" i="129"/>
  <c r="H28" i="129"/>
  <c r="F28" i="129"/>
  <c r="E28" i="129"/>
  <c r="D28" i="129"/>
  <c r="N27" i="129"/>
  <c r="M27" i="129"/>
  <c r="L27" i="129"/>
  <c r="J27" i="129"/>
  <c r="I27" i="129"/>
  <c r="H27" i="129"/>
  <c r="F27" i="129"/>
  <c r="E27" i="129"/>
  <c r="D27" i="129"/>
  <c r="C27" i="129"/>
  <c r="N26" i="129"/>
  <c r="M26" i="129"/>
  <c r="L26" i="129"/>
  <c r="J26" i="129"/>
  <c r="I26" i="129"/>
  <c r="H26" i="129"/>
  <c r="F26" i="129"/>
  <c r="E26" i="129"/>
  <c r="D26" i="129"/>
  <c r="J25" i="129"/>
  <c r="F25" i="129"/>
  <c r="D25" i="129"/>
  <c r="C24" i="129"/>
  <c r="B24" i="129"/>
  <c r="F23" i="129"/>
  <c r="E23" i="129"/>
  <c r="D23" i="129"/>
  <c r="N22" i="129"/>
  <c r="M22" i="129"/>
  <c r="L22" i="129"/>
  <c r="J22" i="129"/>
  <c r="I22" i="129"/>
  <c r="H22" i="129"/>
  <c r="F22" i="129"/>
  <c r="E22" i="129"/>
  <c r="D22" i="129"/>
  <c r="N21" i="129"/>
  <c r="M21" i="129"/>
  <c r="L21" i="129"/>
  <c r="J21" i="129"/>
  <c r="I21" i="129"/>
  <c r="H21" i="129"/>
  <c r="F21" i="129"/>
  <c r="E21" i="129"/>
  <c r="D21" i="129"/>
  <c r="N20" i="129"/>
  <c r="M20" i="129"/>
  <c r="L20" i="129"/>
  <c r="J20" i="129"/>
  <c r="I20" i="129"/>
  <c r="H20" i="129"/>
  <c r="F20" i="129"/>
  <c r="E20" i="129"/>
  <c r="D20" i="129"/>
  <c r="C20" i="129"/>
  <c r="N19" i="129"/>
  <c r="M19" i="129"/>
  <c r="O19" i="129" s="1"/>
  <c r="L19" i="129"/>
  <c r="J19" i="129"/>
  <c r="I19" i="129"/>
  <c r="H19" i="129"/>
  <c r="F19" i="129"/>
  <c r="E19" i="129"/>
  <c r="D19" i="129"/>
  <c r="J18" i="129"/>
  <c r="F18" i="129"/>
  <c r="D18" i="129"/>
  <c r="C17" i="129"/>
  <c r="B17" i="129"/>
  <c r="F16" i="129"/>
  <c r="E16" i="129"/>
  <c r="D16" i="129"/>
  <c r="N15" i="129"/>
  <c r="M15" i="129"/>
  <c r="L15" i="129"/>
  <c r="J15" i="129"/>
  <c r="I15" i="129"/>
  <c r="H15" i="129"/>
  <c r="F15" i="129"/>
  <c r="E15" i="129"/>
  <c r="D15" i="129"/>
  <c r="N14" i="129"/>
  <c r="M14" i="129"/>
  <c r="L14" i="129"/>
  <c r="J14" i="129"/>
  <c r="I14" i="129"/>
  <c r="H14" i="129"/>
  <c r="F14" i="129"/>
  <c r="E14" i="129"/>
  <c r="D14" i="129"/>
  <c r="N13" i="129"/>
  <c r="M13" i="129"/>
  <c r="L13" i="129"/>
  <c r="J13" i="129"/>
  <c r="I13" i="129"/>
  <c r="H13" i="129"/>
  <c r="F13" i="129"/>
  <c r="E13" i="129"/>
  <c r="D13" i="129"/>
  <c r="C13" i="129"/>
  <c r="N12" i="129"/>
  <c r="M12" i="129"/>
  <c r="L12" i="129"/>
  <c r="J12" i="129"/>
  <c r="I12" i="129"/>
  <c r="H12" i="129"/>
  <c r="F12" i="129"/>
  <c r="E12" i="129"/>
  <c r="D12" i="129"/>
  <c r="J11" i="129"/>
  <c r="F11" i="129"/>
  <c r="D11" i="129"/>
  <c r="C10" i="129"/>
  <c r="B10" i="129"/>
  <c r="F9" i="129"/>
  <c r="E9" i="129"/>
  <c r="D9" i="129"/>
  <c r="N8" i="129"/>
  <c r="M8" i="129"/>
  <c r="L8" i="129"/>
  <c r="J8" i="129"/>
  <c r="I8" i="129"/>
  <c r="H8" i="129"/>
  <c r="F8" i="129"/>
  <c r="E8" i="129"/>
  <c r="D8" i="129"/>
  <c r="N7" i="129"/>
  <c r="M7" i="129"/>
  <c r="O7" i="129" s="1"/>
  <c r="L7" i="129"/>
  <c r="J7" i="129"/>
  <c r="I7" i="129"/>
  <c r="H7" i="129"/>
  <c r="F7" i="129"/>
  <c r="E7" i="129"/>
  <c r="D7" i="129"/>
  <c r="N6" i="129"/>
  <c r="M6" i="129"/>
  <c r="L6" i="129"/>
  <c r="J6" i="129"/>
  <c r="I6" i="129"/>
  <c r="H6" i="129"/>
  <c r="F6" i="129"/>
  <c r="E6" i="129"/>
  <c r="D6" i="129"/>
  <c r="C6" i="129"/>
  <c r="N5" i="129"/>
  <c r="M5" i="129"/>
  <c r="L5" i="129"/>
  <c r="J5" i="129"/>
  <c r="I5" i="129"/>
  <c r="H5" i="129"/>
  <c r="F5" i="129"/>
  <c r="E5" i="129"/>
  <c r="D5" i="129"/>
  <c r="K3" i="129"/>
  <c r="F3" i="129"/>
  <c r="C3" i="129"/>
  <c r="L2" i="129"/>
  <c r="C82" i="128"/>
  <c r="C83" i="128" s="1"/>
  <c r="L54" i="128" s="1"/>
  <c r="R75" i="128"/>
  <c r="Q75" i="128"/>
  <c r="P75" i="128"/>
  <c r="O75" i="128"/>
  <c r="N75" i="128"/>
  <c r="M75" i="128"/>
  <c r="L75" i="128"/>
  <c r="K75" i="128"/>
  <c r="J75" i="128"/>
  <c r="I75" i="128"/>
  <c r="H75" i="128"/>
  <c r="G75" i="128"/>
  <c r="F75" i="128"/>
  <c r="T71" i="128"/>
  <c r="S71" i="128"/>
  <c r="R71" i="128"/>
  <c r="Q71" i="128"/>
  <c r="P71" i="128"/>
  <c r="O71" i="128"/>
  <c r="N71" i="128"/>
  <c r="M71" i="128"/>
  <c r="L71" i="128"/>
  <c r="K71" i="128"/>
  <c r="J71" i="128"/>
  <c r="I71" i="128"/>
  <c r="H71" i="128"/>
  <c r="F71" i="128"/>
  <c r="E71" i="128"/>
  <c r="D71" i="128"/>
  <c r="U70" i="128"/>
  <c r="U69" i="128"/>
  <c r="U68" i="128"/>
  <c r="U67" i="128"/>
  <c r="U66" i="128"/>
  <c r="U65" i="128"/>
  <c r="G60" i="128"/>
  <c r="I4" i="128" s="1"/>
  <c r="J55" i="128"/>
  <c r="H55" i="128"/>
  <c r="D55" i="128"/>
  <c r="D53" i="128"/>
  <c r="L52" i="128"/>
  <c r="H52" i="128"/>
  <c r="D52" i="128"/>
  <c r="L51" i="128"/>
  <c r="H51" i="128"/>
  <c r="D51" i="128"/>
  <c r="L50" i="128"/>
  <c r="H50" i="128"/>
  <c r="D50" i="128"/>
  <c r="L49" i="128"/>
  <c r="H49" i="128"/>
  <c r="D49" i="128"/>
  <c r="J46" i="128"/>
  <c r="F46" i="128"/>
  <c r="D46" i="128"/>
  <c r="C45" i="128"/>
  <c r="B45" i="128"/>
  <c r="F44" i="128"/>
  <c r="E44" i="128"/>
  <c r="D44" i="128"/>
  <c r="N43" i="128"/>
  <c r="M43" i="128"/>
  <c r="L43" i="128"/>
  <c r="J43" i="128"/>
  <c r="I43" i="128"/>
  <c r="K43" i="128" s="1"/>
  <c r="H43" i="128"/>
  <c r="F43" i="128"/>
  <c r="E43" i="128"/>
  <c r="D43" i="128"/>
  <c r="N42" i="128"/>
  <c r="M42" i="128"/>
  <c r="L42" i="128"/>
  <c r="J42" i="128"/>
  <c r="I42" i="128"/>
  <c r="H42" i="128"/>
  <c r="F42" i="128"/>
  <c r="E42" i="128"/>
  <c r="D42" i="128"/>
  <c r="N41" i="128"/>
  <c r="M41" i="128"/>
  <c r="L41" i="128"/>
  <c r="J41" i="128"/>
  <c r="I41" i="128"/>
  <c r="H41" i="128"/>
  <c r="F41" i="128"/>
  <c r="E41" i="128"/>
  <c r="D41" i="128"/>
  <c r="C41" i="128"/>
  <c r="N40" i="128"/>
  <c r="M40" i="128"/>
  <c r="L40" i="128"/>
  <c r="J40" i="128"/>
  <c r="I40" i="128"/>
  <c r="H40" i="128"/>
  <c r="F40" i="128"/>
  <c r="E40" i="128"/>
  <c r="D40" i="128"/>
  <c r="J39" i="128"/>
  <c r="F39" i="128"/>
  <c r="D39" i="128"/>
  <c r="C38" i="128"/>
  <c r="B38" i="128"/>
  <c r="F37" i="128"/>
  <c r="E37" i="128"/>
  <c r="D37" i="128"/>
  <c r="N36" i="128"/>
  <c r="M36" i="128"/>
  <c r="L36" i="128"/>
  <c r="J36" i="128"/>
  <c r="I36" i="128"/>
  <c r="H36" i="128"/>
  <c r="F36" i="128"/>
  <c r="E36" i="128"/>
  <c r="G36" i="128" s="1"/>
  <c r="D36" i="128"/>
  <c r="N35" i="128"/>
  <c r="M35" i="128"/>
  <c r="L35" i="128"/>
  <c r="J35" i="128"/>
  <c r="I35" i="128"/>
  <c r="H35" i="128"/>
  <c r="F35" i="128"/>
  <c r="E35" i="128"/>
  <c r="D35" i="128"/>
  <c r="N34" i="128"/>
  <c r="M34" i="128"/>
  <c r="L34" i="128"/>
  <c r="J34" i="128"/>
  <c r="I34" i="128"/>
  <c r="H34" i="128"/>
  <c r="F34" i="128"/>
  <c r="E34" i="128"/>
  <c r="D34" i="128"/>
  <c r="C34" i="128"/>
  <c r="N33" i="128"/>
  <c r="M33" i="128"/>
  <c r="L33" i="128"/>
  <c r="J33" i="128"/>
  <c r="I33" i="128"/>
  <c r="H33" i="128"/>
  <c r="F33" i="128"/>
  <c r="E33" i="128"/>
  <c r="D33" i="128"/>
  <c r="J32" i="128"/>
  <c r="F32" i="128"/>
  <c r="D32" i="128"/>
  <c r="C31" i="128"/>
  <c r="B31" i="128"/>
  <c r="F30" i="128"/>
  <c r="E30" i="128"/>
  <c r="D30" i="128"/>
  <c r="N29" i="128"/>
  <c r="M29" i="128"/>
  <c r="L29" i="128"/>
  <c r="J29" i="128"/>
  <c r="I29" i="128"/>
  <c r="H29" i="128"/>
  <c r="F29" i="128"/>
  <c r="E29" i="128"/>
  <c r="D29" i="128"/>
  <c r="N28" i="128"/>
  <c r="M28" i="128"/>
  <c r="O28" i="128" s="1"/>
  <c r="L28" i="128"/>
  <c r="J28" i="128"/>
  <c r="I28" i="128"/>
  <c r="H28" i="128"/>
  <c r="F28" i="128"/>
  <c r="E28" i="128"/>
  <c r="D28" i="128"/>
  <c r="N27" i="128"/>
  <c r="M27" i="128"/>
  <c r="L27" i="128"/>
  <c r="J27" i="128"/>
  <c r="I27" i="128"/>
  <c r="H27" i="128"/>
  <c r="F27" i="128"/>
  <c r="E27" i="128"/>
  <c r="D27" i="128"/>
  <c r="C27" i="128"/>
  <c r="N26" i="128"/>
  <c r="M26" i="128"/>
  <c r="L26" i="128"/>
  <c r="J26" i="128"/>
  <c r="I26" i="128"/>
  <c r="H26" i="128"/>
  <c r="F26" i="128"/>
  <c r="E26" i="128"/>
  <c r="D26" i="128"/>
  <c r="J25" i="128"/>
  <c r="F25" i="128"/>
  <c r="D25" i="128"/>
  <c r="C24" i="128"/>
  <c r="B24" i="128"/>
  <c r="F23" i="128"/>
  <c r="E23" i="128"/>
  <c r="D23" i="128"/>
  <c r="N22" i="128"/>
  <c r="M22" i="128"/>
  <c r="L22" i="128"/>
  <c r="J22" i="128"/>
  <c r="I22" i="128"/>
  <c r="H22" i="128"/>
  <c r="F22" i="128"/>
  <c r="E22" i="128"/>
  <c r="D22" i="128"/>
  <c r="N21" i="128"/>
  <c r="M21" i="128"/>
  <c r="L21" i="128"/>
  <c r="J21" i="128"/>
  <c r="I21" i="128"/>
  <c r="H21" i="128"/>
  <c r="F21" i="128"/>
  <c r="E21" i="128"/>
  <c r="D21" i="128"/>
  <c r="N20" i="128"/>
  <c r="M20" i="128"/>
  <c r="L20" i="128"/>
  <c r="J20" i="128"/>
  <c r="I20" i="128"/>
  <c r="K20" i="128" s="1"/>
  <c r="H20" i="128"/>
  <c r="F20" i="128"/>
  <c r="E20" i="128"/>
  <c r="D20" i="128"/>
  <c r="C20" i="128"/>
  <c r="N19" i="128"/>
  <c r="M19" i="128"/>
  <c r="L19" i="128"/>
  <c r="J19" i="128"/>
  <c r="I19" i="128"/>
  <c r="H19" i="128"/>
  <c r="F19" i="128"/>
  <c r="E19" i="128"/>
  <c r="D19" i="128"/>
  <c r="J18" i="128"/>
  <c r="F18" i="128"/>
  <c r="D18" i="128"/>
  <c r="C17" i="128"/>
  <c r="B17" i="128"/>
  <c r="F16" i="128"/>
  <c r="E16" i="128"/>
  <c r="D16" i="128"/>
  <c r="N15" i="128"/>
  <c r="M15" i="128"/>
  <c r="L15" i="128"/>
  <c r="J15" i="128"/>
  <c r="I15" i="128"/>
  <c r="H15" i="128"/>
  <c r="F15" i="128"/>
  <c r="E15" i="128"/>
  <c r="D15" i="128"/>
  <c r="N14" i="128"/>
  <c r="M14" i="128"/>
  <c r="L14" i="128"/>
  <c r="J14" i="128"/>
  <c r="I14" i="128"/>
  <c r="H14" i="128"/>
  <c r="F14" i="128"/>
  <c r="E14" i="128"/>
  <c r="D14" i="128"/>
  <c r="N13" i="128"/>
  <c r="M13" i="128"/>
  <c r="L13" i="128"/>
  <c r="J13" i="128"/>
  <c r="I13" i="128"/>
  <c r="H13" i="128"/>
  <c r="F13" i="128"/>
  <c r="E13" i="128"/>
  <c r="D13" i="128"/>
  <c r="C13" i="128"/>
  <c r="N12" i="128"/>
  <c r="M12" i="128"/>
  <c r="L12" i="128"/>
  <c r="J12" i="128"/>
  <c r="I12" i="128"/>
  <c r="K12" i="128" s="1"/>
  <c r="H12" i="128"/>
  <c r="F12" i="128"/>
  <c r="E12" i="128"/>
  <c r="D12" i="128"/>
  <c r="J11" i="128"/>
  <c r="F11" i="128"/>
  <c r="D11" i="128"/>
  <c r="C10" i="128"/>
  <c r="B10" i="128"/>
  <c r="F9" i="128"/>
  <c r="E9" i="128"/>
  <c r="D9" i="128"/>
  <c r="N8" i="128"/>
  <c r="M8" i="128"/>
  <c r="L8" i="128"/>
  <c r="J8" i="128"/>
  <c r="I8" i="128"/>
  <c r="H8" i="128"/>
  <c r="F8" i="128"/>
  <c r="E8" i="128"/>
  <c r="D8" i="128"/>
  <c r="N7" i="128"/>
  <c r="M7" i="128"/>
  <c r="L7" i="128"/>
  <c r="J7" i="128"/>
  <c r="I7" i="128"/>
  <c r="H7" i="128"/>
  <c r="F7" i="128"/>
  <c r="E7" i="128"/>
  <c r="D7" i="128"/>
  <c r="N6" i="128"/>
  <c r="M6" i="128"/>
  <c r="O6" i="128" s="1"/>
  <c r="L6" i="128"/>
  <c r="J6" i="128"/>
  <c r="I6" i="128"/>
  <c r="H6" i="128"/>
  <c r="F6" i="128"/>
  <c r="E6" i="128"/>
  <c r="D6" i="128"/>
  <c r="C6" i="128"/>
  <c r="N5" i="128"/>
  <c r="M5" i="128"/>
  <c r="L5" i="128"/>
  <c r="J5" i="128"/>
  <c r="I5" i="128"/>
  <c r="H5" i="128"/>
  <c r="F5" i="128"/>
  <c r="E5" i="128"/>
  <c r="G5" i="128" s="1"/>
  <c r="D5" i="128"/>
  <c r="K3" i="128"/>
  <c r="F3" i="128"/>
  <c r="C3" i="128"/>
  <c r="L2" i="128"/>
  <c r="C82" i="127"/>
  <c r="C83" i="127" s="1"/>
  <c r="L54" i="127" s="1"/>
  <c r="R75" i="127"/>
  <c r="Q75" i="127"/>
  <c r="P75" i="127"/>
  <c r="O75" i="127"/>
  <c r="N75" i="127"/>
  <c r="M75" i="127"/>
  <c r="L75" i="127"/>
  <c r="K75" i="127"/>
  <c r="J75" i="127"/>
  <c r="I75" i="127"/>
  <c r="H75" i="127"/>
  <c r="G75" i="127"/>
  <c r="F75" i="127"/>
  <c r="T71" i="127"/>
  <c r="S71" i="127"/>
  <c r="R71" i="127"/>
  <c r="Q71" i="127"/>
  <c r="P71" i="127"/>
  <c r="O71" i="127"/>
  <c r="N71" i="127"/>
  <c r="M71" i="127"/>
  <c r="L71" i="127"/>
  <c r="K71" i="127"/>
  <c r="J71" i="127"/>
  <c r="I71" i="127"/>
  <c r="H71" i="127"/>
  <c r="F71" i="127"/>
  <c r="E71" i="127"/>
  <c r="D71" i="127"/>
  <c r="U70" i="127"/>
  <c r="U69" i="127"/>
  <c r="U68" i="127"/>
  <c r="U67" i="127"/>
  <c r="U66" i="127"/>
  <c r="U65" i="127"/>
  <c r="G60" i="127"/>
  <c r="I4" i="127" s="1"/>
  <c r="J55" i="127"/>
  <c r="H55" i="127"/>
  <c r="D55" i="127"/>
  <c r="D53" i="127"/>
  <c r="L52" i="127"/>
  <c r="H52" i="127"/>
  <c r="D52" i="127"/>
  <c r="L51" i="127"/>
  <c r="H51" i="127"/>
  <c r="D51" i="127"/>
  <c r="L50" i="127"/>
  <c r="H50" i="127"/>
  <c r="D50" i="127"/>
  <c r="L49" i="127"/>
  <c r="H49" i="127"/>
  <c r="D49" i="127"/>
  <c r="J46" i="127"/>
  <c r="F46" i="127"/>
  <c r="D46" i="127"/>
  <c r="C45" i="127"/>
  <c r="B45" i="127"/>
  <c r="F44" i="127"/>
  <c r="E44" i="127"/>
  <c r="D44" i="127"/>
  <c r="N43" i="127"/>
  <c r="M43" i="127"/>
  <c r="L43" i="127"/>
  <c r="J43" i="127"/>
  <c r="I43" i="127"/>
  <c r="H43" i="127"/>
  <c r="F43" i="127"/>
  <c r="E43" i="127"/>
  <c r="D43" i="127"/>
  <c r="N42" i="127"/>
  <c r="M42" i="127"/>
  <c r="L42" i="127"/>
  <c r="J42" i="127"/>
  <c r="I42" i="127"/>
  <c r="H42" i="127"/>
  <c r="F42" i="127"/>
  <c r="E42" i="127"/>
  <c r="D42" i="127"/>
  <c r="N41" i="127"/>
  <c r="M41" i="127"/>
  <c r="L41" i="127"/>
  <c r="J41" i="127"/>
  <c r="I41" i="127"/>
  <c r="H41" i="127"/>
  <c r="F41" i="127"/>
  <c r="E41" i="127"/>
  <c r="D41" i="127"/>
  <c r="C41" i="127"/>
  <c r="N40" i="127"/>
  <c r="M40" i="127"/>
  <c r="L40" i="127"/>
  <c r="J40" i="127"/>
  <c r="I40" i="127"/>
  <c r="H40" i="127"/>
  <c r="F40" i="127"/>
  <c r="E40" i="127"/>
  <c r="D40" i="127"/>
  <c r="J39" i="127"/>
  <c r="F39" i="127"/>
  <c r="D39" i="127"/>
  <c r="C38" i="127"/>
  <c r="B38" i="127"/>
  <c r="F37" i="127"/>
  <c r="E37" i="127"/>
  <c r="D37" i="127"/>
  <c r="N36" i="127"/>
  <c r="M36" i="127"/>
  <c r="O36" i="127" s="1"/>
  <c r="L36" i="127"/>
  <c r="J36" i="127"/>
  <c r="I36" i="127"/>
  <c r="H36" i="127"/>
  <c r="F36" i="127"/>
  <c r="E36" i="127"/>
  <c r="D36" i="127"/>
  <c r="N35" i="127"/>
  <c r="M35" i="127"/>
  <c r="L35" i="127"/>
  <c r="J35" i="127"/>
  <c r="I35" i="127"/>
  <c r="H35" i="127"/>
  <c r="F35" i="127"/>
  <c r="E35" i="127"/>
  <c r="D35" i="127"/>
  <c r="N34" i="127"/>
  <c r="M34" i="127"/>
  <c r="L34" i="127"/>
  <c r="J34" i="127"/>
  <c r="I34" i="127"/>
  <c r="H34" i="127"/>
  <c r="F34" i="127"/>
  <c r="E34" i="127"/>
  <c r="G34" i="127" s="1"/>
  <c r="D34" i="127"/>
  <c r="C34" i="127"/>
  <c r="N33" i="127"/>
  <c r="M33" i="127"/>
  <c r="L33" i="127"/>
  <c r="J33" i="127"/>
  <c r="I33" i="127"/>
  <c r="H33" i="127"/>
  <c r="F33" i="127"/>
  <c r="E33" i="127"/>
  <c r="D33" i="127"/>
  <c r="J32" i="127"/>
  <c r="F32" i="127"/>
  <c r="D32" i="127"/>
  <c r="C31" i="127"/>
  <c r="B31" i="127"/>
  <c r="F30" i="127"/>
  <c r="E30" i="127"/>
  <c r="D30" i="127"/>
  <c r="N29" i="127"/>
  <c r="M29" i="127"/>
  <c r="L29" i="127"/>
  <c r="J29" i="127"/>
  <c r="I29" i="127"/>
  <c r="K29" i="127" s="1"/>
  <c r="H29" i="127"/>
  <c r="F29" i="127"/>
  <c r="E29" i="127"/>
  <c r="D29" i="127"/>
  <c r="N28" i="127"/>
  <c r="M28" i="127"/>
  <c r="L28" i="127"/>
  <c r="J28" i="127"/>
  <c r="I28" i="127"/>
  <c r="H28" i="127"/>
  <c r="F28" i="127"/>
  <c r="E28" i="127"/>
  <c r="D28" i="127"/>
  <c r="N27" i="127"/>
  <c r="M27" i="127"/>
  <c r="L27" i="127"/>
  <c r="J27" i="127"/>
  <c r="I27" i="127"/>
  <c r="H27" i="127"/>
  <c r="F27" i="127"/>
  <c r="E27" i="127"/>
  <c r="D27" i="127"/>
  <c r="C27" i="127"/>
  <c r="N26" i="127"/>
  <c r="M26" i="127"/>
  <c r="L26" i="127"/>
  <c r="J26" i="127"/>
  <c r="I26" i="127"/>
  <c r="H26" i="127"/>
  <c r="F26" i="127"/>
  <c r="E26" i="127"/>
  <c r="G26" i="127" s="1"/>
  <c r="D26" i="127"/>
  <c r="J25" i="127"/>
  <c r="F25" i="127"/>
  <c r="D25" i="127"/>
  <c r="C24" i="127"/>
  <c r="B24" i="127"/>
  <c r="F23" i="127"/>
  <c r="E23" i="127"/>
  <c r="G23" i="127" s="1"/>
  <c r="D23" i="127"/>
  <c r="N22" i="127"/>
  <c r="M22" i="127"/>
  <c r="L22" i="127"/>
  <c r="J22" i="127"/>
  <c r="I22" i="127"/>
  <c r="H22" i="127"/>
  <c r="F22" i="127"/>
  <c r="E22" i="127"/>
  <c r="D22" i="127"/>
  <c r="N21" i="127"/>
  <c r="M21" i="127"/>
  <c r="L21" i="127"/>
  <c r="J21" i="127"/>
  <c r="I21" i="127"/>
  <c r="H21" i="127"/>
  <c r="F21" i="127"/>
  <c r="E21" i="127"/>
  <c r="D21" i="127"/>
  <c r="N20" i="127"/>
  <c r="M20" i="127"/>
  <c r="L20" i="127"/>
  <c r="J20" i="127"/>
  <c r="I20" i="127"/>
  <c r="H20" i="127"/>
  <c r="F20" i="127"/>
  <c r="E20" i="127"/>
  <c r="D20" i="127"/>
  <c r="C20" i="127"/>
  <c r="N19" i="127"/>
  <c r="M19" i="127"/>
  <c r="L19" i="127"/>
  <c r="J19" i="127"/>
  <c r="I19" i="127"/>
  <c r="H19" i="127"/>
  <c r="F19" i="127"/>
  <c r="E19" i="127"/>
  <c r="D19" i="127"/>
  <c r="J18" i="127"/>
  <c r="F18" i="127"/>
  <c r="D18" i="127"/>
  <c r="C17" i="127"/>
  <c r="B17" i="127"/>
  <c r="F16" i="127"/>
  <c r="E16" i="127"/>
  <c r="D16" i="127"/>
  <c r="N15" i="127"/>
  <c r="M15" i="127"/>
  <c r="L15" i="127"/>
  <c r="J15" i="127"/>
  <c r="I15" i="127"/>
  <c r="H15" i="127"/>
  <c r="F15" i="127"/>
  <c r="E15" i="127"/>
  <c r="D15" i="127"/>
  <c r="N14" i="127"/>
  <c r="M14" i="127"/>
  <c r="L14" i="127"/>
  <c r="J14" i="127"/>
  <c r="I14" i="127"/>
  <c r="H14" i="127"/>
  <c r="F14" i="127"/>
  <c r="E14" i="127"/>
  <c r="D14" i="127"/>
  <c r="N13" i="127"/>
  <c r="M13" i="127"/>
  <c r="L13" i="127"/>
  <c r="J13" i="127"/>
  <c r="I13" i="127"/>
  <c r="H13" i="127"/>
  <c r="F13" i="127"/>
  <c r="E13" i="127"/>
  <c r="D13" i="127"/>
  <c r="C13" i="127"/>
  <c r="N12" i="127"/>
  <c r="M12" i="127"/>
  <c r="L12" i="127"/>
  <c r="J12" i="127"/>
  <c r="I12" i="127"/>
  <c r="H12" i="127"/>
  <c r="F12" i="127"/>
  <c r="E12" i="127"/>
  <c r="D12" i="127"/>
  <c r="J11" i="127"/>
  <c r="F11" i="127"/>
  <c r="D11" i="127"/>
  <c r="C10" i="127"/>
  <c r="B10" i="127"/>
  <c r="F9" i="127"/>
  <c r="E9" i="127"/>
  <c r="D9" i="127"/>
  <c r="N8" i="127"/>
  <c r="M8" i="127"/>
  <c r="L8" i="127"/>
  <c r="J8" i="127"/>
  <c r="I8" i="127"/>
  <c r="H8" i="127"/>
  <c r="F8" i="127"/>
  <c r="E8" i="127"/>
  <c r="D8" i="127"/>
  <c r="N7" i="127"/>
  <c r="M7" i="127"/>
  <c r="L7" i="127"/>
  <c r="J7" i="127"/>
  <c r="I7" i="127"/>
  <c r="K7" i="127" s="1"/>
  <c r="H7" i="127"/>
  <c r="F7" i="127"/>
  <c r="E7" i="127"/>
  <c r="D7" i="127"/>
  <c r="N6" i="127"/>
  <c r="M6" i="127"/>
  <c r="L6" i="127"/>
  <c r="J6" i="127"/>
  <c r="I6" i="127"/>
  <c r="H6" i="127"/>
  <c r="F6" i="127"/>
  <c r="E6" i="127"/>
  <c r="D6" i="127"/>
  <c r="C6" i="127"/>
  <c r="N5" i="127"/>
  <c r="M5" i="127"/>
  <c r="L5" i="127"/>
  <c r="J5" i="127"/>
  <c r="I5" i="127"/>
  <c r="H5" i="127"/>
  <c r="F5" i="127"/>
  <c r="E5" i="127"/>
  <c r="D5" i="127"/>
  <c r="K3" i="127"/>
  <c r="F3" i="127"/>
  <c r="C3" i="127"/>
  <c r="L2" i="127"/>
  <c r="C82" i="126"/>
  <c r="C83" i="126" s="1"/>
  <c r="L54" i="126" s="1"/>
  <c r="R75" i="126"/>
  <c r="Q75" i="126"/>
  <c r="P75" i="126"/>
  <c r="O75" i="126"/>
  <c r="N75" i="126"/>
  <c r="M75" i="126"/>
  <c r="L75" i="126"/>
  <c r="K75" i="126"/>
  <c r="J75" i="126"/>
  <c r="I75" i="126"/>
  <c r="H75" i="126"/>
  <c r="G75" i="126"/>
  <c r="F75" i="126"/>
  <c r="T71" i="126"/>
  <c r="S71" i="126"/>
  <c r="R71" i="126"/>
  <c r="Q71" i="126"/>
  <c r="P71" i="126"/>
  <c r="O71" i="126"/>
  <c r="N71" i="126"/>
  <c r="M71" i="126"/>
  <c r="L71" i="126"/>
  <c r="K71" i="126"/>
  <c r="J71" i="126"/>
  <c r="I71" i="126"/>
  <c r="H71" i="126"/>
  <c r="F71" i="126"/>
  <c r="E71" i="126"/>
  <c r="D71" i="126"/>
  <c r="U70" i="126"/>
  <c r="U69" i="126"/>
  <c r="U68" i="126"/>
  <c r="U67" i="126"/>
  <c r="U66" i="126"/>
  <c r="U65" i="126"/>
  <c r="G60" i="126"/>
  <c r="I4" i="126" s="1"/>
  <c r="J55" i="126"/>
  <c r="H55" i="126"/>
  <c r="D55" i="126"/>
  <c r="D53" i="126"/>
  <c r="L52" i="126"/>
  <c r="H52" i="126"/>
  <c r="D52" i="126"/>
  <c r="L51" i="126"/>
  <c r="H51" i="126"/>
  <c r="D51" i="126"/>
  <c r="L50" i="126"/>
  <c r="H50" i="126"/>
  <c r="D50" i="126"/>
  <c r="L49" i="126"/>
  <c r="H49" i="126"/>
  <c r="D49" i="126"/>
  <c r="J46" i="126"/>
  <c r="F46" i="126"/>
  <c r="D46" i="126"/>
  <c r="C45" i="126"/>
  <c r="B45" i="126"/>
  <c r="F44" i="126"/>
  <c r="E44" i="126"/>
  <c r="G44" i="126" s="1"/>
  <c r="D44" i="126"/>
  <c r="N43" i="126"/>
  <c r="M43" i="126"/>
  <c r="L43" i="126"/>
  <c r="J43" i="126"/>
  <c r="I43" i="126"/>
  <c r="H43" i="126"/>
  <c r="F43" i="126"/>
  <c r="E43" i="126"/>
  <c r="G43" i="126" s="1"/>
  <c r="D43" i="126"/>
  <c r="N42" i="126"/>
  <c r="M42" i="126"/>
  <c r="L42" i="126"/>
  <c r="J42" i="126"/>
  <c r="I42" i="126"/>
  <c r="H42" i="126"/>
  <c r="F42" i="126"/>
  <c r="E42" i="126"/>
  <c r="D42" i="126"/>
  <c r="N41" i="126"/>
  <c r="M41" i="126"/>
  <c r="L41" i="126"/>
  <c r="J41" i="126"/>
  <c r="I41" i="126"/>
  <c r="K41" i="126" s="1"/>
  <c r="H41" i="126"/>
  <c r="F41" i="126"/>
  <c r="E41" i="126"/>
  <c r="D41" i="126"/>
  <c r="C41" i="126"/>
  <c r="N40" i="126"/>
  <c r="M40" i="126"/>
  <c r="L40" i="126"/>
  <c r="J40" i="126"/>
  <c r="I40" i="126"/>
  <c r="H40" i="126"/>
  <c r="F40" i="126"/>
  <c r="E40" i="126"/>
  <c r="G40" i="126" s="1"/>
  <c r="D40" i="126"/>
  <c r="J39" i="126"/>
  <c r="F39" i="126"/>
  <c r="D39" i="126"/>
  <c r="C38" i="126"/>
  <c r="B38" i="126"/>
  <c r="F37" i="126"/>
  <c r="E37" i="126"/>
  <c r="G37" i="126" s="1"/>
  <c r="D37" i="126"/>
  <c r="N36" i="126"/>
  <c r="M36" i="126"/>
  <c r="O36" i="126" s="1"/>
  <c r="L36" i="126"/>
  <c r="J36" i="126"/>
  <c r="I36" i="126"/>
  <c r="H36" i="126"/>
  <c r="F36" i="126"/>
  <c r="E36" i="126"/>
  <c r="D36" i="126"/>
  <c r="N35" i="126"/>
  <c r="M35" i="126"/>
  <c r="L35" i="126"/>
  <c r="J35" i="126"/>
  <c r="I35" i="126"/>
  <c r="H35" i="126"/>
  <c r="F35" i="126"/>
  <c r="E35" i="126"/>
  <c r="D35" i="126"/>
  <c r="N34" i="126"/>
  <c r="M34" i="126"/>
  <c r="L34" i="126"/>
  <c r="J34" i="126"/>
  <c r="I34" i="126"/>
  <c r="K34" i="126" s="1"/>
  <c r="H34" i="126"/>
  <c r="F34" i="126"/>
  <c r="E34" i="126"/>
  <c r="G34" i="126" s="1"/>
  <c r="D34" i="126"/>
  <c r="C34" i="126"/>
  <c r="N33" i="126"/>
  <c r="M33" i="126"/>
  <c r="L33" i="126"/>
  <c r="J33" i="126"/>
  <c r="I33" i="126"/>
  <c r="H33" i="126"/>
  <c r="F33" i="126"/>
  <c r="E33" i="126"/>
  <c r="D33" i="126"/>
  <c r="J32" i="126"/>
  <c r="F32" i="126"/>
  <c r="D32" i="126"/>
  <c r="C31" i="126"/>
  <c r="B31" i="126"/>
  <c r="F30" i="126"/>
  <c r="E30" i="126"/>
  <c r="D30" i="126"/>
  <c r="N29" i="126"/>
  <c r="M29" i="126"/>
  <c r="O29" i="126" s="1"/>
  <c r="L29" i="126"/>
  <c r="J29" i="126"/>
  <c r="I29" i="126"/>
  <c r="K29" i="126" s="1"/>
  <c r="H29" i="126"/>
  <c r="F29" i="126"/>
  <c r="E29" i="126"/>
  <c r="D29" i="126"/>
  <c r="N28" i="126"/>
  <c r="M28" i="126"/>
  <c r="L28" i="126"/>
  <c r="J28" i="126"/>
  <c r="I28" i="126"/>
  <c r="H28" i="126"/>
  <c r="F28" i="126"/>
  <c r="E28" i="126"/>
  <c r="D28" i="126"/>
  <c r="N27" i="126"/>
  <c r="M27" i="126"/>
  <c r="L27" i="126"/>
  <c r="J27" i="126"/>
  <c r="I27" i="126"/>
  <c r="H27" i="126"/>
  <c r="F27" i="126"/>
  <c r="E27" i="126"/>
  <c r="G27" i="126" s="1"/>
  <c r="D27" i="126"/>
  <c r="C27" i="126"/>
  <c r="N26" i="126"/>
  <c r="M26" i="126"/>
  <c r="L26" i="126"/>
  <c r="J26" i="126"/>
  <c r="I26" i="126"/>
  <c r="H26" i="126"/>
  <c r="F26" i="126"/>
  <c r="E26" i="126"/>
  <c r="D26" i="126"/>
  <c r="J25" i="126"/>
  <c r="F25" i="126"/>
  <c r="D25" i="126"/>
  <c r="C24" i="126"/>
  <c r="B24" i="126"/>
  <c r="F23" i="126"/>
  <c r="E23" i="126"/>
  <c r="D23" i="126"/>
  <c r="N22" i="126"/>
  <c r="M22" i="126"/>
  <c r="L22" i="126"/>
  <c r="J22" i="126"/>
  <c r="I22" i="126"/>
  <c r="H22" i="126"/>
  <c r="F22" i="126"/>
  <c r="E22" i="126"/>
  <c r="D22" i="126"/>
  <c r="N21" i="126"/>
  <c r="M21" i="126"/>
  <c r="L21" i="126"/>
  <c r="J21" i="126"/>
  <c r="I21" i="126"/>
  <c r="H21" i="126"/>
  <c r="F21" i="126"/>
  <c r="E21" i="126"/>
  <c r="D21" i="126"/>
  <c r="N20" i="126"/>
  <c r="M20" i="126"/>
  <c r="L20" i="126"/>
  <c r="J20" i="126"/>
  <c r="I20" i="126"/>
  <c r="H20" i="126"/>
  <c r="F20" i="126"/>
  <c r="E20" i="126"/>
  <c r="D20" i="126"/>
  <c r="C20" i="126"/>
  <c r="N19" i="126"/>
  <c r="M19" i="126"/>
  <c r="L19" i="126"/>
  <c r="J19" i="126"/>
  <c r="I19" i="126"/>
  <c r="H19" i="126"/>
  <c r="F19" i="126"/>
  <c r="E19" i="126"/>
  <c r="D19" i="126"/>
  <c r="J18" i="126"/>
  <c r="F18" i="126"/>
  <c r="D18" i="126"/>
  <c r="C17" i="126"/>
  <c r="B17" i="126"/>
  <c r="F16" i="126"/>
  <c r="E16" i="126"/>
  <c r="D16" i="126"/>
  <c r="N15" i="126"/>
  <c r="M15" i="126"/>
  <c r="L15" i="126"/>
  <c r="J15" i="126"/>
  <c r="I15" i="126"/>
  <c r="H15" i="126"/>
  <c r="F15" i="126"/>
  <c r="E15" i="126"/>
  <c r="D15" i="126"/>
  <c r="N14" i="126"/>
  <c r="M14" i="126"/>
  <c r="L14" i="126"/>
  <c r="J14" i="126"/>
  <c r="I14" i="126"/>
  <c r="H14" i="126"/>
  <c r="F14" i="126"/>
  <c r="E14" i="126"/>
  <c r="D14" i="126"/>
  <c r="N13" i="126"/>
  <c r="M13" i="126"/>
  <c r="O13" i="126" s="1"/>
  <c r="L13" i="126"/>
  <c r="J13" i="126"/>
  <c r="I13" i="126"/>
  <c r="H13" i="126"/>
  <c r="F13" i="126"/>
  <c r="E13" i="126"/>
  <c r="D13" i="126"/>
  <c r="C13" i="126"/>
  <c r="N12" i="126"/>
  <c r="M12" i="126"/>
  <c r="L12" i="126"/>
  <c r="J12" i="126"/>
  <c r="I12" i="126"/>
  <c r="H12" i="126"/>
  <c r="F12" i="126"/>
  <c r="E12" i="126"/>
  <c r="G12" i="126" s="1"/>
  <c r="D12" i="126"/>
  <c r="J11" i="126"/>
  <c r="F11" i="126"/>
  <c r="D11" i="126"/>
  <c r="C10" i="126"/>
  <c r="B10" i="126"/>
  <c r="F9" i="126"/>
  <c r="E9" i="126"/>
  <c r="G9" i="126" s="1"/>
  <c r="D9" i="126"/>
  <c r="N8" i="126"/>
  <c r="M8" i="126"/>
  <c r="L8" i="126"/>
  <c r="J8" i="126"/>
  <c r="I8" i="126"/>
  <c r="H8" i="126"/>
  <c r="F8" i="126"/>
  <c r="E8" i="126"/>
  <c r="D8" i="126"/>
  <c r="N7" i="126"/>
  <c r="M7" i="126"/>
  <c r="L7" i="126"/>
  <c r="J7" i="126"/>
  <c r="I7" i="126"/>
  <c r="H7" i="126"/>
  <c r="F7" i="126"/>
  <c r="E7" i="126"/>
  <c r="D7" i="126"/>
  <c r="N6" i="126"/>
  <c r="M6" i="126"/>
  <c r="L6" i="126"/>
  <c r="J6" i="126"/>
  <c r="I6" i="126"/>
  <c r="K6" i="126" s="1"/>
  <c r="H6" i="126"/>
  <c r="F6" i="126"/>
  <c r="E6" i="126"/>
  <c r="D6" i="126"/>
  <c r="C6" i="126"/>
  <c r="N5" i="126"/>
  <c r="M5" i="126"/>
  <c r="L5" i="126"/>
  <c r="J5" i="126"/>
  <c r="I5" i="126"/>
  <c r="H5" i="126"/>
  <c r="F5" i="126"/>
  <c r="E5" i="126"/>
  <c r="D5" i="126"/>
  <c r="K3" i="126"/>
  <c r="F3" i="126"/>
  <c r="C3" i="126"/>
  <c r="L2" i="126"/>
  <c r="C82" i="125"/>
  <c r="C83" i="125" s="1"/>
  <c r="L54" i="125" s="1"/>
  <c r="R75" i="125"/>
  <c r="Q75" i="125"/>
  <c r="P75" i="125"/>
  <c r="O75" i="125"/>
  <c r="N75" i="125"/>
  <c r="M75" i="125"/>
  <c r="L75" i="125"/>
  <c r="K75" i="125"/>
  <c r="J75" i="125"/>
  <c r="I75" i="125"/>
  <c r="H75" i="125"/>
  <c r="G75" i="125"/>
  <c r="F75" i="125"/>
  <c r="T71" i="125"/>
  <c r="S71" i="125"/>
  <c r="R71" i="125"/>
  <c r="Q71" i="125"/>
  <c r="P71" i="125"/>
  <c r="O71" i="125"/>
  <c r="N71" i="125"/>
  <c r="M71" i="125"/>
  <c r="L71" i="125"/>
  <c r="K71" i="125"/>
  <c r="J71" i="125"/>
  <c r="I71" i="125"/>
  <c r="H71" i="125"/>
  <c r="F71" i="125"/>
  <c r="E71" i="125"/>
  <c r="D71" i="125"/>
  <c r="U70" i="125"/>
  <c r="U69" i="125"/>
  <c r="U68" i="125"/>
  <c r="U67" i="125"/>
  <c r="U66" i="125"/>
  <c r="U65" i="125"/>
  <c r="G60" i="125"/>
  <c r="I4" i="125" s="1"/>
  <c r="J55" i="125"/>
  <c r="H55" i="125"/>
  <c r="D55" i="125"/>
  <c r="D53" i="125"/>
  <c r="L52" i="125"/>
  <c r="H52" i="125"/>
  <c r="D52" i="125"/>
  <c r="L51" i="125"/>
  <c r="H51" i="125"/>
  <c r="D51" i="125"/>
  <c r="L50" i="125"/>
  <c r="H50" i="125"/>
  <c r="D50" i="125"/>
  <c r="L49" i="125"/>
  <c r="H49" i="125"/>
  <c r="D49" i="125"/>
  <c r="J46" i="125"/>
  <c r="F46" i="125"/>
  <c r="D46" i="125"/>
  <c r="C45" i="125"/>
  <c r="B45" i="125"/>
  <c r="F44" i="125"/>
  <c r="E44" i="125"/>
  <c r="D44" i="125"/>
  <c r="N43" i="125"/>
  <c r="M43" i="125"/>
  <c r="L43" i="125"/>
  <c r="J43" i="125"/>
  <c r="I43" i="125"/>
  <c r="H43" i="125"/>
  <c r="F43" i="125"/>
  <c r="E43" i="125"/>
  <c r="G43" i="125" s="1"/>
  <c r="D43" i="125"/>
  <c r="N42" i="125"/>
  <c r="M42" i="125"/>
  <c r="L42" i="125"/>
  <c r="J42" i="125"/>
  <c r="I42" i="125"/>
  <c r="H42" i="125"/>
  <c r="F42" i="125"/>
  <c r="E42" i="125"/>
  <c r="G42" i="125" s="1"/>
  <c r="D42" i="125"/>
  <c r="N41" i="125"/>
  <c r="M41" i="125"/>
  <c r="L41" i="125"/>
  <c r="J41" i="125"/>
  <c r="I41" i="125"/>
  <c r="H41" i="125"/>
  <c r="F41" i="125"/>
  <c r="E41" i="125"/>
  <c r="D41" i="125"/>
  <c r="C41" i="125"/>
  <c r="N40" i="125"/>
  <c r="M40" i="125"/>
  <c r="L40" i="125"/>
  <c r="J40" i="125"/>
  <c r="I40" i="125"/>
  <c r="H40" i="125"/>
  <c r="F40" i="125"/>
  <c r="E40" i="125"/>
  <c r="D40" i="125"/>
  <c r="J39" i="125"/>
  <c r="F39" i="125"/>
  <c r="D39" i="125"/>
  <c r="C38" i="125"/>
  <c r="B38" i="125"/>
  <c r="F37" i="125"/>
  <c r="E37" i="125"/>
  <c r="D37" i="125"/>
  <c r="N36" i="125"/>
  <c r="M36" i="125"/>
  <c r="L36" i="125"/>
  <c r="J36" i="125"/>
  <c r="I36" i="125"/>
  <c r="H36" i="125"/>
  <c r="F36" i="125"/>
  <c r="E36" i="125"/>
  <c r="G36" i="125" s="1"/>
  <c r="D36" i="125"/>
  <c r="N35" i="125"/>
  <c r="M35" i="125"/>
  <c r="O35" i="125" s="1"/>
  <c r="L35" i="125"/>
  <c r="J35" i="125"/>
  <c r="I35" i="125"/>
  <c r="H35" i="125"/>
  <c r="F35" i="125"/>
  <c r="E35" i="125"/>
  <c r="D35" i="125"/>
  <c r="N34" i="125"/>
  <c r="M34" i="125"/>
  <c r="L34" i="125"/>
  <c r="J34" i="125"/>
  <c r="I34" i="125"/>
  <c r="H34" i="125"/>
  <c r="F34" i="125"/>
  <c r="E34" i="125"/>
  <c r="D34" i="125"/>
  <c r="C34" i="125"/>
  <c r="N33" i="125"/>
  <c r="M33" i="125"/>
  <c r="L33" i="125"/>
  <c r="J33" i="125"/>
  <c r="I33" i="125"/>
  <c r="H33" i="125"/>
  <c r="F33" i="125"/>
  <c r="E33" i="125"/>
  <c r="D33" i="125"/>
  <c r="J32" i="125"/>
  <c r="F32" i="125"/>
  <c r="D32" i="125"/>
  <c r="C31" i="125"/>
  <c r="B31" i="125"/>
  <c r="F30" i="125"/>
  <c r="E30" i="125"/>
  <c r="D30" i="125"/>
  <c r="N29" i="125"/>
  <c r="M29" i="125"/>
  <c r="L29" i="125"/>
  <c r="J29" i="125"/>
  <c r="I29" i="125"/>
  <c r="H29" i="125"/>
  <c r="F29" i="125"/>
  <c r="E29" i="125"/>
  <c r="D29" i="125"/>
  <c r="N28" i="125"/>
  <c r="M28" i="125"/>
  <c r="L28" i="125"/>
  <c r="J28" i="125"/>
  <c r="I28" i="125"/>
  <c r="K28" i="125" s="1"/>
  <c r="H28" i="125"/>
  <c r="F28" i="125"/>
  <c r="E28" i="125"/>
  <c r="D28" i="125"/>
  <c r="N27" i="125"/>
  <c r="M27" i="125"/>
  <c r="L27" i="125"/>
  <c r="J27" i="125"/>
  <c r="I27" i="125"/>
  <c r="H27" i="125"/>
  <c r="F27" i="125"/>
  <c r="E27" i="125"/>
  <c r="D27" i="125"/>
  <c r="C27" i="125"/>
  <c r="N26" i="125"/>
  <c r="M26" i="125"/>
  <c r="O26" i="125" s="1"/>
  <c r="L26" i="125"/>
  <c r="J26" i="125"/>
  <c r="I26" i="125"/>
  <c r="H26" i="125"/>
  <c r="F26" i="125"/>
  <c r="E26" i="125"/>
  <c r="D26" i="125"/>
  <c r="J25" i="125"/>
  <c r="F25" i="125"/>
  <c r="D25" i="125"/>
  <c r="C24" i="125"/>
  <c r="B24" i="125"/>
  <c r="F23" i="125"/>
  <c r="E23" i="125"/>
  <c r="D23" i="125"/>
  <c r="N22" i="125"/>
  <c r="M22" i="125"/>
  <c r="L22" i="125"/>
  <c r="J22" i="125"/>
  <c r="I22" i="125"/>
  <c r="H22" i="125"/>
  <c r="F22" i="125"/>
  <c r="E22" i="125"/>
  <c r="D22" i="125"/>
  <c r="N21" i="125"/>
  <c r="M21" i="125"/>
  <c r="L21" i="125"/>
  <c r="J21" i="125"/>
  <c r="I21" i="125"/>
  <c r="K21" i="125" s="1"/>
  <c r="H21" i="125"/>
  <c r="F21" i="125"/>
  <c r="E21" i="125"/>
  <c r="G21" i="125" s="1"/>
  <c r="D21" i="125"/>
  <c r="N20" i="125"/>
  <c r="M20" i="125"/>
  <c r="L20" i="125"/>
  <c r="J20" i="125"/>
  <c r="I20" i="125"/>
  <c r="H20" i="125"/>
  <c r="F20" i="125"/>
  <c r="E20" i="125"/>
  <c r="D20" i="125"/>
  <c r="C20" i="125"/>
  <c r="N19" i="125"/>
  <c r="M19" i="125"/>
  <c r="O19" i="125" s="1"/>
  <c r="L19" i="125"/>
  <c r="J19" i="125"/>
  <c r="I19" i="125"/>
  <c r="K19" i="125" s="1"/>
  <c r="H19" i="125"/>
  <c r="F19" i="125"/>
  <c r="E19" i="125"/>
  <c r="D19" i="125"/>
  <c r="J18" i="125"/>
  <c r="F18" i="125"/>
  <c r="D18" i="125"/>
  <c r="C17" i="125"/>
  <c r="B17" i="125"/>
  <c r="F16" i="125"/>
  <c r="E16" i="125"/>
  <c r="D16" i="125"/>
  <c r="N15" i="125"/>
  <c r="M15" i="125"/>
  <c r="L15" i="125"/>
  <c r="J15" i="125"/>
  <c r="I15" i="125"/>
  <c r="H15" i="125"/>
  <c r="F15" i="125"/>
  <c r="E15" i="125"/>
  <c r="D15" i="125"/>
  <c r="N14" i="125"/>
  <c r="M14" i="125"/>
  <c r="L14" i="125"/>
  <c r="J14" i="125"/>
  <c r="I14" i="125"/>
  <c r="H14" i="125"/>
  <c r="F14" i="125"/>
  <c r="E14" i="125"/>
  <c r="G14" i="125" s="1"/>
  <c r="D14" i="125"/>
  <c r="N13" i="125"/>
  <c r="M13" i="125"/>
  <c r="O13" i="125" s="1"/>
  <c r="L13" i="125"/>
  <c r="J13" i="125"/>
  <c r="I13" i="125"/>
  <c r="H13" i="125"/>
  <c r="F13" i="125"/>
  <c r="E13" i="125"/>
  <c r="D13" i="125"/>
  <c r="C13" i="125"/>
  <c r="N12" i="125"/>
  <c r="M12" i="125"/>
  <c r="L12" i="125"/>
  <c r="J12" i="125"/>
  <c r="I12" i="125"/>
  <c r="K12" i="125" s="1"/>
  <c r="H12" i="125"/>
  <c r="F12" i="125"/>
  <c r="E12" i="125"/>
  <c r="G12" i="125" s="1"/>
  <c r="D12" i="125"/>
  <c r="J11" i="125"/>
  <c r="F11" i="125"/>
  <c r="D11" i="125"/>
  <c r="C10" i="125"/>
  <c r="B10" i="125"/>
  <c r="F9" i="125"/>
  <c r="E9" i="125"/>
  <c r="G9" i="125" s="1"/>
  <c r="D9" i="125"/>
  <c r="N8" i="125"/>
  <c r="M8" i="125"/>
  <c r="L8" i="125"/>
  <c r="J8" i="125"/>
  <c r="I8" i="125"/>
  <c r="H8" i="125"/>
  <c r="F8" i="125"/>
  <c r="E8" i="125"/>
  <c r="D8" i="125"/>
  <c r="N7" i="125"/>
  <c r="M7" i="125"/>
  <c r="L7" i="125"/>
  <c r="J7" i="125"/>
  <c r="I7" i="125"/>
  <c r="H7" i="125"/>
  <c r="F7" i="125"/>
  <c r="E7" i="125"/>
  <c r="D7" i="125"/>
  <c r="N6" i="125"/>
  <c r="M6" i="125"/>
  <c r="O6" i="125" s="1"/>
  <c r="L6" i="125"/>
  <c r="J6" i="125"/>
  <c r="I6" i="125"/>
  <c r="K6" i="125" s="1"/>
  <c r="H6" i="125"/>
  <c r="F6" i="125"/>
  <c r="E6" i="125"/>
  <c r="D6" i="125"/>
  <c r="C6" i="125"/>
  <c r="N5" i="125"/>
  <c r="M5" i="125"/>
  <c r="L5" i="125"/>
  <c r="J5" i="125"/>
  <c r="I5" i="125"/>
  <c r="H5" i="125"/>
  <c r="F5" i="125"/>
  <c r="E5" i="125"/>
  <c r="D5" i="125"/>
  <c r="K3" i="125"/>
  <c r="F3" i="125"/>
  <c r="C3" i="125"/>
  <c r="L2" i="125"/>
  <c r="C82" i="124"/>
  <c r="C83" i="124" s="1"/>
  <c r="L54" i="124" s="1"/>
  <c r="R75" i="124"/>
  <c r="Q75" i="124"/>
  <c r="P75" i="124"/>
  <c r="O75" i="124"/>
  <c r="N75" i="124"/>
  <c r="M75" i="124"/>
  <c r="L75" i="124"/>
  <c r="K75" i="124"/>
  <c r="J75" i="124"/>
  <c r="I75" i="124"/>
  <c r="H75" i="124"/>
  <c r="G75" i="124"/>
  <c r="F75" i="124"/>
  <c r="T71" i="124"/>
  <c r="S71" i="124"/>
  <c r="R71" i="124"/>
  <c r="Q71" i="124"/>
  <c r="P71" i="124"/>
  <c r="O71" i="124"/>
  <c r="N71" i="124"/>
  <c r="M71" i="124"/>
  <c r="L71" i="124"/>
  <c r="K71" i="124"/>
  <c r="J71" i="124"/>
  <c r="I71" i="124"/>
  <c r="H71" i="124"/>
  <c r="F71" i="124"/>
  <c r="E71" i="124"/>
  <c r="D71" i="124"/>
  <c r="U70" i="124"/>
  <c r="U69" i="124"/>
  <c r="U68" i="124"/>
  <c r="U67" i="124"/>
  <c r="U66" i="124"/>
  <c r="U65" i="124"/>
  <c r="G60" i="124"/>
  <c r="I4" i="124" s="1"/>
  <c r="J55" i="124"/>
  <c r="H55" i="124"/>
  <c r="D55" i="124"/>
  <c r="D53" i="124"/>
  <c r="L52" i="124"/>
  <c r="H52" i="124"/>
  <c r="D52" i="124"/>
  <c r="L51" i="124"/>
  <c r="H51" i="124"/>
  <c r="D51" i="124"/>
  <c r="L50" i="124"/>
  <c r="H50" i="124"/>
  <c r="D50" i="124"/>
  <c r="L49" i="124"/>
  <c r="H49" i="124"/>
  <c r="D49" i="124"/>
  <c r="J46" i="124"/>
  <c r="F46" i="124"/>
  <c r="D46" i="124"/>
  <c r="C45" i="124"/>
  <c r="B45" i="124"/>
  <c r="F44" i="124"/>
  <c r="E44" i="124"/>
  <c r="D44" i="124"/>
  <c r="N43" i="124"/>
  <c r="M43" i="124"/>
  <c r="O43" i="124" s="1"/>
  <c r="L43" i="124"/>
  <c r="J43" i="124"/>
  <c r="I43" i="124"/>
  <c r="H43" i="124"/>
  <c r="F43" i="124"/>
  <c r="E43" i="124"/>
  <c r="G43" i="124" s="1"/>
  <c r="D43" i="124"/>
  <c r="N42" i="124"/>
  <c r="M42" i="124"/>
  <c r="L42" i="124"/>
  <c r="J42" i="124"/>
  <c r="I42" i="124"/>
  <c r="H42" i="124"/>
  <c r="F42" i="124"/>
  <c r="E42" i="124"/>
  <c r="G42" i="124" s="1"/>
  <c r="D42" i="124"/>
  <c r="N41" i="124"/>
  <c r="M41" i="124"/>
  <c r="L41" i="124"/>
  <c r="J41" i="124"/>
  <c r="I41" i="124"/>
  <c r="H41" i="124"/>
  <c r="F41" i="124"/>
  <c r="E41" i="124"/>
  <c r="G41" i="124" s="1"/>
  <c r="D41" i="124"/>
  <c r="C41" i="124"/>
  <c r="N40" i="124"/>
  <c r="M40" i="124"/>
  <c r="L40" i="124"/>
  <c r="J40" i="124"/>
  <c r="I40" i="124"/>
  <c r="H40" i="124"/>
  <c r="F40" i="124"/>
  <c r="E40" i="124"/>
  <c r="D40" i="124"/>
  <c r="J39" i="124"/>
  <c r="F39" i="124"/>
  <c r="D39" i="124"/>
  <c r="C38" i="124"/>
  <c r="B38" i="124"/>
  <c r="F37" i="124"/>
  <c r="E37" i="124"/>
  <c r="D37" i="124"/>
  <c r="N36" i="124"/>
  <c r="M36" i="124"/>
  <c r="L36" i="124"/>
  <c r="J36" i="124"/>
  <c r="I36" i="124"/>
  <c r="K36" i="124" s="1"/>
  <c r="H36" i="124"/>
  <c r="F36" i="124"/>
  <c r="E36" i="124"/>
  <c r="D36" i="124"/>
  <c r="N35" i="124"/>
  <c r="M35" i="124"/>
  <c r="O35" i="124" s="1"/>
  <c r="L35" i="124"/>
  <c r="J35" i="124"/>
  <c r="I35" i="124"/>
  <c r="H35" i="124"/>
  <c r="F35" i="124"/>
  <c r="E35" i="124"/>
  <c r="D35" i="124"/>
  <c r="N34" i="124"/>
  <c r="M34" i="124"/>
  <c r="L34" i="124"/>
  <c r="J34" i="124"/>
  <c r="I34" i="124"/>
  <c r="H34" i="124"/>
  <c r="F34" i="124"/>
  <c r="E34" i="124"/>
  <c r="D34" i="124"/>
  <c r="C34" i="124"/>
  <c r="N33" i="124"/>
  <c r="M33" i="124"/>
  <c r="L33" i="124"/>
  <c r="J33" i="124"/>
  <c r="I33" i="124"/>
  <c r="H33" i="124"/>
  <c r="F33" i="124"/>
  <c r="E33" i="124"/>
  <c r="D33" i="124"/>
  <c r="J32" i="124"/>
  <c r="F32" i="124"/>
  <c r="D32" i="124"/>
  <c r="C31" i="124"/>
  <c r="B31" i="124"/>
  <c r="F30" i="124"/>
  <c r="E30" i="124"/>
  <c r="D30" i="124"/>
  <c r="N29" i="124"/>
  <c r="M29" i="124"/>
  <c r="L29" i="124"/>
  <c r="J29" i="124"/>
  <c r="I29" i="124"/>
  <c r="H29" i="124"/>
  <c r="F29" i="124"/>
  <c r="E29" i="124"/>
  <c r="G29" i="124" s="1"/>
  <c r="D29" i="124"/>
  <c r="N28" i="124"/>
  <c r="M28" i="124"/>
  <c r="L28" i="124"/>
  <c r="J28" i="124"/>
  <c r="I28" i="124"/>
  <c r="K28" i="124" s="1"/>
  <c r="H28" i="124"/>
  <c r="F28" i="124"/>
  <c r="E28" i="124"/>
  <c r="D28" i="124"/>
  <c r="N27" i="124"/>
  <c r="M27" i="124"/>
  <c r="L27" i="124"/>
  <c r="J27" i="124"/>
  <c r="I27" i="124"/>
  <c r="H27" i="124"/>
  <c r="F27" i="124"/>
  <c r="E27" i="124"/>
  <c r="D27" i="124"/>
  <c r="C27" i="124"/>
  <c r="N26" i="124"/>
  <c r="M26" i="124"/>
  <c r="L26" i="124"/>
  <c r="J26" i="124"/>
  <c r="I26" i="124"/>
  <c r="H26" i="124"/>
  <c r="F26" i="124"/>
  <c r="E26" i="124"/>
  <c r="D26" i="124"/>
  <c r="J25" i="124"/>
  <c r="F25" i="124"/>
  <c r="D25" i="124"/>
  <c r="C24" i="124"/>
  <c r="B24" i="124"/>
  <c r="F23" i="124"/>
  <c r="E23" i="124"/>
  <c r="D23" i="124"/>
  <c r="N22" i="124"/>
  <c r="M22" i="124"/>
  <c r="L22" i="124"/>
  <c r="J22" i="124"/>
  <c r="I22" i="124"/>
  <c r="H22" i="124"/>
  <c r="F22" i="124"/>
  <c r="E22" i="124"/>
  <c r="D22" i="124"/>
  <c r="N21" i="124"/>
  <c r="M21" i="124"/>
  <c r="L21" i="124"/>
  <c r="J21" i="124"/>
  <c r="I21" i="124"/>
  <c r="H21" i="124"/>
  <c r="F21" i="124"/>
  <c r="E21" i="124"/>
  <c r="D21" i="124"/>
  <c r="N20" i="124"/>
  <c r="M20" i="124"/>
  <c r="L20" i="124"/>
  <c r="J20" i="124"/>
  <c r="I20" i="124"/>
  <c r="H20" i="124"/>
  <c r="F20" i="124"/>
  <c r="E20" i="124"/>
  <c r="D20" i="124"/>
  <c r="C20" i="124"/>
  <c r="N19" i="124"/>
  <c r="M19" i="124"/>
  <c r="L19" i="124"/>
  <c r="J19" i="124"/>
  <c r="I19" i="124"/>
  <c r="K19" i="124" s="1"/>
  <c r="H19" i="124"/>
  <c r="F19" i="124"/>
  <c r="E19" i="124"/>
  <c r="D19" i="124"/>
  <c r="J18" i="124"/>
  <c r="F18" i="124"/>
  <c r="D18" i="124"/>
  <c r="C17" i="124"/>
  <c r="B17" i="124"/>
  <c r="F16" i="124"/>
  <c r="E16" i="124"/>
  <c r="D16" i="124"/>
  <c r="N15" i="124"/>
  <c r="M15" i="124"/>
  <c r="L15" i="124"/>
  <c r="J15" i="124"/>
  <c r="I15" i="124"/>
  <c r="K15" i="124" s="1"/>
  <c r="H15" i="124"/>
  <c r="F15" i="124"/>
  <c r="E15" i="124"/>
  <c r="D15" i="124"/>
  <c r="N14" i="124"/>
  <c r="M14" i="124"/>
  <c r="L14" i="124"/>
  <c r="J14" i="124"/>
  <c r="I14" i="124"/>
  <c r="H14" i="124"/>
  <c r="F14" i="124"/>
  <c r="E14" i="124"/>
  <c r="D14" i="124"/>
  <c r="N13" i="124"/>
  <c r="M13" i="124"/>
  <c r="L13" i="124"/>
  <c r="J13" i="124"/>
  <c r="I13" i="124"/>
  <c r="H13" i="124"/>
  <c r="F13" i="124"/>
  <c r="E13" i="124"/>
  <c r="D13" i="124"/>
  <c r="C13" i="124"/>
  <c r="N12" i="124"/>
  <c r="M12" i="124"/>
  <c r="O12" i="124" s="1"/>
  <c r="L12" i="124"/>
  <c r="J12" i="124"/>
  <c r="I12" i="124"/>
  <c r="H12" i="124"/>
  <c r="F12" i="124"/>
  <c r="E12" i="124"/>
  <c r="D12" i="124"/>
  <c r="J11" i="124"/>
  <c r="F11" i="124"/>
  <c r="D11" i="124"/>
  <c r="C10" i="124"/>
  <c r="B10" i="124"/>
  <c r="F9" i="124"/>
  <c r="E9" i="124"/>
  <c r="D9" i="124"/>
  <c r="N8" i="124"/>
  <c r="M8" i="124"/>
  <c r="L8" i="124"/>
  <c r="J8" i="124"/>
  <c r="I8" i="124"/>
  <c r="H8" i="124"/>
  <c r="F8" i="124"/>
  <c r="E8" i="124"/>
  <c r="G8" i="124" s="1"/>
  <c r="D8" i="124"/>
  <c r="N7" i="124"/>
  <c r="M7" i="124"/>
  <c r="L7" i="124"/>
  <c r="J7" i="124"/>
  <c r="I7" i="124"/>
  <c r="H7" i="124"/>
  <c r="F7" i="124"/>
  <c r="E7" i="124"/>
  <c r="G7" i="124" s="1"/>
  <c r="D7" i="124"/>
  <c r="N6" i="124"/>
  <c r="M6" i="124"/>
  <c r="L6" i="124"/>
  <c r="J6" i="124"/>
  <c r="I6" i="124"/>
  <c r="H6" i="124"/>
  <c r="F6" i="124"/>
  <c r="E6" i="124"/>
  <c r="D6" i="124"/>
  <c r="C6" i="124"/>
  <c r="N5" i="124"/>
  <c r="M5" i="124"/>
  <c r="L5" i="124"/>
  <c r="J5" i="124"/>
  <c r="I5" i="124"/>
  <c r="K5" i="124" s="1"/>
  <c r="H5" i="124"/>
  <c r="F5" i="124"/>
  <c r="E5" i="124"/>
  <c r="D5" i="124"/>
  <c r="K3" i="124"/>
  <c r="F3" i="124"/>
  <c r="C3" i="124"/>
  <c r="L2" i="124"/>
  <c r="C82" i="123"/>
  <c r="C83" i="123" s="1"/>
  <c r="L54" i="123" s="1"/>
  <c r="R75" i="123"/>
  <c r="Q75" i="123"/>
  <c r="P75" i="123"/>
  <c r="O75" i="123"/>
  <c r="N75" i="123"/>
  <c r="M75" i="123"/>
  <c r="L75" i="123"/>
  <c r="K75" i="123"/>
  <c r="J75" i="123"/>
  <c r="I75" i="123"/>
  <c r="H75" i="123"/>
  <c r="G75" i="123"/>
  <c r="F75" i="123"/>
  <c r="T71" i="123"/>
  <c r="S71" i="123"/>
  <c r="R71" i="123"/>
  <c r="Q71" i="123"/>
  <c r="P71" i="123"/>
  <c r="O71" i="123"/>
  <c r="N71" i="123"/>
  <c r="M71" i="123"/>
  <c r="L71" i="123"/>
  <c r="K71" i="123"/>
  <c r="J71" i="123"/>
  <c r="I71" i="123"/>
  <c r="H71" i="123"/>
  <c r="F71" i="123"/>
  <c r="E71" i="123"/>
  <c r="D71" i="123"/>
  <c r="U70" i="123"/>
  <c r="U69" i="123"/>
  <c r="U68" i="123"/>
  <c r="U67" i="123"/>
  <c r="U66" i="123"/>
  <c r="U65" i="123"/>
  <c r="G60" i="123"/>
  <c r="I4" i="123" s="1"/>
  <c r="J55" i="123"/>
  <c r="H55" i="123"/>
  <c r="D55" i="123"/>
  <c r="D53" i="123"/>
  <c r="L52" i="123"/>
  <c r="H52" i="123"/>
  <c r="D52" i="123"/>
  <c r="L51" i="123"/>
  <c r="H51" i="123"/>
  <c r="D51" i="123"/>
  <c r="L50" i="123"/>
  <c r="H50" i="123"/>
  <c r="D50" i="123"/>
  <c r="L49" i="123"/>
  <c r="H49" i="123"/>
  <c r="D49" i="123"/>
  <c r="J46" i="123"/>
  <c r="F46" i="123"/>
  <c r="D46" i="123"/>
  <c r="C45" i="123"/>
  <c r="B45" i="123"/>
  <c r="F44" i="123"/>
  <c r="E44" i="123"/>
  <c r="D44" i="123"/>
  <c r="N43" i="123"/>
  <c r="M43" i="123"/>
  <c r="O43" i="123" s="1"/>
  <c r="L43" i="123"/>
  <c r="J43" i="123"/>
  <c r="I43" i="123"/>
  <c r="H43" i="123"/>
  <c r="F43" i="123"/>
  <c r="E43" i="123"/>
  <c r="D43" i="123"/>
  <c r="N42" i="123"/>
  <c r="M42" i="123"/>
  <c r="L42" i="123"/>
  <c r="J42" i="123"/>
  <c r="I42" i="123"/>
  <c r="H42" i="123"/>
  <c r="F42" i="123"/>
  <c r="E42" i="123"/>
  <c r="D42" i="123"/>
  <c r="N41" i="123"/>
  <c r="M41" i="123"/>
  <c r="L41" i="123"/>
  <c r="J41" i="123"/>
  <c r="I41" i="123"/>
  <c r="H41" i="123"/>
  <c r="F41" i="123"/>
  <c r="E41" i="123"/>
  <c r="G41" i="123" s="1"/>
  <c r="D41" i="123"/>
  <c r="C41" i="123"/>
  <c r="N40" i="123"/>
  <c r="M40" i="123"/>
  <c r="L40" i="123"/>
  <c r="J40" i="123"/>
  <c r="I40" i="123"/>
  <c r="H40" i="123"/>
  <c r="F40" i="123"/>
  <c r="E40" i="123"/>
  <c r="D40" i="123"/>
  <c r="J39" i="123"/>
  <c r="F39" i="123"/>
  <c r="D39" i="123"/>
  <c r="C38" i="123"/>
  <c r="B38" i="123"/>
  <c r="F37" i="123"/>
  <c r="E37" i="123"/>
  <c r="D37" i="123"/>
  <c r="N36" i="123"/>
  <c r="M36" i="123"/>
  <c r="L36" i="123"/>
  <c r="J36" i="123"/>
  <c r="I36" i="123"/>
  <c r="K36" i="123" s="1"/>
  <c r="H36" i="123"/>
  <c r="F36" i="123"/>
  <c r="E36" i="123"/>
  <c r="D36" i="123"/>
  <c r="N35" i="123"/>
  <c r="M35" i="123"/>
  <c r="O35" i="123" s="1"/>
  <c r="L35" i="123"/>
  <c r="J35" i="123"/>
  <c r="I35" i="123"/>
  <c r="H35" i="123"/>
  <c r="F35" i="123"/>
  <c r="E35" i="123"/>
  <c r="D35" i="123"/>
  <c r="N34" i="123"/>
  <c r="M34" i="123"/>
  <c r="L34" i="123"/>
  <c r="J34" i="123"/>
  <c r="I34" i="123"/>
  <c r="H34" i="123"/>
  <c r="F34" i="123"/>
  <c r="E34" i="123"/>
  <c r="D34" i="123"/>
  <c r="C34" i="123"/>
  <c r="N33" i="123"/>
  <c r="M33" i="123"/>
  <c r="L33" i="123"/>
  <c r="J33" i="123"/>
  <c r="I33" i="123"/>
  <c r="H33" i="123"/>
  <c r="F33" i="123"/>
  <c r="E33" i="123"/>
  <c r="D33" i="123"/>
  <c r="J32" i="123"/>
  <c r="F32" i="123"/>
  <c r="D32" i="123"/>
  <c r="C31" i="123"/>
  <c r="B31" i="123"/>
  <c r="F30" i="123"/>
  <c r="E30" i="123"/>
  <c r="D30" i="123"/>
  <c r="N29" i="123"/>
  <c r="M29" i="123"/>
  <c r="L29" i="123"/>
  <c r="J29" i="123"/>
  <c r="I29" i="123"/>
  <c r="H29" i="123"/>
  <c r="F29" i="123"/>
  <c r="E29" i="123"/>
  <c r="D29" i="123"/>
  <c r="N28" i="123"/>
  <c r="M28" i="123"/>
  <c r="L28" i="123"/>
  <c r="J28" i="123"/>
  <c r="I28" i="123"/>
  <c r="H28" i="123"/>
  <c r="F28" i="123"/>
  <c r="E28" i="123"/>
  <c r="D28" i="123"/>
  <c r="N27" i="123"/>
  <c r="M27" i="123"/>
  <c r="L27" i="123"/>
  <c r="J27" i="123"/>
  <c r="I27" i="123"/>
  <c r="H27" i="123"/>
  <c r="F27" i="123"/>
  <c r="E27" i="123"/>
  <c r="D27" i="123"/>
  <c r="C27" i="123"/>
  <c r="N26" i="123"/>
  <c r="M26" i="123"/>
  <c r="O26" i="123" s="1"/>
  <c r="L26" i="123"/>
  <c r="J26" i="123"/>
  <c r="I26" i="123"/>
  <c r="K26" i="123" s="1"/>
  <c r="H26" i="123"/>
  <c r="F26" i="123"/>
  <c r="E26" i="123"/>
  <c r="D26" i="123"/>
  <c r="J25" i="123"/>
  <c r="F25" i="123"/>
  <c r="D25" i="123"/>
  <c r="C24" i="123"/>
  <c r="B24" i="123"/>
  <c r="F23" i="123"/>
  <c r="E23" i="123"/>
  <c r="D23" i="123"/>
  <c r="N22" i="123"/>
  <c r="M22" i="123"/>
  <c r="L22" i="123"/>
  <c r="J22" i="123"/>
  <c r="I22" i="123"/>
  <c r="H22" i="123"/>
  <c r="F22" i="123"/>
  <c r="E22" i="123"/>
  <c r="D22" i="123"/>
  <c r="N21" i="123"/>
  <c r="M21" i="123"/>
  <c r="L21" i="123"/>
  <c r="J21" i="123"/>
  <c r="I21" i="123"/>
  <c r="H21" i="123"/>
  <c r="F21" i="123"/>
  <c r="E21" i="123"/>
  <c r="D21" i="123"/>
  <c r="N20" i="123"/>
  <c r="M20" i="123"/>
  <c r="O20" i="123" s="1"/>
  <c r="L20" i="123"/>
  <c r="J20" i="123"/>
  <c r="I20" i="123"/>
  <c r="H20" i="123"/>
  <c r="F20" i="123"/>
  <c r="E20" i="123"/>
  <c r="D20" i="123"/>
  <c r="C20" i="123"/>
  <c r="N19" i="123"/>
  <c r="M19" i="123"/>
  <c r="L19" i="123"/>
  <c r="J19" i="123"/>
  <c r="I19" i="123"/>
  <c r="H19" i="123"/>
  <c r="F19" i="123"/>
  <c r="E19" i="123"/>
  <c r="D19" i="123"/>
  <c r="J18" i="123"/>
  <c r="F18" i="123"/>
  <c r="D18" i="123"/>
  <c r="C17" i="123"/>
  <c r="B17" i="123"/>
  <c r="F16" i="123"/>
  <c r="E16" i="123"/>
  <c r="D16" i="123"/>
  <c r="N15" i="123"/>
  <c r="M15" i="123"/>
  <c r="L15" i="123"/>
  <c r="J15" i="123"/>
  <c r="I15" i="123"/>
  <c r="H15" i="123"/>
  <c r="F15" i="123"/>
  <c r="E15" i="123"/>
  <c r="D15" i="123"/>
  <c r="N14" i="123"/>
  <c r="M14" i="123"/>
  <c r="L14" i="123"/>
  <c r="J14" i="123"/>
  <c r="I14" i="123"/>
  <c r="K14" i="123" s="1"/>
  <c r="H14" i="123"/>
  <c r="F14" i="123"/>
  <c r="E14" i="123"/>
  <c r="D14" i="123"/>
  <c r="N13" i="123"/>
  <c r="M13" i="123"/>
  <c r="O13" i="123" s="1"/>
  <c r="L13" i="123"/>
  <c r="J13" i="123"/>
  <c r="I13" i="123"/>
  <c r="K13" i="123" s="1"/>
  <c r="H13" i="123"/>
  <c r="F13" i="123"/>
  <c r="E13" i="123"/>
  <c r="D13" i="123"/>
  <c r="C13" i="123"/>
  <c r="N12" i="123"/>
  <c r="M12" i="123"/>
  <c r="L12" i="123"/>
  <c r="J12" i="123"/>
  <c r="I12" i="123"/>
  <c r="H12" i="123"/>
  <c r="F12" i="123"/>
  <c r="E12" i="123"/>
  <c r="D12" i="123"/>
  <c r="J11" i="123"/>
  <c r="F11" i="123"/>
  <c r="D11" i="123"/>
  <c r="C10" i="123"/>
  <c r="B10" i="123"/>
  <c r="F9" i="123"/>
  <c r="E9" i="123"/>
  <c r="D9" i="123"/>
  <c r="N8" i="123"/>
  <c r="M8" i="123"/>
  <c r="L8" i="123"/>
  <c r="J8" i="123"/>
  <c r="I8" i="123"/>
  <c r="H8" i="123"/>
  <c r="F8" i="123"/>
  <c r="E8" i="123"/>
  <c r="D8" i="123"/>
  <c r="N7" i="123"/>
  <c r="M7" i="123"/>
  <c r="L7" i="123"/>
  <c r="J7" i="123"/>
  <c r="I7" i="123"/>
  <c r="H7" i="123"/>
  <c r="F7" i="123"/>
  <c r="E7" i="123"/>
  <c r="D7" i="123"/>
  <c r="N6" i="123"/>
  <c r="M6" i="123"/>
  <c r="L6" i="123"/>
  <c r="J6" i="123"/>
  <c r="I6" i="123"/>
  <c r="H6" i="123"/>
  <c r="F6" i="123"/>
  <c r="E6" i="123"/>
  <c r="D6" i="123"/>
  <c r="C6" i="123"/>
  <c r="N5" i="123"/>
  <c r="M5" i="123"/>
  <c r="L5" i="123"/>
  <c r="J5" i="123"/>
  <c r="I5" i="123"/>
  <c r="H5" i="123"/>
  <c r="F5" i="123"/>
  <c r="E5" i="123"/>
  <c r="D5" i="123"/>
  <c r="K3" i="123"/>
  <c r="F3" i="123"/>
  <c r="C3" i="123"/>
  <c r="L2" i="123"/>
  <c r="C82" i="122"/>
  <c r="C83" i="122" s="1"/>
  <c r="L54" i="122" s="1"/>
  <c r="R75" i="122"/>
  <c r="Q75" i="122"/>
  <c r="P75" i="122"/>
  <c r="O75" i="122"/>
  <c r="N75" i="122"/>
  <c r="M75" i="122"/>
  <c r="L75" i="122"/>
  <c r="K75" i="122"/>
  <c r="J75" i="122"/>
  <c r="I75" i="122"/>
  <c r="H75" i="122"/>
  <c r="G75" i="122"/>
  <c r="F75" i="122"/>
  <c r="T71" i="122"/>
  <c r="S71" i="122"/>
  <c r="R71" i="122"/>
  <c r="Q71" i="122"/>
  <c r="P71" i="122"/>
  <c r="O71" i="122"/>
  <c r="N71" i="122"/>
  <c r="M71" i="122"/>
  <c r="L71" i="122"/>
  <c r="K71" i="122"/>
  <c r="J71" i="122"/>
  <c r="I71" i="122"/>
  <c r="H71" i="122"/>
  <c r="F71" i="122"/>
  <c r="E71" i="122"/>
  <c r="D71" i="122"/>
  <c r="U70" i="122"/>
  <c r="U69" i="122"/>
  <c r="U68" i="122"/>
  <c r="U67" i="122"/>
  <c r="U66" i="122"/>
  <c r="U65" i="122"/>
  <c r="G60" i="122"/>
  <c r="I4" i="122" s="1"/>
  <c r="J55" i="122"/>
  <c r="H55" i="122"/>
  <c r="D55" i="122"/>
  <c r="D53" i="122"/>
  <c r="L52" i="122"/>
  <c r="H52" i="122"/>
  <c r="D52" i="122"/>
  <c r="L51" i="122"/>
  <c r="H51" i="122"/>
  <c r="D51" i="122"/>
  <c r="L50" i="122"/>
  <c r="H50" i="122"/>
  <c r="D50" i="122"/>
  <c r="L49" i="122"/>
  <c r="H49" i="122"/>
  <c r="D49" i="122"/>
  <c r="J46" i="122"/>
  <c r="F46" i="122"/>
  <c r="D46" i="122"/>
  <c r="C45" i="122"/>
  <c r="B45" i="122"/>
  <c r="F44" i="122"/>
  <c r="E44" i="122"/>
  <c r="D44" i="122"/>
  <c r="N43" i="122"/>
  <c r="M43" i="122"/>
  <c r="L43" i="122"/>
  <c r="J43" i="122"/>
  <c r="I43" i="122"/>
  <c r="H43" i="122"/>
  <c r="F43" i="122"/>
  <c r="E43" i="122"/>
  <c r="D43" i="122"/>
  <c r="N42" i="122"/>
  <c r="M42" i="122"/>
  <c r="L42" i="122"/>
  <c r="J42" i="122"/>
  <c r="I42" i="122"/>
  <c r="H42" i="122"/>
  <c r="F42" i="122"/>
  <c r="E42" i="122"/>
  <c r="G42" i="122" s="1"/>
  <c r="D42" i="122"/>
  <c r="N41" i="122"/>
  <c r="M41" i="122"/>
  <c r="O41" i="122" s="1"/>
  <c r="L41" i="122"/>
  <c r="J41" i="122"/>
  <c r="I41" i="122"/>
  <c r="H41" i="122"/>
  <c r="F41" i="122"/>
  <c r="E41" i="122"/>
  <c r="D41" i="122"/>
  <c r="C41" i="122"/>
  <c r="N40" i="122"/>
  <c r="M40" i="122"/>
  <c r="L40" i="122"/>
  <c r="J40" i="122"/>
  <c r="I40" i="122"/>
  <c r="H40" i="122"/>
  <c r="F40" i="122"/>
  <c r="E40" i="122"/>
  <c r="D40" i="122"/>
  <c r="J39" i="122"/>
  <c r="F39" i="122"/>
  <c r="D39" i="122"/>
  <c r="C38" i="122"/>
  <c r="B38" i="122"/>
  <c r="F37" i="122"/>
  <c r="E37" i="122"/>
  <c r="G37" i="122" s="1"/>
  <c r="D37" i="122"/>
  <c r="N36" i="122"/>
  <c r="M36" i="122"/>
  <c r="L36" i="122"/>
  <c r="J36" i="122"/>
  <c r="I36" i="122"/>
  <c r="H36" i="122"/>
  <c r="F36" i="122"/>
  <c r="E36" i="122"/>
  <c r="D36" i="122"/>
  <c r="N35" i="122"/>
  <c r="M35" i="122"/>
  <c r="L35" i="122"/>
  <c r="J35" i="122"/>
  <c r="I35" i="122"/>
  <c r="H35" i="122"/>
  <c r="F35" i="122"/>
  <c r="E35" i="122"/>
  <c r="D35" i="122"/>
  <c r="N34" i="122"/>
  <c r="M34" i="122"/>
  <c r="O34" i="122" s="1"/>
  <c r="L34" i="122"/>
  <c r="J34" i="122"/>
  <c r="I34" i="122"/>
  <c r="K34" i="122" s="1"/>
  <c r="H34" i="122"/>
  <c r="F34" i="122"/>
  <c r="E34" i="122"/>
  <c r="D34" i="122"/>
  <c r="C34" i="122"/>
  <c r="N33" i="122"/>
  <c r="M33" i="122"/>
  <c r="O33" i="122" s="1"/>
  <c r="L33" i="122"/>
  <c r="J33" i="122"/>
  <c r="I33" i="122"/>
  <c r="H33" i="122"/>
  <c r="F33" i="122"/>
  <c r="E33" i="122"/>
  <c r="G33" i="122" s="1"/>
  <c r="D33" i="122"/>
  <c r="J32" i="122"/>
  <c r="F32" i="122"/>
  <c r="D32" i="122"/>
  <c r="C31" i="122"/>
  <c r="B31" i="122"/>
  <c r="F30" i="122"/>
  <c r="E30" i="122"/>
  <c r="G30" i="122" s="1"/>
  <c r="D30" i="122"/>
  <c r="N29" i="122"/>
  <c r="M29" i="122"/>
  <c r="O29" i="122" s="1"/>
  <c r="L29" i="122"/>
  <c r="J29" i="122"/>
  <c r="I29" i="122"/>
  <c r="H29" i="122"/>
  <c r="F29" i="122"/>
  <c r="E29" i="122"/>
  <c r="D29" i="122"/>
  <c r="N28" i="122"/>
  <c r="M28" i="122"/>
  <c r="L28" i="122"/>
  <c r="J28" i="122"/>
  <c r="I28" i="122"/>
  <c r="H28" i="122"/>
  <c r="F28" i="122"/>
  <c r="E28" i="122"/>
  <c r="D28" i="122"/>
  <c r="N27" i="122"/>
  <c r="M27" i="122"/>
  <c r="L27" i="122"/>
  <c r="J27" i="122"/>
  <c r="I27" i="122"/>
  <c r="H27" i="122"/>
  <c r="F27" i="122"/>
  <c r="E27" i="122"/>
  <c r="D27" i="122"/>
  <c r="C27" i="122"/>
  <c r="N26" i="122"/>
  <c r="M26" i="122"/>
  <c r="L26" i="122"/>
  <c r="J26" i="122"/>
  <c r="I26" i="122"/>
  <c r="H26" i="122"/>
  <c r="F26" i="122"/>
  <c r="E26" i="122"/>
  <c r="D26" i="122"/>
  <c r="J25" i="122"/>
  <c r="F25" i="122"/>
  <c r="D25" i="122"/>
  <c r="C24" i="122"/>
  <c r="B24" i="122"/>
  <c r="F23" i="122"/>
  <c r="E23" i="122"/>
  <c r="D23" i="122"/>
  <c r="N22" i="122"/>
  <c r="M22" i="122"/>
  <c r="O22" i="122" s="1"/>
  <c r="L22" i="122"/>
  <c r="J22" i="122"/>
  <c r="I22" i="122"/>
  <c r="H22" i="122"/>
  <c r="F22" i="122"/>
  <c r="E22" i="122"/>
  <c r="D22" i="122"/>
  <c r="N21" i="122"/>
  <c r="M21" i="122"/>
  <c r="L21" i="122"/>
  <c r="J21" i="122"/>
  <c r="I21" i="122"/>
  <c r="H21" i="122"/>
  <c r="F21" i="122"/>
  <c r="E21" i="122"/>
  <c r="D21" i="122"/>
  <c r="N20" i="122"/>
  <c r="M20" i="122"/>
  <c r="O20" i="122" s="1"/>
  <c r="L20" i="122"/>
  <c r="J20" i="122"/>
  <c r="I20" i="122"/>
  <c r="H20" i="122"/>
  <c r="F20" i="122"/>
  <c r="E20" i="122"/>
  <c r="G20" i="122" s="1"/>
  <c r="D20" i="122"/>
  <c r="C20" i="122"/>
  <c r="N19" i="122"/>
  <c r="M19" i="122"/>
  <c r="L19" i="122"/>
  <c r="J19" i="122"/>
  <c r="I19" i="122"/>
  <c r="H19" i="122"/>
  <c r="F19" i="122"/>
  <c r="E19" i="122"/>
  <c r="G19" i="122" s="1"/>
  <c r="D19" i="122"/>
  <c r="J18" i="122"/>
  <c r="F18" i="122"/>
  <c r="D18" i="122"/>
  <c r="C17" i="122"/>
  <c r="B17" i="122"/>
  <c r="F16" i="122"/>
  <c r="E16" i="122"/>
  <c r="G16" i="122" s="1"/>
  <c r="D16" i="122"/>
  <c r="N15" i="122"/>
  <c r="M15" i="122"/>
  <c r="L15" i="122"/>
  <c r="J15" i="122"/>
  <c r="I15" i="122"/>
  <c r="H15" i="122"/>
  <c r="F15" i="122"/>
  <c r="E15" i="122"/>
  <c r="D15" i="122"/>
  <c r="N14" i="122"/>
  <c r="M14" i="122"/>
  <c r="L14" i="122"/>
  <c r="J14" i="122"/>
  <c r="I14" i="122"/>
  <c r="H14" i="122"/>
  <c r="F14" i="122"/>
  <c r="E14" i="122"/>
  <c r="D14" i="122"/>
  <c r="N13" i="122"/>
  <c r="M13" i="122"/>
  <c r="L13" i="122"/>
  <c r="J13" i="122"/>
  <c r="I13" i="122"/>
  <c r="K13" i="122" s="1"/>
  <c r="H13" i="122"/>
  <c r="F13" i="122"/>
  <c r="E13" i="122"/>
  <c r="D13" i="122"/>
  <c r="C13" i="122"/>
  <c r="N12" i="122"/>
  <c r="M12" i="122"/>
  <c r="L12" i="122"/>
  <c r="J12" i="122"/>
  <c r="I12" i="122"/>
  <c r="H12" i="122"/>
  <c r="F12" i="122"/>
  <c r="E12" i="122"/>
  <c r="D12" i="122"/>
  <c r="J11" i="122"/>
  <c r="F11" i="122"/>
  <c r="D11" i="122"/>
  <c r="C10" i="122"/>
  <c r="B10" i="122"/>
  <c r="F9" i="122"/>
  <c r="E9" i="122"/>
  <c r="D9" i="122"/>
  <c r="N8" i="122"/>
  <c r="M8" i="122"/>
  <c r="O8" i="122" s="1"/>
  <c r="L8" i="122"/>
  <c r="J8" i="122"/>
  <c r="I8" i="122"/>
  <c r="H8" i="122"/>
  <c r="F8" i="122"/>
  <c r="E8" i="122"/>
  <c r="G8" i="122" s="1"/>
  <c r="D8" i="122"/>
  <c r="N7" i="122"/>
  <c r="M7" i="122"/>
  <c r="L7" i="122"/>
  <c r="J7" i="122"/>
  <c r="I7" i="122"/>
  <c r="H7" i="122"/>
  <c r="F7" i="122"/>
  <c r="E7" i="122"/>
  <c r="D7" i="122"/>
  <c r="N6" i="122"/>
  <c r="M6" i="122"/>
  <c r="L6" i="122"/>
  <c r="J6" i="122"/>
  <c r="I6" i="122"/>
  <c r="H6" i="122"/>
  <c r="F6" i="122"/>
  <c r="E6" i="122"/>
  <c r="G6" i="122" s="1"/>
  <c r="D6" i="122"/>
  <c r="C6" i="122"/>
  <c r="N5" i="122"/>
  <c r="M5" i="122"/>
  <c r="L5" i="122"/>
  <c r="J5" i="122"/>
  <c r="I5" i="122"/>
  <c r="H5" i="122"/>
  <c r="F5" i="122"/>
  <c r="E5" i="122"/>
  <c r="D5" i="122"/>
  <c r="K3" i="122"/>
  <c r="F3" i="122"/>
  <c r="C3" i="122"/>
  <c r="L2" i="122"/>
  <c r="C82" i="121"/>
  <c r="C83" i="121" s="1"/>
  <c r="L54" i="121" s="1"/>
  <c r="R75" i="121"/>
  <c r="Q75" i="121"/>
  <c r="P75" i="121"/>
  <c r="O75" i="121"/>
  <c r="N75" i="121"/>
  <c r="M75" i="121"/>
  <c r="L75" i="121"/>
  <c r="K75" i="121"/>
  <c r="J75" i="121"/>
  <c r="I75" i="121"/>
  <c r="H75" i="121"/>
  <c r="G75" i="121"/>
  <c r="F75" i="121"/>
  <c r="T71" i="121"/>
  <c r="S71" i="121"/>
  <c r="R71" i="121"/>
  <c r="Q71" i="121"/>
  <c r="P71" i="121"/>
  <c r="O71" i="121"/>
  <c r="N71" i="121"/>
  <c r="M71" i="121"/>
  <c r="L71" i="121"/>
  <c r="K71" i="121"/>
  <c r="J71" i="121"/>
  <c r="I71" i="121"/>
  <c r="H71" i="121"/>
  <c r="F71" i="121"/>
  <c r="E71" i="121"/>
  <c r="D71" i="121"/>
  <c r="U70" i="121"/>
  <c r="U69" i="121"/>
  <c r="U68" i="121"/>
  <c r="U67" i="121"/>
  <c r="U66" i="121"/>
  <c r="U65" i="121"/>
  <c r="G60" i="121"/>
  <c r="I4" i="121" s="1"/>
  <c r="J55" i="121"/>
  <c r="H55" i="121"/>
  <c r="D55" i="121"/>
  <c r="D53" i="121"/>
  <c r="L52" i="121"/>
  <c r="H52" i="121"/>
  <c r="D52" i="121"/>
  <c r="L51" i="121"/>
  <c r="H51" i="121"/>
  <c r="D51" i="121"/>
  <c r="L50" i="121"/>
  <c r="H50" i="121"/>
  <c r="D50" i="121"/>
  <c r="L49" i="121"/>
  <c r="H49" i="121"/>
  <c r="D49" i="121"/>
  <c r="J46" i="121"/>
  <c r="F46" i="121"/>
  <c r="D46" i="121"/>
  <c r="C45" i="121"/>
  <c r="B45" i="121"/>
  <c r="F44" i="121"/>
  <c r="E44" i="121"/>
  <c r="D44" i="121"/>
  <c r="N43" i="121"/>
  <c r="M43" i="121"/>
  <c r="L43" i="121"/>
  <c r="J43" i="121"/>
  <c r="I43" i="121"/>
  <c r="H43" i="121"/>
  <c r="F43" i="121"/>
  <c r="E43" i="121"/>
  <c r="D43" i="121"/>
  <c r="N42" i="121"/>
  <c r="M42" i="121"/>
  <c r="L42" i="121"/>
  <c r="J42" i="121"/>
  <c r="I42" i="121"/>
  <c r="H42" i="121"/>
  <c r="F42" i="121"/>
  <c r="E42" i="121"/>
  <c r="D42" i="121"/>
  <c r="N41" i="121"/>
  <c r="M41" i="121"/>
  <c r="O41" i="121" s="1"/>
  <c r="L41" i="121"/>
  <c r="J41" i="121"/>
  <c r="I41" i="121"/>
  <c r="H41" i="121"/>
  <c r="F41" i="121"/>
  <c r="E41" i="121"/>
  <c r="D41" i="121"/>
  <c r="C41" i="121"/>
  <c r="N40" i="121"/>
  <c r="M40" i="121"/>
  <c r="L40" i="121"/>
  <c r="J40" i="121"/>
  <c r="I40" i="121"/>
  <c r="H40" i="121"/>
  <c r="F40" i="121"/>
  <c r="E40" i="121"/>
  <c r="D40" i="121"/>
  <c r="J39" i="121"/>
  <c r="F39" i="121"/>
  <c r="D39" i="121"/>
  <c r="C38" i="121"/>
  <c r="B38" i="121"/>
  <c r="F37" i="121"/>
  <c r="E37" i="121"/>
  <c r="D37" i="121"/>
  <c r="N36" i="121"/>
  <c r="L36" i="121"/>
  <c r="J36" i="121"/>
  <c r="I36" i="121"/>
  <c r="H36" i="121"/>
  <c r="F36" i="121"/>
  <c r="E36" i="121"/>
  <c r="G36" i="121" s="1"/>
  <c r="D36" i="121"/>
  <c r="N35" i="121"/>
  <c r="M35" i="121"/>
  <c r="L35" i="121"/>
  <c r="J35" i="121"/>
  <c r="I35" i="121"/>
  <c r="H35" i="121"/>
  <c r="F35" i="121"/>
  <c r="E35" i="121"/>
  <c r="D35" i="121"/>
  <c r="N34" i="121"/>
  <c r="M34" i="121"/>
  <c r="L34" i="121"/>
  <c r="J34" i="121"/>
  <c r="I34" i="121"/>
  <c r="H34" i="121"/>
  <c r="F34" i="121"/>
  <c r="E34" i="121"/>
  <c r="D34" i="121"/>
  <c r="N33" i="121"/>
  <c r="M33" i="121"/>
  <c r="L33" i="121"/>
  <c r="J33" i="121"/>
  <c r="I33" i="121"/>
  <c r="H33" i="121"/>
  <c r="F33" i="121"/>
  <c r="E33" i="121"/>
  <c r="D33" i="121"/>
  <c r="J32" i="121"/>
  <c r="F32" i="121"/>
  <c r="D32" i="121"/>
  <c r="C31" i="121"/>
  <c r="B31" i="121"/>
  <c r="F30" i="121"/>
  <c r="E30" i="121"/>
  <c r="D30" i="121"/>
  <c r="N29" i="121"/>
  <c r="L29" i="121"/>
  <c r="J29" i="121"/>
  <c r="I29" i="121"/>
  <c r="H29" i="121"/>
  <c r="F29" i="121"/>
  <c r="E29" i="121"/>
  <c r="D29" i="121"/>
  <c r="N28" i="121"/>
  <c r="M28" i="121"/>
  <c r="L28" i="121"/>
  <c r="J28" i="121"/>
  <c r="I28" i="121"/>
  <c r="K28" i="121" s="1"/>
  <c r="H28" i="121"/>
  <c r="F28" i="121"/>
  <c r="E28" i="121"/>
  <c r="D28" i="121"/>
  <c r="N27" i="121"/>
  <c r="M27" i="121"/>
  <c r="L27" i="121"/>
  <c r="J27" i="121"/>
  <c r="I27" i="121"/>
  <c r="H27" i="121"/>
  <c r="F27" i="121"/>
  <c r="E27" i="121"/>
  <c r="D27" i="121"/>
  <c r="C27" i="121"/>
  <c r="N26" i="121"/>
  <c r="M26" i="121"/>
  <c r="O26" i="121" s="1"/>
  <c r="L26" i="121"/>
  <c r="J26" i="121"/>
  <c r="I26" i="121"/>
  <c r="H26" i="121"/>
  <c r="F26" i="121"/>
  <c r="E26" i="121"/>
  <c r="D26" i="121"/>
  <c r="J25" i="121"/>
  <c r="F25" i="121"/>
  <c r="D25" i="121"/>
  <c r="C24" i="121"/>
  <c r="B24" i="121"/>
  <c r="F23" i="121"/>
  <c r="E23" i="121"/>
  <c r="D23" i="121"/>
  <c r="N22" i="121"/>
  <c r="M22" i="121"/>
  <c r="L22" i="121"/>
  <c r="J22" i="121"/>
  <c r="I22" i="121"/>
  <c r="H22" i="121"/>
  <c r="F22" i="121"/>
  <c r="E22" i="121"/>
  <c r="G22" i="121" s="1"/>
  <c r="D22" i="121"/>
  <c r="N21" i="121"/>
  <c r="M21" i="121"/>
  <c r="L21" i="121"/>
  <c r="J21" i="121"/>
  <c r="I21" i="121"/>
  <c r="H21" i="121"/>
  <c r="F21" i="121"/>
  <c r="E21" i="121"/>
  <c r="G21" i="121" s="1"/>
  <c r="D21" i="121"/>
  <c r="N20" i="121"/>
  <c r="M20" i="121"/>
  <c r="L20" i="121"/>
  <c r="J20" i="121"/>
  <c r="I20" i="121"/>
  <c r="H20" i="121"/>
  <c r="F20" i="121"/>
  <c r="E20" i="121"/>
  <c r="D20" i="121"/>
  <c r="C20" i="121"/>
  <c r="N19" i="121"/>
  <c r="M19" i="121"/>
  <c r="L19" i="121"/>
  <c r="J19" i="121"/>
  <c r="I19" i="121"/>
  <c r="K19" i="121" s="1"/>
  <c r="H19" i="121"/>
  <c r="F19" i="121"/>
  <c r="E19" i="121"/>
  <c r="D19" i="121"/>
  <c r="J18" i="121"/>
  <c r="F18" i="121"/>
  <c r="D18" i="121"/>
  <c r="C17" i="121"/>
  <c r="B17" i="121"/>
  <c r="F16" i="121"/>
  <c r="E16" i="121"/>
  <c r="D16" i="121"/>
  <c r="N15" i="121"/>
  <c r="M15" i="121"/>
  <c r="L15" i="121"/>
  <c r="J15" i="121"/>
  <c r="I15" i="121"/>
  <c r="H15" i="121"/>
  <c r="F15" i="121"/>
  <c r="E15" i="121"/>
  <c r="D15" i="121"/>
  <c r="N14" i="121"/>
  <c r="M14" i="121"/>
  <c r="L14" i="121"/>
  <c r="J14" i="121"/>
  <c r="I14" i="121"/>
  <c r="H14" i="121"/>
  <c r="F14" i="121"/>
  <c r="E14" i="121"/>
  <c r="D14" i="121"/>
  <c r="N13" i="121"/>
  <c r="M13" i="121"/>
  <c r="O13" i="121" s="1"/>
  <c r="L13" i="121"/>
  <c r="J13" i="121"/>
  <c r="I13" i="121"/>
  <c r="H13" i="121"/>
  <c r="F13" i="121"/>
  <c r="E13" i="121"/>
  <c r="D13" i="121"/>
  <c r="C13" i="121"/>
  <c r="N12" i="121"/>
  <c r="M12" i="121"/>
  <c r="L12" i="121"/>
  <c r="J12" i="121"/>
  <c r="I12" i="121"/>
  <c r="H12" i="121"/>
  <c r="F12" i="121"/>
  <c r="E12" i="121"/>
  <c r="G12" i="121" s="1"/>
  <c r="D12" i="121"/>
  <c r="J11" i="121"/>
  <c r="F11" i="121"/>
  <c r="D11" i="121"/>
  <c r="C10" i="121"/>
  <c r="B10" i="121"/>
  <c r="F9" i="121"/>
  <c r="E9" i="121"/>
  <c r="G9" i="121" s="1"/>
  <c r="D9" i="121"/>
  <c r="N8" i="121"/>
  <c r="M8" i="121"/>
  <c r="L8" i="121"/>
  <c r="J8" i="121"/>
  <c r="I8" i="121"/>
  <c r="H8" i="121"/>
  <c r="F8" i="121"/>
  <c r="E8" i="121"/>
  <c r="D8" i="121"/>
  <c r="N7" i="121"/>
  <c r="M7" i="121"/>
  <c r="L7" i="121"/>
  <c r="J7" i="121"/>
  <c r="I7" i="121"/>
  <c r="H7" i="121"/>
  <c r="F7" i="121"/>
  <c r="E7" i="121"/>
  <c r="D7" i="121"/>
  <c r="N6" i="121"/>
  <c r="M6" i="121"/>
  <c r="L6" i="121"/>
  <c r="J6" i="121"/>
  <c r="I6" i="121"/>
  <c r="K6" i="121" s="1"/>
  <c r="H6" i="121"/>
  <c r="F6" i="121"/>
  <c r="E6" i="121"/>
  <c r="D6" i="121"/>
  <c r="C6" i="121"/>
  <c r="N5" i="121"/>
  <c r="M5" i="121"/>
  <c r="L5" i="121"/>
  <c r="J5" i="121"/>
  <c r="I5" i="121"/>
  <c r="H5" i="121"/>
  <c r="F5" i="121"/>
  <c r="E5" i="121"/>
  <c r="D5" i="121"/>
  <c r="K3" i="121"/>
  <c r="F3" i="121"/>
  <c r="C3" i="121"/>
  <c r="L2" i="121"/>
  <c r="B24" i="2"/>
  <c r="B31" i="2"/>
  <c r="B38" i="2"/>
  <c r="B45" i="2"/>
  <c r="U66" i="2"/>
  <c r="U67" i="2"/>
  <c r="U68" i="2"/>
  <c r="U69" i="2"/>
  <c r="U70" i="2"/>
  <c r="U65" i="2"/>
  <c r="C82" i="2"/>
  <c r="C83" i="2" s="1"/>
  <c r="L54" i="2" s="1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F71" i="2"/>
  <c r="E71" i="2"/>
  <c r="D71" i="2"/>
  <c r="G60" i="2"/>
  <c r="I4" i="2" s="1"/>
  <c r="J55" i="2"/>
  <c r="H55" i="2"/>
  <c r="D55" i="2"/>
  <c r="D53" i="2"/>
  <c r="L52" i="2"/>
  <c r="H52" i="2"/>
  <c r="D52" i="2"/>
  <c r="L51" i="2"/>
  <c r="H51" i="2"/>
  <c r="D51" i="2"/>
  <c r="L50" i="2"/>
  <c r="H50" i="2"/>
  <c r="D50" i="2"/>
  <c r="L49" i="2"/>
  <c r="H49" i="2"/>
  <c r="D49" i="2"/>
  <c r="J46" i="2"/>
  <c r="F46" i="2"/>
  <c r="D46" i="2"/>
  <c r="C45" i="2"/>
  <c r="F44" i="2"/>
  <c r="E44" i="2"/>
  <c r="D44" i="2"/>
  <c r="N43" i="2"/>
  <c r="M43" i="2"/>
  <c r="L43" i="2"/>
  <c r="J43" i="2"/>
  <c r="I43" i="2"/>
  <c r="K43" i="2" s="1"/>
  <c r="H43" i="2"/>
  <c r="F43" i="2"/>
  <c r="E43" i="2"/>
  <c r="D43" i="2"/>
  <c r="N42" i="2"/>
  <c r="M42" i="2"/>
  <c r="L42" i="2"/>
  <c r="J42" i="2"/>
  <c r="I42" i="2"/>
  <c r="H42" i="2"/>
  <c r="F42" i="2"/>
  <c r="E42" i="2"/>
  <c r="D42" i="2"/>
  <c r="N41" i="2"/>
  <c r="M41" i="2"/>
  <c r="L41" i="2"/>
  <c r="J41" i="2"/>
  <c r="I41" i="2"/>
  <c r="H41" i="2"/>
  <c r="F41" i="2"/>
  <c r="E41" i="2"/>
  <c r="D41" i="2"/>
  <c r="C41" i="2"/>
  <c r="N40" i="2"/>
  <c r="M40" i="2"/>
  <c r="L40" i="2"/>
  <c r="J40" i="2"/>
  <c r="I40" i="2"/>
  <c r="H40" i="2"/>
  <c r="F40" i="2"/>
  <c r="E40" i="2"/>
  <c r="D40" i="2"/>
  <c r="J39" i="2"/>
  <c r="F39" i="2"/>
  <c r="D39" i="2"/>
  <c r="C38" i="2"/>
  <c r="F37" i="2"/>
  <c r="E37" i="2"/>
  <c r="D37" i="2"/>
  <c r="N36" i="2"/>
  <c r="M36" i="2"/>
  <c r="L36" i="2"/>
  <c r="J36" i="2"/>
  <c r="I36" i="2"/>
  <c r="H36" i="2"/>
  <c r="F36" i="2"/>
  <c r="E36" i="2"/>
  <c r="D36" i="2"/>
  <c r="N35" i="2"/>
  <c r="M35" i="2"/>
  <c r="L35" i="2"/>
  <c r="J35" i="2"/>
  <c r="I35" i="2"/>
  <c r="H35" i="2"/>
  <c r="F35" i="2"/>
  <c r="E35" i="2"/>
  <c r="G35" i="2" s="1"/>
  <c r="D35" i="2"/>
  <c r="N34" i="2"/>
  <c r="M34" i="2"/>
  <c r="L34" i="2"/>
  <c r="J34" i="2"/>
  <c r="I34" i="2"/>
  <c r="H34" i="2"/>
  <c r="F34" i="2"/>
  <c r="E34" i="2"/>
  <c r="D34" i="2"/>
  <c r="C34" i="2"/>
  <c r="N33" i="2"/>
  <c r="M33" i="2"/>
  <c r="L33" i="2"/>
  <c r="J33" i="2"/>
  <c r="I33" i="2"/>
  <c r="K33" i="2" s="1"/>
  <c r="H33" i="2"/>
  <c r="F33" i="2"/>
  <c r="E33" i="2"/>
  <c r="D33" i="2"/>
  <c r="J32" i="2"/>
  <c r="F32" i="2"/>
  <c r="D32" i="2"/>
  <c r="C31" i="2"/>
  <c r="F30" i="2"/>
  <c r="E30" i="2"/>
  <c r="D30" i="2"/>
  <c r="N29" i="2"/>
  <c r="M29" i="2"/>
  <c r="L29" i="2"/>
  <c r="J29" i="2"/>
  <c r="I29" i="2"/>
  <c r="K29" i="2" s="1"/>
  <c r="H29" i="2"/>
  <c r="F29" i="2"/>
  <c r="E29" i="2"/>
  <c r="D29" i="2"/>
  <c r="N28" i="2"/>
  <c r="M28" i="2"/>
  <c r="L28" i="2"/>
  <c r="J28" i="2"/>
  <c r="I28" i="2"/>
  <c r="H28" i="2"/>
  <c r="F28" i="2"/>
  <c r="E28" i="2"/>
  <c r="D28" i="2"/>
  <c r="N27" i="2"/>
  <c r="M27" i="2"/>
  <c r="L27" i="2"/>
  <c r="J27" i="2"/>
  <c r="I27" i="2"/>
  <c r="H27" i="2"/>
  <c r="F27" i="2"/>
  <c r="E27" i="2"/>
  <c r="D27" i="2"/>
  <c r="C27" i="2"/>
  <c r="N26" i="2"/>
  <c r="M26" i="2"/>
  <c r="L26" i="2"/>
  <c r="J26" i="2"/>
  <c r="I26" i="2"/>
  <c r="H26" i="2"/>
  <c r="F26" i="2"/>
  <c r="E26" i="2"/>
  <c r="D26" i="2"/>
  <c r="J25" i="2"/>
  <c r="F25" i="2"/>
  <c r="D25" i="2"/>
  <c r="C24" i="2"/>
  <c r="F23" i="2"/>
  <c r="E23" i="2"/>
  <c r="D23" i="2"/>
  <c r="N22" i="2"/>
  <c r="M22" i="2"/>
  <c r="L22" i="2"/>
  <c r="J22" i="2"/>
  <c r="I22" i="2"/>
  <c r="H22" i="2"/>
  <c r="F22" i="2"/>
  <c r="E22" i="2"/>
  <c r="D22" i="2"/>
  <c r="N21" i="2"/>
  <c r="M21" i="2"/>
  <c r="L21" i="2"/>
  <c r="J21" i="2"/>
  <c r="I21" i="2"/>
  <c r="H21" i="2"/>
  <c r="F21" i="2"/>
  <c r="E21" i="2"/>
  <c r="D21" i="2"/>
  <c r="N20" i="2"/>
  <c r="M20" i="2"/>
  <c r="L20" i="2"/>
  <c r="J20" i="2"/>
  <c r="I20" i="2"/>
  <c r="H20" i="2"/>
  <c r="F20" i="2"/>
  <c r="E20" i="2"/>
  <c r="D20" i="2"/>
  <c r="C20" i="2"/>
  <c r="N19" i="2"/>
  <c r="M19" i="2"/>
  <c r="L19" i="2"/>
  <c r="J19" i="2"/>
  <c r="I19" i="2"/>
  <c r="H19" i="2"/>
  <c r="F19" i="2"/>
  <c r="E19" i="2"/>
  <c r="D19" i="2"/>
  <c r="J18" i="2"/>
  <c r="F18" i="2"/>
  <c r="D18" i="2"/>
  <c r="C17" i="2"/>
  <c r="B17" i="2"/>
  <c r="F16" i="2"/>
  <c r="E16" i="2"/>
  <c r="D16" i="2"/>
  <c r="N15" i="2"/>
  <c r="M15" i="2"/>
  <c r="L15" i="2"/>
  <c r="J15" i="2"/>
  <c r="I15" i="2"/>
  <c r="H15" i="2"/>
  <c r="F15" i="2"/>
  <c r="E15" i="2"/>
  <c r="D15" i="2"/>
  <c r="N14" i="2"/>
  <c r="M14" i="2"/>
  <c r="L14" i="2"/>
  <c r="J14" i="2"/>
  <c r="I14" i="2"/>
  <c r="H14" i="2"/>
  <c r="F14" i="2"/>
  <c r="E14" i="2"/>
  <c r="D14" i="2"/>
  <c r="N13" i="2"/>
  <c r="M13" i="2"/>
  <c r="L13" i="2"/>
  <c r="J13" i="2"/>
  <c r="I13" i="2"/>
  <c r="H13" i="2"/>
  <c r="F13" i="2"/>
  <c r="E13" i="2"/>
  <c r="D13" i="2"/>
  <c r="C13" i="2"/>
  <c r="N12" i="2"/>
  <c r="M12" i="2"/>
  <c r="L12" i="2"/>
  <c r="J12" i="2"/>
  <c r="I12" i="2"/>
  <c r="H12" i="2"/>
  <c r="F12" i="2"/>
  <c r="E12" i="2"/>
  <c r="D12" i="2"/>
  <c r="J11" i="2"/>
  <c r="F11" i="2"/>
  <c r="D11" i="2"/>
  <c r="C10" i="2"/>
  <c r="B10" i="2"/>
  <c r="F9" i="2"/>
  <c r="E9" i="2"/>
  <c r="D9" i="2"/>
  <c r="N8" i="2"/>
  <c r="M8" i="2"/>
  <c r="L8" i="2"/>
  <c r="J8" i="2"/>
  <c r="I8" i="2"/>
  <c r="H8" i="2"/>
  <c r="F8" i="2"/>
  <c r="E8" i="2"/>
  <c r="G8" i="2" s="1"/>
  <c r="D8" i="2"/>
  <c r="N7" i="2"/>
  <c r="M7" i="2"/>
  <c r="L7" i="2"/>
  <c r="J7" i="2"/>
  <c r="I7" i="2"/>
  <c r="H7" i="2"/>
  <c r="F7" i="2"/>
  <c r="E7" i="2"/>
  <c r="D7" i="2"/>
  <c r="N6" i="2"/>
  <c r="M6" i="2"/>
  <c r="L6" i="2"/>
  <c r="J6" i="2"/>
  <c r="I6" i="2"/>
  <c r="K6" i="2" s="1"/>
  <c r="H6" i="2"/>
  <c r="F6" i="2"/>
  <c r="E6" i="2"/>
  <c r="D6" i="2"/>
  <c r="C6" i="2"/>
  <c r="N5" i="2"/>
  <c r="M5" i="2"/>
  <c r="L5" i="2"/>
  <c r="J5" i="2"/>
  <c r="I5" i="2"/>
  <c r="H5" i="2"/>
  <c r="F5" i="2"/>
  <c r="E5" i="2"/>
  <c r="D5" i="2"/>
  <c r="K3" i="2"/>
  <c r="F3" i="2"/>
  <c r="C3" i="2"/>
  <c r="L2" i="2"/>
  <c r="O7" i="130" l="1"/>
  <c r="O41" i="130"/>
  <c r="O20" i="131"/>
  <c r="K26" i="131"/>
  <c r="O21" i="132"/>
  <c r="G29" i="132"/>
  <c r="K36" i="132"/>
  <c r="G41" i="132"/>
  <c r="O43" i="132"/>
  <c r="O14" i="135"/>
  <c r="O36" i="135"/>
  <c r="K41" i="135"/>
  <c r="K8" i="136"/>
  <c r="G13" i="136"/>
  <c r="O15" i="136"/>
  <c r="G23" i="136"/>
  <c r="G26" i="136"/>
  <c r="O27" i="136"/>
  <c r="K33" i="136"/>
  <c r="G35" i="136"/>
  <c r="K42" i="136"/>
  <c r="O6" i="137"/>
  <c r="K12" i="137"/>
  <c r="G36" i="137"/>
  <c r="O7" i="138"/>
  <c r="F57" i="139"/>
  <c r="G8" i="141"/>
  <c r="K15" i="141"/>
  <c r="G20" i="141"/>
  <c r="O22" i="141"/>
  <c r="K27" i="141"/>
  <c r="G22" i="143"/>
  <c r="K33" i="144"/>
  <c r="G41" i="139"/>
  <c r="G8" i="140"/>
  <c r="K40" i="140"/>
  <c r="G42" i="140"/>
  <c r="G16" i="146"/>
  <c r="G19" i="146"/>
  <c r="O42" i="146"/>
  <c r="K15" i="148"/>
  <c r="G20" i="148"/>
  <c r="K40" i="148"/>
  <c r="G42" i="148"/>
  <c r="O6" i="2"/>
  <c r="K21" i="2"/>
  <c r="G27" i="2"/>
  <c r="O29" i="2"/>
  <c r="O33" i="2"/>
  <c r="G41" i="2"/>
  <c r="O43" i="2"/>
  <c r="K36" i="121"/>
  <c r="K42" i="124"/>
  <c r="K21" i="133"/>
  <c r="O8" i="2"/>
  <c r="F57" i="2"/>
  <c r="K13" i="2"/>
  <c r="G16" i="2"/>
  <c r="G19" i="2"/>
  <c r="O20" i="2"/>
  <c r="G29" i="2"/>
  <c r="O21" i="121"/>
  <c r="O35" i="121"/>
  <c r="K41" i="121"/>
  <c r="G44" i="121"/>
  <c r="K8" i="122"/>
  <c r="G13" i="122"/>
  <c r="O15" i="122"/>
  <c r="G23" i="122"/>
  <c r="G26" i="122"/>
  <c r="O27" i="122"/>
  <c r="K33" i="122"/>
  <c r="G14" i="123"/>
  <c r="O19" i="123"/>
  <c r="G36" i="123"/>
  <c r="K43" i="123"/>
  <c r="O7" i="124"/>
  <c r="O41" i="124"/>
  <c r="O8" i="125"/>
  <c r="K13" i="125"/>
  <c r="G16" i="125"/>
  <c r="G19" i="125"/>
  <c r="O20" i="125"/>
  <c r="K26" i="125"/>
  <c r="G28" i="125"/>
  <c r="K35" i="125"/>
  <c r="G29" i="126"/>
  <c r="K36" i="126"/>
  <c r="G41" i="126"/>
  <c r="G8" i="127"/>
  <c r="O22" i="127"/>
  <c r="K6" i="128"/>
  <c r="G9" i="128"/>
  <c r="G12" i="128"/>
  <c r="O26" i="128"/>
  <c r="K28" i="128"/>
  <c r="O35" i="128"/>
  <c r="G43" i="128"/>
  <c r="O5" i="129"/>
  <c r="K7" i="129"/>
  <c r="O14" i="129"/>
  <c r="G22" i="129"/>
  <c r="K29" i="129"/>
  <c r="G34" i="129"/>
  <c r="O36" i="129"/>
  <c r="G44" i="129"/>
  <c r="K8" i="130"/>
  <c r="G13" i="130"/>
  <c r="O15" i="130"/>
  <c r="K33" i="130"/>
  <c r="G35" i="130"/>
  <c r="O40" i="130"/>
  <c r="K43" i="131"/>
  <c r="O7" i="132"/>
  <c r="G27" i="132"/>
  <c r="O41" i="132"/>
  <c r="G16" i="133"/>
  <c r="G19" i="133"/>
  <c r="O20" i="133"/>
  <c r="K26" i="133"/>
  <c r="G28" i="133"/>
  <c r="K35" i="133"/>
  <c r="O29" i="135"/>
  <c r="G19" i="136"/>
  <c r="O20" i="136"/>
  <c r="K15" i="138"/>
  <c r="G20" i="138"/>
  <c r="O22" i="138"/>
  <c r="G13" i="149"/>
  <c r="O41" i="134"/>
  <c r="G6" i="135"/>
  <c r="O8" i="135"/>
  <c r="O33" i="135"/>
  <c r="K5" i="136"/>
  <c r="G7" i="136"/>
  <c r="O21" i="136"/>
  <c r="K8" i="148"/>
  <c r="G13" i="148"/>
  <c r="O15" i="148"/>
  <c r="G23" i="148"/>
  <c r="K12" i="149"/>
  <c r="G14" i="149"/>
  <c r="O42" i="133"/>
  <c r="K5" i="134"/>
  <c r="G7" i="134"/>
  <c r="O12" i="134"/>
  <c r="K14" i="134"/>
  <c r="G41" i="134"/>
  <c r="O43" i="134"/>
  <c r="G8" i="135"/>
  <c r="K15" i="135"/>
  <c r="G20" i="135"/>
  <c r="K27" i="135"/>
  <c r="G30" i="135"/>
  <c r="G33" i="135"/>
  <c r="O34" i="135"/>
  <c r="K40" i="135"/>
  <c r="G42" i="135"/>
  <c r="K19" i="136"/>
  <c r="G21" i="136"/>
  <c r="G43" i="136"/>
  <c r="K7" i="137"/>
  <c r="G22" i="137"/>
  <c r="K29" i="137"/>
  <c r="G34" i="137"/>
  <c r="O36" i="137"/>
  <c r="G44" i="137"/>
  <c r="K8" i="138"/>
  <c r="G13" i="138"/>
  <c r="O15" i="138"/>
  <c r="O27" i="138"/>
  <c r="K33" i="138"/>
  <c r="G35" i="138"/>
  <c r="O40" i="138"/>
  <c r="K42" i="138"/>
  <c r="O28" i="139"/>
  <c r="G36" i="139"/>
  <c r="K43" i="139"/>
  <c r="O7" i="140"/>
  <c r="G27" i="140"/>
  <c r="O29" i="140"/>
  <c r="K34" i="140"/>
  <c r="O20" i="141"/>
  <c r="K26" i="141"/>
  <c r="K14" i="142"/>
  <c r="K36" i="142"/>
  <c r="G41" i="142"/>
  <c r="O22" i="143"/>
  <c r="K6" i="144"/>
  <c r="K19" i="144"/>
  <c r="O35" i="144"/>
  <c r="G43" i="144"/>
  <c r="G22" i="145"/>
  <c r="G34" i="145"/>
  <c r="O36" i="145"/>
  <c r="K41" i="145"/>
  <c r="O15" i="146"/>
  <c r="K20" i="146"/>
  <c r="G23" i="146"/>
  <c r="G26" i="146"/>
  <c r="K33" i="146"/>
  <c r="G5" i="147"/>
  <c r="O6" i="147"/>
  <c r="K12" i="147"/>
  <c r="G14" i="147"/>
  <c r="O19" i="147"/>
  <c r="O28" i="147"/>
  <c r="O29" i="148"/>
  <c r="G37" i="148"/>
  <c r="G6" i="149"/>
  <c r="O8" i="149"/>
  <c r="K13" i="149"/>
  <c r="G16" i="149"/>
  <c r="G19" i="149"/>
  <c r="O20" i="149"/>
  <c r="K26" i="149"/>
  <c r="G28" i="149"/>
  <c r="O33" i="149"/>
  <c r="K35" i="149"/>
  <c r="K5" i="150"/>
  <c r="G7" i="150"/>
  <c r="O12" i="150"/>
  <c r="K14" i="150"/>
  <c r="O21" i="150"/>
  <c r="G29" i="150"/>
  <c r="K36" i="150"/>
  <c r="G41" i="150"/>
  <c r="O5" i="133"/>
  <c r="K7" i="133"/>
  <c r="O27" i="149"/>
  <c r="G15" i="2"/>
  <c r="K22" i="2"/>
  <c r="K26" i="2"/>
  <c r="G28" i="2"/>
  <c r="G42" i="2"/>
  <c r="G6" i="121"/>
  <c r="O8" i="121"/>
  <c r="K13" i="121"/>
  <c r="G16" i="121"/>
  <c r="G19" i="121"/>
  <c r="K29" i="122"/>
  <c r="G34" i="122"/>
  <c r="O36" i="122"/>
  <c r="K8" i="123"/>
  <c r="G13" i="123"/>
  <c r="G23" i="123"/>
  <c r="G26" i="123"/>
  <c r="O13" i="129"/>
  <c r="G21" i="129"/>
  <c r="G43" i="129"/>
  <c r="G15" i="132"/>
  <c r="O20" i="144"/>
  <c r="G21" i="144"/>
  <c r="K15" i="137"/>
  <c r="G15" i="137"/>
  <c r="G8" i="138"/>
  <c r="G15" i="138"/>
  <c r="G15" i="150"/>
  <c r="G8" i="143"/>
  <c r="G12" i="149"/>
  <c r="K5" i="2"/>
  <c r="G7" i="2"/>
  <c r="O12" i="2"/>
  <c r="K14" i="2"/>
  <c r="G20" i="121"/>
  <c r="K42" i="121"/>
  <c r="G5" i="122"/>
  <c r="O19" i="122"/>
  <c r="K43" i="122"/>
  <c r="O7" i="123"/>
  <c r="K22" i="123"/>
  <c r="G27" i="123"/>
  <c r="K13" i="124"/>
  <c r="G16" i="124"/>
  <c r="G19" i="124"/>
  <c r="G28" i="124"/>
  <c r="O33" i="124"/>
  <c r="K35" i="124"/>
  <c r="O42" i="124"/>
  <c r="K5" i="125"/>
  <c r="G7" i="125"/>
  <c r="O12" i="125"/>
  <c r="K14" i="125"/>
  <c r="O21" i="125"/>
  <c r="G29" i="125"/>
  <c r="K36" i="125"/>
  <c r="G41" i="125"/>
  <c r="O43" i="125"/>
  <c r="G8" i="126"/>
  <c r="K15" i="126"/>
  <c r="G42" i="126"/>
  <c r="K6" i="127"/>
  <c r="O13" i="127"/>
  <c r="G21" i="127"/>
  <c r="O26" i="127"/>
  <c r="O15" i="129"/>
  <c r="G23" i="129"/>
  <c r="G26" i="129"/>
  <c r="K42" i="129"/>
  <c r="G14" i="130"/>
  <c r="O29" i="131"/>
  <c r="G37" i="131"/>
  <c r="G40" i="131"/>
  <c r="O41" i="131"/>
  <c r="O20" i="132"/>
  <c r="O33" i="132"/>
  <c r="O42" i="132"/>
  <c r="K5" i="133"/>
  <c r="G7" i="133"/>
  <c r="O12" i="133"/>
  <c r="G8" i="134"/>
  <c r="G20" i="134"/>
  <c r="O22" i="134"/>
  <c r="K27" i="134"/>
  <c r="G30" i="134"/>
  <c r="G33" i="134"/>
  <c r="O34" i="134"/>
  <c r="K40" i="134"/>
  <c r="K6" i="135"/>
  <c r="G9" i="135"/>
  <c r="G12" i="135"/>
  <c r="O13" i="135"/>
  <c r="G21" i="135"/>
  <c r="O26" i="135"/>
  <c r="K28" i="135"/>
  <c r="F57" i="122"/>
  <c r="F57" i="130"/>
  <c r="O5" i="2"/>
  <c r="O14" i="2"/>
  <c r="F57" i="121"/>
  <c r="K20" i="121"/>
  <c r="G23" i="121"/>
  <c r="G26" i="121"/>
  <c r="O42" i="121"/>
  <c r="K14" i="122"/>
  <c r="O21" i="122"/>
  <c r="G29" i="122"/>
  <c r="K36" i="122"/>
  <c r="G41" i="122"/>
  <c r="G8" i="123"/>
  <c r="K15" i="123"/>
  <c r="O22" i="123"/>
  <c r="K27" i="123"/>
  <c r="G30" i="123"/>
  <c r="G42" i="123"/>
  <c r="O5" i="125"/>
  <c r="K41" i="125"/>
  <c r="O15" i="126"/>
  <c r="K42" i="126"/>
  <c r="G14" i="127"/>
  <c r="O19" i="127"/>
  <c r="K21" i="127"/>
  <c r="K43" i="127"/>
  <c r="G15" i="128"/>
  <c r="F57" i="129"/>
  <c r="K13" i="129"/>
  <c r="O42" i="129"/>
  <c r="G29" i="130"/>
  <c r="G8" i="131"/>
  <c r="G30" i="131"/>
  <c r="G33" i="131"/>
  <c r="O34" i="131"/>
  <c r="G42" i="131"/>
  <c r="K8" i="134"/>
  <c r="K8" i="2"/>
  <c r="G13" i="2"/>
  <c r="G5" i="121"/>
  <c r="O6" i="121"/>
  <c r="K12" i="121"/>
  <c r="G14" i="121"/>
  <c r="O19" i="121"/>
  <c r="K21" i="121"/>
  <c r="O28" i="121"/>
  <c r="G41" i="121"/>
  <c r="O43" i="121"/>
  <c r="O5" i="124"/>
  <c r="K7" i="124"/>
  <c r="O14" i="124"/>
  <c r="K29" i="124"/>
  <c r="G34" i="124"/>
  <c r="O36" i="124"/>
  <c r="K41" i="124"/>
  <c r="G44" i="124"/>
  <c r="K8" i="125"/>
  <c r="G13" i="125"/>
  <c r="O15" i="125"/>
  <c r="K20" i="125"/>
  <c r="G23" i="125"/>
  <c r="G26" i="125"/>
  <c r="K33" i="125"/>
  <c r="G35" i="125"/>
  <c r="O40" i="125"/>
  <c r="K42" i="125"/>
  <c r="G5" i="126"/>
  <c r="O6" i="126"/>
  <c r="K12" i="126"/>
  <c r="G14" i="126"/>
  <c r="O19" i="126"/>
  <c r="O28" i="126"/>
  <c r="G36" i="126"/>
  <c r="K43" i="126"/>
  <c r="O7" i="127"/>
  <c r="G27" i="127"/>
  <c r="K34" i="127"/>
  <c r="G37" i="127"/>
  <c r="G40" i="127"/>
  <c r="G6" i="128"/>
  <c r="O8" i="128"/>
  <c r="K13" i="128"/>
  <c r="O20" i="128"/>
  <c r="K36" i="129"/>
  <c r="G41" i="129"/>
  <c r="G8" i="130"/>
  <c r="G20" i="130"/>
  <c r="O22" i="130"/>
  <c r="G33" i="130"/>
  <c r="O34" i="130"/>
  <c r="K40" i="130"/>
  <c r="G42" i="130"/>
  <c r="O5" i="132"/>
  <c r="K7" i="132"/>
  <c r="O14" i="132"/>
  <c r="G22" i="132"/>
  <c r="G34" i="132"/>
  <c r="O36" i="132"/>
  <c r="K41" i="132"/>
  <c r="G5" i="134"/>
  <c r="K6" i="122"/>
  <c r="G9" i="122"/>
  <c r="G12" i="122"/>
  <c r="K19" i="122"/>
  <c r="O26" i="122"/>
  <c r="G43" i="122"/>
  <c r="O5" i="123"/>
  <c r="K7" i="123"/>
  <c r="G22" i="123"/>
  <c r="K29" i="123"/>
  <c r="G34" i="123"/>
  <c r="O36" i="123"/>
  <c r="G44" i="123"/>
  <c r="G6" i="127"/>
  <c r="G16" i="127"/>
  <c r="G19" i="127"/>
  <c r="O20" i="127"/>
  <c r="K26" i="127"/>
  <c r="O42" i="127"/>
  <c r="O21" i="128"/>
  <c r="G29" i="128"/>
  <c r="K36" i="128"/>
  <c r="G41" i="128"/>
  <c r="O43" i="128"/>
  <c r="G8" i="129"/>
  <c r="K15" i="129"/>
  <c r="G20" i="129"/>
  <c r="G42" i="129"/>
  <c r="K33" i="132"/>
  <c r="K42" i="132"/>
  <c r="G36" i="133"/>
  <c r="G5" i="124"/>
  <c r="O6" i="124"/>
  <c r="K12" i="124"/>
  <c r="G14" i="124"/>
  <c r="O19" i="124"/>
  <c r="O28" i="124"/>
  <c r="G36" i="124"/>
  <c r="K43" i="124"/>
  <c r="G6" i="126"/>
  <c r="O8" i="126"/>
  <c r="K13" i="126"/>
  <c r="G16" i="126"/>
  <c r="G19" i="126"/>
  <c r="O42" i="126"/>
  <c r="O12" i="127"/>
  <c r="O21" i="127"/>
  <c r="G29" i="127"/>
  <c r="K36" i="127"/>
  <c r="G22" i="130"/>
  <c r="K41" i="130"/>
  <c r="K8" i="131"/>
  <c r="G13" i="131"/>
  <c r="K20" i="131"/>
  <c r="G23" i="131"/>
  <c r="G26" i="131"/>
  <c r="O27" i="131"/>
  <c r="O19" i="132"/>
  <c r="G36" i="132"/>
  <c r="K43" i="132"/>
  <c r="O7" i="133"/>
  <c r="O8" i="134"/>
  <c r="G33" i="2"/>
  <c r="O34" i="2"/>
  <c r="G43" i="2"/>
  <c r="O14" i="136"/>
  <c r="K29" i="136"/>
  <c r="G34" i="136"/>
  <c r="O36" i="136"/>
  <c r="K41" i="136"/>
  <c r="G44" i="136"/>
  <c r="G13" i="137"/>
  <c r="G23" i="137"/>
  <c r="G26" i="137"/>
  <c r="K33" i="137"/>
  <c r="G5" i="138"/>
  <c r="O28" i="138"/>
  <c r="G36" i="138"/>
  <c r="K43" i="138"/>
  <c r="O7" i="139"/>
  <c r="G15" i="139"/>
  <c r="K22" i="139"/>
  <c r="G6" i="140"/>
  <c r="G7" i="141"/>
  <c r="O12" i="141"/>
  <c r="K14" i="141"/>
  <c r="O21" i="141"/>
  <c r="K36" i="141"/>
  <c r="G8" i="142"/>
  <c r="G20" i="142"/>
  <c r="K19" i="143"/>
  <c r="G21" i="143"/>
  <c r="O26" i="143"/>
  <c r="K28" i="143"/>
  <c r="O35" i="143"/>
  <c r="G43" i="143"/>
  <c r="K7" i="144"/>
  <c r="K29" i="144"/>
  <c r="G34" i="144"/>
  <c r="G23" i="145"/>
  <c r="G26" i="145"/>
  <c r="O27" i="145"/>
  <c r="K33" i="145"/>
  <c r="K42" i="145"/>
  <c r="O6" i="146"/>
  <c r="K12" i="146"/>
  <c r="G14" i="146"/>
  <c r="O28" i="146"/>
  <c r="O8" i="148"/>
  <c r="F57" i="148"/>
  <c r="K13" i="148"/>
  <c r="G16" i="148"/>
  <c r="G19" i="148"/>
  <c r="O42" i="148"/>
  <c r="O21" i="149"/>
  <c r="G41" i="149"/>
  <c r="O43" i="149"/>
  <c r="G8" i="150"/>
  <c r="K15" i="150"/>
  <c r="G20" i="150"/>
  <c r="K27" i="150"/>
  <c r="K40" i="150"/>
  <c r="G42" i="150"/>
  <c r="G34" i="134"/>
  <c r="O36" i="134"/>
  <c r="G26" i="135"/>
  <c r="O27" i="135"/>
  <c r="O6" i="136"/>
  <c r="O40" i="134"/>
  <c r="G5" i="135"/>
  <c r="O6" i="135"/>
  <c r="K12" i="135"/>
  <c r="G14" i="135"/>
  <c r="O19" i="135"/>
  <c r="K21" i="135"/>
  <c r="O28" i="135"/>
  <c r="K43" i="135"/>
  <c r="O7" i="136"/>
  <c r="G15" i="136"/>
  <c r="G37" i="136"/>
  <c r="G40" i="136"/>
  <c r="O41" i="136"/>
  <c r="G6" i="137"/>
  <c r="O8" i="137"/>
  <c r="K13" i="137"/>
  <c r="G19" i="137"/>
  <c r="O20" i="137"/>
  <c r="G28" i="137"/>
  <c r="K35" i="137"/>
  <c r="G8" i="139"/>
  <c r="K15" i="139"/>
  <c r="G20" i="139"/>
  <c r="O22" i="139"/>
  <c r="G42" i="139"/>
  <c r="F57" i="142"/>
  <c r="G26" i="142"/>
  <c r="O27" i="142"/>
  <c r="K33" i="142"/>
  <c r="G35" i="142"/>
  <c r="O40" i="142"/>
  <c r="K42" i="142"/>
  <c r="G14" i="143"/>
  <c r="K21" i="143"/>
  <c r="O7" i="144"/>
  <c r="G27" i="144"/>
  <c r="O29" i="144"/>
  <c r="K34" i="144"/>
  <c r="F57" i="145"/>
  <c r="K26" i="145"/>
  <c r="O33" i="145"/>
  <c r="O36" i="149"/>
  <c r="G44" i="149"/>
  <c r="K8" i="150"/>
  <c r="G23" i="150"/>
  <c r="K42" i="150"/>
  <c r="G44" i="148"/>
  <c r="G5" i="150"/>
  <c r="O6" i="150"/>
  <c r="O19" i="150"/>
  <c r="O28" i="150"/>
  <c r="K43" i="150"/>
  <c r="O7" i="134"/>
  <c r="K13" i="135"/>
  <c r="O20" i="135"/>
  <c r="K26" i="135"/>
  <c r="K35" i="135"/>
  <c r="O42" i="135"/>
  <c r="O12" i="136"/>
  <c r="G29" i="136"/>
  <c r="K36" i="136"/>
  <c r="K40" i="137"/>
  <c r="G42" i="137"/>
  <c r="O5" i="139"/>
  <c r="K7" i="139"/>
  <c r="K41" i="139"/>
  <c r="O40" i="140"/>
  <c r="K42" i="140"/>
  <c r="G7" i="144"/>
  <c r="O12" i="144"/>
  <c r="K14" i="144"/>
  <c r="O21" i="144"/>
  <c r="K36" i="144"/>
  <c r="G42" i="145"/>
  <c r="O41" i="150"/>
  <c r="K13" i="134"/>
  <c r="G16" i="134"/>
  <c r="G19" i="134"/>
  <c r="O20" i="134"/>
  <c r="K26" i="134"/>
  <c r="G28" i="134"/>
  <c r="O33" i="134"/>
  <c r="K35" i="134"/>
  <c r="O21" i="135"/>
  <c r="G29" i="135"/>
  <c r="K36" i="135"/>
  <c r="G41" i="135"/>
  <c r="O43" i="135"/>
  <c r="G20" i="136"/>
  <c r="O22" i="136"/>
  <c r="K27" i="136"/>
  <c r="G30" i="136"/>
  <c r="G33" i="136"/>
  <c r="O34" i="136"/>
  <c r="K40" i="136"/>
  <c r="G42" i="136"/>
  <c r="G9" i="137"/>
  <c r="G12" i="137"/>
  <c r="K19" i="137"/>
  <c r="O35" i="137"/>
  <c r="G43" i="137"/>
  <c r="G44" i="138"/>
  <c r="K8" i="139"/>
  <c r="G13" i="139"/>
  <c r="K20" i="139"/>
  <c r="G23" i="139"/>
  <c r="G26" i="139"/>
  <c r="K42" i="139"/>
  <c r="O19" i="140"/>
  <c r="K43" i="140"/>
  <c r="O7" i="141"/>
  <c r="G15" i="141"/>
  <c r="O29" i="141"/>
  <c r="K34" i="141"/>
  <c r="G37" i="141"/>
  <c r="O41" i="141"/>
  <c r="O42" i="142"/>
  <c r="K5" i="143"/>
  <c r="G7" i="143"/>
  <c r="O12" i="143"/>
  <c r="K14" i="143"/>
  <c r="O21" i="143"/>
  <c r="G8" i="144"/>
  <c r="O22" i="144"/>
  <c r="K27" i="144"/>
  <c r="G30" i="144"/>
  <c r="G33" i="144"/>
  <c r="K40" i="144"/>
  <c r="G42" i="144"/>
  <c r="K6" i="145"/>
  <c r="G9" i="145"/>
  <c r="G12" i="145"/>
  <c r="O13" i="145"/>
  <c r="K19" i="145"/>
  <c r="G21" i="145"/>
  <c r="O26" i="145"/>
  <c r="K28" i="145"/>
  <c r="G43" i="145"/>
  <c r="G22" i="146"/>
  <c r="G34" i="146"/>
  <c r="G44" i="146"/>
  <c r="G23" i="147"/>
  <c r="K33" i="147"/>
  <c r="G35" i="147"/>
  <c r="O40" i="147"/>
  <c r="G5" i="148"/>
  <c r="O6" i="148"/>
  <c r="K12" i="148"/>
  <c r="G14" i="148"/>
  <c r="O19" i="148"/>
  <c r="G36" i="148"/>
  <c r="K43" i="148"/>
  <c r="O7" i="149"/>
  <c r="G37" i="149"/>
  <c r="G40" i="149"/>
  <c r="O41" i="149"/>
  <c r="F57" i="150"/>
  <c r="K13" i="150"/>
  <c r="G28" i="150"/>
  <c r="O42" i="150"/>
  <c r="F57" i="138"/>
  <c r="F57" i="141"/>
  <c r="F57" i="143"/>
  <c r="F57" i="146"/>
  <c r="K42" i="147"/>
  <c r="G36" i="147"/>
  <c r="K43" i="147"/>
  <c r="F57" i="147"/>
  <c r="K14" i="147"/>
  <c r="K15" i="147"/>
  <c r="G20" i="147"/>
  <c r="O34" i="147"/>
  <c r="K40" i="147"/>
  <c r="G42" i="147"/>
  <c r="O5" i="147"/>
  <c r="K7" i="147"/>
  <c r="O14" i="147"/>
  <c r="G22" i="147"/>
  <c r="G19" i="147"/>
  <c r="O14" i="144"/>
  <c r="G12" i="147"/>
  <c r="K43" i="121"/>
  <c r="O33" i="150"/>
  <c r="K8" i="140"/>
  <c r="H39" i="140"/>
  <c r="H39" i="146"/>
  <c r="O15" i="124"/>
  <c r="O29" i="125"/>
  <c r="O20" i="129"/>
  <c r="G5" i="130"/>
  <c r="G5" i="132"/>
  <c r="H11" i="139"/>
  <c r="G40" i="141"/>
  <c r="G23" i="142"/>
  <c r="O6" i="144"/>
  <c r="K8" i="149"/>
  <c r="G42" i="127"/>
  <c r="J57" i="129"/>
  <c r="H25" i="129"/>
  <c r="K13" i="133"/>
  <c r="H11" i="144"/>
  <c r="H11" i="145"/>
  <c r="K15" i="146"/>
  <c r="G5" i="146"/>
  <c r="H32" i="123"/>
  <c r="G13" i="124"/>
  <c r="K26" i="126"/>
  <c r="H25" i="126"/>
  <c r="G33" i="129"/>
  <c r="G27" i="129"/>
  <c r="K26" i="129"/>
  <c r="H32" i="130"/>
  <c r="K20" i="132"/>
  <c r="O15" i="134"/>
  <c r="H32" i="135"/>
  <c r="H32" i="138"/>
  <c r="O8" i="140"/>
  <c r="H39" i="141"/>
  <c r="G23" i="141"/>
  <c r="K21" i="147"/>
  <c r="G33" i="121"/>
  <c r="K5" i="121"/>
  <c r="K15" i="122"/>
  <c r="G43" i="123"/>
  <c r="G5" i="123"/>
  <c r="H25" i="124"/>
  <c r="O13" i="124"/>
  <c r="O27" i="127"/>
  <c r="G5" i="127"/>
  <c r="K41" i="129"/>
  <c r="H46" i="129"/>
  <c r="G30" i="129"/>
  <c r="G28" i="129"/>
  <c r="O26" i="129"/>
  <c r="O22" i="129"/>
  <c r="O21" i="129"/>
  <c r="K21" i="129"/>
  <c r="K20" i="129"/>
  <c r="K14" i="129"/>
  <c r="U71" i="129"/>
  <c r="C50" i="129"/>
  <c r="K5" i="129"/>
  <c r="G41" i="130"/>
  <c r="H46" i="130"/>
  <c r="O26" i="130"/>
  <c r="K21" i="130"/>
  <c r="G43" i="131"/>
  <c r="O8" i="131"/>
  <c r="G44" i="132"/>
  <c r="G43" i="132"/>
  <c r="O29" i="132"/>
  <c r="K21" i="132"/>
  <c r="H32" i="134"/>
  <c r="K41" i="134"/>
  <c r="H25" i="134"/>
  <c r="K12" i="134"/>
  <c r="H39" i="135"/>
  <c r="H11" i="135"/>
  <c r="O28" i="136"/>
  <c r="H32" i="136"/>
  <c r="K20" i="136"/>
  <c r="O13" i="136"/>
  <c r="H39" i="137"/>
  <c r="H18" i="137"/>
  <c r="K42" i="137"/>
  <c r="K41" i="137"/>
  <c r="O28" i="137"/>
  <c r="K21" i="137"/>
  <c r="O19" i="137"/>
  <c r="H25" i="137"/>
  <c r="O15" i="137"/>
  <c r="O14" i="137"/>
  <c r="C50" i="137"/>
  <c r="H11" i="137"/>
  <c r="H46" i="138"/>
  <c r="G33" i="138"/>
  <c r="K26" i="138"/>
  <c r="G43" i="139"/>
  <c r="H46" i="139"/>
  <c r="G43" i="140"/>
  <c r="O42" i="140"/>
  <c r="O27" i="140"/>
  <c r="O12" i="140"/>
  <c r="K12" i="140"/>
  <c r="G7" i="140"/>
  <c r="O43" i="142"/>
  <c r="G28" i="142"/>
  <c r="O19" i="142"/>
  <c r="H25" i="142"/>
  <c r="K5" i="142"/>
  <c r="H46" i="143"/>
  <c r="K13" i="143"/>
  <c r="K13" i="144"/>
  <c r="G44" i="145"/>
  <c r="H46" i="146"/>
  <c r="O22" i="146"/>
  <c r="K26" i="147"/>
  <c r="O21" i="147"/>
  <c r="G16" i="147"/>
  <c r="G13" i="147"/>
  <c r="K42" i="148"/>
  <c r="O35" i="148"/>
  <c r="O27" i="148"/>
  <c r="O22" i="148"/>
  <c r="O34" i="150"/>
  <c r="K34" i="150"/>
  <c r="G9" i="150"/>
  <c r="O36" i="150"/>
  <c r="G21" i="150"/>
  <c r="K20" i="150"/>
  <c r="O40" i="150"/>
  <c r="O43" i="150"/>
  <c r="G6" i="150"/>
  <c r="G12" i="150"/>
  <c r="H46" i="121"/>
  <c r="G27" i="121"/>
  <c r="G28" i="121"/>
  <c r="G30" i="121"/>
  <c r="H25" i="121"/>
  <c r="G44" i="122"/>
  <c r="H46" i="122"/>
  <c r="H39" i="122"/>
  <c r="C53" i="122"/>
  <c r="K26" i="122"/>
  <c r="O28" i="122"/>
  <c r="H32" i="122"/>
  <c r="G21" i="122"/>
  <c r="G22" i="122"/>
  <c r="O33" i="123"/>
  <c r="O28" i="123"/>
  <c r="K19" i="123"/>
  <c r="O21" i="123"/>
  <c r="H25" i="123"/>
  <c r="U71" i="123"/>
  <c r="H39" i="124"/>
  <c r="G26" i="124"/>
  <c r="G21" i="124"/>
  <c r="K21" i="124"/>
  <c r="O20" i="124"/>
  <c r="K14" i="124"/>
  <c r="G15" i="124"/>
  <c r="J57" i="124"/>
  <c r="C53" i="124"/>
  <c r="C50" i="124"/>
  <c r="G6" i="2"/>
  <c r="O7" i="2"/>
  <c r="C53" i="2"/>
  <c r="K12" i="2"/>
  <c r="O15" i="2"/>
  <c r="G22" i="2"/>
  <c r="G26" i="2"/>
  <c r="O27" i="2"/>
  <c r="G36" i="2"/>
  <c r="G40" i="2"/>
  <c r="O41" i="2"/>
  <c r="O5" i="121"/>
  <c r="K7" i="121"/>
  <c r="O14" i="121"/>
  <c r="H18" i="121"/>
  <c r="O29" i="121"/>
  <c r="H32" i="121"/>
  <c r="K34" i="121"/>
  <c r="G37" i="121"/>
  <c r="G40" i="121"/>
  <c r="G43" i="121"/>
  <c r="K5" i="122"/>
  <c r="G7" i="122"/>
  <c r="J57" i="122"/>
  <c r="O12" i="122"/>
  <c r="G15" i="122"/>
  <c r="K22" i="122"/>
  <c r="K28" i="122"/>
  <c r="K35" i="122"/>
  <c r="G40" i="122"/>
  <c r="K42" i="122"/>
  <c r="K6" i="123"/>
  <c r="G9" i="123"/>
  <c r="G12" i="123"/>
  <c r="G16" i="123"/>
  <c r="G19" i="123"/>
  <c r="K21" i="123"/>
  <c r="K28" i="123"/>
  <c r="G33" i="123"/>
  <c r="O34" i="123"/>
  <c r="K40" i="123"/>
  <c r="O42" i="123"/>
  <c r="K8" i="124"/>
  <c r="K22" i="124"/>
  <c r="G27" i="124"/>
  <c r="O29" i="124"/>
  <c r="F57" i="124"/>
  <c r="K34" i="124"/>
  <c r="G37" i="124"/>
  <c r="G40" i="124"/>
  <c r="U71" i="124"/>
  <c r="K7" i="125"/>
  <c r="O14" i="125"/>
  <c r="G22" i="125"/>
  <c r="K29" i="125"/>
  <c r="G34" i="125"/>
  <c r="O36" i="125"/>
  <c r="K12" i="127"/>
  <c r="K19" i="129"/>
  <c r="K43" i="129"/>
  <c r="O28" i="132"/>
  <c r="G14" i="2"/>
  <c r="O19" i="2"/>
  <c r="G23" i="2"/>
  <c r="O28" i="2"/>
  <c r="G37" i="2"/>
  <c r="O42" i="2"/>
  <c r="K8" i="121"/>
  <c r="G13" i="121"/>
  <c r="O15" i="121"/>
  <c r="O22" i="121"/>
  <c r="K26" i="121"/>
  <c r="O33" i="121"/>
  <c r="K35" i="121"/>
  <c r="H32" i="124"/>
  <c r="F57" i="132"/>
  <c r="C50" i="121"/>
  <c r="K20" i="122"/>
  <c r="U71" i="122"/>
  <c r="F57" i="123"/>
  <c r="H46" i="123"/>
  <c r="H11" i="124"/>
  <c r="O21" i="124"/>
  <c r="K26" i="124"/>
  <c r="O7" i="121"/>
  <c r="H11" i="121"/>
  <c r="G15" i="121"/>
  <c r="K27" i="121"/>
  <c r="G29" i="121"/>
  <c r="O34" i="121"/>
  <c r="K40" i="121"/>
  <c r="U71" i="121"/>
  <c r="O5" i="122"/>
  <c r="K7" i="122"/>
  <c r="O13" i="122"/>
  <c r="G27" i="122"/>
  <c r="O35" i="122"/>
  <c r="K40" i="122"/>
  <c r="O42" i="122"/>
  <c r="C50" i="123"/>
  <c r="O6" i="123"/>
  <c r="C53" i="123"/>
  <c r="K12" i="123"/>
  <c r="O14" i="123"/>
  <c r="G20" i="123"/>
  <c r="O27" i="123"/>
  <c r="K33" i="123"/>
  <c r="G35" i="123"/>
  <c r="O40" i="123"/>
  <c r="K41" i="123"/>
  <c r="G6" i="124"/>
  <c r="O8" i="124"/>
  <c r="H18" i="124"/>
  <c r="G20" i="124"/>
  <c r="O22" i="124"/>
  <c r="K27" i="124"/>
  <c r="G30" i="124"/>
  <c r="G33" i="124"/>
  <c r="O34" i="124"/>
  <c r="K40" i="124"/>
  <c r="G6" i="125"/>
  <c r="O7" i="125"/>
  <c r="G15" i="125"/>
  <c r="K22" i="125"/>
  <c r="G27" i="125"/>
  <c r="K34" i="125"/>
  <c r="G37" i="125"/>
  <c r="G40" i="125"/>
  <c r="O43" i="126"/>
  <c r="G7" i="127"/>
  <c r="C53" i="121"/>
  <c r="J57" i="2"/>
  <c r="H25" i="2"/>
  <c r="H39" i="2"/>
  <c r="H39" i="121"/>
  <c r="H11" i="123"/>
  <c r="F57" i="125"/>
  <c r="K7" i="2"/>
  <c r="G9" i="2"/>
  <c r="G12" i="2"/>
  <c r="K15" i="2"/>
  <c r="G20" i="2"/>
  <c r="O21" i="2"/>
  <c r="K27" i="2"/>
  <c r="G30" i="2"/>
  <c r="O35" i="2"/>
  <c r="K41" i="2"/>
  <c r="G44" i="2"/>
  <c r="G7" i="121"/>
  <c r="J57" i="121"/>
  <c r="O12" i="121"/>
  <c r="K14" i="121"/>
  <c r="O20" i="121"/>
  <c r="K29" i="121"/>
  <c r="G34" i="121"/>
  <c r="O36" i="121"/>
  <c r="G42" i="121"/>
  <c r="C50" i="122"/>
  <c r="O6" i="122"/>
  <c r="K12" i="122"/>
  <c r="O14" i="122"/>
  <c r="K21" i="122"/>
  <c r="H25" i="122"/>
  <c r="G28" i="122"/>
  <c r="G35" i="122"/>
  <c r="O43" i="122"/>
  <c r="G6" i="123"/>
  <c r="O8" i="123"/>
  <c r="O15" i="123"/>
  <c r="H18" i="123"/>
  <c r="G21" i="123"/>
  <c r="G28" i="123"/>
  <c r="O29" i="123"/>
  <c r="K34" i="123"/>
  <c r="G37" i="123"/>
  <c r="G40" i="123"/>
  <c r="K42" i="123"/>
  <c r="G22" i="124"/>
  <c r="O26" i="124"/>
  <c r="H46" i="124"/>
  <c r="F57" i="126"/>
  <c r="G5" i="2"/>
  <c r="O13" i="2"/>
  <c r="K19" i="2"/>
  <c r="G21" i="2"/>
  <c r="O22" i="2"/>
  <c r="O26" i="2"/>
  <c r="K28" i="2"/>
  <c r="G34" i="2"/>
  <c r="O36" i="2"/>
  <c r="O40" i="2"/>
  <c r="K42" i="2"/>
  <c r="G8" i="121"/>
  <c r="K15" i="121"/>
  <c r="K22" i="121"/>
  <c r="O27" i="121"/>
  <c r="K33" i="121"/>
  <c r="G35" i="121"/>
  <c r="O40" i="121"/>
  <c r="O7" i="122"/>
  <c r="H11" i="122"/>
  <c r="G14" i="122"/>
  <c r="H18" i="122"/>
  <c r="K27" i="122"/>
  <c r="G36" i="122"/>
  <c r="O40" i="122"/>
  <c r="K41" i="122"/>
  <c r="K5" i="123"/>
  <c r="G7" i="123"/>
  <c r="J57" i="123"/>
  <c r="O12" i="123"/>
  <c r="G15" i="123"/>
  <c r="K20" i="123"/>
  <c r="G29" i="123"/>
  <c r="K35" i="123"/>
  <c r="O41" i="123"/>
  <c r="K6" i="124"/>
  <c r="G9" i="124"/>
  <c r="G12" i="124"/>
  <c r="K20" i="124"/>
  <c r="G23" i="124"/>
  <c r="O27" i="124"/>
  <c r="K33" i="124"/>
  <c r="G35" i="124"/>
  <c r="O40" i="124"/>
  <c r="D57" i="124"/>
  <c r="G8" i="125"/>
  <c r="K15" i="125"/>
  <c r="G20" i="125"/>
  <c r="O22" i="125"/>
  <c r="K27" i="125"/>
  <c r="G30" i="125"/>
  <c r="G33" i="125"/>
  <c r="O34" i="125"/>
  <c r="K40" i="125"/>
  <c r="O42" i="125"/>
  <c r="K5" i="126"/>
  <c r="G7" i="126"/>
  <c r="O12" i="126"/>
  <c r="K14" i="126"/>
  <c r="K22" i="126"/>
  <c r="G28" i="126"/>
  <c r="O33" i="126"/>
  <c r="K35" i="126"/>
  <c r="O41" i="126"/>
  <c r="K19" i="128"/>
  <c r="O5" i="127"/>
  <c r="G9" i="127"/>
  <c r="G12" i="127"/>
  <c r="K14" i="127"/>
  <c r="G20" i="127"/>
  <c r="G28" i="127"/>
  <c r="O29" i="127"/>
  <c r="K35" i="127"/>
  <c r="O41" i="127"/>
  <c r="O7" i="128"/>
  <c r="H11" i="128"/>
  <c r="G14" i="128"/>
  <c r="O15" i="128"/>
  <c r="G21" i="128"/>
  <c r="O22" i="128"/>
  <c r="K27" i="128"/>
  <c r="G30" i="128"/>
  <c r="G33" i="128"/>
  <c r="O34" i="128"/>
  <c r="K40" i="128"/>
  <c r="G42" i="128"/>
  <c r="K6" i="129"/>
  <c r="G9" i="129"/>
  <c r="G12" i="129"/>
  <c r="G15" i="129"/>
  <c r="K22" i="129"/>
  <c r="O27" i="129"/>
  <c r="K33" i="129"/>
  <c r="G35" i="129"/>
  <c r="O40" i="129"/>
  <c r="C50" i="130"/>
  <c r="O6" i="130"/>
  <c r="K12" i="130"/>
  <c r="K19" i="130"/>
  <c r="G21" i="130"/>
  <c r="K27" i="130"/>
  <c r="G30" i="130"/>
  <c r="K36" i="130"/>
  <c r="K43" i="130"/>
  <c r="G5" i="131"/>
  <c r="C53" i="131"/>
  <c r="K12" i="131"/>
  <c r="G14" i="131"/>
  <c r="O15" i="131"/>
  <c r="G22" i="131"/>
  <c r="K28" i="131"/>
  <c r="O35" i="131"/>
  <c r="K6" i="132"/>
  <c r="G9" i="132"/>
  <c r="G12" i="132"/>
  <c r="O13" i="132"/>
  <c r="G20" i="132"/>
  <c r="G28" i="132"/>
  <c r="G35" i="132"/>
  <c r="O40" i="132"/>
  <c r="G6" i="133"/>
  <c r="O8" i="133"/>
  <c r="G15" i="133"/>
  <c r="K22" i="133"/>
  <c r="G27" i="133"/>
  <c r="K34" i="133"/>
  <c r="G37" i="133"/>
  <c r="G40" i="133"/>
  <c r="O41" i="133"/>
  <c r="G6" i="134"/>
  <c r="G13" i="134"/>
  <c r="K20" i="134"/>
  <c r="G23" i="134"/>
  <c r="G26" i="134"/>
  <c r="O27" i="134"/>
  <c r="K33" i="134"/>
  <c r="G35" i="134"/>
  <c r="G44" i="134"/>
  <c r="K8" i="135"/>
  <c r="G13" i="135"/>
  <c r="H18" i="128"/>
  <c r="H18" i="129"/>
  <c r="F57" i="131"/>
  <c r="O5" i="126"/>
  <c r="K7" i="126"/>
  <c r="O14" i="126"/>
  <c r="K27" i="126"/>
  <c r="G30" i="126"/>
  <c r="G33" i="126"/>
  <c r="O34" i="126"/>
  <c r="K40" i="126"/>
  <c r="K8" i="127"/>
  <c r="O14" i="127"/>
  <c r="G22" i="127"/>
  <c r="K27" i="127"/>
  <c r="G30" i="127"/>
  <c r="G33" i="127"/>
  <c r="O34" i="127"/>
  <c r="O43" i="127"/>
  <c r="K5" i="128"/>
  <c r="G7" i="128"/>
  <c r="O12" i="128"/>
  <c r="O19" i="128"/>
  <c r="G22" i="128"/>
  <c r="K29" i="128"/>
  <c r="G34" i="128"/>
  <c r="O36" i="128"/>
  <c r="F57" i="128"/>
  <c r="K41" i="128"/>
  <c r="G44" i="128"/>
  <c r="K8" i="129"/>
  <c r="G13" i="129"/>
  <c r="O29" i="129"/>
  <c r="K34" i="129"/>
  <c r="G37" i="129"/>
  <c r="G40" i="129"/>
  <c r="O43" i="129"/>
  <c r="G6" i="130"/>
  <c r="O8" i="130"/>
  <c r="G23" i="130"/>
  <c r="G26" i="130"/>
  <c r="K29" i="130"/>
  <c r="O35" i="130"/>
  <c r="G6" i="131"/>
  <c r="K13" i="131"/>
  <c r="G15" i="131"/>
  <c r="O19" i="131"/>
  <c r="K21" i="131"/>
  <c r="K33" i="131"/>
  <c r="G35" i="131"/>
  <c r="H39" i="131"/>
  <c r="O40" i="131"/>
  <c r="K42" i="131"/>
  <c r="G44" i="131"/>
  <c r="K8" i="132"/>
  <c r="G13" i="132"/>
  <c r="H32" i="132"/>
  <c r="K34" i="132"/>
  <c r="G37" i="132"/>
  <c r="G40" i="132"/>
  <c r="H46" i="132"/>
  <c r="G8" i="133"/>
  <c r="K14" i="133"/>
  <c r="O21" i="133"/>
  <c r="G29" i="133"/>
  <c r="K36" i="133"/>
  <c r="G41" i="133"/>
  <c r="O43" i="133"/>
  <c r="F57" i="134"/>
  <c r="G15" i="134"/>
  <c r="K22" i="134"/>
  <c r="G27" i="134"/>
  <c r="O29" i="134"/>
  <c r="K34" i="134"/>
  <c r="G37" i="134"/>
  <c r="G40" i="134"/>
  <c r="G44" i="125"/>
  <c r="K8" i="126"/>
  <c r="G13" i="126"/>
  <c r="K19" i="126"/>
  <c r="K28" i="126"/>
  <c r="O35" i="126"/>
  <c r="O6" i="127"/>
  <c r="G13" i="127"/>
  <c r="O15" i="127"/>
  <c r="K20" i="127"/>
  <c r="K28" i="127"/>
  <c r="O35" i="127"/>
  <c r="K40" i="127"/>
  <c r="G8" i="128"/>
  <c r="K14" i="128"/>
  <c r="G16" i="128"/>
  <c r="G19" i="128"/>
  <c r="K21" i="128"/>
  <c r="G23" i="128"/>
  <c r="G26" i="128"/>
  <c r="O27" i="128"/>
  <c r="K33" i="128"/>
  <c r="G35" i="128"/>
  <c r="O40" i="128"/>
  <c r="K42" i="128"/>
  <c r="G5" i="129"/>
  <c r="O6" i="129"/>
  <c r="C53" i="129"/>
  <c r="K12" i="129"/>
  <c r="G16" i="129"/>
  <c r="G19" i="129"/>
  <c r="H32" i="129"/>
  <c r="O33" i="129"/>
  <c r="K35" i="129"/>
  <c r="K5" i="130"/>
  <c r="G7" i="130"/>
  <c r="O12" i="130"/>
  <c r="K13" i="130"/>
  <c r="O19" i="130"/>
  <c r="G34" i="130"/>
  <c r="O36" i="130"/>
  <c r="O43" i="130"/>
  <c r="K5" i="131"/>
  <c r="G7" i="131"/>
  <c r="J57" i="131"/>
  <c r="G16" i="131"/>
  <c r="G19" i="131"/>
  <c r="K22" i="131"/>
  <c r="G27" i="131"/>
  <c r="O28" i="131"/>
  <c r="G36" i="131"/>
  <c r="O6" i="132"/>
  <c r="K12" i="132"/>
  <c r="G14" i="132"/>
  <c r="O15" i="132"/>
  <c r="O26" i="132"/>
  <c r="K28" i="132"/>
  <c r="K35" i="132"/>
  <c r="K6" i="133"/>
  <c r="G9" i="133"/>
  <c r="G12" i="133"/>
  <c r="K15" i="133"/>
  <c r="G20" i="133"/>
  <c r="O22" i="133"/>
  <c r="K27" i="133"/>
  <c r="G30" i="133"/>
  <c r="G33" i="133"/>
  <c r="O34" i="133"/>
  <c r="K40" i="133"/>
  <c r="G42" i="133"/>
  <c r="H11" i="134"/>
  <c r="F57" i="135"/>
  <c r="H11" i="129"/>
  <c r="O5" i="134"/>
  <c r="K7" i="134"/>
  <c r="K14" i="135"/>
  <c r="G28" i="135"/>
  <c r="O41" i="135"/>
  <c r="O19" i="136"/>
  <c r="O41" i="125"/>
  <c r="K43" i="125"/>
  <c r="O7" i="126"/>
  <c r="G15" i="126"/>
  <c r="H18" i="126"/>
  <c r="G22" i="126"/>
  <c r="O27" i="126"/>
  <c r="K33" i="126"/>
  <c r="G35" i="126"/>
  <c r="O40" i="126"/>
  <c r="K5" i="127"/>
  <c r="O8" i="127"/>
  <c r="F57" i="127"/>
  <c r="G15" i="127"/>
  <c r="K22" i="127"/>
  <c r="K33" i="127"/>
  <c r="G35" i="127"/>
  <c r="K41" i="127"/>
  <c r="G43" i="127"/>
  <c r="O5" i="128"/>
  <c r="K7" i="128"/>
  <c r="O13" i="128"/>
  <c r="K15" i="128"/>
  <c r="K22" i="128"/>
  <c r="G27" i="128"/>
  <c r="O29" i="128"/>
  <c r="K34" i="128"/>
  <c r="G37" i="128"/>
  <c r="G40" i="128"/>
  <c r="O41" i="128"/>
  <c r="G6" i="129"/>
  <c r="O8" i="129"/>
  <c r="G14" i="129"/>
  <c r="K27" i="129"/>
  <c r="G29" i="129"/>
  <c r="O34" i="129"/>
  <c r="K40" i="129"/>
  <c r="K6" i="130"/>
  <c r="G9" i="130"/>
  <c r="K14" i="130"/>
  <c r="O20" i="130"/>
  <c r="G27" i="130"/>
  <c r="G36" i="130"/>
  <c r="G43" i="130"/>
  <c r="K6" i="131"/>
  <c r="G9" i="131"/>
  <c r="G12" i="131"/>
  <c r="O13" i="131"/>
  <c r="K15" i="131"/>
  <c r="O21" i="131"/>
  <c r="G28" i="131"/>
  <c r="O33" i="131"/>
  <c r="K34" i="131"/>
  <c r="O42" i="131"/>
  <c r="G6" i="132"/>
  <c r="O8" i="132"/>
  <c r="K13" i="132"/>
  <c r="G23" i="132"/>
  <c r="G26" i="132"/>
  <c r="O27" i="132"/>
  <c r="K29" i="132"/>
  <c r="O34" i="132"/>
  <c r="K40" i="132"/>
  <c r="K8" i="133"/>
  <c r="G13" i="133"/>
  <c r="O14" i="133"/>
  <c r="G22" i="133"/>
  <c r="K29" i="133"/>
  <c r="G34" i="133"/>
  <c r="O36" i="133"/>
  <c r="F57" i="133"/>
  <c r="K41" i="133"/>
  <c r="G44" i="133"/>
  <c r="G9" i="134"/>
  <c r="K15" i="134"/>
  <c r="G36" i="127"/>
  <c r="O40" i="127"/>
  <c r="K42" i="127"/>
  <c r="K8" i="128"/>
  <c r="G13" i="128"/>
  <c r="O14" i="128"/>
  <c r="G20" i="128"/>
  <c r="K26" i="128"/>
  <c r="G28" i="128"/>
  <c r="O33" i="128"/>
  <c r="K35" i="128"/>
  <c r="O42" i="128"/>
  <c r="G7" i="129"/>
  <c r="O12" i="129"/>
  <c r="K28" i="129"/>
  <c r="O35" i="129"/>
  <c r="H39" i="129"/>
  <c r="O5" i="130"/>
  <c r="K7" i="130"/>
  <c r="O13" i="130"/>
  <c r="K15" i="130"/>
  <c r="O21" i="130"/>
  <c r="G28" i="130"/>
  <c r="K34" i="130"/>
  <c r="G37" i="130"/>
  <c r="G40" i="130"/>
  <c r="K42" i="130"/>
  <c r="G44" i="130"/>
  <c r="O5" i="131"/>
  <c r="K7" i="131"/>
  <c r="G20" i="131"/>
  <c r="O22" i="131"/>
  <c r="K27" i="131"/>
  <c r="G29" i="131"/>
  <c r="G41" i="131"/>
  <c r="K5" i="132"/>
  <c r="G7" i="132"/>
  <c r="O12" i="132"/>
  <c r="K14" i="132"/>
  <c r="G16" i="132"/>
  <c r="G19" i="132"/>
  <c r="O35" i="132"/>
  <c r="G42" i="132"/>
  <c r="O6" i="133"/>
  <c r="K12" i="133"/>
  <c r="O15" i="133"/>
  <c r="K20" i="133"/>
  <c r="G23" i="133"/>
  <c r="G26" i="133"/>
  <c r="K33" i="133"/>
  <c r="G35" i="133"/>
  <c r="O40" i="133"/>
  <c r="K42" i="133"/>
  <c r="G41" i="140"/>
  <c r="G12" i="134"/>
  <c r="O21" i="134"/>
  <c r="G29" i="134"/>
  <c r="K36" i="134"/>
  <c r="O42" i="134"/>
  <c r="K5" i="135"/>
  <c r="G7" i="135"/>
  <c r="O12" i="135"/>
  <c r="G16" i="135"/>
  <c r="G19" i="135"/>
  <c r="K22" i="135"/>
  <c r="K29" i="135"/>
  <c r="O35" i="135"/>
  <c r="G6" i="136"/>
  <c r="G14" i="136"/>
  <c r="G22" i="136"/>
  <c r="O26" i="136"/>
  <c r="K28" i="136"/>
  <c r="O35" i="136"/>
  <c r="G41" i="136"/>
  <c r="O42" i="136"/>
  <c r="G5" i="137"/>
  <c r="K8" i="137"/>
  <c r="G16" i="137"/>
  <c r="K20" i="137"/>
  <c r="O27" i="137"/>
  <c r="D57" i="137"/>
  <c r="G35" i="137"/>
  <c r="O42" i="137"/>
  <c r="K43" i="137"/>
  <c r="O6" i="138"/>
  <c r="K12" i="138"/>
  <c r="G14" i="138"/>
  <c r="O19" i="138"/>
  <c r="K20" i="138"/>
  <c r="G23" i="138"/>
  <c r="G26" i="138"/>
  <c r="K29" i="138"/>
  <c r="G34" i="138"/>
  <c r="O36" i="138"/>
  <c r="K41" i="138"/>
  <c r="K6" i="139"/>
  <c r="G9" i="139"/>
  <c r="G12" i="139"/>
  <c r="K19" i="139"/>
  <c r="G21" i="139"/>
  <c r="K27" i="139"/>
  <c r="G30" i="139"/>
  <c r="G33" i="139"/>
  <c r="O34" i="139"/>
  <c r="K40" i="139"/>
  <c r="O42" i="139"/>
  <c r="G5" i="140"/>
  <c r="O6" i="140"/>
  <c r="G12" i="140"/>
  <c r="K15" i="140"/>
  <c r="G20" i="140"/>
  <c r="O22" i="140"/>
  <c r="K27" i="140"/>
  <c r="G30" i="140"/>
  <c r="G33" i="140"/>
  <c r="O34" i="140"/>
  <c r="K36" i="140"/>
  <c r="G6" i="141"/>
  <c r="O8" i="141"/>
  <c r="K13" i="141"/>
  <c r="G16" i="141"/>
  <c r="G19" i="141"/>
  <c r="K22" i="141"/>
  <c r="K29" i="141"/>
  <c r="G34" i="141"/>
  <c r="O36" i="141"/>
  <c r="K41" i="141"/>
  <c r="G44" i="141"/>
  <c r="K8" i="142"/>
  <c r="O14" i="142"/>
  <c r="O5" i="143"/>
  <c r="K7" i="143"/>
  <c r="O13" i="143"/>
  <c r="K43" i="133"/>
  <c r="O13" i="134"/>
  <c r="K19" i="134"/>
  <c r="G21" i="134"/>
  <c r="O26" i="134"/>
  <c r="K28" i="134"/>
  <c r="O35" i="134"/>
  <c r="H39" i="134"/>
  <c r="G42" i="134"/>
  <c r="K33" i="135"/>
  <c r="G35" i="135"/>
  <c r="O40" i="135"/>
  <c r="H46" i="135"/>
  <c r="H11" i="136"/>
  <c r="C53" i="137"/>
  <c r="O13" i="137"/>
  <c r="K22" i="137"/>
  <c r="O29" i="137"/>
  <c r="H46" i="137"/>
  <c r="K5" i="141"/>
  <c r="O5" i="135"/>
  <c r="K7" i="135"/>
  <c r="K19" i="135"/>
  <c r="O22" i="135"/>
  <c r="G36" i="135"/>
  <c r="G43" i="135"/>
  <c r="K6" i="136"/>
  <c r="G8" i="136"/>
  <c r="K14" i="136"/>
  <c r="G36" i="136"/>
  <c r="O43" i="136"/>
  <c r="G7" i="137"/>
  <c r="O21" i="137"/>
  <c r="K26" i="137"/>
  <c r="G29" i="137"/>
  <c r="O33" i="137"/>
  <c r="O40" i="137"/>
  <c r="G7" i="138"/>
  <c r="O12" i="138"/>
  <c r="K14" i="138"/>
  <c r="O21" i="138"/>
  <c r="O29" i="138"/>
  <c r="K34" i="138"/>
  <c r="G37" i="138"/>
  <c r="G40" i="138"/>
  <c r="O41" i="138"/>
  <c r="O6" i="139"/>
  <c r="K12" i="139"/>
  <c r="G14" i="139"/>
  <c r="K21" i="139"/>
  <c r="O27" i="139"/>
  <c r="K33" i="139"/>
  <c r="G35" i="139"/>
  <c r="O40" i="139"/>
  <c r="O43" i="139"/>
  <c r="K5" i="140"/>
  <c r="O15" i="140"/>
  <c r="G23" i="140"/>
  <c r="G26" i="140"/>
  <c r="K33" i="140"/>
  <c r="O36" i="140"/>
  <c r="K34" i="135"/>
  <c r="G37" i="135"/>
  <c r="G40" i="135"/>
  <c r="K42" i="135"/>
  <c r="G44" i="135"/>
  <c r="O5" i="136"/>
  <c r="K7" i="136"/>
  <c r="G9" i="136"/>
  <c r="G12" i="136"/>
  <c r="K15" i="136"/>
  <c r="G27" i="136"/>
  <c r="K34" i="136"/>
  <c r="O40" i="136"/>
  <c r="K6" i="137"/>
  <c r="G14" i="137"/>
  <c r="G20" i="137"/>
  <c r="O22" i="137"/>
  <c r="F57" i="137"/>
  <c r="K27" i="137"/>
  <c r="G30" i="137"/>
  <c r="G33" i="137"/>
  <c r="G37" i="137"/>
  <c r="G40" i="137"/>
  <c r="O5" i="141"/>
  <c r="K7" i="141"/>
  <c r="O14" i="141"/>
  <c r="G21" i="141"/>
  <c r="G7" i="142"/>
  <c r="H11" i="142"/>
  <c r="O12" i="142"/>
  <c r="O5" i="137"/>
  <c r="G8" i="137"/>
  <c r="G21" i="137"/>
  <c r="O26" i="137"/>
  <c r="K28" i="137"/>
  <c r="O34" i="137"/>
  <c r="K6" i="138"/>
  <c r="G9" i="138"/>
  <c r="G12" i="138"/>
  <c r="O13" i="138"/>
  <c r="K19" i="138"/>
  <c r="G21" i="138"/>
  <c r="K27" i="138"/>
  <c r="G28" i="138"/>
  <c r="K36" i="138"/>
  <c r="G41" i="138"/>
  <c r="G6" i="139"/>
  <c r="O8" i="139"/>
  <c r="K13" i="139"/>
  <c r="G16" i="139"/>
  <c r="G19" i="139"/>
  <c r="O20" i="139"/>
  <c r="K26" i="139"/>
  <c r="G27" i="139"/>
  <c r="O29" i="139"/>
  <c r="K34" i="139"/>
  <c r="G37" i="139"/>
  <c r="G40" i="139"/>
  <c r="F57" i="140"/>
  <c r="G41" i="141"/>
  <c r="O43" i="141"/>
  <c r="O33" i="142"/>
  <c r="K35" i="142"/>
  <c r="H18" i="135"/>
  <c r="U71" i="137"/>
  <c r="O5" i="138"/>
  <c r="K7" i="138"/>
  <c r="O14" i="138"/>
  <c r="G22" i="138"/>
  <c r="O26" i="138"/>
  <c r="O34" i="138"/>
  <c r="K40" i="138"/>
  <c r="G42" i="138"/>
  <c r="O43" i="138"/>
  <c r="K5" i="139"/>
  <c r="G7" i="139"/>
  <c r="O12" i="139"/>
  <c r="K14" i="139"/>
  <c r="O21" i="139"/>
  <c r="G28" i="139"/>
  <c r="O33" i="139"/>
  <c r="K35" i="139"/>
  <c r="O41" i="139"/>
  <c r="G44" i="139"/>
  <c r="O5" i="140"/>
  <c r="H11" i="140"/>
  <c r="K13" i="140"/>
  <c r="O20" i="140"/>
  <c r="G28" i="140"/>
  <c r="O26" i="141"/>
  <c r="G29" i="141"/>
  <c r="O34" i="141"/>
  <c r="K40" i="141"/>
  <c r="G42" i="141"/>
  <c r="K27" i="143"/>
  <c r="G30" i="143"/>
  <c r="G33" i="143"/>
  <c r="O34" i="143"/>
  <c r="K40" i="143"/>
  <c r="G42" i="143"/>
  <c r="K43" i="134"/>
  <c r="G5" i="136"/>
  <c r="F57" i="136"/>
  <c r="H39" i="138"/>
  <c r="O5" i="142"/>
  <c r="K7" i="142"/>
  <c r="O5" i="149"/>
  <c r="K15" i="149"/>
  <c r="G20" i="149"/>
  <c r="O22" i="149"/>
  <c r="K27" i="149"/>
  <c r="G30" i="149"/>
  <c r="G33" i="149"/>
  <c r="O34" i="149"/>
  <c r="K36" i="149"/>
  <c r="O42" i="149"/>
  <c r="K12" i="150"/>
  <c r="G13" i="150"/>
  <c r="K19" i="150"/>
  <c r="O22" i="150"/>
  <c r="H25" i="150"/>
  <c r="G36" i="150"/>
  <c r="K21" i="142"/>
  <c r="H46" i="142"/>
  <c r="O15" i="144"/>
  <c r="K20" i="144"/>
  <c r="O5" i="145"/>
  <c r="K7" i="145"/>
  <c r="O14" i="145"/>
  <c r="G28" i="145"/>
  <c r="K34" i="145"/>
  <c r="G37" i="145"/>
  <c r="G40" i="145"/>
  <c r="O41" i="145"/>
  <c r="K43" i="145"/>
  <c r="O5" i="146"/>
  <c r="K7" i="146"/>
  <c r="O14" i="146"/>
  <c r="G20" i="146"/>
  <c r="G27" i="146"/>
  <c r="G35" i="146"/>
  <c r="O36" i="146"/>
  <c r="K41" i="146"/>
  <c r="G7" i="147"/>
  <c r="O12" i="147"/>
  <c r="K13" i="147"/>
  <c r="G15" i="147"/>
  <c r="H18" i="147"/>
  <c r="G30" i="147"/>
  <c r="O35" i="147"/>
  <c r="G43" i="147"/>
  <c r="K6" i="148"/>
  <c r="O13" i="148"/>
  <c r="K19" i="148"/>
  <c r="H25" i="148"/>
  <c r="K34" i="148"/>
  <c r="G40" i="148"/>
  <c r="O41" i="148"/>
  <c r="H18" i="150"/>
  <c r="G43" i="141"/>
  <c r="K6" i="142"/>
  <c r="G9" i="142"/>
  <c r="G12" i="142"/>
  <c r="K15" i="142"/>
  <c r="O29" i="142"/>
  <c r="K34" i="142"/>
  <c r="G37" i="142"/>
  <c r="G40" i="142"/>
  <c r="O41" i="142"/>
  <c r="K6" i="143"/>
  <c r="G9" i="143"/>
  <c r="G12" i="143"/>
  <c r="K15" i="143"/>
  <c r="G20" i="143"/>
  <c r="G29" i="143"/>
  <c r="K36" i="143"/>
  <c r="G41" i="143"/>
  <c r="O43" i="143"/>
  <c r="K5" i="144"/>
  <c r="O8" i="144"/>
  <c r="G15" i="144"/>
  <c r="O28" i="144"/>
  <c r="G35" i="144"/>
  <c r="O36" i="144"/>
  <c r="G44" i="144"/>
  <c r="K8" i="145"/>
  <c r="G13" i="145"/>
  <c r="O15" i="145"/>
  <c r="K20" i="145"/>
  <c r="K27" i="145"/>
  <c r="G29" i="145"/>
  <c r="K35" i="145"/>
  <c r="K8" i="146"/>
  <c r="G13" i="146"/>
  <c r="G21" i="146"/>
  <c r="K26" i="146"/>
  <c r="G28" i="146"/>
  <c r="O29" i="146"/>
  <c r="G36" i="146"/>
  <c r="K42" i="146"/>
  <c r="G8" i="147"/>
  <c r="G26" i="147"/>
  <c r="O27" i="147"/>
  <c r="K29" i="147"/>
  <c r="G34" i="147"/>
  <c r="O36" i="147"/>
  <c r="K41" i="147"/>
  <c r="G44" i="147"/>
  <c r="O5" i="148"/>
  <c r="K7" i="148"/>
  <c r="O14" i="148"/>
  <c r="K27" i="148"/>
  <c r="G28" i="148"/>
  <c r="O33" i="148"/>
  <c r="K35" i="148"/>
  <c r="G5" i="149"/>
  <c r="O6" i="149"/>
  <c r="G22" i="149"/>
  <c r="K29" i="149"/>
  <c r="G34" i="149"/>
  <c r="G42" i="149"/>
  <c r="O8" i="150"/>
  <c r="G14" i="150"/>
  <c r="O15" i="150"/>
  <c r="G22" i="150"/>
  <c r="O26" i="150"/>
  <c r="K28" i="150"/>
  <c r="G30" i="150"/>
  <c r="G33" i="150"/>
  <c r="K35" i="150"/>
  <c r="G37" i="150"/>
  <c r="G40" i="150"/>
  <c r="O26" i="148"/>
  <c r="O15" i="149"/>
  <c r="G26" i="150"/>
  <c r="O27" i="150"/>
  <c r="K29" i="150"/>
  <c r="G21" i="142"/>
  <c r="K27" i="142"/>
  <c r="O34" i="142"/>
  <c r="K40" i="142"/>
  <c r="G42" i="142"/>
  <c r="G5" i="143"/>
  <c r="O6" i="143"/>
  <c r="K12" i="143"/>
  <c r="K20" i="143"/>
  <c r="K29" i="143"/>
  <c r="G34" i="143"/>
  <c r="O36" i="143"/>
  <c r="G44" i="143"/>
  <c r="O5" i="144"/>
  <c r="G9" i="144"/>
  <c r="G12" i="144"/>
  <c r="K15" i="144"/>
  <c r="G20" i="144"/>
  <c r="G29" i="144"/>
  <c r="K35" i="144"/>
  <c r="G37" i="144"/>
  <c r="G40" i="144"/>
  <c r="O41" i="144"/>
  <c r="K43" i="144"/>
  <c r="G6" i="145"/>
  <c r="O8" i="145"/>
  <c r="K13" i="145"/>
  <c r="G16" i="145"/>
  <c r="G19" i="145"/>
  <c r="O20" i="145"/>
  <c r="K22" i="145"/>
  <c r="K29" i="145"/>
  <c r="O35" i="145"/>
  <c r="O8" i="146"/>
  <c r="K13" i="146"/>
  <c r="O19" i="146"/>
  <c r="K21" i="146"/>
  <c r="O26" i="146"/>
  <c r="K28" i="146"/>
  <c r="G30" i="146"/>
  <c r="G33" i="146"/>
  <c r="K36" i="146"/>
  <c r="K43" i="146"/>
  <c r="K8" i="147"/>
  <c r="G27" i="147"/>
  <c r="O29" i="147"/>
  <c r="K34" i="147"/>
  <c r="G37" i="147"/>
  <c r="G40" i="147"/>
  <c r="O41" i="147"/>
  <c r="O7" i="148"/>
  <c r="G15" i="148"/>
  <c r="G26" i="148"/>
  <c r="K29" i="148"/>
  <c r="G33" i="148"/>
  <c r="O43" i="148"/>
  <c r="K5" i="149"/>
  <c r="G7" i="149"/>
  <c r="G15" i="149"/>
  <c r="K22" i="149"/>
  <c r="G27" i="149"/>
  <c r="O29" i="149"/>
  <c r="K34" i="149"/>
  <c r="G16" i="150"/>
  <c r="G19" i="150"/>
  <c r="O20" i="150"/>
  <c r="K21" i="150"/>
  <c r="K33" i="150"/>
  <c r="G34" i="150"/>
  <c r="F57" i="144"/>
  <c r="H46" i="144"/>
  <c r="F57" i="149"/>
  <c r="C50" i="150"/>
  <c r="O35" i="150"/>
  <c r="O33" i="140"/>
  <c r="K35" i="140"/>
  <c r="G40" i="140"/>
  <c r="G5" i="141"/>
  <c r="O6" i="141"/>
  <c r="K12" i="141"/>
  <c r="G14" i="141"/>
  <c r="O19" i="141"/>
  <c r="G22" i="141"/>
  <c r="O33" i="141"/>
  <c r="K35" i="141"/>
  <c r="O42" i="141"/>
  <c r="G6" i="142"/>
  <c r="O8" i="142"/>
  <c r="K13" i="142"/>
  <c r="K29" i="142"/>
  <c r="G34" i="142"/>
  <c r="O36" i="142"/>
  <c r="K41" i="142"/>
  <c r="G6" i="143"/>
  <c r="O8" i="143"/>
  <c r="G15" i="143"/>
  <c r="O28" i="143"/>
  <c r="G36" i="143"/>
  <c r="G5" i="144"/>
  <c r="K8" i="144"/>
  <c r="G13" i="144"/>
  <c r="G22" i="144"/>
  <c r="O26" i="144"/>
  <c r="K28" i="144"/>
  <c r="O34" i="144"/>
  <c r="G41" i="144"/>
  <c r="O43" i="144"/>
  <c r="G8" i="145"/>
  <c r="K15" i="145"/>
  <c r="G20" i="145"/>
  <c r="G27" i="145"/>
  <c r="O28" i="145"/>
  <c r="G35" i="145"/>
  <c r="O40" i="145"/>
  <c r="O20" i="146"/>
  <c r="K22" i="146"/>
  <c r="O27" i="146"/>
  <c r="K29" i="146"/>
  <c r="O34" i="146"/>
  <c r="K40" i="146"/>
  <c r="G42" i="146"/>
  <c r="O7" i="147"/>
  <c r="O15" i="147"/>
  <c r="G21" i="147"/>
  <c r="O22" i="147"/>
  <c r="K27" i="147"/>
  <c r="K36" i="147"/>
  <c r="G41" i="147"/>
  <c r="O43" i="147"/>
  <c r="O12" i="148"/>
  <c r="K14" i="148"/>
  <c r="O20" i="148"/>
  <c r="O28" i="148"/>
  <c r="K33" i="148"/>
  <c r="G35" i="148"/>
  <c r="G8" i="149"/>
  <c r="O12" i="149"/>
  <c r="K14" i="149"/>
  <c r="G29" i="149"/>
  <c r="G35" i="150"/>
  <c r="H46" i="125"/>
  <c r="O33" i="125"/>
  <c r="H39" i="125"/>
  <c r="O27" i="125"/>
  <c r="O28" i="125"/>
  <c r="H32" i="125"/>
  <c r="D57" i="125"/>
  <c r="U71" i="125"/>
  <c r="H18" i="125"/>
  <c r="C53" i="125"/>
  <c r="C50" i="125"/>
  <c r="G5" i="125"/>
  <c r="J57" i="125"/>
  <c r="H46" i="126"/>
  <c r="O26" i="126"/>
  <c r="G26" i="126"/>
  <c r="H32" i="126"/>
  <c r="G20" i="126"/>
  <c r="K20" i="126"/>
  <c r="G21" i="126"/>
  <c r="K21" i="126"/>
  <c r="O22" i="126"/>
  <c r="O20" i="126"/>
  <c r="G23" i="126"/>
  <c r="O21" i="126"/>
  <c r="U71" i="126"/>
  <c r="J57" i="126"/>
  <c r="D57" i="126"/>
  <c r="C53" i="126"/>
  <c r="C50" i="126"/>
  <c r="H11" i="126"/>
  <c r="G41" i="127"/>
  <c r="G44" i="127"/>
  <c r="H46" i="127"/>
  <c r="O33" i="127"/>
  <c r="H39" i="127"/>
  <c r="O28" i="127"/>
  <c r="H32" i="127"/>
  <c r="K19" i="127"/>
  <c r="K13" i="127"/>
  <c r="K15" i="127"/>
  <c r="U71" i="127"/>
  <c r="J57" i="127"/>
  <c r="H18" i="127"/>
  <c r="D57" i="127"/>
  <c r="C53" i="127"/>
  <c r="C50" i="127"/>
  <c r="H46" i="128"/>
  <c r="H39" i="128"/>
  <c r="C53" i="128"/>
  <c r="H32" i="128"/>
  <c r="C50" i="128"/>
  <c r="J57" i="128"/>
  <c r="U71" i="128"/>
  <c r="G15" i="130"/>
  <c r="O14" i="130"/>
  <c r="G12" i="130"/>
  <c r="O33" i="130"/>
  <c r="H39" i="130"/>
  <c r="O29" i="130"/>
  <c r="O27" i="130"/>
  <c r="K26" i="130"/>
  <c r="O28" i="130"/>
  <c r="K20" i="130"/>
  <c r="K22" i="130"/>
  <c r="H25" i="130"/>
  <c r="U71" i="130"/>
  <c r="J57" i="130"/>
  <c r="H18" i="130"/>
  <c r="C53" i="130"/>
  <c r="H11" i="130"/>
  <c r="K40" i="131"/>
  <c r="H46" i="131"/>
  <c r="K35" i="131"/>
  <c r="K36" i="131"/>
  <c r="H32" i="131"/>
  <c r="H25" i="131"/>
  <c r="O12" i="131"/>
  <c r="U71" i="131"/>
  <c r="H18" i="131"/>
  <c r="C50" i="131"/>
  <c r="O6" i="131"/>
  <c r="O7" i="131"/>
  <c r="H11" i="131"/>
  <c r="H39" i="132"/>
  <c r="K26" i="132"/>
  <c r="K22" i="132"/>
  <c r="J57" i="132"/>
  <c r="H25" i="132"/>
  <c r="C53" i="132"/>
  <c r="U71" i="132"/>
  <c r="D57" i="132"/>
  <c r="H18" i="132"/>
  <c r="C50" i="132"/>
  <c r="H11" i="132"/>
  <c r="H46" i="133"/>
  <c r="O33" i="133"/>
  <c r="C53" i="133"/>
  <c r="O29" i="133"/>
  <c r="O27" i="133"/>
  <c r="O28" i="133"/>
  <c r="H32" i="133"/>
  <c r="H18" i="133"/>
  <c r="C50" i="133"/>
  <c r="G5" i="133"/>
  <c r="J57" i="133"/>
  <c r="H11" i="133"/>
  <c r="D57" i="133"/>
  <c r="U71" i="133"/>
  <c r="K42" i="134"/>
  <c r="H46" i="134"/>
  <c r="O19" i="134"/>
  <c r="C53" i="134"/>
  <c r="O14" i="134"/>
  <c r="U71" i="134"/>
  <c r="H18" i="134"/>
  <c r="D57" i="134"/>
  <c r="C50" i="134"/>
  <c r="C53" i="135"/>
  <c r="C50" i="135"/>
  <c r="U71" i="135"/>
  <c r="J57" i="135"/>
  <c r="H46" i="136"/>
  <c r="O33" i="136"/>
  <c r="H39" i="136"/>
  <c r="O29" i="136"/>
  <c r="K26" i="136"/>
  <c r="K21" i="136"/>
  <c r="K22" i="136"/>
  <c r="H25" i="136"/>
  <c r="C50" i="136"/>
  <c r="U71" i="136"/>
  <c r="D57" i="136"/>
  <c r="H18" i="136"/>
  <c r="C53" i="136"/>
  <c r="G27" i="138"/>
  <c r="G30" i="138"/>
  <c r="G29" i="138"/>
  <c r="J57" i="138"/>
  <c r="K21" i="138"/>
  <c r="K22" i="138"/>
  <c r="H25" i="138"/>
  <c r="U71" i="138"/>
  <c r="H18" i="138"/>
  <c r="C53" i="138"/>
  <c r="C50" i="138"/>
  <c r="K5" i="138"/>
  <c r="H11" i="138"/>
  <c r="H39" i="139"/>
  <c r="H32" i="139"/>
  <c r="O19" i="139"/>
  <c r="C53" i="139"/>
  <c r="C50" i="139"/>
  <c r="O15" i="139"/>
  <c r="O13" i="139"/>
  <c r="O14" i="139"/>
  <c r="H18" i="139"/>
  <c r="D57" i="139"/>
  <c r="G5" i="139"/>
  <c r="J57" i="139"/>
  <c r="U71" i="139"/>
  <c r="O43" i="140"/>
  <c r="O41" i="140"/>
  <c r="H46" i="140"/>
  <c r="G34" i="140"/>
  <c r="G35" i="140"/>
  <c r="G37" i="140"/>
  <c r="G36" i="140"/>
  <c r="D57" i="140"/>
  <c r="K26" i="140"/>
  <c r="O28" i="140"/>
  <c r="H32" i="140"/>
  <c r="K20" i="140"/>
  <c r="K21" i="140"/>
  <c r="K22" i="140"/>
  <c r="G19" i="140"/>
  <c r="H25" i="140"/>
  <c r="C50" i="140"/>
  <c r="G13" i="140"/>
  <c r="G14" i="140"/>
  <c r="G16" i="140"/>
  <c r="G15" i="140"/>
  <c r="U71" i="140"/>
  <c r="H18" i="140"/>
  <c r="C53" i="140"/>
  <c r="K6" i="140"/>
  <c r="K7" i="140"/>
  <c r="H46" i="141"/>
  <c r="G33" i="141"/>
  <c r="G27" i="141"/>
  <c r="G28" i="141"/>
  <c r="G30" i="141"/>
  <c r="H32" i="141"/>
  <c r="H25" i="141"/>
  <c r="D57" i="141"/>
  <c r="C53" i="141"/>
  <c r="U71" i="141"/>
  <c r="H18" i="141"/>
  <c r="C50" i="141"/>
  <c r="H11" i="141"/>
  <c r="C53" i="142"/>
  <c r="G33" i="142"/>
  <c r="H39" i="142"/>
  <c r="O26" i="142"/>
  <c r="G27" i="142"/>
  <c r="K26" i="142"/>
  <c r="G30" i="142"/>
  <c r="G29" i="142"/>
  <c r="H32" i="142"/>
  <c r="D57" i="142"/>
  <c r="K20" i="142"/>
  <c r="K22" i="142"/>
  <c r="O22" i="142"/>
  <c r="O20" i="142"/>
  <c r="O21" i="142"/>
  <c r="G19" i="142"/>
  <c r="G13" i="142"/>
  <c r="G14" i="142"/>
  <c r="G16" i="142"/>
  <c r="G15" i="142"/>
  <c r="U71" i="142"/>
  <c r="H18" i="142"/>
  <c r="C50" i="142"/>
  <c r="K42" i="143"/>
  <c r="O14" i="143"/>
  <c r="H18" i="143"/>
  <c r="K41" i="143"/>
  <c r="K43" i="143"/>
  <c r="H39" i="143"/>
  <c r="J57" i="143"/>
  <c r="C53" i="143"/>
  <c r="H32" i="143"/>
  <c r="O19" i="143"/>
  <c r="D57" i="143"/>
  <c r="C50" i="143"/>
  <c r="O15" i="143"/>
  <c r="U71" i="143"/>
  <c r="H11" i="143"/>
  <c r="K41" i="144"/>
  <c r="K42" i="144"/>
  <c r="H39" i="144"/>
  <c r="K26" i="144"/>
  <c r="H32" i="144"/>
  <c r="O19" i="144"/>
  <c r="K21" i="144"/>
  <c r="K22" i="144"/>
  <c r="H25" i="144"/>
  <c r="O13" i="144"/>
  <c r="U71" i="144"/>
  <c r="H18" i="144"/>
  <c r="D57" i="144"/>
  <c r="C53" i="144"/>
  <c r="C50" i="144"/>
  <c r="H46" i="145"/>
  <c r="J57" i="145"/>
  <c r="H39" i="145"/>
  <c r="C53" i="145"/>
  <c r="H32" i="145"/>
  <c r="H18" i="145"/>
  <c r="C50" i="145"/>
  <c r="U71" i="145"/>
  <c r="O40" i="146"/>
  <c r="O35" i="146"/>
  <c r="C53" i="146"/>
  <c r="H32" i="146"/>
  <c r="U71" i="146"/>
  <c r="G12" i="146"/>
  <c r="H18" i="146"/>
  <c r="C50" i="146"/>
  <c r="G6" i="146"/>
  <c r="G7" i="146"/>
  <c r="G9" i="146"/>
  <c r="G8" i="146"/>
  <c r="J57" i="146"/>
  <c r="H11" i="146"/>
  <c r="D57" i="146"/>
  <c r="H46" i="147"/>
  <c r="G33" i="147"/>
  <c r="H39" i="147"/>
  <c r="O26" i="147"/>
  <c r="G28" i="147"/>
  <c r="G29" i="147"/>
  <c r="H32" i="147"/>
  <c r="K20" i="147"/>
  <c r="K22" i="147"/>
  <c r="O20" i="147"/>
  <c r="H25" i="147"/>
  <c r="U71" i="147"/>
  <c r="J57" i="147"/>
  <c r="C53" i="147"/>
  <c r="C50" i="147"/>
  <c r="K5" i="147"/>
  <c r="H11" i="147"/>
  <c r="H39" i="148"/>
  <c r="G27" i="148"/>
  <c r="G30" i="148"/>
  <c r="G29" i="148"/>
  <c r="H32" i="148"/>
  <c r="O21" i="148"/>
  <c r="G12" i="148"/>
  <c r="J57" i="148"/>
  <c r="H18" i="148"/>
  <c r="C53" i="148"/>
  <c r="C50" i="148"/>
  <c r="G7" i="148"/>
  <c r="K5" i="148"/>
  <c r="G9" i="148"/>
  <c r="O19" i="149"/>
  <c r="O14" i="149"/>
  <c r="H18" i="149"/>
  <c r="D57" i="149"/>
  <c r="K43" i="149"/>
  <c r="H46" i="149"/>
  <c r="H39" i="149"/>
  <c r="H25" i="149"/>
  <c r="U71" i="149"/>
  <c r="C53" i="149"/>
  <c r="H18" i="2"/>
  <c r="H32" i="2"/>
  <c r="H46" i="2"/>
  <c r="H11" i="2"/>
  <c r="H39" i="150"/>
  <c r="C53" i="150"/>
  <c r="H32" i="150"/>
  <c r="H46" i="150"/>
  <c r="D57" i="150"/>
  <c r="H11" i="150"/>
  <c r="K22" i="150"/>
  <c r="U71" i="150"/>
  <c r="K26" i="150"/>
  <c r="H32" i="149"/>
  <c r="K6" i="149"/>
  <c r="K41" i="149"/>
  <c r="H11" i="149"/>
  <c r="C50" i="149"/>
  <c r="K7" i="149"/>
  <c r="O13" i="149"/>
  <c r="K42" i="149"/>
  <c r="H11" i="148"/>
  <c r="K21" i="148"/>
  <c r="O40" i="148"/>
  <c r="K22" i="148"/>
  <c r="U71" i="148"/>
  <c r="G6" i="148"/>
  <c r="O34" i="148"/>
  <c r="G8" i="148"/>
  <c r="K20" i="148"/>
  <c r="K26" i="148"/>
  <c r="O36" i="148"/>
  <c r="H46" i="148"/>
  <c r="K35" i="2"/>
  <c r="K36" i="2"/>
  <c r="C50" i="2"/>
  <c r="K20" i="2"/>
  <c r="K40" i="2"/>
  <c r="K34" i="2"/>
  <c r="J57" i="150"/>
  <c r="J57" i="149"/>
  <c r="D57" i="148"/>
  <c r="D57" i="147"/>
  <c r="H25" i="146"/>
  <c r="H25" i="145"/>
  <c r="D57" i="145"/>
  <c r="J57" i="144"/>
  <c r="H25" i="143"/>
  <c r="J57" i="142"/>
  <c r="J57" i="141"/>
  <c r="J57" i="140"/>
  <c r="H25" i="139"/>
  <c r="D57" i="138"/>
  <c r="H32" i="137"/>
  <c r="J57" i="137"/>
  <c r="J57" i="136"/>
  <c r="H25" i="135"/>
  <c r="D57" i="135"/>
  <c r="J57" i="134"/>
  <c r="H25" i="133"/>
  <c r="H39" i="133"/>
  <c r="D57" i="131"/>
  <c r="D57" i="130"/>
  <c r="D57" i="129"/>
  <c r="H25" i="128"/>
  <c r="D57" i="128"/>
  <c r="H11" i="127"/>
  <c r="H25" i="127"/>
  <c r="H39" i="126"/>
  <c r="H11" i="125"/>
  <c r="H25" i="125"/>
  <c r="H39" i="123"/>
  <c r="D57" i="123"/>
  <c r="D57" i="122"/>
  <c r="D57" i="121"/>
  <c r="U71" i="2"/>
  <c r="D57" i="2"/>
  <c r="J49" i="149" l="1"/>
  <c r="N52" i="122"/>
  <c r="F52" i="132"/>
  <c r="J52" i="123"/>
  <c r="F51" i="136"/>
  <c r="N52" i="135"/>
  <c r="N51" i="138"/>
  <c r="N51" i="124"/>
  <c r="F51" i="125"/>
  <c r="F51" i="144"/>
  <c r="F53" i="122"/>
  <c r="N49" i="125"/>
  <c r="F50" i="137"/>
  <c r="J52" i="139"/>
  <c r="F50" i="135"/>
  <c r="N50" i="135"/>
  <c r="F51" i="143"/>
  <c r="N51" i="150"/>
  <c r="J37" i="121"/>
  <c r="L38" i="121" s="1"/>
  <c r="F50" i="122"/>
  <c r="N50" i="122"/>
  <c r="F49" i="122"/>
  <c r="J49" i="125"/>
  <c r="J51" i="125"/>
  <c r="N51" i="135"/>
  <c r="J50" i="135"/>
  <c r="J49" i="136"/>
  <c r="F53" i="136"/>
  <c r="N50" i="136"/>
  <c r="J49" i="137"/>
  <c r="J49" i="145"/>
  <c r="F53" i="149"/>
  <c r="F52" i="139"/>
  <c r="N52" i="121"/>
  <c r="N50" i="141"/>
  <c r="N51" i="144"/>
  <c r="J51" i="147"/>
  <c r="F49" i="121"/>
  <c r="J52" i="122"/>
  <c r="N49" i="133"/>
  <c r="F49" i="131"/>
  <c r="F52" i="135"/>
  <c r="N52" i="136"/>
  <c r="F53" i="146"/>
  <c r="F52" i="123"/>
  <c r="F53" i="125"/>
  <c r="F51" i="133"/>
  <c r="N49" i="134"/>
  <c r="N49" i="138"/>
  <c r="J51" i="141"/>
  <c r="F52" i="144"/>
  <c r="N50" i="145"/>
  <c r="F51" i="124"/>
  <c r="F52" i="125"/>
  <c r="J50" i="126"/>
  <c r="N49" i="127"/>
  <c r="F52" i="134"/>
  <c r="F49" i="135"/>
  <c r="J52" i="135"/>
  <c r="J23" i="143"/>
  <c r="L24" i="143" s="1"/>
  <c r="J50" i="146"/>
  <c r="N49" i="150"/>
  <c r="J44" i="150"/>
  <c r="L45" i="150" s="1"/>
  <c r="J50" i="121"/>
  <c r="J52" i="124"/>
  <c r="F52" i="130"/>
  <c r="N50" i="132"/>
  <c r="J44" i="133"/>
  <c r="L45" i="133" s="1"/>
  <c r="J44" i="136"/>
  <c r="L45" i="136" s="1"/>
  <c r="J49" i="138"/>
  <c r="N51" i="140"/>
  <c r="J52" i="141"/>
  <c r="N51" i="142"/>
  <c r="F49" i="145"/>
  <c r="N51" i="145"/>
  <c r="F52" i="146"/>
  <c r="F49" i="146"/>
  <c r="F50" i="123"/>
  <c r="F53" i="127"/>
  <c r="J49" i="129"/>
  <c r="F51" i="130"/>
  <c r="N51" i="132"/>
  <c r="J9" i="134"/>
  <c r="L10" i="134" s="1"/>
  <c r="F49" i="134"/>
  <c r="N49" i="135"/>
  <c r="N51" i="136"/>
  <c r="N51" i="139"/>
  <c r="J50" i="141"/>
  <c r="F52" i="141"/>
  <c r="N50" i="143"/>
  <c r="J50" i="147"/>
  <c r="N49" i="147"/>
  <c r="J16" i="148"/>
  <c r="L17" i="148" s="1"/>
  <c r="N52" i="148"/>
  <c r="J9" i="150"/>
  <c r="L10" i="150" s="1"/>
  <c r="J30" i="122"/>
  <c r="L31" i="122" s="1"/>
  <c r="F51" i="122"/>
  <c r="N49" i="124"/>
  <c r="J9" i="124"/>
  <c r="L10" i="124" s="1"/>
  <c r="J50" i="125"/>
  <c r="J23" i="125"/>
  <c r="L24" i="125" s="1"/>
  <c r="J52" i="125"/>
  <c r="N52" i="127"/>
  <c r="N51" i="128"/>
  <c r="F52" i="129"/>
  <c r="N52" i="129"/>
  <c r="N51" i="129"/>
  <c r="H57" i="129"/>
  <c r="J9" i="129"/>
  <c r="L10" i="129" s="1"/>
  <c r="F50" i="130"/>
  <c r="F53" i="130"/>
  <c r="N50" i="131"/>
  <c r="F51" i="131"/>
  <c r="F53" i="131"/>
  <c r="F53" i="133"/>
  <c r="N52" i="133"/>
  <c r="F51" i="134"/>
  <c r="N52" i="134"/>
  <c r="N50" i="134"/>
  <c r="J49" i="134"/>
  <c r="J16" i="135"/>
  <c r="L17" i="135" s="1"/>
  <c r="F50" i="136"/>
  <c r="J51" i="137"/>
  <c r="J30" i="137"/>
  <c r="L31" i="137" s="1"/>
  <c r="F52" i="137"/>
  <c r="F50" i="138"/>
  <c r="J44" i="139"/>
  <c r="L45" i="139" s="1"/>
  <c r="J50" i="139"/>
  <c r="F50" i="139"/>
  <c r="F51" i="139"/>
  <c r="N52" i="139"/>
  <c r="F49" i="140"/>
  <c r="J49" i="140"/>
  <c r="J51" i="140"/>
  <c r="N50" i="142"/>
  <c r="J52" i="144"/>
  <c r="F51" i="145"/>
  <c r="J51" i="145"/>
  <c r="J37" i="145"/>
  <c r="L38" i="145" s="1"/>
  <c r="F52" i="147"/>
  <c r="F50" i="147"/>
  <c r="N50" i="148"/>
  <c r="N52" i="2"/>
  <c r="F52" i="2"/>
  <c r="J49" i="121"/>
  <c r="J44" i="124"/>
  <c r="L45" i="124" s="1"/>
  <c r="J37" i="125"/>
  <c r="L38" i="125" s="1"/>
  <c r="F52" i="126"/>
  <c r="J52" i="126"/>
  <c r="F50" i="126"/>
  <c r="J50" i="127"/>
  <c r="J50" i="128"/>
  <c r="J52" i="131"/>
  <c r="N52" i="131"/>
  <c r="J30" i="131"/>
  <c r="L31" i="131" s="1"/>
  <c r="N49" i="131"/>
  <c r="J50" i="132"/>
  <c r="F49" i="133"/>
  <c r="F50" i="133"/>
  <c r="J23" i="134"/>
  <c r="L24" i="134" s="1"/>
  <c r="J52" i="134"/>
  <c r="J44" i="134"/>
  <c r="L45" i="134" s="1"/>
  <c r="N51" i="134"/>
  <c r="J50" i="134"/>
  <c r="J37" i="135"/>
  <c r="L38" i="135" s="1"/>
  <c r="F53" i="135"/>
  <c r="J30" i="135"/>
  <c r="L31" i="135" s="1"/>
  <c r="F49" i="137"/>
  <c r="F52" i="138"/>
  <c r="J30" i="139"/>
  <c r="L31" i="139" s="1"/>
  <c r="J9" i="139"/>
  <c r="L10" i="139" s="1"/>
  <c r="J44" i="140"/>
  <c r="L45" i="140" s="1"/>
  <c r="J49" i="141"/>
  <c r="F51" i="141"/>
  <c r="F49" i="143"/>
  <c r="J30" i="143"/>
  <c r="L31" i="143" s="1"/>
  <c r="N49" i="145"/>
  <c r="N52" i="145"/>
  <c r="J23" i="146"/>
  <c r="L24" i="146" s="1"/>
  <c r="J52" i="146"/>
  <c r="J51" i="146"/>
  <c r="N50" i="146"/>
  <c r="F49" i="149"/>
  <c r="N51" i="149"/>
  <c r="N49" i="149"/>
  <c r="H57" i="2"/>
  <c r="J52" i="2"/>
  <c r="F51" i="121"/>
  <c r="N51" i="121"/>
  <c r="J23" i="122"/>
  <c r="L24" i="122" s="1"/>
  <c r="N49" i="122"/>
  <c r="F51" i="123"/>
  <c r="F53" i="123"/>
  <c r="N52" i="123"/>
  <c r="J30" i="124"/>
  <c r="L31" i="124" s="1"/>
  <c r="F52" i="124"/>
  <c r="J44" i="125"/>
  <c r="L45" i="125" s="1"/>
  <c r="F49" i="125"/>
  <c r="F50" i="125"/>
  <c r="J30" i="125"/>
  <c r="L31" i="125" s="1"/>
  <c r="N51" i="125"/>
  <c r="N52" i="126"/>
  <c r="J44" i="126"/>
  <c r="L45" i="126" s="1"/>
  <c r="J49" i="126"/>
  <c r="F53" i="126"/>
  <c r="N51" i="126"/>
  <c r="J9" i="126"/>
  <c r="L10" i="126" s="1"/>
  <c r="J51" i="126"/>
  <c r="J44" i="127"/>
  <c r="L45" i="127" s="1"/>
  <c r="F51" i="127"/>
  <c r="F49" i="127"/>
  <c r="J37" i="127"/>
  <c r="L38" i="127" s="1"/>
  <c r="J30" i="127"/>
  <c r="L31" i="127" s="1"/>
  <c r="J52" i="127"/>
  <c r="N51" i="127"/>
  <c r="F53" i="128"/>
  <c r="F49" i="128"/>
  <c r="N52" i="128"/>
  <c r="J51" i="128"/>
  <c r="F51" i="128"/>
  <c r="F52" i="128"/>
  <c r="N49" i="129"/>
  <c r="J52" i="129"/>
  <c r="J51" i="130"/>
  <c r="F49" i="130"/>
  <c r="N49" i="130"/>
  <c r="J49" i="130"/>
  <c r="J50" i="130"/>
  <c r="N52" i="130"/>
  <c r="J44" i="131"/>
  <c r="L45" i="131" s="1"/>
  <c r="J50" i="131"/>
  <c r="J51" i="131"/>
  <c r="J23" i="131"/>
  <c r="L24" i="131" s="1"/>
  <c r="J16" i="131"/>
  <c r="L17" i="131" s="1"/>
  <c r="J49" i="131"/>
  <c r="F52" i="131"/>
  <c r="J9" i="131"/>
  <c r="F53" i="132"/>
  <c r="J37" i="132"/>
  <c r="L38" i="132" s="1"/>
  <c r="J51" i="132"/>
  <c r="J23" i="132"/>
  <c r="L24" i="132" s="1"/>
  <c r="F49" i="132"/>
  <c r="N49" i="132"/>
  <c r="J16" i="132"/>
  <c r="L17" i="132" s="1"/>
  <c r="N52" i="132"/>
  <c r="J49" i="132"/>
  <c r="N50" i="133"/>
  <c r="J23" i="133"/>
  <c r="L24" i="133" s="1"/>
  <c r="F53" i="134"/>
  <c r="J37" i="134"/>
  <c r="L38" i="134" s="1"/>
  <c r="F50" i="134"/>
  <c r="J16" i="134"/>
  <c r="L17" i="134" s="1"/>
  <c r="J44" i="135"/>
  <c r="L45" i="135" s="1"/>
  <c r="J49" i="135"/>
  <c r="F51" i="135"/>
  <c r="J50" i="136"/>
  <c r="J37" i="136"/>
  <c r="L38" i="136" s="1"/>
  <c r="N49" i="136"/>
  <c r="H57" i="136"/>
  <c r="F53" i="137"/>
  <c r="J23" i="137"/>
  <c r="L24" i="137" s="1"/>
  <c r="J50" i="137"/>
  <c r="J9" i="137"/>
  <c r="L10" i="137" s="1"/>
  <c r="J44" i="138"/>
  <c r="L45" i="138" s="1"/>
  <c r="J50" i="138"/>
  <c r="F49" i="138"/>
  <c r="J37" i="138"/>
  <c r="L38" i="138" s="1"/>
  <c r="F53" i="138"/>
  <c r="J23" i="138"/>
  <c r="L24" i="138" s="1"/>
  <c r="F51" i="140"/>
  <c r="J52" i="140"/>
  <c r="N49" i="140"/>
  <c r="J44" i="141"/>
  <c r="L45" i="141" s="1"/>
  <c r="J30" i="141"/>
  <c r="L31" i="141" s="1"/>
  <c r="J23" i="141"/>
  <c r="L24" i="141" s="1"/>
  <c r="J16" i="141"/>
  <c r="L17" i="141" s="1"/>
  <c r="J37" i="142"/>
  <c r="L38" i="142" s="1"/>
  <c r="N52" i="142"/>
  <c r="F49" i="142"/>
  <c r="F50" i="142"/>
  <c r="F52" i="143"/>
  <c r="J49" i="143"/>
  <c r="F50" i="144"/>
  <c r="N50" i="144"/>
  <c r="F49" i="144"/>
  <c r="J50" i="144"/>
  <c r="F53" i="144"/>
  <c r="F52" i="145"/>
  <c r="F50" i="145"/>
  <c r="J16" i="145"/>
  <c r="L17" i="145" s="1"/>
  <c r="J49" i="146"/>
  <c r="N49" i="146"/>
  <c r="J9" i="146"/>
  <c r="L10" i="146" s="1"/>
  <c r="J49" i="147"/>
  <c r="J16" i="147"/>
  <c r="L17" i="147" s="1"/>
  <c r="F53" i="147"/>
  <c r="F51" i="148"/>
  <c r="N51" i="148"/>
  <c r="J52" i="148"/>
  <c r="F49" i="148"/>
  <c r="F51" i="149"/>
  <c r="F50" i="149"/>
  <c r="J30" i="149"/>
  <c r="L31" i="149" s="1"/>
  <c r="N52" i="149"/>
  <c r="F52" i="149"/>
  <c r="N50" i="2"/>
  <c r="J50" i="150"/>
  <c r="F51" i="150"/>
  <c r="F52" i="150"/>
  <c r="H57" i="121"/>
  <c r="N49" i="121"/>
  <c r="J30" i="121"/>
  <c r="L31" i="121" s="1"/>
  <c r="J23" i="121"/>
  <c r="L24" i="121" s="1"/>
  <c r="N50" i="121"/>
  <c r="J52" i="121"/>
  <c r="F52" i="121"/>
  <c r="J44" i="122"/>
  <c r="L45" i="122" s="1"/>
  <c r="N51" i="123"/>
  <c r="J51" i="123"/>
  <c r="J9" i="123"/>
  <c r="L10" i="123" s="1"/>
  <c r="J50" i="123"/>
  <c r="J37" i="124"/>
  <c r="L38" i="124" s="1"/>
  <c r="F49" i="124"/>
  <c r="N50" i="124"/>
  <c r="N52" i="124"/>
  <c r="J51" i="124"/>
  <c r="J16" i="124"/>
  <c r="L17" i="124" s="1"/>
  <c r="N52" i="125"/>
  <c r="J16" i="125"/>
  <c r="L17" i="125" s="1"/>
  <c r="J9" i="125"/>
  <c r="J37" i="126"/>
  <c r="L38" i="126" s="1"/>
  <c r="N50" i="126"/>
  <c r="N49" i="126"/>
  <c r="J16" i="126"/>
  <c r="L17" i="126" s="1"/>
  <c r="F51" i="126"/>
  <c r="F52" i="127"/>
  <c r="J51" i="127"/>
  <c r="J23" i="127"/>
  <c r="L24" i="127" s="1"/>
  <c r="F50" i="127"/>
  <c r="J49" i="127"/>
  <c r="J9" i="127"/>
  <c r="L10" i="127" s="1"/>
  <c r="N50" i="127"/>
  <c r="J44" i="128"/>
  <c r="L45" i="128" s="1"/>
  <c r="N50" i="128"/>
  <c r="J37" i="128"/>
  <c r="L38" i="128" s="1"/>
  <c r="J52" i="128"/>
  <c r="J30" i="128"/>
  <c r="L31" i="128" s="1"/>
  <c r="F50" i="128"/>
  <c r="J23" i="128"/>
  <c r="L24" i="128" s="1"/>
  <c r="J49" i="128"/>
  <c r="J16" i="128"/>
  <c r="L17" i="128" s="1"/>
  <c r="N49" i="128"/>
  <c r="J9" i="128"/>
  <c r="J44" i="129"/>
  <c r="L45" i="129" s="1"/>
  <c r="J51" i="129"/>
  <c r="N50" i="129"/>
  <c r="J37" i="129"/>
  <c r="L38" i="129" s="1"/>
  <c r="J30" i="129"/>
  <c r="L31" i="129" s="1"/>
  <c r="J23" i="129"/>
  <c r="L24" i="129" s="1"/>
  <c r="F49" i="129"/>
  <c r="F51" i="129"/>
  <c r="F50" i="129"/>
  <c r="J44" i="130"/>
  <c r="L45" i="130" s="1"/>
  <c r="J52" i="130"/>
  <c r="J37" i="130"/>
  <c r="L38" i="130" s="1"/>
  <c r="J23" i="130"/>
  <c r="L24" i="130" s="1"/>
  <c r="N50" i="130"/>
  <c r="J9" i="130"/>
  <c r="L10" i="130" s="1"/>
  <c r="H57" i="131"/>
  <c r="J37" i="131"/>
  <c r="L38" i="131" s="1"/>
  <c r="F50" i="131"/>
  <c r="N51" i="131"/>
  <c r="J44" i="132"/>
  <c r="L45" i="132" s="1"/>
  <c r="F51" i="132"/>
  <c r="J30" i="132"/>
  <c r="L31" i="132" s="1"/>
  <c r="J52" i="132"/>
  <c r="J9" i="132"/>
  <c r="F50" i="132"/>
  <c r="J52" i="133"/>
  <c r="J51" i="133"/>
  <c r="J37" i="133"/>
  <c r="L38" i="133" s="1"/>
  <c r="J49" i="133"/>
  <c r="J30" i="133"/>
  <c r="L31" i="133" s="1"/>
  <c r="F52" i="133"/>
  <c r="J16" i="133"/>
  <c r="L17" i="133" s="1"/>
  <c r="J9" i="133"/>
  <c r="L10" i="133" s="1"/>
  <c r="J50" i="133"/>
  <c r="J30" i="134"/>
  <c r="L31" i="134" s="1"/>
  <c r="J51" i="135"/>
  <c r="J23" i="135"/>
  <c r="L24" i="135" s="1"/>
  <c r="J9" i="135"/>
  <c r="J30" i="136"/>
  <c r="L31" i="136" s="1"/>
  <c r="J51" i="136"/>
  <c r="F52" i="136"/>
  <c r="J16" i="136"/>
  <c r="L17" i="136" s="1"/>
  <c r="F49" i="136"/>
  <c r="J9" i="136"/>
  <c r="L10" i="136" s="1"/>
  <c r="F51" i="137"/>
  <c r="N50" i="137"/>
  <c r="N52" i="137"/>
  <c r="N51" i="137"/>
  <c r="J16" i="137"/>
  <c r="L17" i="137" s="1"/>
  <c r="H57" i="137"/>
  <c r="H57" i="138"/>
  <c r="N52" i="138"/>
  <c r="J30" i="138"/>
  <c r="L31" i="138" s="1"/>
  <c r="J52" i="138"/>
  <c r="J51" i="138"/>
  <c r="J16" i="138"/>
  <c r="L17" i="138" s="1"/>
  <c r="F51" i="138"/>
  <c r="N50" i="138"/>
  <c r="J9" i="138"/>
  <c r="L10" i="138" s="1"/>
  <c r="F53" i="139"/>
  <c r="J37" i="139"/>
  <c r="L38" i="139" s="1"/>
  <c r="J49" i="139"/>
  <c r="N49" i="139"/>
  <c r="J23" i="139"/>
  <c r="L24" i="139" s="1"/>
  <c r="J51" i="139"/>
  <c r="F49" i="139"/>
  <c r="N52" i="140"/>
  <c r="F52" i="140"/>
  <c r="J37" i="140"/>
  <c r="L38" i="140" s="1"/>
  <c r="J30" i="140"/>
  <c r="L31" i="140" s="1"/>
  <c r="N50" i="140"/>
  <c r="J23" i="140"/>
  <c r="L24" i="140" s="1"/>
  <c r="N52" i="141"/>
  <c r="N51" i="141"/>
  <c r="N49" i="141"/>
  <c r="F53" i="141"/>
  <c r="J9" i="141"/>
  <c r="L10" i="141" s="1"/>
  <c r="F50" i="141"/>
  <c r="F49" i="141"/>
  <c r="J44" i="142"/>
  <c r="L45" i="142" s="1"/>
  <c r="F52" i="142"/>
  <c r="J49" i="142"/>
  <c r="J51" i="142"/>
  <c r="J50" i="142"/>
  <c r="F51" i="142"/>
  <c r="J16" i="142"/>
  <c r="L17" i="142" s="1"/>
  <c r="F53" i="143"/>
  <c r="J52" i="143"/>
  <c r="J37" i="143"/>
  <c r="L38" i="143" s="1"/>
  <c r="F50" i="143"/>
  <c r="J16" i="143"/>
  <c r="L17" i="143" s="1"/>
  <c r="J51" i="143"/>
  <c r="J9" i="143"/>
  <c r="L10" i="143" s="1"/>
  <c r="N52" i="144"/>
  <c r="J44" i="144"/>
  <c r="L45" i="144" s="1"/>
  <c r="J37" i="144"/>
  <c r="L38" i="144" s="1"/>
  <c r="J51" i="144"/>
  <c r="N49" i="144"/>
  <c r="J49" i="144"/>
  <c r="J23" i="144"/>
  <c r="L24" i="144" s="1"/>
  <c r="J9" i="144"/>
  <c r="H57" i="145"/>
  <c r="F53" i="145"/>
  <c r="J44" i="145"/>
  <c r="L45" i="145" s="1"/>
  <c r="J52" i="145"/>
  <c r="J30" i="145"/>
  <c r="L31" i="145" s="1"/>
  <c r="J50" i="145"/>
  <c r="J23" i="145"/>
  <c r="L24" i="145" s="1"/>
  <c r="J9" i="145"/>
  <c r="L10" i="145" s="1"/>
  <c r="F51" i="146"/>
  <c r="N51" i="146"/>
  <c r="J37" i="146"/>
  <c r="L38" i="146" s="1"/>
  <c r="N52" i="146"/>
  <c r="J30" i="146"/>
  <c r="L31" i="146" s="1"/>
  <c r="F50" i="146"/>
  <c r="J16" i="146"/>
  <c r="L17" i="146" s="1"/>
  <c r="J44" i="147"/>
  <c r="L45" i="147" s="1"/>
  <c r="J37" i="147"/>
  <c r="L38" i="147" s="1"/>
  <c r="N51" i="147"/>
  <c r="F49" i="147"/>
  <c r="F51" i="147"/>
  <c r="J30" i="147"/>
  <c r="L31" i="147" s="1"/>
  <c r="N52" i="147"/>
  <c r="J52" i="147"/>
  <c r="J9" i="147"/>
  <c r="L10" i="147" s="1"/>
  <c r="J37" i="148"/>
  <c r="L38" i="148" s="1"/>
  <c r="F53" i="148"/>
  <c r="F50" i="148"/>
  <c r="F52" i="148"/>
  <c r="J37" i="149"/>
  <c r="L38" i="149" s="1"/>
  <c r="H57" i="149"/>
  <c r="J23" i="149"/>
  <c r="L24" i="149" s="1"/>
  <c r="J30" i="150"/>
  <c r="L31" i="150" s="1"/>
  <c r="N50" i="150"/>
  <c r="J51" i="150"/>
  <c r="N52" i="150"/>
  <c r="J16" i="150"/>
  <c r="L17" i="150" s="1"/>
  <c r="F53" i="150"/>
  <c r="J30" i="2"/>
  <c r="L31" i="2" s="1"/>
  <c r="N49" i="2"/>
  <c r="F50" i="2"/>
  <c r="J16" i="2"/>
  <c r="L17" i="2" s="1"/>
  <c r="F51" i="2"/>
  <c r="F53" i="2"/>
  <c r="J9" i="2"/>
  <c r="L10" i="2" s="1"/>
  <c r="J37" i="150"/>
  <c r="L38" i="150" s="1"/>
  <c r="F49" i="150"/>
  <c r="F50" i="150"/>
  <c r="J49" i="150"/>
  <c r="J44" i="2"/>
  <c r="L45" i="2" s="1"/>
  <c r="J23" i="2"/>
  <c r="L24" i="2" s="1"/>
  <c r="F49" i="2"/>
  <c r="J51" i="2"/>
  <c r="J44" i="121"/>
  <c r="L45" i="121" s="1"/>
  <c r="F53" i="121"/>
  <c r="F50" i="121"/>
  <c r="J16" i="121"/>
  <c r="L17" i="121" s="1"/>
  <c r="J9" i="121"/>
  <c r="L10" i="121" s="1"/>
  <c r="N51" i="122"/>
  <c r="J37" i="122"/>
  <c r="L38" i="122" s="1"/>
  <c r="J50" i="122"/>
  <c r="H57" i="122"/>
  <c r="F52" i="122"/>
  <c r="J49" i="122"/>
  <c r="J16" i="122"/>
  <c r="L17" i="122" s="1"/>
  <c r="J9" i="122"/>
  <c r="J44" i="123"/>
  <c r="L45" i="123" s="1"/>
  <c r="N49" i="123"/>
  <c r="J37" i="123"/>
  <c r="L38" i="123" s="1"/>
  <c r="F49" i="123"/>
  <c r="J30" i="123"/>
  <c r="L31" i="123" s="1"/>
  <c r="J23" i="123"/>
  <c r="L24" i="123" s="1"/>
  <c r="J16" i="123"/>
  <c r="L17" i="123" s="1"/>
  <c r="J49" i="123"/>
  <c r="H57" i="123"/>
  <c r="J49" i="124"/>
  <c r="F50" i="124"/>
  <c r="H57" i="124"/>
  <c r="J23" i="124"/>
  <c r="L24" i="124" s="1"/>
  <c r="F53" i="124"/>
  <c r="J9" i="140"/>
  <c r="J9" i="142"/>
  <c r="L10" i="142" s="1"/>
  <c r="J44" i="146"/>
  <c r="L45" i="146" s="1"/>
  <c r="J23" i="150"/>
  <c r="L24" i="150" s="1"/>
  <c r="J52" i="137"/>
  <c r="J51" i="121"/>
  <c r="N51" i="143"/>
  <c r="J16" i="129"/>
  <c r="L17" i="129" s="1"/>
  <c r="J16" i="144"/>
  <c r="L17" i="144" s="1"/>
  <c r="J50" i="143"/>
  <c r="J37" i="141"/>
  <c r="L38" i="141" s="1"/>
  <c r="F53" i="140"/>
  <c r="J51" i="134"/>
  <c r="F53" i="129"/>
  <c r="N50" i="147"/>
  <c r="F53" i="142"/>
  <c r="J50" i="129"/>
  <c r="N51" i="2"/>
  <c r="N49" i="137"/>
  <c r="J44" i="137"/>
  <c r="L45" i="137" s="1"/>
  <c r="J51" i="122"/>
  <c r="N50" i="125"/>
  <c r="J30" i="148"/>
  <c r="L31" i="148" s="1"/>
  <c r="N49" i="148"/>
  <c r="J52" i="149"/>
  <c r="J50" i="140"/>
  <c r="H57" i="133"/>
  <c r="N50" i="123"/>
  <c r="H57" i="150"/>
  <c r="J50" i="148"/>
  <c r="J51" i="148"/>
  <c r="J30" i="144"/>
  <c r="L31" i="144" s="1"/>
  <c r="N52" i="143"/>
  <c r="J52" i="142"/>
  <c r="J30" i="142"/>
  <c r="L31" i="142" s="1"/>
  <c r="F50" i="140"/>
  <c r="N50" i="139"/>
  <c r="J37" i="137"/>
  <c r="L38" i="137" s="1"/>
  <c r="J50" i="124"/>
  <c r="H57" i="125"/>
  <c r="H57" i="126"/>
  <c r="J30" i="126"/>
  <c r="L31" i="126" s="1"/>
  <c r="F49" i="126"/>
  <c r="J23" i="126"/>
  <c r="L24" i="126" s="1"/>
  <c r="H57" i="127"/>
  <c r="J16" i="127"/>
  <c r="L17" i="127" s="1"/>
  <c r="H57" i="128"/>
  <c r="J16" i="130"/>
  <c r="L17" i="130" s="1"/>
  <c r="J30" i="130"/>
  <c r="L31" i="130" s="1"/>
  <c r="N51" i="130"/>
  <c r="H57" i="130"/>
  <c r="H57" i="132"/>
  <c r="N51" i="133"/>
  <c r="H57" i="134"/>
  <c r="H57" i="135"/>
  <c r="J23" i="136"/>
  <c r="L24" i="136" s="1"/>
  <c r="J52" i="136"/>
  <c r="H57" i="139"/>
  <c r="J16" i="139"/>
  <c r="L17" i="139" s="1"/>
  <c r="H57" i="140"/>
  <c r="J16" i="140"/>
  <c r="L17" i="140" s="1"/>
  <c r="H57" i="141"/>
  <c r="N49" i="142"/>
  <c r="H57" i="142"/>
  <c r="J23" i="142"/>
  <c r="L24" i="142" s="1"/>
  <c r="N49" i="143"/>
  <c r="J44" i="143"/>
  <c r="L45" i="143" s="1"/>
  <c r="H57" i="143"/>
  <c r="H57" i="144"/>
  <c r="H57" i="146"/>
  <c r="J23" i="147"/>
  <c r="L24" i="147" s="1"/>
  <c r="H57" i="147"/>
  <c r="J44" i="148"/>
  <c r="L45" i="148" s="1"/>
  <c r="H57" i="148"/>
  <c r="J9" i="148"/>
  <c r="L10" i="148" s="1"/>
  <c r="J16" i="149"/>
  <c r="L17" i="149" s="1"/>
  <c r="J9" i="149"/>
  <c r="L10" i="149" s="1"/>
  <c r="N50" i="149"/>
  <c r="J50" i="149"/>
  <c r="J51" i="149"/>
  <c r="J37" i="2"/>
  <c r="L38" i="2" s="1"/>
  <c r="J52" i="150"/>
  <c r="J44" i="149"/>
  <c r="L45" i="149" s="1"/>
  <c r="J49" i="148"/>
  <c r="J23" i="148"/>
  <c r="L24" i="148" s="1"/>
  <c r="J50" i="2"/>
  <c r="J49" i="2"/>
  <c r="J53" i="125" l="1"/>
  <c r="L56" i="125" s="1"/>
  <c r="C56" i="125" s="1"/>
  <c r="J53" i="131"/>
  <c r="L56" i="131" s="1"/>
  <c r="C56" i="131" s="1"/>
  <c r="L10" i="131"/>
  <c r="L10" i="125"/>
  <c r="J53" i="128"/>
  <c r="L56" i="128" s="1"/>
  <c r="C56" i="128" s="1"/>
  <c r="L10" i="128"/>
  <c r="J53" i="129"/>
  <c r="L56" i="129" s="1"/>
  <c r="C56" i="129" s="1"/>
  <c r="J53" i="132"/>
  <c r="L56" i="132" s="1"/>
  <c r="C56" i="132" s="1"/>
  <c r="L10" i="132"/>
  <c r="J53" i="133"/>
  <c r="L56" i="133" s="1"/>
  <c r="C56" i="133" s="1"/>
  <c r="J53" i="134"/>
  <c r="L56" i="134" s="1"/>
  <c r="C56" i="134" s="1"/>
  <c r="J53" i="135"/>
  <c r="L56" i="135" s="1"/>
  <c r="C56" i="135" s="1"/>
  <c r="L10" i="135"/>
  <c r="J53" i="136"/>
  <c r="L56" i="136" s="1"/>
  <c r="C56" i="136" s="1"/>
  <c r="J53" i="137"/>
  <c r="L56" i="137" s="1"/>
  <c r="C56" i="137" s="1"/>
  <c r="J53" i="138"/>
  <c r="L56" i="138" s="1"/>
  <c r="C56" i="138" s="1"/>
  <c r="J53" i="140"/>
  <c r="L56" i="140" s="1"/>
  <c r="C56" i="140" s="1"/>
  <c r="L10" i="140"/>
  <c r="J53" i="141"/>
  <c r="L56" i="141" s="1"/>
  <c r="C56" i="141" s="1"/>
  <c r="J53" i="144"/>
  <c r="L56" i="144" s="1"/>
  <c r="C56" i="144" s="1"/>
  <c r="L10" i="144"/>
  <c r="J53" i="145"/>
  <c r="L56" i="145" s="1"/>
  <c r="C56" i="145" s="1"/>
  <c r="J53" i="146"/>
  <c r="L56" i="146" s="1"/>
  <c r="C56" i="146" s="1"/>
  <c r="J53" i="150"/>
  <c r="L56" i="150" s="1"/>
  <c r="C56" i="150" s="1"/>
  <c r="J53" i="2"/>
  <c r="L56" i="2" s="1"/>
  <c r="C56" i="2" s="1"/>
  <c r="J53" i="121"/>
  <c r="L56" i="121" s="1"/>
  <c r="C56" i="121" s="1"/>
  <c r="J53" i="122"/>
  <c r="L56" i="122" s="1"/>
  <c r="C56" i="122" s="1"/>
  <c r="L10" i="122"/>
  <c r="J53" i="123"/>
  <c r="L56" i="123" s="1"/>
  <c r="C56" i="123" s="1"/>
  <c r="J53" i="124"/>
  <c r="L56" i="124" s="1"/>
  <c r="C56" i="124" s="1"/>
  <c r="J53" i="126"/>
  <c r="L56" i="126" s="1"/>
  <c r="C56" i="126" s="1"/>
  <c r="J53" i="127"/>
  <c r="L56" i="127" s="1"/>
  <c r="C56" i="127" s="1"/>
  <c r="J53" i="130"/>
  <c r="L56" i="130" s="1"/>
  <c r="C56" i="130" s="1"/>
  <c r="J53" i="139"/>
  <c r="L56" i="139" s="1"/>
  <c r="C56" i="139" s="1"/>
  <c r="J53" i="142"/>
  <c r="L56" i="142" s="1"/>
  <c r="C56" i="142" s="1"/>
  <c r="J53" i="143"/>
  <c r="L56" i="143" s="1"/>
  <c r="C56" i="143" s="1"/>
  <c r="J53" i="147"/>
  <c r="L56" i="147" s="1"/>
  <c r="C56" i="147" s="1"/>
  <c r="J53" i="149"/>
  <c r="L56" i="149" s="1"/>
  <c r="C56" i="149" s="1"/>
  <c r="J53" i="148"/>
  <c r="L56" i="148" s="1"/>
  <c r="C56" i="148" s="1"/>
</calcChain>
</file>

<file path=xl/sharedStrings.xml><?xml version="1.0" encoding="utf-8"?>
<sst xmlns="http://schemas.openxmlformats.org/spreadsheetml/2006/main" count="4663" uniqueCount="83">
  <si>
    <t>店舗控え</t>
    <rPh sb="0" eb="2">
      <t>テンポ</t>
    </rPh>
    <rPh sb="2" eb="3">
      <t>ヒカ</t>
    </rPh>
    <phoneticPr fontId="2"/>
  </si>
  <si>
    <t>売上日報</t>
    <rPh sb="0" eb="4">
      <t>ウリアゲニッポウ</t>
    </rPh>
    <phoneticPr fontId="2"/>
  </si>
  <si>
    <t>精算実施者</t>
    <rPh sb="0" eb="2">
      <t>セイサン</t>
    </rPh>
    <rPh sb="2" eb="4">
      <t>ジッシ</t>
    </rPh>
    <rPh sb="4" eb="5">
      <t>シャ</t>
    </rPh>
    <phoneticPr fontId="2"/>
  </si>
  <si>
    <t>年</t>
    <rPh sb="0" eb="1">
      <t>ネン</t>
    </rPh>
    <phoneticPr fontId="2"/>
  </si>
  <si>
    <t>営業所</t>
    <rPh sb="0" eb="3">
      <t>エイギョウショ</t>
    </rPh>
    <phoneticPr fontId="2"/>
  </si>
  <si>
    <t>客</t>
    <rPh sb="0" eb="1">
      <t>キャク</t>
    </rPh>
    <phoneticPr fontId="2"/>
  </si>
  <si>
    <t>①</t>
  </si>
  <si>
    <t>人</t>
    <rPh sb="0" eb="1">
      <t>ニン</t>
    </rPh>
    <phoneticPr fontId="2"/>
  </si>
  <si>
    <t>買上</t>
    <rPh sb="0" eb="2">
      <t>カイアゲ</t>
    </rPh>
    <phoneticPr fontId="2"/>
  </si>
  <si>
    <t>キャッシュレス合計</t>
    <rPh sb="7" eb="9">
      <t>ゴウケイ</t>
    </rPh>
    <phoneticPr fontId="2"/>
  </si>
  <si>
    <t>レジ合計</t>
    <rPh sb="2" eb="4">
      <t>ゴウケイ</t>
    </rPh>
    <phoneticPr fontId="2"/>
  </si>
  <si>
    <t>現金売上</t>
    <rPh sb="0" eb="2">
      <t>ゲンキン</t>
    </rPh>
    <rPh sb="2" eb="4">
      <t>ウリアゲ</t>
    </rPh>
    <phoneticPr fontId="2"/>
  </si>
  <si>
    <t>打ち相違</t>
    <rPh sb="0" eb="1">
      <t>ウ</t>
    </rPh>
    <rPh sb="2" eb="4">
      <t>ソウイ</t>
    </rPh>
    <phoneticPr fontId="2"/>
  </si>
  <si>
    <t>過不足</t>
    <rPh sb="0" eb="3">
      <t>カブソク</t>
    </rPh>
    <phoneticPr fontId="2"/>
  </si>
  <si>
    <t>現金在高</t>
    <rPh sb="0" eb="3">
      <t>ゲンキンア</t>
    </rPh>
    <rPh sb="3" eb="4">
      <t>タカ</t>
    </rPh>
    <phoneticPr fontId="2"/>
  </si>
  <si>
    <t>回</t>
    <rPh sb="0" eb="1">
      <t>カイ</t>
    </rPh>
    <phoneticPr fontId="2"/>
  </si>
  <si>
    <t>点</t>
    <rPh sb="0" eb="1">
      <t>テン</t>
    </rPh>
    <phoneticPr fontId="2"/>
  </si>
  <si>
    <t>②</t>
    <phoneticPr fontId="2"/>
  </si>
  <si>
    <t>人</t>
    <rPh sb="0" eb="1">
      <t>ヒト</t>
    </rPh>
    <phoneticPr fontId="2"/>
  </si>
  <si>
    <t>③</t>
    <phoneticPr fontId="2"/>
  </si>
  <si>
    <t>_</t>
    <phoneticPr fontId="2"/>
  </si>
  <si>
    <t>④</t>
    <phoneticPr fontId="2"/>
  </si>
  <si>
    <t>⑤</t>
    <phoneticPr fontId="2"/>
  </si>
  <si>
    <t>⑥</t>
    <phoneticPr fontId="2"/>
  </si>
  <si>
    <t>合計</t>
    <rPh sb="0" eb="2">
      <t>ゴウケイ</t>
    </rPh>
    <phoneticPr fontId="2"/>
  </si>
  <si>
    <t>客数</t>
    <rPh sb="0" eb="2">
      <t>キャクスウ</t>
    </rPh>
    <phoneticPr fontId="2"/>
  </si>
  <si>
    <t>点数</t>
    <rPh sb="0" eb="2">
      <t>テンスウ</t>
    </rPh>
    <phoneticPr fontId="2"/>
  </si>
  <si>
    <t>入金額</t>
    <rPh sb="0" eb="3">
      <t>ニュウキンガク</t>
    </rPh>
    <phoneticPr fontId="2"/>
  </si>
  <si>
    <t>その他　備考</t>
    <rPh sb="2" eb="3">
      <t>タ</t>
    </rPh>
    <rPh sb="4" eb="6">
      <t>ビコウ</t>
    </rPh>
    <phoneticPr fontId="2"/>
  </si>
  <si>
    <t>合計売上</t>
    <rPh sb="0" eb="4">
      <t>ゴウケイウリアゲ</t>
    </rPh>
    <phoneticPr fontId="2"/>
  </si>
  <si>
    <t>客単</t>
    <rPh sb="0" eb="2">
      <t>キャクタン</t>
    </rPh>
    <phoneticPr fontId="2"/>
  </si>
  <si>
    <t>現金売上</t>
    <rPh sb="0" eb="4">
      <t>ゲンキンウリアゲ</t>
    </rPh>
    <phoneticPr fontId="2"/>
  </si>
  <si>
    <t>円</t>
    <rPh sb="0" eb="1">
      <t>エン</t>
    </rPh>
    <phoneticPr fontId="2"/>
  </si>
  <si>
    <t>西暦</t>
    <rPh sb="0" eb="2">
      <t>セイレキ</t>
    </rPh>
    <phoneticPr fontId="2"/>
  </si>
  <si>
    <t>↓〇〇/〇〇　と入力</t>
    <rPh sb="8" eb="10">
      <t>ニュウリョク</t>
    </rPh>
    <phoneticPr fontId="2"/>
  </si>
  <si>
    <t>曜日</t>
    <rPh sb="0" eb="2">
      <t>ヨウビ</t>
    </rPh>
    <phoneticPr fontId="2"/>
  </si>
  <si>
    <t>実施者名</t>
    <rPh sb="0" eb="4">
      <t>ジッシシャメイ</t>
    </rPh>
    <phoneticPr fontId="2"/>
  </si>
  <si>
    <t>店名</t>
    <rPh sb="0" eb="2">
      <t>テンメイ</t>
    </rPh>
    <phoneticPr fontId="2"/>
  </si>
  <si>
    <t>日付</t>
    <rPh sb="0" eb="2">
      <t>ヒヅケ</t>
    </rPh>
    <phoneticPr fontId="2"/>
  </si>
  <si>
    <t>↓精算レシート記載情報を黄色塗りセルへ記入</t>
    <rPh sb="1" eb="3">
      <t>セイサン</t>
    </rPh>
    <rPh sb="7" eb="9">
      <t>キサイ</t>
    </rPh>
    <rPh sb="9" eb="11">
      <t>ジョウホウ</t>
    </rPh>
    <rPh sb="12" eb="15">
      <t>キイロヌ</t>
    </rPh>
    <rPh sb="19" eb="21">
      <t>キニュウ</t>
    </rPh>
    <phoneticPr fontId="2"/>
  </si>
  <si>
    <t>↓その他キャッシュレス↓</t>
    <rPh sb="3" eb="4">
      <t>タ</t>
    </rPh>
    <phoneticPr fontId="2"/>
  </si>
  <si>
    <t>レジ</t>
  </si>
  <si>
    <t>回数</t>
    <rPh sb="0" eb="2">
      <t>カイスウ</t>
    </rPh>
    <phoneticPr fontId="2"/>
  </si>
  <si>
    <t>PayPay</t>
  </si>
  <si>
    <t>クレカ</t>
    <phoneticPr fontId="2"/>
  </si>
  <si>
    <t>銀聯</t>
    <rPh sb="0" eb="2">
      <t>ギンレン</t>
    </rPh>
    <phoneticPr fontId="2"/>
  </si>
  <si>
    <t>ID</t>
    <phoneticPr fontId="2"/>
  </si>
  <si>
    <t>楽天</t>
    <rPh sb="0" eb="2">
      <t>ラクテン</t>
    </rPh>
    <phoneticPr fontId="2"/>
  </si>
  <si>
    <t>交通系</t>
    <rPh sb="0" eb="2">
      <t>コウツウ</t>
    </rPh>
    <rPh sb="2" eb="3">
      <t>ケイ</t>
    </rPh>
    <phoneticPr fontId="2"/>
  </si>
  <si>
    <t>WAON</t>
    <phoneticPr fontId="2"/>
  </si>
  <si>
    <t>nanaco</t>
    <phoneticPr fontId="2"/>
  </si>
  <si>
    <t>いまなら</t>
    <phoneticPr fontId="2"/>
  </si>
  <si>
    <t>イチカ</t>
    <phoneticPr fontId="2"/>
  </si>
  <si>
    <t>フリー③</t>
    <phoneticPr fontId="2"/>
  </si>
  <si>
    <t>フリー④</t>
    <phoneticPr fontId="2"/>
  </si>
  <si>
    <t>←レシート記載
の合計と
合ってるか
確認する。</t>
    <rPh sb="5" eb="7">
      <t>キサイ</t>
    </rPh>
    <rPh sb="9" eb="11">
      <t>ゴウケイ</t>
    </rPh>
    <rPh sb="13" eb="14">
      <t>ア</t>
    </rPh>
    <rPh sb="19" eb="21">
      <t>カクニン</t>
    </rPh>
    <phoneticPr fontId="2"/>
  </si>
  <si>
    <t>②</t>
  </si>
  <si>
    <t>レジ</t>
    <phoneticPr fontId="2"/>
  </si>
  <si>
    <t>現金在高</t>
    <rPh sb="0" eb="3">
      <t>ゲンキンア</t>
    </rPh>
    <rPh sb="3" eb="4">
      <t>ダカ</t>
    </rPh>
    <phoneticPr fontId="2"/>
  </si>
  <si>
    <t>打ち相違(マイナスレシート分)</t>
    <rPh sb="0" eb="1">
      <t>ウ</t>
    </rPh>
    <rPh sb="2" eb="4">
      <t>ソウイ</t>
    </rPh>
    <rPh sb="13" eb="14">
      <t>ブン</t>
    </rPh>
    <phoneticPr fontId="2"/>
  </si>
  <si>
    <t>現金</t>
    <rPh sb="0" eb="2">
      <t>ゲンキン</t>
    </rPh>
    <phoneticPr fontId="2"/>
  </si>
  <si>
    <t>③</t>
  </si>
  <si>
    <t>④</t>
  </si>
  <si>
    <t>⑤</t>
  </si>
  <si>
    <t>⑥</t>
  </si>
  <si>
    <t>入金額</t>
    <rPh sb="0" eb="2">
      <t>ニュウキン</t>
    </rPh>
    <rPh sb="2" eb="3">
      <t>ガク</t>
    </rPh>
    <phoneticPr fontId="2"/>
  </si>
  <si>
    <t>事由</t>
    <rPh sb="0" eb="2">
      <t>ジユウ</t>
    </rPh>
    <phoneticPr fontId="2"/>
  </si>
  <si>
    <t>金額</t>
    <rPh sb="0" eb="2">
      <t>キンガク</t>
    </rPh>
    <phoneticPr fontId="2"/>
  </si>
  <si>
    <t>引くor足す</t>
    <rPh sb="0" eb="1">
      <t>ヒ</t>
    </rPh>
    <rPh sb="4" eb="5">
      <t>タ</t>
    </rPh>
    <phoneticPr fontId="2"/>
  </si>
  <si>
    <t>　↑入金分から抜いたり足したりする場合は、その旨記入</t>
    <rPh sb="2" eb="4">
      <t>ニュウキン</t>
    </rPh>
    <rPh sb="4" eb="5">
      <t>ブン</t>
    </rPh>
    <rPh sb="7" eb="8">
      <t>ヌ</t>
    </rPh>
    <rPh sb="11" eb="12">
      <t>タ</t>
    </rPh>
    <rPh sb="17" eb="19">
      <t>バアイ</t>
    </rPh>
    <rPh sb="23" eb="24">
      <t>ムネ</t>
    </rPh>
    <rPh sb="24" eb="26">
      <t>キニュウ</t>
    </rPh>
    <phoneticPr fontId="2"/>
  </si>
  <si>
    <t>　例）「釣銭準備金として500,000引きます」</t>
    <rPh sb="1" eb="2">
      <t>レイ</t>
    </rPh>
    <rPh sb="4" eb="9">
      <t>ツリセンジュンビキン</t>
    </rPh>
    <rPh sb="19" eb="20">
      <t>ヒ</t>
    </rPh>
    <phoneticPr fontId="2"/>
  </si>
  <si>
    <t>　※足すときは金額そのままで、引くときは金額の前に「－(マイナス)」を付ける。</t>
    <rPh sb="2" eb="3">
      <t>タ</t>
    </rPh>
    <rPh sb="7" eb="9">
      <t>キンガク</t>
    </rPh>
    <rPh sb="15" eb="16">
      <t>ヒ</t>
    </rPh>
    <rPh sb="20" eb="22">
      <t>キンガク</t>
    </rPh>
    <rPh sb="23" eb="24">
      <t>マエ</t>
    </rPh>
    <rPh sb="35" eb="36">
      <t>ツ</t>
    </rPh>
    <phoneticPr fontId="2"/>
  </si>
  <si>
    <t>当たり券</t>
    <rPh sb="0" eb="1">
      <t>ア</t>
    </rPh>
    <rPh sb="3" eb="4">
      <t>ケン</t>
    </rPh>
    <phoneticPr fontId="2"/>
  </si>
  <si>
    <t>Qpay</t>
    <phoneticPr fontId="2"/>
  </si>
  <si>
    <t>Quic Pay</t>
    <phoneticPr fontId="2"/>
  </si>
  <si>
    <t>天理店</t>
    <phoneticPr fontId="2"/>
  </si>
  <si>
    <t>QP</t>
    <phoneticPr fontId="2"/>
  </si>
  <si>
    <t>オフクレ</t>
    <phoneticPr fontId="2"/>
  </si>
  <si>
    <t>閉扉</t>
    <rPh sb="0" eb="2">
      <t>ヘイヒ</t>
    </rPh>
    <phoneticPr fontId="2"/>
  </si>
  <si>
    <t>hanada</t>
  </si>
  <si>
    <t>田中　美昴</t>
  </si>
  <si>
    <t>松葉沙矢香</t>
  </si>
  <si>
    <t>篠田　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</si>
</sst>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"/>
    <numFmt numFmtId="177" formatCode="[$-F800]dddd\,\ mmmm\ dd\,\ yyyy"/>
    <numFmt numFmtId="178" formatCode="m&quot;月&quot;d&quot;日&quot;;@"/>
    <numFmt numFmtId="179" formatCode="#,##0_ "/>
    <numFmt numFmtId="180" formatCode="&quot;△&quot;0"/>
    <numFmt numFmtId="181" formatCode="#,##0_);[Red]\(#,##0\)"/>
    <numFmt numFmtId="182" formatCode="0;&quot;△ &quot;0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4"/>
      <name val="游ゴシック"/>
      <family val="3"/>
      <charset val="128"/>
      <scheme val="minor"/>
    </font>
    <font>
      <b/>
      <sz val="9"/>
      <color theme="4"/>
      <name val="游ゴシック"/>
      <family val="3"/>
      <charset val="128"/>
      <scheme val="minor"/>
    </font>
    <font>
      <b/>
      <sz val="11"/>
      <color theme="4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ck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thick">
        <color indexed="64"/>
      </bottom>
      <diagonal/>
    </border>
    <border>
      <left style="thin">
        <color indexed="64"/>
      </left>
      <right/>
      <top style="dotted">
        <color indexed="64"/>
      </top>
      <bottom style="thick">
        <color indexed="64"/>
      </bottom>
      <diagonal/>
    </border>
    <border>
      <left/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dotted">
        <color indexed="64"/>
      </right>
      <top style="thick">
        <color indexed="64"/>
      </top>
      <bottom style="thin">
        <color indexed="64"/>
      </bottom>
      <diagonal/>
    </border>
    <border>
      <left style="dotted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thick">
        <color indexed="64"/>
      </left>
      <right style="dotted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ck">
        <color indexed="64"/>
      </right>
      <top style="medium">
        <color indexed="64"/>
      </top>
      <bottom style="dotted">
        <color indexed="64"/>
      </bottom>
      <diagonal/>
    </border>
    <border>
      <left style="thick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ck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ck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tted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/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theme="1"/>
      </right>
      <top style="thick">
        <color rgb="FFFF0000"/>
      </top>
      <bottom/>
      <diagonal/>
    </border>
    <border>
      <left style="thin">
        <color theme="1"/>
      </left>
      <right/>
      <top style="thick">
        <color rgb="FFFF0000"/>
      </top>
      <bottom/>
      <diagonal/>
    </border>
    <border>
      <left/>
      <right style="thin">
        <color theme="1"/>
      </right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theme="1"/>
      </bottom>
      <diagonal/>
    </border>
    <border>
      <left style="thick">
        <color rgb="FFFF0000"/>
      </left>
      <right/>
      <top style="thin">
        <color theme="1"/>
      </top>
      <bottom style="thin">
        <color theme="1"/>
      </bottom>
      <diagonal/>
    </border>
    <border>
      <left style="dotted">
        <color theme="1"/>
      </left>
      <right/>
      <top style="thin">
        <color theme="1"/>
      </top>
      <bottom style="thin">
        <color theme="1"/>
      </bottom>
      <diagonal/>
    </border>
    <border>
      <left/>
      <right style="dotted">
        <color theme="1"/>
      </right>
      <top style="thin">
        <color theme="1"/>
      </top>
      <bottom style="thin">
        <color theme="1"/>
      </bottom>
      <diagonal/>
    </border>
    <border>
      <left style="dotted">
        <color theme="1"/>
      </left>
      <right style="dotted">
        <color theme="1"/>
      </right>
      <top style="thin">
        <color theme="1"/>
      </top>
      <bottom/>
      <diagonal/>
    </border>
    <border>
      <left style="dotted">
        <color theme="1"/>
      </left>
      <right style="thick">
        <color rgb="FFFF0000"/>
      </right>
      <top style="thin">
        <color theme="1"/>
      </top>
      <bottom/>
      <diagonal/>
    </border>
    <border>
      <left style="dotted">
        <color theme="1"/>
      </left>
      <right/>
      <top style="thin">
        <color theme="1"/>
      </top>
      <bottom/>
      <diagonal/>
    </border>
    <border>
      <left style="thick">
        <color rgb="FFFF0000"/>
      </left>
      <right/>
      <top style="thin">
        <color theme="1"/>
      </top>
      <bottom/>
      <diagonal/>
    </border>
    <border>
      <left style="dotted">
        <color theme="1"/>
      </left>
      <right style="dotted">
        <color theme="1"/>
      </right>
      <top style="thin">
        <color theme="1"/>
      </top>
      <bottom style="thick">
        <color rgb="FFFF0000"/>
      </bottom>
      <diagonal/>
    </border>
    <border>
      <left style="dotted">
        <color theme="1"/>
      </left>
      <right/>
      <top style="thin">
        <color theme="1"/>
      </top>
      <bottom style="thick">
        <color rgb="FFFF0000"/>
      </bottom>
      <diagonal/>
    </border>
    <border>
      <left style="dotted">
        <color theme="1"/>
      </left>
      <right style="thick">
        <color rgb="FFFF0000"/>
      </right>
      <top style="thin">
        <color theme="1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n">
        <color theme="1"/>
      </top>
      <bottom style="thick">
        <color rgb="FFFF0000"/>
      </bottom>
      <diagonal/>
    </border>
    <border>
      <left style="thin">
        <color indexed="64"/>
      </left>
      <right/>
      <top style="thin">
        <color theme="1"/>
      </top>
      <bottom style="thick">
        <color rgb="FFFF0000"/>
      </bottom>
      <diagonal/>
    </border>
    <border>
      <left/>
      <right style="thick">
        <color rgb="FFFF0000"/>
      </right>
      <top style="thin">
        <color theme="1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n">
        <color auto="1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0" fillId="0" borderId="0" xfId="0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0" fontId="0" fillId="0" borderId="0" xfId="0" applyAlignment="1">
      <alignment horizontal="right" vertical="center" shrinkToFit="1"/>
    </xf>
    <xf numFmtId="0" fontId="6" fillId="0" borderId="0" xfId="0" applyFont="1" applyAlignment="1">
      <alignment vertical="center" shrinkToFit="1"/>
    </xf>
    <xf numFmtId="0" fontId="5" fillId="0" borderId="0" xfId="0" applyFont="1" applyAlignment="1">
      <alignment shrinkToFit="1"/>
    </xf>
    <xf numFmtId="0" fontId="10" fillId="0" borderId="0" xfId="0" applyFont="1" applyAlignment="1">
      <alignment horizontal="left" shrinkToFit="1"/>
    </xf>
    <xf numFmtId="0" fontId="11" fillId="0" borderId="2" xfId="0" applyFont="1" applyBorder="1" applyAlignment="1">
      <alignment shrinkToFit="1"/>
    </xf>
    <xf numFmtId="179" fontId="12" fillId="0" borderId="3" xfId="0" applyNumberFormat="1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179" fontId="12" fillId="0" borderId="5" xfId="0" applyNumberFormat="1" applyFont="1" applyBorder="1" applyAlignment="1">
      <alignment horizontal="right" shrinkToFit="1"/>
    </xf>
    <xf numFmtId="180" fontId="13" fillId="0" borderId="5" xfId="0" applyNumberFormat="1" applyFont="1" applyBorder="1" applyAlignment="1">
      <alignment shrinkToFit="1"/>
    </xf>
    <xf numFmtId="181" fontId="14" fillId="0" borderId="6" xfId="0" applyNumberFormat="1" applyFont="1" applyBorder="1" applyAlignment="1">
      <alignment horizontal="right" shrinkToFit="1"/>
    </xf>
    <xf numFmtId="179" fontId="12" fillId="0" borderId="5" xfId="0" applyNumberFormat="1" applyFont="1" applyBorder="1" applyAlignment="1">
      <alignment horizontal="right" vertical="center" shrinkToFit="1"/>
    </xf>
    <xf numFmtId="181" fontId="14" fillId="0" borderId="7" xfId="0" applyNumberFormat="1" applyFont="1" applyBorder="1" applyAlignment="1">
      <alignment horizontal="right" shrinkToFit="1"/>
    </xf>
    <xf numFmtId="0" fontId="11" fillId="0" borderId="8" xfId="0" applyFont="1" applyBorder="1" applyAlignment="1">
      <alignment shrinkToFit="1"/>
    </xf>
    <xf numFmtId="179" fontId="12" fillId="0" borderId="9" xfId="0" applyNumberFormat="1" applyFont="1" applyBorder="1" applyAlignment="1">
      <alignment horizontal="right" shrinkToFit="1"/>
    </xf>
    <xf numFmtId="0" fontId="12" fillId="0" borderId="10" xfId="0" applyFont="1" applyBorder="1" applyAlignment="1">
      <alignment horizontal="center" vertical="center" shrinkToFit="1"/>
    </xf>
    <xf numFmtId="179" fontId="12" fillId="0" borderId="11" xfId="0" applyNumberFormat="1" applyFont="1" applyBorder="1" applyAlignment="1">
      <alignment horizontal="right" shrinkToFit="1"/>
    </xf>
    <xf numFmtId="180" fontId="13" fillId="0" borderId="11" xfId="0" applyNumberFormat="1" applyFont="1" applyBorder="1" applyAlignment="1">
      <alignment shrinkToFit="1"/>
    </xf>
    <xf numFmtId="181" fontId="14" fillId="0" borderId="12" xfId="0" applyNumberFormat="1" applyFont="1" applyBorder="1" applyAlignment="1">
      <alignment horizontal="right" shrinkToFit="1"/>
    </xf>
    <xf numFmtId="181" fontId="14" fillId="0" borderId="13" xfId="0" applyNumberFormat="1" applyFont="1" applyBorder="1" applyAlignment="1">
      <alignment horizontal="right" shrinkToFit="1"/>
    </xf>
    <xf numFmtId="0" fontId="12" fillId="0" borderId="14" xfId="0" applyFont="1" applyBorder="1" applyAlignment="1">
      <alignment horizontal="center" vertical="center" shrinkToFit="1"/>
    </xf>
    <xf numFmtId="179" fontId="12" fillId="0" borderId="15" xfId="0" applyNumberFormat="1" applyFont="1" applyBorder="1" applyAlignment="1">
      <alignment horizontal="right" vertical="center" shrinkToFit="1"/>
    </xf>
    <xf numFmtId="180" fontId="13" fillId="0" borderId="15" xfId="0" applyNumberFormat="1" applyFont="1" applyBorder="1" applyAlignment="1">
      <alignment shrinkToFit="1"/>
    </xf>
    <xf numFmtId="181" fontId="14" fillId="0" borderId="16" xfId="0" applyNumberFormat="1" applyFont="1" applyBorder="1" applyAlignment="1">
      <alignment vertical="center" shrinkToFit="1"/>
    </xf>
    <xf numFmtId="179" fontId="12" fillId="0" borderId="17" xfId="0" applyNumberFormat="1" applyFont="1" applyBorder="1" applyAlignment="1">
      <alignment horizontal="right" shrinkToFit="1"/>
    </xf>
    <xf numFmtId="0" fontId="12" fillId="0" borderId="18" xfId="0" applyFont="1" applyBorder="1" applyAlignment="1">
      <alignment horizontal="center" vertical="center" shrinkToFit="1"/>
    </xf>
    <xf numFmtId="179" fontId="12" fillId="0" borderId="19" xfId="0" applyNumberFormat="1" applyFont="1" applyBorder="1" applyAlignment="1">
      <alignment horizontal="right" vertical="center" shrinkToFit="1"/>
    </xf>
    <xf numFmtId="179" fontId="12" fillId="0" borderId="20" xfId="0" applyNumberFormat="1" applyFont="1" applyBorder="1" applyAlignment="1">
      <alignment horizontal="right" shrinkToFit="1"/>
    </xf>
    <xf numFmtId="179" fontId="12" fillId="0" borderId="15" xfId="0" applyNumberFormat="1" applyFont="1" applyBorder="1" applyAlignment="1">
      <alignment horizontal="right" shrinkToFit="1"/>
    </xf>
    <xf numFmtId="179" fontId="12" fillId="0" borderId="21" xfId="0" applyNumberFormat="1" applyFont="1" applyBorder="1" applyAlignment="1">
      <alignment horizontal="right" shrinkToFit="1"/>
    </xf>
    <xf numFmtId="0" fontId="12" fillId="0" borderId="22" xfId="0" applyFont="1" applyBorder="1" applyAlignment="1">
      <alignment horizontal="center" vertical="center" shrinkToFit="1"/>
    </xf>
    <xf numFmtId="179" fontId="12" fillId="0" borderId="0" xfId="0" applyNumberFormat="1" applyFont="1" applyAlignment="1">
      <alignment horizontal="right" vertical="center" shrinkToFit="1"/>
    </xf>
    <xf numFmtId="180" fontId="13" fillId="0" borderId="23" xfId="0" applyNumberFormat="1" applyFont="1" applyBorder="1" applyAlignment="1">
      <alignment shrinkToFit="1"/>
    </xf>
    <xf numFmtId="179" fontId="12" fillId="0" borderId="9" xfId="0" applyNumberFormat="1" applyFont="1" applyBorder="1" applyAlignment="1">
      <alignment horizontal="right" vertical="center" shrinkToFit="1"/>
    </xf>
    <xf numFmtId="179" fontId="12" fillId="0" borderId="15" xfId="0" applyNumberFormat="1" applyFont="1" applyBorder="1" applyAlignment="1">
      <alignment vertical="center" shrinkToFit="1"/>
    </xf>
    <xf numFmtId="180" fontId="13" fillId="0" borderId="24" xfId="0" applyNumberFormat="1" applyFont="1" applyBorder="1" applyAlignment="1">
      <alignment shrinkToFit="1"/>
    </xf>
    <xf numFmtId="181" fontId="14" fillId="0" borderId="25" xfId="0" applyNumberFormat="1" applyFont="1" applyBorder="1" applyAlignment="1">
      <alignment horizontal="right" shrinkToFit="1"/>
    </xf>
    <xf numFmtId="3" fontId="14" fillId="0" borderId="8" xfId="0" applyNumberFormat="1" applyFont="1" applyBorder="1" applyAlignment="1">
      <alignment shrinkToFit="1"/>
    </xf>
    <xf numFmtId="179" fontId="12" fillId="0" borderId="30" xfId="0" applyNumberFormat="1" applyFont="1" applyBorder="1" applyAlignment="1">
      <alignment horizontal="right" shrinkToFit="1"/>
    </xf>
    <xf numFmtId="38" fontId="14" fillId="0" borderId="39" xfId="1" applyFont="1" applyBorder="1" applyAlignment="1">
      <alignment horizontal="right" vertical="center" shrinkToFit="1"/>
    </xf>
    <xf numFmtId="38" fontId="10" fillId="0" borderId="40" xfId="1" applyFont="1" applyBorder="1" applyAlignment="1">
      <alignment horizontal="right" vertical="center" shrinkToFit="1"/>
    </xf>
    <xf numFmtId="38" fontId="11" fillId="0" borderId="1" xfId="1" applyFont="1" applyBorder="1" applyAlignment="1">
      <alignment horizontal="right" shrinkToFit="1"/>
    </xf>
    <xf numFmtId="0" fontId="18" fillId="0" borderId="0" xfId="0" applyFont="1" applyAlignment="1">
      <alignment vertical="center" shrinkToFit="1"/>
    </xf>
    <xf numFmtId="0" fontId="0" fillId="0" borderId="49" xfId="0" applyBorder="1" applyAlignment="1">
      <alignment vertical="center" shrinkToFit="1"/>
    </xf>
    <xf numFmtId="38" fontId="14" fillId="0" borderId="0" xfId="1" applyFont="1" applyBorder="1" applyAlignment="1">
      <alignment horizontal="right" vertical="center" shrinkToFit="1"/>
    </xf>
    <xf numFmtId="38" fontId="10" fillId="0" borderId="0" xfId="1" applyFont="1" applyBorder="1" applyAlignment="1">
      <alignment horizontal="right" vertical="center" shrinkToFit="1"/>
    </xf>
    <xf numFmtId="176" fontId="12" fillId="0" borderId="0" xfId="1" applyNumberFormat="1" applyFont="1" applyBorder="1" applyAlignment="1">
      <alignment horizontal="center" vertical="center" shrinkToFit="1"/>
    </xf>
    <xf numFmtId="180" fontId="10" fillId="0" borderId="0" xfId="1" applyNumberFormat="1" applyFont="1" applyBorder="1" applyAlignment="1">
      <alignment horizontal="center" vertical="center" shrinkToFit="1"/>
    </xf>
    <xf numFmtId="182" fontId="17" fillId="0" borderId="0" xfId="0" applyNumberFormat="1" applyFont="1" applyAlignment="1">
      <alignment horizontal="center" vertical="center" shrinkToFit="1"/>
    </xf>
    <xf numFmtId="38" fontId="16" fillId="0" borderId="0" xfId="1" applyFont="1" applyBorder="1" applyAlignment="1">
      <alignment horizontal="center" shrinkToFit="1"/>
    </xf>
    <xf numFmtId="38" fontId="11" fillId="0" borderId="0" xfId="1" applyFont="1" applyBorder="1" applyAlignment="1">
      <alignment horizontal="right" shrinkToFit="1"/>
    </xf>
    <xf numFmtId="38" fontId="14" fillId="0" borderId="1" xfId="1" applyFont="1" applyBorder="1" applyAlignment="1">
      <alignment horizontal="right" vertical="center" shrinkToFit="1"/>
    </xf>
    <xf numFmtId="38" fontId="10" fillId="0" borderId="1" xfId="1" applyFont="1" applyBorder="1" applyAlignment="1">
      <alignment horizontal="right" vertical="center" shrinkToFit="1"/>
    </xf>
    <xf numFmtId="176" fontId="12" fillId="0" borderId="1" xfId="1" applyNumberFormat="1" applyFont="1" applyBorder="1" applyAlignment="1">
      <alignment horizontal="center" vertical="center" shrinkToFit="1"/>
    </xf>
    <xf numFmtId="180" fontId="10" fillId="0" borderId="1" xfId="1" applyNumberFormat="1" applyFont="1" applyBorder="1" applyAlignment="1">
      <alignment horizontal="center" vertical="center" shrinkToFit="1"/>
    </xf>
    <xf numFmtId="182" fontId="17" fillId="0" borderId="1" xfId="0" applyNumberFormat="1" applyFont="1" applyBorder="1" applyAlignment="1">
      <alignment horizontal="center" vertical="center" shrinkToFit="1"/>
    </xf>
    <xf numFmtId="38" fontId="16" fillId="0" borderId="1" xfId="1" applyFont="1" applyBorder="1" applyAlignment="1">
      <alignment horizontal="center" shrinkToFit="1"/>
    </xf>
    <xf numFmtId="38" fontId="14" fillId="0" borderId="55" xfId="1" applyFont="1" applyBorder="1" applyAlignment="1">
      <alignment shrinkToFit="1"/>
    </xf>
    <xf numFmtId="38" fontId="14" fillId="0" borderId="61" xfId="1" applyFont="1" applyBorder="1" applyAlignment="1">
      <alignment horizontal="right" vertical="top" shrinkToFit="1"/>
    </xf>
    <xf numFmtId="0" fontId="0" fillId="0" borderId="62" xfId="0" applyBorder="1" applyAlignment="1">
      <alignment vertical="center" shrinkToFit="1"/>
    </xf>
    <xf numFmtId="38" fontId="14" fillId="0" borderId="13" xfId="1" applyFont="1" applyBorder="1" applyAlignment="1">
      <alignment shrinkToFit="1"/>
    </xf>
    <xf numFmtId="38" fontId="14" fillId="0" borderId="0" xfId="1" applyFont="1" applyBorder="1" applyAlignment="1">
      <alignment shrinkToFit="1"/>
    </xf>
    <xf numFmtId="38" fontId="14" fillId="0" borderId="66" xfId="1" applyFont="1" applyBorder="1" applyAlignment="1">
      <alignment horizontal="right" vertical="top" shrinkToFit="1"/>
    </xf>
    <xf numFmtId="38" fontId="14" fillId="0" borderId="71" xfId="1" applyFont="1" applyBorder="1" applyAlignment="1">
      <alignment horizontal="right" vertical="top" shrinkToFit="1"/>
    </xf>
    <xf numFmtId="38" fontId="12" fillId="0" borderId="61" xfId="1" applyFont="1" applyBorder="1" applyAlignment="1">
      <alignment horizontal="right" shrinkToFit="1"/>
    </xf>
    <xf numFmtId="0" fontId="12" fillId="0" borderId="75" xfId="0" applyFont="1" applyBorder="1" applyAlignment="1">
      <alignment horizontal="right" vertical="top" shrinkToFit="1"/>
    </xf>
    <xf numFmtId="181" fontId="20" fillId="0" borderId="0" xfId="0" applyNumberFormat="1" applyFont="1" applyAlignment="1">
      <alignment horizontal="center" vertical="center" shrinkToFit="1"/>
    </xf>
    <xf numFmtId="180" fontId="20" fillId="0" borderId="0" xfId="0" applyNumberFormat="1" applyFont="1" applyAlignment="1">
      <alignment vertical="center" shrinkToFit="1"/>
    </xf>
    <xf numFmtId="0" fontId="0" fillId="0" borderId="14" xfId="0" applyBorder="1" applyAlignment="1">
      <alignment horizontal="center" vertical="center" shrinkToFit="1"/>
    </xf>
    <xf numFmtId="0" fontId="0" fillId="3" borderId="76" xfId="0" applyFill="1" applyBorder="1" applyAlignment="1" applyProtection="1">
      <alignment vertical="center" shrinkToFit="1"/>
      <protection locked="0"/>
    </xf>
    <xf numFmtId="0" fontId="0" fillId="0" borderId="77" xfId="0" applyBorder="1" applyAlignment="1">
      <alignment vertical="center" shrinkToFit="1"/>
    </xf>
    <xf numFmtId="0" fontId="0" fillId="3" borderId="76" xfId="0" applyFill="1" applyBorder="1" applyAlignment="1" applyProtection="1">
      <alignment horizontal="center" vertical="center" shrinkToFit="1"/>
      <protection locked="0"/>
    </xf>
    <xf numFmtId="0" fontId="16" fillId="0" borderId="80" xfId="0" applyFont="1" applyBorder="1" applyAlignment="1">
      <alignment vertical="center" shrinkToFit="1"/>
    </xf>
    <xf numFmtId="0" fontId="16" fillId="0" borderId="81" xfId="0" applyFont="1" applyBorder="1" applyAlignment="1">
      <alignment vertical="center" shrinkToFit="1"/>
    </xf>
    <xf numFmtId="0" fontId="0" fillId="0" borderId="82" xfId="0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20" xfId="0" applyFont="1" applyBorder="1" applyAlignment="1">
      <alignment horizontal="center" vertical="center" shrinkToFit="1"/>
    </xf>
    <xf numFmtId="0" fontId="10" fillId="0" borderId="20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0" fillId="0" borderId="20" xfId="0" applyFont="1" applyBorder="1" applyAlignment="1" applyProtection="1">
      <alignment horizontal="center" vertical="center" shrinkToFit="1"/>
      <protection locked="0"/>
    </xf>
    <xf numFmtId="0" fontId="10" fillId="3" borderId="20" xfId="0" applyFont="1" applyFill="1" applyBorder="1" applyAlignment="1" applyProtection="1">
      <alignment horizontal="center" vertical="center" shrinkToFit="1"/>
      <protection locked="0"/>
    </xf>
    <xf numFmtId="0" fontId="5" fillId="0" borderId="84" xfId="0" applyFont="1" applyBorder="1" applyAlignment="1">
      <alignment horizontal="center" vertical="center" shrinkToFit="1"/>
    </xf>
    <xf numFmtId="179" fontId="14" fillId="3" borderId="11" xfId="0" applyNumberFormat="1" applyFont="1" applyFill="1" applyBorder="1" applyAlignment="1" applyProtection="1">
      <alignment vertical="center" shrinkToFit="1"/>
      <protection locked="0"/>
    </xf>
    <xf numFmtId="179" fontId="14" fillId="3" borderId="11" xfId="0" applyNumberFormat="1" applyFont="1" applyFill="1" applyBorder="1" applyAlignment="1" applyProtection="1">
      <alignment horizontal="center" vertical="center" shrinkToFit="1"/>
      <protection locked="0"/>
    </xf>
    <xf numFmtId="179" fontId="14" fillId="3" borderId="21" xfId="0" applyNumberFormat="1" applyFont="1" applyFill="1" applyBorder="1" applyAlignment="1" applyProtection="1">
      <alignment vertical="center" shrinkToFit="1"/>
      <protection locked="0"/>
    </xf>
    <xf numFmtId="179" fontId="14" fillId="3" borderId="58" xfId="0" applyNumberFormat="1" applyFont="1" applyFill="1" applyBorder="1" applyAlignment="1" applyProtection="1">
      <alignment vertical="center" shrinkToFit="1"/>
      <protection locked="0"/>
    </xf>
    <xf numFmtId="0" fontId="14" fillId="0" borderId="0" xfId="0" applyFont="1" applyAlignment="1">
      <alignment vertical="center" shrinkToFit="1"/>
    </xf>
    <xf numFmtId="0" fontId="0" fillId="0" borderId="84" xfId="0" applyBorder="1" applyAlignment="1">
      <alignment horizontal="center" vertical="center" shrinkToFit="1"/>
    </xf>
    <xf numFmtId="0" fontId="16" fillId="4" borderId="86" xfId="0" applyFont="1" applyFill="1" applyBorder="1" applyAlignment="1">
      <alignment horizontal="center" vertical="center" shrinkToFit="1"/>
    </xf>
    <xf numFmtId="38" fontId="22" fillId="4" borderId="87" xfId="1" applyFont="1" applyFill="1" applyBorder="1" applyAlignment="1">
      <alignment horizontal="center" vertical="center" shrinkToFit="1"/>
    </xf>
    <xf numFmtId="38" fontId="23" fillId="4" borderId="88" xfId="1" applyFont="1" applyFill="1" applyBorder="1" applyAlignment="1">
      <alignment horizontal="center" vertical="center" shrinkToFit="1"/>
    </xf>
    <xf numFmtId="38" fontId="23" fillId="4" borderId="89" xfId="1" applyFont="1" applyFill="1" applyBorder="1" applyAlignment="1">
      <alignment horizontal="center" vertical="center" shrinkToFit="1"/>
    </xf>
    <xf numFmtId="0" fontId="14" fillId="0" borderId="85" xfId="0" applyFont="1" applyBorder="1" applyAlignment="1">
      <alignment vertical="center" shrinkToFit="1"/>
    </xf>
    <xf numFmtId="0" fontId="5" fillId="0" borderId="0" xfId="0" applyFont="1" applyAlignment="1">
      <alignment vertical="center" shrinkToFit="1"/>
    </xf>
    <xf numFmtId="0" fontId="5" fillId="0" borderId="101" xfId="0" applyFont="1" applyBorder="1" applyAlignment="1">
      <alignment horizontal="center" vertical="center" shrinkToFit="1"/>
    </xf>
    <xf numFmtId="0" fontId="10" fillId="0" borderId="102" xfId="0" applyFont="1" applyBorder="1" applyAlignment="1">
      <alignment horizontal="center" vertical="center" shrinkToFit="1"/>
    </xf>
    <xf numFmtId="0" fontId="0" fillId="0" borderId="103" xfId="0" applyBorder="1" applyAlignment="1">
      <alignment horizontal="center" vertical="center" shrinkToFit="1"/>
    </xf>
    <xf numFmtId="38" fontId="0" fillId="3" borderId="106" xfId="1" applyFont="1" applyFill="1" applyBorder="1" applyAlignment="1" applyProtection="1">
      <alignment vertical="center" shrinkToFit="1"/>
      <protection locked="0"/>
    </xf>
    <xf numFmtId="38" fontId="10" fillId="3" borderId="106" xfId="1" applyFont="1" applyFill="1" applyBorder="1" applyAlignment="1" applyProtection="1">
      <alignment shrinkToFit="1"/>
      <protection locked="0"/>
    </xf>
    <xf numFmtId="38" fontId="10" fillId="3" borderId="107" xfId="1" applyFont="1" applyFill="1" applyBorder="1" applyAlignment="1" applyProtection="1">
      <alignment shrinkToFit="1"/>
      <protection locked="0"/>
    </xf>
    <xf numFmtId="38" fontId="10" fillId="3" borderId="108" xfId="1" applyFont="1" applyFill="1" applyBorder="1" applyAlignment="1" applyProtection="1">
      <alignment horizontal="right" shrinkToFit="1"/>
      <protection locked="0"/>
    </xf>
    <xf numFmtId="38" fontId="10" fillId="3" borderId="107" xfId="1" applyFont="1" applyFill="1" applyBorder="1" applyAlignment="1" applyProtection="1">
      <alignment horizontal="right" shrinkToFit="1"/>
      <protection locked="0"/>
    </xf>
    <xf numFmtId="0" fontId="0" fillId="0" borderId="109" xfId="0" applyBorder="1" applyAlignment="1">
      <alignment horizontal="center" vertical="center" shrinkToFit="1"/>
    </xf>
    <xf numFmtId="38" fontId="0" fillId="3" borderId="110" xfId="1" applyFont="1" applyFill="1" applyBorder="1" applyAlignment="1" applyProtection="1">
      <alignment vertical="center" shrinkToFit="1"/>
      <protection locked="0"/>
    </xf>
    <xf numFmtId="38" fontId="10" fillId="3" borderId="111" xfId="1" applyFont="1" applyFill="1" applyBorder="1" applyAlignment="1" applyProtection="1">
      <alignment horizontal="right" shrinkToFit="1"/>
      <protection locked="0"/>
    </xf>
    <xf numFmtId="38" fontId="10" fillId="3" borderId="112" xfId="1" applyFont="1" applyFill="1" applyBorder="1" applyAlignment="1" applyProtection="1">
      <alignment horizontal="right" shrinkToFit="1"/>
      <protection locked="0"/>
    </xf>
    <xf numFmtId="0" fontId="16" fillId="4" borderId="113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12" fillId="2" borderId="116" xfId="0" applyFont="1" applyFill="1" applyBorder="1" applyAlignment="1">
      <alignment horizontal="center" vertical="center" shrinkToFit="1"/>
    </xf>
    <xf numFmtId="0" fontId="0" fillId="0" borderId="0" xfId="0" applyAlignment="1" applyProtection="1">
      <alignment vertical="center" shrinkToFit="1"/>
      <protection locked="0"/>
    </xf>
    <xf numFmtId="0" fontId="0" fillId="2" borderId="0" xfId="0" applyFill="1" applyAlignment="1">
      <alignment horizontal="left" vertical="center" shrinkToFit="1"/>
    </xf>
    <xf numFmtId="38" fontId="16" fillId="2" borderId="117" xfId="1" applyFont="1" applyFill="1" applyBorder="1" applyAlignment="1">
      <alignment horizontal="center" vertical="center" shrinkToFit="1"/>
    </xf>
    <xf numFmtId="38" fontId="16" fillId="2" borderId="118" xfId="1" applyFont="1" applyFill="1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3" borderId="14" xfId="0" applyFill="1" applyBorder="1" applyAlignment="1" applyProtection="1">
      <alignment horizontal="center" vertical="center" shrinkToFit="1"/>
      <protection locked="0"/>
    </xf>
    <xf numFmtId="0" fontId="0" fillId="3" borderId="26" xfId="0" applyFill="1" applyBorder="1" applyAlignment="1" applyProtection="1">
      <alignment horizontal="center" vertical="center" shrinkToFit="1"/>
      <protection locked="0"/>
    </xf>
    <xf numFmtId="0" fontId="0" fillId="3" borderId="55" xfId="0" applyFill="1" applyBorder="1" applyAlignment="1" applyProtection="1">
      <alignment horizontal="center" vertical="center" shrinkToFit="1"/>
      <protection locked="0"/>
    </xf>
    <xf numFmtId="0" fontId="0" fillId="3" borderId="76" xfId="0" applyFill="1" applyBorder="1" applyAlignment="1" applyProtection="1">
      <alignment horizontal="center" vertical="center" shrinkToFit="1"/>
      <protection locked="0"/>
    </xf>
    <xf numFmtId="0" fontId="0" fillId="3" borderId="78" xfId="0" applyFill="1" applyBorder="1" applyAlignment="1" applyProtection="1">
      <alignment horizontal="center" vertical="center" shrinkToFit="1"/>
      <protection locked="0"/>
    </xf>
    <xf numFmtId="0" fontId="0" fillId="3" borderId="77" xfId="0" applyFill="1" applyBorder="1" applyAlignment="1" applyProtection="1">
      <alignment horizontal="center" vertical="center" shrinkToFit="1"/>
      <protection locked="0"/>
    </xf>
    <xf numFmtId="3" fontId="0" fillId="3" borderId="14" xfId="0" applyNumberFormat="1" applyFill="1" applyBorder="1" applyAlignment="1" applyProtection="1">
      <alignment horizontal="center" vertical="center" shrinkToFit="1"/>
      <protection locked="0"/>
    </xf>
    <xf numFmtId="38" fontId="0" fillId="4" borderId="104" xfId="1" applyFont="1" applyFill="1" applyBorder="1" applyAlignment="1" applyProtection="1">
      <alignment horizontal="center" vertical="center" shrinkToFit="1"/>
      <protection locked="0"/>
    </xf>
    <xf numFmtId="38" fontId="0" fillId="4" borderId="105" xfId="1" applyFont="1" applyFill="1" applyBorder="1" applyAlignment="1" applyProtection="1">
      <alignment horizontal="center" vertical="center" shrinkToFit="1"/>
      <protection locked="0"/>
    </xf>
    <xf numFmtId="38" fontId="24" fillId="4" borderId="114" xfId="1" applyFont="1" applyFill="1" applyBorder="1" applyAlignment="1">
      <alignment horizontal="center" vertical="center" shrinkToFit="1"/>
    </xf>
    <xf numFmtId="38" fontId="24" fillId="4" borderId="115" xfId="1" applyFont="1" applyFill="1" applyBorder="1" applyAlignment="1">
      <alignment horizontal="center" vertical="center" shrinkToFit="1"/>
    </xf>
    <xf numFmtId="38" fontId="24" fillId="4" borderId="89" xfId="1" applyFont="1" applyFill="1" applyBorder="1" applyAlignment="1">
      <alignment horizontal="center" vertical="center" shrinkToFit="1"/>
    </xf>
    <xf numFmtId="38" fontId="24" fillId="4" borderId="90" xfId="1" applyFont="1" applyFill="1" applyBorder="1" applyAlignment="1">
      <alignment horizontal="center" vertical="center" shrinkToFit="1"/>
    </xf>
    <xf numFmtId="38" fontId="24" fillId="4" borderId="91" xfId="1" applyFont="1" applyFill="1" applyBorder="1" applyAlignment="1">
      <alignment horizontal="center" vertical="center" shrinkToFit="1"/>
    </xf>
    <xf numFmtId="38" fontId="24" fillId="4" borderId="92" xfId="1" applyFont="1" applyFill="1" applyBorder="1" applyAlignment="1">
      <alignment horizontal="center" vertical="center" shrinkToFit="1"/>
    </xf>
    <xf numFmtId="0" fontId="5" fillId="0" borderId="93" xfId="0" applyFont="1" applyBorder="1" applyAlignment="1">
      <alignment horizontal="center" shrinkToFit="1"/>
    </xf>
    <xf numFmtId="0" fontId="5" fillId="0" borderId="98" xfId="0" applyFont="1" applyBorder="1" applyAlignment="1">
      <alignment horizontal="center" shrinkToFit="1"/>
    </xf>
    <xf numFmtId="0" fontId="5" fillId="0" borderId="94" xfId="0" applyFont="1" applyBorder="1" applyAlignment="1">
      <alignment horizontal="center" shrinkToFit="1"/>
    </xf>
    <xf numFmtId="0" fontId="5" fillId="0" borderId="95" xfId="0" applyFont="1" applyBorder="1" applyAlignment="1">
      <alignment horizontal="center" shrinkToFit="1"/>
    </xf>
    <xf numFmtId="0" fontId="5" fillId="0" borderId="99" xfId="0" applyFont="1" applyBorder="1" applyAlignment="1">
      <alignment horizontal="center" shrinkToFit="1"/>
    </xf>
    <xf numFmtId="0" fontId="5" fillId="0" borderId="100" xfId="0" applyFont="1" applyBorder="1" applyAlignment="1">
      <alignment horizontal="center" shrinkToFit="1"/>
    </xf>
    <xf numFmtId="0" fontId="5" fillId="0" borderId="94" xfId="0" applyFont="1" applyBorder="1" applyAlignment="1">
      <alignment horizontal="center" vertical="center" shrinkToFit="1"/>
    </xf>
    <xf numFmtId="0" fontId="5" fillId="0" borderId="96" xfId="0" applyFont="1" applyBorder="1" applyAlignment="1">
      <alignment horizontal="center" vertical="center" shrinkToFit="1"/>
    </xf>
    <xf numFmtId="0" fontId="5" fillId="0" borderId="97" xfId="0" applyFont="1" applyBorder="1" applyAlignment="1">
      <alignment horizontal="center" vertical="center" shrinkToFit="1"/>
    </xf>
    <xf numFmtId="0" fontId="14" fillId="2" borderId="85" xfId="0" applyFont="1" applyFill="1" applyBorder="1" applyAlignment="1">
      <alignment horizontal="left" vertical="top" wrapText="1" shrinkToFit="1"/>
    </xf>
    <xf numFmtId="0" fontId="14" fillId="2" borderId="0" xfId="0" applyFont="1" applyFill="1" applyAlignment="1">
      <alignment horizontal="left" vertical="top" shrinkToFit="1"/>
    </xf>
    <xf numFmtId="0" fontId="14" fillId="2" borderId="85" xfId="0" applyFont="1" applyFill="1" applyBorder="1" applyAlignment="1">
      <alignment horizontal="left" vertical="top" shrinkToFit="1"/>
    </xf>
    <xf numFmtId="179" fontId="5" fillId="3" borderId="11" xfId="0" applyNumberFormat="1" applyFont="1" applyFill="1" applyBorder="1" applyAlignment="1" applyProtection="1">
      <alignment horizontal="center" vertical="center" shrinkToFit="1"/>
      <protection locked="0"/>
    </xf>
    <xf numFmtId="179" fontId="16" fillId="2" borderId="21" xfId="0" applyNumberFormat="1" applyFont="1" applyFill="1" applyBorder="1" applyAlignment="1">
      <alignment horizontal="center" vertical="center" shrinkToFit="1"/>
    </xf>
    <xf numFmtId="179" fontId="16" fillId="2" borderId="19" xfId="0" applyNumberFormat="1" applyFont="1" applyFill="1" applyBorder="1" applyAlignment="1">
      <alignment horizontal="center" vertical="center" shrinkToFit="1"/>
    </xf>
    <xf numFmtId="179" fontId="16" fillId="2" borderId="83" xfId="0" applyNumberFormat="1" applyFont="1" applyFill="1" applyBorder="1" applyAlignment="1">
      <alignment horizontal="center" vertical="center" shrinkToFit="1"/>
    </xf>
    <xf numFmtId="178" fontId="0" fillId="3" borderId="76" xfId="0" applyNumberFormat="1" applyFill="1" applyBorder="1" applyAlignment="1" applyProtection="1">
      <alignment horizontal="center" vertical="center" shrinkToFit="1"/>
      <protection locked="0"/>
    </xf>
    <xf numFmtId="178" fontId="0" fillId="3" borderId="78" xfId="0" applyNumberFormat="1" applyFill="1" applyBorder="1" applyAlignment="1" applyProtection="1">
      <alignment horizontal="center" vertical="center" shrinkToFit="1"/>
      <protection locked="0"/>
    </xf>
    <xf numFmtId="0" fontId="16" fillId="0" borderId="79" xfId="0" applyFont="1" applyBorder="1" applyAlignment="1">
      <alignment horizontal="left" shrinkToFit="1"/>
    </xf>
    <xf numFmtId="0" fontId="16" fillId="0" borderId="80" xfId="0" applyFont="1" applyBorder="1" applyAlignment="1">
      <alignment horizontal="left" shrinkToFit="1"/>
    </xf>
    <xf numFmtId="0" fontId="19" fillId="0" borderId="80" xfId="0" applyFont="1" applyBorder="1" applyAlignment="1">
      <alignment horizont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0" fontId="10" fillId="0" borderId="83" xfId="0" applyFont="1" applyBorder="1" applyAlignment="1">
      <alignment horizontal="center" vertical="center" shrinkToFit="1"/>
    </xf>
    <xf numFmtId="38" fontId="12" fillId="0" borderId="41" xfId="1" applyFont="1" applyBorder="1" applyAlignment="1">
      <alignment horizontal="center" vertical="center" shrinkToFit="1"/>
    </xf>
    <xf numFmtId="38" fontId="12" fillId="0" borderId="42" xfId="1" applyFont="1" applyBorder="1" applyAlignment="1">
      <alignment horizontal="center" vertical="center" shrinkToFit="1"/>
    </xf>
    <xf numFmtId="38" fontId="10" fillId="0" borderId="43" xfId="1" applyFont="1" applyBorder="1" applyAlignment="1">
      <alignment horizontal="center" vertical="center" shrinkToFit="1"/>
    </xf>
    <xf numFmtId="38" fontId="10" fillId="0" borderId="44" xfId="1" applyFont="1" applyBorder="1" applyAlignment="1">
      <alignment horizontal="center" vertical="center" shrinkToFit="1"/>
    </xf>
    <xf numFmtId="182" fontId="17" fillId="0" borderId="45" xfId="1" applyNumberFormat="1" applyFont="1" applyBorder="1" applyAlignment="1">
      <alignment horizontal="center" vertical="center" shrinkToFit="1"/>
    </xf>
    <xf numFmtId="38" fontId="20" fillId="0" borderId="45" xfId="1" applyFont="1" applyBorder="1" applyAlignment="1">
      <alignment horizontal="center" shrinkToFit="1"/>
    </xf>
    <xf numFmtId="38" fontId="20" fillId="0" borderId="46" xfId="1" applyFont="1" applyBorder="1" applyAlignment="1">
      <alignment horizontal="center" shrinkToFit="1"/>
    </xf>
    <xf numFmtId="0" fontId="0" fillId="0" borderId="14" xfId="0" applyBorder="1" applyAlignment="1">
      <alignment horizontal="center" vertical="center" shrinkToFit="1"/>
    </xf>
    <xf numFmtId="0" fontId="0" fillId="0" borderId="55" xfId="0" applyBorder="1" applyAlignment="1">
      <alignment horizontal="center" vertical="center" shrinkToFit="1"/>
    </xf>
    <xf numFmtId="0" fontId="0" fillId="2" borderId="14" xfId="0" applyFill="1" applyBorder="1" applyAlignment="1">
      <alignment horizontal="center" vertical="center" shrinkToFit="1"/>
    </xf>
    <xf numFmtId="0" fontId="0" fillId="2" borderId="26" xfId="0" applyFill="1" applyBorder="1" applyAlignment="1">
      <alignment horizontal="center" vertical="center" shrinkToFit="1"/>
    </xf>
    <xf numFmtId="0" fontId="0" fillId="2" borderId="55" xfId="0" applyFill="1" applyBorder="1" applyAlignment="1">
      <alignment horizontal="center" vertical="center" shrinkToFit="1"/>
    </xf>
    <xf numFmtId="0" fontId="0" fillId="0" borderId="26" xfId="0" applyBorder="1" applyAlignment="1">
      <alignment horizontal="center" vertical="center" shrinkToFit="1"/>
    </xf>
    <xf numFmtId="176" fontId="12" fillId="0" borderId="68" xfId="0" applyNumberFormat="1" applyFont="1" applyBorder="1" applyAlignment="1">
      <alignment horizontal="center" vertical="center" shrinkToFit="1"/>
    </xf>
    <xf numFmtId="176" fontId="12" fillId="0" borderId="69" xfId="0" applyNumberFormat="1" applyFont="1" applyBorder="1" applyAlignment="1">
      <alignment horizontal="center" vertical="center" shrinkToFit="1"/>
    </xf>
    <xf numFmtId="176" fontId="6" fillId="0" borderId="69" xfId="0" applyNumberFormat="1" applyFont="1" applyBorder="1" applyAlignment="1">
      <alignment horizontal="center" vertical="center" shrinkToFit="1"/>
    </xf>
    <xf numFmtId="176" fontId="12" fillId="0" borderId="72" xfId="0" applyNumberFormat="1" applyFont="1" applyBorder="1" applyAlignment="1">
      <alignment horizontal="center" vertical="center" shrinkToFit="1"/>
    </xf>
    <xf numFmtId="176" fontId="5" fillId="0" borderId="28" xfId="0" applyNumberFormat="1" applyFont="1" applyBorder="1" applyAlignment="1">
      <alignment horizontal="center" vertical="center" shrinkToFit="1"/>
    </xf>
    <xf numFmtId="176" fontId="5" fillId="0" borderId="29" xfId="0" applyNumberFormat="1" applyFont="1" applyBorder="1" applyAlignment="1">
      <alignment horizontal="center" vertical="center" shrinkToFit="1"/>
    </xf>
    <xf numFmtId="0" fontId="0" fillId="0" borderId="73" xfId="0" applyBorder="1" applyAlignment="1">
      <alignment horizontal="center" vertical="center" shrinkToFit="1"/>
    </xf>
    <xf numFmtId="0" fontId="0" fillId="0" borderId="74" xfId="0" applyBorder="1" applyAlignment="1">
      <alignment horizontal="center" vertical="center" shrinkToFit="1"/>
    </xf>
    <xf numFmtId="176" fontId="12" fillId="0" borderId="31" xfId="0" applyNumberFormat="1" applyFont="1" applyBorder="1" applyAlignment="1">
      <alignment horizontal="center" vertical="center" shrinkToFit="1"/>
    </xf>
    <xf numFmtId="176" fontId="12" fillId="0" borderId="32" xfId="0" applyNumberFormat="1" applyFont="1" applyBorder="1" applyAlignment="1">
      <alignment horizontal="center" vertical="center" shrinkToFit="1"/>
    </xf>
    <xf numFmtId="180" fontId="14" fillId="0" borderId="33" xfId="0" applyNumberFormat="1" applyFont="1" applyBorder="1" applyAlignment="1">
      <alignment horizontal="center" vertical="center" shrinkToFit="1"/>
    </xf>
    <xf numFmtId="180" fontId="14" fillId="0" borderId="34" xfId="0" applyNumberFormat="1" applyFont="1" applyBorder="1" applyAlignment="1">
      <alignment horizontal="center" vertical="center" shrinkToFit="1"/>
    </xf>
    <xf numFmtId="179" fontId="12" fillId="0" borderId="35" xfId="0" applyNumberFormat="1" applyFont="1" applyBorder="1" applyAlignment="1">
      <alignment horizontal="center" vertical="center" shrinkToFit="1"/>
    </xf>
    <xf numFmtId="179" fontId="14" fillId="0" borderId="35" xfId="0" applyNumberFormat="1" applyFont="1" applyBorder="1" applyAlignment="1">
      <alignment horizontal="center" vertical="center" shrinkToFit="1"/>
    </xf>
    <xf numFmtId="38" fontId="19" fillId="0" borderId="35" xfId="1" applyFont="1" applyBorder="1" applyAlignment="1">
      <alignment horizontal="center" vertical="center" shrinkToFit="1"/>
    </xf>
    <xf numFmtId="38" fontId="19" fillId="0" borderId="33" xfId="1" applyFont="1" applyBorder="1" applyAlignment="1">
      <alignment horizontal="center" vertical="center" shrinkToFit="1"/>
    </xf>
    <xf numFmtId="38" fontId="11" fillId="0" borderId="36" xfId="1" applyFont="1" applyBorder="1" applyAlignment="1">
      <alignment horizontal="right" shrinkToFit="1"/>
    </xf>
    <xf numFmtId="38" fontId="11" fillId="0" borderId="37" xfId="1" applyFont="1" applyBorder="1" applyAlignment="1">
      <alignment horizontal="right" shrinkToFit="1"/>
    </xf>
    <xf numFmtId="38" fontId="11" fillId="0" borderId="38" xfId="1" applyFont="1" applyBorder="1" applyAlignment="1">
      <alignment horizontal="right" shrinkToFit="1"/>
    </xf>
    <xf numFmtId="38" fontId="11" fillId="0" borderId="47" xfId="1" applyFont="1" applyBorder="1" applyAlignment="1">
      <alignment horizontal="right" shrinkToFit="1"/>
    </xf>
    <xf numFmtId="38" fontId="11" fillId="0" borderId="1" xfId="1" applyFont="1" applyBorder="1" applyAlignment="1">
      <alignment horizontal="right" shrinkToFit="1"/>
    </xf>
    <xf numFmtId="38" fontId="11" fillId="0" borderId="48" xfId="1" applyFont="1" applyBorder="1" applyAlignment="1">
      <alignment horizontal="right" shrinkToFit="1"/>
    </xf>
    <xf numFmtId="0" fontId="0" fillId="0" borderId="60" xfId="0" applyBorder="1" applyAlignment="1">
      <alignment horizontal="center" vertical="center" shrinkToFit="1"/>
    </xf>
    <xf numFmtId="0" fontId="0" fillId="0" borderId="65" xfId="0" applyBorder="1" applyAlignment="1">
      <alignment horizontal="center" vertical="center" shrinkToFit="1"/>
    </xf>
    <xf numFmtId="176" fontId="12" fillId="0" borderId="14" xfId="0" applyNumberFormat="1" applyFont="1" applyBorder="1" applyAlignment="1">
      <alignment horizontal="center" vertical="center" shrinkToFit="1"/>
    </xf>
    <xf numFmtId="176" fontId="12" fillId="0" borderId="59" xfId="0" applyNumberFormat="1" applyFont="1" applyBorder="1" applyAlignment="1">
      <alignment horizontal="center" vertical="center" shrinkToFit="1"/>
    </xf>
    <xf numFmtId="3" fontId="5" fillId="0" borderId="17" xfId="0" applyNumberFormat="1" applyFont="1" applyBorder="1" applyAlignment="1">
      <alignment horizontal="center" vertical="center" shrinkToFit="1"/>
    </xf>
    <xf numFmtId="3" fontId="5" fillId="0" borderId="55" xfId="0" applyNumberFormat="1" applyFont="1" applyBorder="1" applyAlignment="1">
      <alignment horizontal="center" vertical="center" shrinkToFit="1"/>
    </xf>
    <xf numFmtId="179" fontId="15" fillId="0" borderId="14" xfId="0" applyNumberFormat="1" applyFont="1" applyBorder="1" applyAlignment="1">
      <alignment horizontal="center" vertical="center" shrinkToFit="1"/>
    </xf>
    <xf numFmtId="179" fontId="15" fillId="0" borderId="26" xfId="0" applyNumberFormat="1" applyFont="1" applyBorder="1" applyAlignment="1">
      <alignment horizontal="center" vertical="center" shrinkToFit="1"/>
    </xf>
    <xf numFmtId="3" fontId="20" fillId="0" borderId="17" xfId="0" applyNumberFormat="1" applyFont="1" applyBorder="1" applyAlignment="1">
      <alignment horizontal="center" vertical="center" shrinkToFit="1"/>
    </xf>
    <xf numFmtId="3" fontId="20" fillId="0" borderId="26" xfId="0" applyNumberFormat="1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center" vertical="center" shrinkToFit="1"/>
    </xf>
    <xf numFmtId="176" fontId="5" fillId="0" borderId="63" xfId="0" applyNumberFormat="1" applyFont="1" applyBorder="1" applyAlignment="1">
      <alignment horizontal="center" vertical="center" shrinkToFit="1"/>
    </xf>
    <xf numFmtId="176" fontId="5" fillId="0" borderId="64" xfId="0" applyNumberFormat="1" applyFont="1" applyBorder="1" applyAlignment="1">
      <alignment horizontal="center" vertical="center" shrinkToFit="1"/>
    </xf>
    <xf numFmtId="179" fontId="12" fillId="0" borderId="27" xfId="0" applyNumberFormat="1" applyFont="1" applyBorder="1" applyAlignment="1">
      <alignment horizontal="center" vertical="center" shrinkToFit="1"/>
    </xf>
    <xf numFmtId="179" fontId="12" fillId="0" borderId="28" xfId="0" applyNumberFormat="1" applyFont="1" applyBorder="1" applyAlignment="1">
      <alignment horizontal="center" vertical="center" shrinkToFit="1"/>
    </xf>
    <xf numFmtId="179" fontId="12" fillId="0" borderId="67" xfId="0" applyNumberFormat="1" applyFont="1" applyBorder="1" applyAlignment="1">
      <alignment horizontal="center" vertical="center" shrinkToFit="1"/>
    </xf>
    <xf numFmtId="38" fontId="20" fillId="0" borderId="68" xfId="1" applyFont="1" applyBorder="1" applyAlignment="1">
      <alignment horizontal="right" vertical="center" shrinkToFit="1"/>
    </xf>
    <xf numFmtId="38" fontId="20" fillId="0" borderId="69" xfId="1" applyFont="1" applyBorder="1" applyAlignment="1">
      <alignment horizontal="right" vertical="center" shrinkToFit="1"/>
    </xf>
    <xf numFmtId="38" fontId="20" fillId="0" borderId="70" xfId="1" applyFont="1" applyBorder="1" applyAlignment="1">
      <alignment horizontal="right" vertical="center" shrinkToFit="1"/>
    </xf>
    <xf numFmtId="176" fontId="12" fillId="0" borderId="10" xfId="0" applyNumberFormat="1" applyFont="1" applyBorder="1" applyAlignment="1">
      <alignment horizontal="center" vertical="center" shrinkToFit="1"/>
    </xf>
    <xf numFmtId="176" fontId="12" fillId="0" borderId="58" xfId="0" applyNumberFormat="1" applyFont="1" applyBorder="1" applyAlignment="1">
      <alignment horizontal="center" vertical="center" shrinkToFit="1"/>
    </xf>
    <xf numFmtId="3" fontId="5" fillId="0" borderId="21" xfId="0" applyNumberFormat="1" applyFont="1" applyBorder="1" applyAlignment="1">
      <alignment horizontal="center" vertical="center" shrinkToFit="1"/>
    </xf>
    <xf numFmtId="3" fontId="5" fillId="0" borderId="13" xfId="0" applyNumberFormat="1" applyFont="1" applyBorder="1" applyAlignment="1">
      <alignment horizontal="center" vertical="center" shrinkToFit="1"/>
    </xf>
    <xf numFmtId="3" fontId="5" fillId="0" borderId="16" xfId="0" applyNumberFormat="1" applyFont="1" applyBorder="1" applyAlignment="1">
      <alignment horizontal="center" vertical="center" shrinkToFit="1"/>
    </xf>
    <xf numFmtId="179" fontId="12" fillId="0" borderId="56" xfId="0" applyNumberFormat="1" applyFont="1" applyBorder="1" applyAlignment="1">
      <alignment horizontal="center" vertical="center" shrinkToFit="1"/>
    </xf>
    <xf numFmtId="179" fontId="12" fillId="0" borderId="57" xfId="0" applyNumberFormat="1" applyFont="1" applyBorder="1" applyAlignment="1">
      <alignment horizontal="center" vertical="center" shrinkToFit="1"/>
    </xf>
    <xf numFmtId="3" fontId="5" fillId="0" borderId="53" xfId="0" applyNumberFormat="1" applyFont="1" applyBorder="1" applyAlignment="1">
      <alignment horizontal="center" vertical="center" shrinkToFit="1"/>
    </xf>
    <xf numFmtId="3" fontId="5" fillId="0" borderId="7" xfId="0" applyNumberFormat="1" applyFont="1" applyBorder="1" applyAlignment="1">
      <alignment horizontal="center" vertical="center" shrinkToFit="1"/>
    </xf>
    <xf numFmtId="0" fontId="0" fillId="0" borderId="54" xfId="0" applyBorder="1" applyAlignment="1">
      <alignment horizontal="center" vertical="center" shrinkToFit="1"/>
    </xf>
    <xf numFmtId="38" fontId="19" fillId="0" borderId="50" xfId="1" applyFont="1" applyBorder="1" applyAlignment="1">
      <alignment horizontal="center" vertical="center" shrinkToFit="1"/>
    </xf>
    <xf numFmtId="38" fontId="19" fillId="0" borderId="51" xfId="1" applyFont="1" applyBorder="1" applyAlignment="1">
      <alignment horizontal="center" vertical="center" shrinkToFit="1"/>
    </xf>
    <xf numFmtId="179" fontId="12" fillId="0" borderId="4" xfId="0" applyNumberFormat="1" applyFont="1" applyBorder="1" applyAlignment="1">
      <alignment horizontal="center" vertical="center" shrinkToFit="1"/>
    </xf>
    <xf numFmtId="179" fontId="12" fillId="0" borderId="52" xfId="0" applyNumberFormat="1" applyFont="1" applyBorder="1" applyAlignment="1">
      <alignment horizontal="center" vertical="center" shrinkToFit="1"/>
    </xf>
    <xf numFmtId="3" fontId="5" fillId="0" borderId="6" xfId="0" applyNumberFormat="1" applyFont="1" applyBorder="1" applyAlignment="1">
      <alignment horizontal="center" vertical="center" shrinkToFit="1"/>
    </xf>
    <xf numFmtId="0" fontId="11" fillId="0" borderId="8" xfId="0" applyFont="1" applyBorder="1" applyAlignment="1">
      <alignment horizontal="center" vertical="center" shrinkToFit="1"/>
    </xf>
    <xf numFmtId="0" fontId="15" fillId="0" borderId="14" xfId="0" applyFont="1" applyBorder="1" applyAlignment="1">
      <alignment horizontal="center" vertical="center" shrinkToFit="1"/>
    </xf>
    <xf numFmtId="0" fontId="15" fillId="0" borderId="26" xfId="0" applyFont="1" applyBorder="1" applyAlignment="1">
      <alignment horizontal="center" vertical="center" shrinkToFit="1"/>
    </xf>
    <xf numFmtId="38" fontId="16" fillId="0" borderId="17" xfId="1" applyFont="1" applyBorder="1" applyAlignment="1">
      <alignment horizontal="center" shrinkToFit="1"/>
    </xf>
    <xf numFmtId="38" fontId="16" fillId="0" borderId="26" xfId="1" applyFont="1" applyBorder="1" applyAlignment="1">
      <alignment horizontal="center" shrinkToFit="1"/>
    </xf>
    <xf numFmtId="176" fontId="12" fillId="0" borderId="27" xfId="0" applyNumberFormat="1" applyFont="1" applyBorder="1" applyAlignment="1">
      <alignment horizontal="center" vertical="center" shrinkToFit="1"/>
    </xf>
    <xf numFmtId="176" fontId="12" fillId="0" borderId="28" xfId="0" applyNumberFormat="1" applyFont="1" applyBorder="1" applyAlignment="1">
      <alignment horizontal="center" vertical="center" shrinkToFit="1"/>
    </xf>
    <xf numFmtId="176" fontId="12" fillId="0" borderId="29" xfId="0" applyNumberFormat="1" applyFont="1" applyBorder="1" applyAlignment="1">
      <alignment horizontal="center" vertical="center" shrinkToFit="1"/>
    </xf>
    <xf numFmtId="180" fontId="13" fillId="0" borderId="33" xfId="0" applyNumberFormat="1" applyFont="1" applyBorder="1" applyAlignment="1">
      <alignment horizontal="center" shrinkToFit="1"/>
    </xf>
    <xf numFmtId="180" fontId="13" fillId="0" borderId="34" xfId="0" applyNumberFormat="1" applyFont="1" applyBorder="1" applyAlignment="1">
      <alignment horizontal="center" shrinkToFit="1"/>
    </xf>
    <xf numFmtId="179" fontId="17" fillId="0" borderId="35" xfId="0" applyNumberFormat="1" applyFont="1" applyBorder="1" applyAlignment="1">
      <alignment horizontal="center" vertical="center" shrinkToFit="1"/>
    </xf>
    <xf numFmtId="38" fontId="15" fillId="0" borderId="35" xfId="1" applyFont="1" applyBorder="1" applyAlignment="1">
      <alignment horizontal="center" shrinkToFit="1"/>
    </xf>
    <xf numFmtId="38" fontId="15" fillId="0" borderId="33" xfId="1" applyFont="1" applyBorder="1" applyAlignment="1">
      <alignment horizontal="center" shrinkToFit="1"/>
    </xf>
    <xf numFmtId="180" fontId="10" fillId="0" borderId="43" xfId="1" applyNumberFormat="1" applyFont="1" applyBorder="1" applyAlignment="1">
      <alignment horizontal="center" vertical="center" shrinkToFit="1"/>
    </xf>
    <xf numFmtId="180" fontId="10" fillId="0" borderId="44" xfId="1" applyNumberFormat="1" applyFont="1" applyBorder="1" applyAlignment="1">
      <alignment horizontal="center" vertical="center" shrinkToFit="1"/>
    </xf>
    <xf numFmtId="182" fontId="17" fillId="0" borderId="45" xfId="0" applyNumberFormat="1" applyFont="1" applyBorder="1" applyAlignment="1">
      <alignment horizontal="center" vertical="center" shrinkToFit="1"/>
    </xf>
    <xf numFmtId="38" fontId="16" fillId="0" borderId="45" xfId="1" applyFont="1" applyBorder="1" applyAlignment="1">
      <alignment horizontal="center" shrinkToFit="1"/>
    </xf>
    <xf numFmtId="38" fontId="16" fillId="0" borderId="46" xfId="1" applyFont="1" applyBorder="1" applyAlignment="1">
      <alignment horizontal="center" shrinkToFit="1"/>
    </xf>
    <xf numFmtId="0" fontId="0" fillId="0" borderId="0" xfId="0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176" fontId="5" fillId="0" borderId="1" xfId="0" applyNumberFormat="1" applyFont="1" applyBorder="1" applyAlignment="1">
      <alignment horizontal="right" vertical="center" shrinkToFit="1"/>
    </xf>
    <xf numFmtId="0" fontId="7" fillId="0" borderId="0" xfId="0" applyFont="1" applyAlignment="1">
      <alignment horizontal="right" shrinkToFit="1"/>
    </xf>
    <xf numFmtId="177" fontId="8" fillId="0" borderId="0" xfId="0" applyNumberFormat="1" applyFont="1" applyAlignment="1">
      <alignment horizontal="left" shrinkToFit="1"/>
    </xf>
    <xf numFmtId="178" fontId="7" fillId="0" borderId="0" xfId="0" applyNumberFormat="1" applyFont="1" applyAlignment="1">
      <alignment horizontal="center" shrinkToFit="1"/>
    </xf>
    <xf numFmtId="176" fontId="9" fillId="0" borderId="0" xfId="0" applyNumberFormat="1" applyFont="1" applyAlignment="1">
      <alignment horizontal="right" shrinkToFit="1"/>
    </xf>
    <xf numFmtId="176" fontId="9" fillId="0" borderId="1" xfId="0" applyNumberFormat="1" applyFont="1" applyBorder="1" applyAlignment="1">
      <alignment horizontal="right" shrinkToFit="1"/>
    </xf>
    <xf numFmtId="0" fontId="12" fillId="3" borderId="14" xfId="0" applyFont="1" applyFill="1" applyBorder="1" applyAlignment="1" applyProtection="1">
      <alignment horizontal="center" vertical="center" wrapText="1" shrinkToFit="1"/>
      <protection locked="0"/>
    </xf>
    <xf numFmtId="0" fontId="14" fillId="3" borderId="26" xfId="0" applyFont="1" applyFill="1" applyBorder="1" applyAlignment="1" applyProtection="1">
      <alignment horizontal="center" vertical="center" wrapText="1" shrinkToFit="1"/>
      <protection locked="0"/>
    </xf>
    <xf numFmtId="0" fontId="14" fillId="3" borderId="55" xfId="0" applyFont="1" applyFill="1" applyBorder="1" applyAlignment="1" applyProtection="1">
      <alignment horizontal="center" vertical="center" wrapText="1" shrinkToFit="1"/>
      <protection locked="0"/>
    </xf>
    <xf numFmtId="0" fontId="14" fillId="3" borderId="76" xfId="0" applyFont="1" applyFill="1" applyBorder="1" applyAlignment="1" applyProtection="1">
      <alignment horizontal="center" vertical="center" wrapText="1" shrinkToFit="1"/>
      <protection locked="0"/>
    </xf>
    <xf numFmtId="0" fontId="14" fillId="3" borderId="78" xfId="0" applyFont="1" applyFill="1" applyBorder="1" applyAlignment="1" applyProtection="1">
      <alignment horizontal="center" vertical="center" wrapText="1" shrinkToFit="1"/>
      <protection locked="0"/>
    </xf>
    <xf numFmtId="0" fontId="14" fillId="3" borderId="77" xfId="0" applyFont="1" applyFill="1" applyBorder="1" applyAlignment="1" applyProtection="1">
      <alignment horizontal="center" vertical="center" wrapText="1" shrinkToFit="1"/>
      <protection locked="0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A52D-6A9F-499C-80AC-AE4869C1F861}">
  <sheetPr>
    <pageSetUpPr fitToPage="1"/>
  </sheetPr>
  <dimension ref="A1:AG93"/>
  <sheetViews>
    <sheetView topLeftCell="A58" zoomScale="90" zoomScaleNormal="90" workbookViewId="0">
      <selection activeCell="R76" sqref="R76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 t="str">
        <f>H60</f>
        <v>hanada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2026</v>
      </c>
      <c r="D3" s="254"/>
      <c r="E3" s="255" t="s">
        <v>3</v>
      </c>
      <c r="F3" s="256">
        <f>D60</f>
        <v>46204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(水)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1342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20333</v>
      </c>
      <c r="F12" s="14">
        <f>F77</f>
        <v>0</v>
      </c>
      <c r="G12" s="15">
        <f>E12-F12</f>
        <v>20333</v>
      </c>
      <c r="H12" s="12" t="str">
        <f>I64</f>
        <v>クレカ</v>
      </c>
      <c r="I12" s="13">
        <f>I66</f>
        <v>3922</v>
      </c>
      <c r="J12" s="14">
        <f>G77</f>
        <v>0</v>
      </c>
      <c r="K12" s="15">
        <f t="shared" ref="K12:K15" si="3">I12-J12</f>
        <v>3922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79</v>
      </c>
      <c r="D13" s="20" t="str">
        <f>K64</f>
        <v>ID</v>
      </c>
      <c r="E13" s="21">
        <f>K66</f>
        <v>5922</v>
      </c>
      <c r="F13" s="22">
        <f>I77</f>
        <v>0</v>
      </c>
      <c r="G13" s="23">
        <f t="shared" ref="G13:G16" si="4">E13-F13</f>
        <v>5922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1011</v>
      </c>
      <c r="F14" s="27">
        <f>L77</f>
        <v>0</v>
      </c>
      <c r="G14" s="23">
        <f t="shared" si="4"/>
        <v>1011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170</v>
      </c>
      <c r="F16" s="40">
        <f>R77</f>
        <v>0</v>
      </c>
      <c r="G16" s="41">
        <f t="shared" si="4"/>
        <v>170</v>
      </c>
      <c r="H16" s="233" t="s">
        <v>9</v>
      </c>
      <c r="I16" s="234"/>
      <c r="J16" s="235">
        <f>G12+G13+K12+K13+O12+O13+G14+K14+O14+G15+K15+O15</f>
        <v>31188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1341</v>
      </c>
      <c r="C17" s="43">
        <f>D66</f>
        <v>2246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124191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93003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93003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4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1341</v>
      </c>
      <c r="C24" s="43">
        <f>D67</f>
        <v>101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7326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7326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7326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1340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20333</v>
      </c>
      <c r="G49" s="231"/>
      <c r="H49" s="229" t="str">
        <f>I64</f>
        <v>クレカ</v>
      </c>
      <c r="I49" s="230"/>
      <c r="J49" s="224">
        <f>K5+K12+K19+K26+K33+K40</f>
        <v>3922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83</v>
      </c>
      <c r="D50" s="222" t="str">
        <f>K64</f>
        <v>ID</v>
      </c>
      <c r="E50" s="223"/>
      <c r="F50" s="219">
        <f>G6+G13+G20+G27+G34+G41</f>
        <v>5922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1011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2347</v>
      </c>
      <c r="D53" s="200" t="str">
        <f>T64</f>
        <v>当たり券</v>
      </c>
      <c r="E53" s="201"/>
      <c r="F53" s="202">
        <f>G9+G16+G23+G30+G37+G44</f>
        <v>170</v>
      </c>
      <c r="G53" s="203"/>
      <c r="H53" s="204" t="s">
        <v>9</v>
      </c>
      <c r="I53" s="205"/>
      <c r="J53" s="206">
        <f>J9+J16+J23+J30+J37+J44</f>
        <v>31188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100329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>
        <f>L56/C50</f>
        <v>1584.5421686746988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131517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100329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100329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>
        <v>2026</v>
      </c>
      <c r="C60" s="75" t="s">
        <v>3</v>
      </c>
      <c r="D60" s="153">
        <v>46204</v>
      </c>
      <c r="E60" s="154"/>
      <c r="F60" s="75" t="s">
        <v>38</v>
      </c>
      <c r="G60" s="76" t="str">
        <f>TEXT(D60,"(aaa)")</f>
        <v>(水)</v>
      </c>
      <c r="H60" s="125" t="s">
        <v>79</v>
      </c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>
        <v>1342</v>
      </c>
      <c r="D65" s="87">
        <v>0</v>
      </c>
      <c r="E65" s="87">
        <v>0</v>
      </c>
      <c r="F65" s="149">
        <v>0</v>
      </c>
      <c r="G65" s="149"/>
      <c r="H65" s="88">
        <v>0</v>
      </c>
      <c r="I65" s="88">
        <v>0</v>
      </c>
      <c r="J65" s="88">
        <v>0</v>
      </c>
      <c r="K65" s="89">
        <v>0</v>
      </c>
      <c r="L65" s="87">
        <v>0</v>
      </c>
      <c r="M65" s="87">
        <v>0</v>
      </c>
      <c r="N65" s="90">
        <v>0</v>
      </c>
      <c r="O65" s="87">
        <v>0</v>
      </c>
      <c r="P65" s="87">
        <v>0</v>
      </c>
      <c r="Q65" s="90">
        <v>0</v>
      </c>
      <c r="R65" s="87">
        <v>0</v>
      </c>
      <c r="S65" s="87">
        <v>0</v>
      </c>
      <c r="T65" s="90">
        <v>0</v>
      </c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>
        <v>1341</v>
      </c>
      <c r="D66" s="87">
        <v>2246</v>
      </c>
      <c r="E66" s="87">
        <v>79</v>
      </c>
      <c r="F66" s="149">
        <v>93003</v>
      </c>
      <c r="G66" s="149"/>
      <c r="H66" s="88">
        <v>20333</v>
      </c>
      <c r="I66" s="88">
        <v>3922</v>
      </c>
      <c r="J66" s="88">
        <v>0</v>
      </c>
      <c r="K66" s="89">
        <v>5922</v>
      </c>
      <c r="L66" s="87">
        <v>0</v>
      </c>
      <c r="M66" s="87">
        <v>0</v>
      </c>
      <c r="N66" s="90">
        <v>1011</v>
      </c>
      <c r="O66" s="87">
        <v>0</v>
      </c>
      <c r="P66" s="87">
        <v>0</v>
      </c>
      <c r="Q66" s="90">
        <v>0</v>
      </c>
      <c r="R66" s="87">
        <v>0</v>
      </c>
      <c r="S66" s="87">
        <v>0</v>
      </c>
      <c r="T66" s="90">
        <v>170</v>
      </c>
      <c r="U66" s="150">
        <f t="shared" ref="U66:U70" si="18">SUM(F66:S66)</f>
        <v>124191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>
        <v>1341</v>
      </c>
      <c r="D67" s="87">
        <v>101</v>
      </c>
      <c r="E67" s="87">
        <v>4</v>
      </c>
      <c r="F67" s="149">
        <v>7326</v>
      </c>
      <c r="G67" s="149"/>
      <c r="H67" s="88">
        <v>0</v>
      </c>
      <c r="I67" s="88">
        <v>0</v>
      </c>
      <c r="J67" s="88">
        <v>0</v>
      </c>
      <c r="K67" s="89">
        <v>0</v>
      </c>
      <c r="L67" s="87">
        <v>0</v>
      </c>
      <c r="M67" s="87">
        <v>0</v>
      </c>
      <c r="N67" s="90">
        <v>0</v>
      </c>
      <c r="O67" s="87">
        <v>0</v>
      </c>
      <c r="P67" s="87">
        <v>0</v>
      </c>
      <c r="Q67" s="90">
        <v>0</v>
      </c>
      <c r="R67" s="87">
        <v>0</v>
      </c>
      <c r="S67" s="87">
        <v>0</v>
      </c>
      <c r="T67" s="90">
        <v>0</v>
      </c>
      <c r="U67" s="150">
        <f t="shared" si="18"/>
        <v>7326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>
        <v>1340</v>
      </c>
      <c r="D68" s="87">
        <v>0</v>
      </c>
      <c r="E68" s="87">
        <v>0</v>
      </c>
      <c r="F68" s="149">
        <v>0</v>
      </c>
      <c r="G68" s="149"/>
      <c r="H68" s="88">
        <v>0</v>
      </c>
      <c r="I68" s="88">
        <v>0</v>
      </c>
      <c r="J68" s="88">
        <v>0</v>
      </c>
      <c r="K68" s="89">
        <v>0</v>
      </c>
      <c r="L68" s="87">
        <v>0</v>
      </c>
      <c r="M68" s="87">
        <v>0</v>
      </c>
      <c r="N68" s="90">
        <v>0</v>
      </c>
      <c r="O68" s="87">
        <v>0</v>
      </c>
      <c r="P68" s="87">
        <v>0</v>
      </c>
      <c r="Q68" s="90">
        <v>0</v>
      </c>
      <c r="R68" s="87">
        <v>0</v>
      </c>
      <c r="S68" s="87">
        <v>0</v>
      </c>
      <c r="T68" s="90">
        <v>0</v>
      </c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2347</v>
      </c>
      <c r="E71" s="96">
        <f>SUM(E65:E70)</f>
        <v>83</v>
      </c>
      <c r="F71" s="133">
        <f>SUM(F65:G70)</f>
        <v>100329</v>
      </c>
      <c r="G71" s="134"/>
      <c r="H71" s="95">
        <f>SUM(H65:H70)</f>
        <v>20333</v>
      </c>
      <c r="I71" s="95">
        <f>SUM(I65:I70)</f>
        <v>3922</v>
      </c>
      <c r="J71" s="95">
        <f>SUM(J65:J70)</f>
        <v>0</v>
      </c>
      <c r="K71" s="95">
        <f t="shared" ref="K71:P71" si="19">SUM(K65:K70)</f>
        <v>5922</v>
      </c>
      <c r="L71" s="95">
        <f t="shared" si="19"/>
        <v>0</v>
      </c>
      <c r="M71" s="95">
        <f t="shared" si="19"/>
        <v>0</v>
      </c>
      <c r="N71" s="95">
        <f t="shared" si="19"/>
        <v>1011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170</v>
      </c>
      <c r="U71" s="133">
        <f>SUM(U65:W70)</f>
        <v>131517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>
        <v>0</v>
      </c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>
        <v>93003</v>
      </c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>
        <v>7326</v>
      </c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>
        <v>0</v>
      </c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100329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100329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DE4EB554-BF1F-44A0-9BC2-CFE312A222CE}">
      <formula1>$AC$65:$AC$71</formula1>
    </dataValidation>
    <dataValidation type="list" allowBlank="1" showInputMessage="1" showErrorMessage="1" sqref="G60" xr:uid="{C14991FC-E480-46E6-8D16-9C0F6885B8D5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9EDF-1BA5-472C-A370-A3EC72128D59}">
  <sheetPr>
    <pageSetUpPr fitToPage="1"/>
  </sheetPr>
  <dimension ref="A1:AG93"/>
  <sheetViews>
    <sheetView topLeftCell="A62" zoomScale="90" zoomScaleNormal="90" workbookViewId="0">
      <selection activeCell="H88" sqref="B88:I89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 t="str">
        <f>H60</f>
        <v>hanada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2026</v>
      </c>
      <c r="D3" s="254"/>
      <c r="E3" s="255" t="s">
        <v>3</v>
      </c>
      <c r="F3" s="256">
        <f>D60</f>
        <v>46205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(木)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Quic Pay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1343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8433</v>
      </c>
      <c r="F12" s="14">
        <f>F77</f>
        <v>0</v>
      </c>
      <c r="G12" s="15">
        <f>E12-F12</f>
        <v>8433</v>
      </c>
      <c r="H12" s="12" t="str">
        <f>I64</f>
        <v>クレカ</v>
      </c>
      <c r="I12" s="13">
        <f>I66</f>
        <v>5518</v>
      </c>
      <c r="J12" s="14">
        <f>G77</f>
        <v>0</v>
      </c>
      <c r="K12" s="15">
        <f t="shared" ref="K12:K15" si="3">I12-J12</f>
        <v>5518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60</v>
      </c>
      <c r="D13" s="20" t="str">
        <f>K64</f>
        <v>ID</v>
      </c>
      <c r="E13" s="21">
        <f>K66</f>
        <v>1307</v>
      </c>
      <c r="F13" s="22">
        <f>I77</f>
        <v>0</v>
      </c>
      <c r="G13" s="23">
        <f t="shared" ref="G13:G16" si="4">E13-F13</f>
        <v>1307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648</v>
      </c>
      <c r="F14" s="27">
        <f>L77</f>
        <v>0</v>
      </c>
      <c r="G14" s="23">
        <f t="shared" si="4"/>
        <v>648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Quic Pay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120</v>
      </c>
      <c r="F16" s="40">
        <f>R77</f>
        <v>0</v>
      </c>
      <c r="G16" s="41">
        <f t="shared" si="4"/>
        <v>120</v>
      </c>
      <c r="H16" s="233" t="s">
        <v>9</v>
      </c>
      <c r="I16" s="234"/>
      <c r="J16" s="235">
        <f>G12+G13+K12+K13+O12+O13+G14+K14+O14+G15+K15+O15</f>
        <v>15906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1342</v>
      </c>
      <c r="C17" s="43">
        <f>D66</f>
        <v>1664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74598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58692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58692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1857</v>
      </c>
      <c r="F19" s="14">
        <f>F78</f>
        <v>0</v>
      </c>
      <c r="G19" s="15">
        <f>E19-F19</f>
        <v>1857</v>
      </c>
      <c r="H19" s="12" t="str">
        <f>I64</f>
        <v>クレカ</v>
      </c>
      <c r="I19" s="13">
        <f>I67</f>
        <v>1675</v>
      </c>
      <c r="J19" s="14">
        <f>G78</f>
        <v>0</v>
      </c>
      <c r="K19" s="15">
        <f t="shared" ref="K19:K22" si="6">I19-J19</f>
        <v>1675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14</v>
      </c>
      <c r="D20" s="20" t="str">
        <f>K64</f>
        <v>ID</v>
      </c>
      <c r="E20" s="21">
        <f>K67</f>
        <v>1004</v>
      </c>
      <c r="F20" s="22">
        <f>I78</f>
        <v>0</v>
      </c>
      <c r="G20" s="23">
        <f t="shared" ref="G20:G23" si="7">E20-F20</f>
        <v>1004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Quic Pay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4536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1342</v>
      </c>
      <c r="C24" s="43">
        <f>D67</f>
        <v>161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12481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7945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7945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262</v>
      </c>
      <c r="F26" s="14">
        <f>F79</f>
        <v>0</v>
      </c>
      <c r="G26" s="15">
        <f>E26-F26</f>
        <v>262</v>
      </c>
      <c r="H26" s="12" t="str">
        <f>I64</f>
        <v>クレカ</v>
      </c>
      <c r="I26" s="13">
        <f>I68</f>
        <v>491</v>
      </c>
      <c r="J26" s="14">
        <f>G79</f>
        <v>0</v>
      </c>
      <c r="K26" s="15">
        <f t="shared" ref="K26:K29" si="9">I26-J26</f>
        <v>491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8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1399</v>
      </c>
      <c r="F28" s="27">
        <f>L79</f>
        <v>0</v>
      </c>
      <c r="G28" s="23">
        <f t="shared" si="10"/>
        <v>1399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Quic Pay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2152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1341</v>
      </c>
      <c r="C31" s="43">
        <f>D68</f>
        <v>45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2814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662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662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Quic Pay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Quic Pay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10552</v>
      </c>
      <c r="G49" s="231"/>
      <c r="H49" s="229" t="str">
        <f>I64</f>
        <v>クレカ</v>
      </c>
      <c r="I49" s="230"/>
      <c r="J49" s="224">
        <f>K5+K12+K19+K26+K33+K40</f>
        <v>7684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82</v>
      </c>
      <c r="D50" s="222" t="str">
        <f>K64</f>
        <v>ID</v>
      </c>
      <c r="E50" s="223"/>
      <c r="F50" s="219">
        <f>G6+G13+G20+G27+G34+G41</f>
        <v>2311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2047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Quic Pay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1870</v>
      </c>
      <c r="D53" s="200" t="str">
        <f>T64</f>
        <v>当たり券</v>
      </c>
      <c r="E53" s="201"/>
      <c r="F53" s="202">
        <f>G9+G16+G23+G30+G37+G44</f>
        <v>120</v>
      </c>
      <c r="G53" s="203"/>
      <c r="H53" s="204" t="s">
        <v>9</v>
      </c>
      <c r="I53" s="205"/>
      <c r="J53" s="206">
        <f>J9+J16+J23+J30+J37+J44</f>
        <v>22594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67299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>
        <f>L56/C50</f>
        <v>1096.2560975609756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89893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67299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67299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>
        <v>2026</v>
      </c>
      <c r="C60" s="75" t="s">
        <v>3</v>
      </c>
      <c r="D60" s="153">
        <v>46205</v>
      </c>
      <c r="E60" s="154"/>
      <c r="F60" s="75" t="s">
        <v>38</v>
      </c>
      <c r="G60" s="76" t="str">
        <f>TEXT(D60,"(aaa)")</f>
        <v>(木)</v>
      </c>
      <c r="H60" s="125" t="s">
        <v>79</v>
      </c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74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>
        <v>1343</v>
      </c>
      <c r="D65" s="87">
        <v>0</v>
      </c>
      <c r="E65" s="87">
        <v>0</v>
      </c>
      <c r="F65" s="149">
        <v>0</v>
      </c>
      <c r="G65" s="149"/>
      <c r="H65" s="88">
        <v>0</v>
      </c>
      <c r="I65" s="88">
        <v>0</v>
      </c>
      <c r="J65" s="88">
        <v>0</v>
      </c>
      <c r="K65" s="89">
        <v>0</v>
      </c>
      <c r="L65" s="87">
        <v>0</v>
      </c>
      <c r="M65" s="87">
        <v>0</v>
      </c>
      <c r="N65" s="90">
        <v>0</v>
      </c>
      <c r="O65" s="87">
        <v>0</v>
      </c>
      <c r="P65" s="87">
        <v>0</v>
      </c>
      <c r="Q65" s="90">
        <v>0</v>
      </c>
      <c r="R65" s="87">
        <v>0</v>
      </c>
      <c r="S65" s="87">
        <v>0</v>
      </c>
      <c r="T65" s="90">
        <v>0</v>
      </c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>
        <v>1342</v>
      </c>
      <c r="D66" s="87">
        <v>1664</v>
      </c>
      <c r="E66" s="87">
        <v>60</v>
      </c>
      <c r="F66" s="149">
        <v>58692</v>
      </c>
      <c r="G66" s="149"/>
      <c r="H66" s="88">
        <v>8433</v>
      </c>
      <c r="I66" s="88">
        <v>5518</v>
      </c>
      <c r="J66" s="88">
        <v>0</v>
      </c>
      <c r="K66" s="89">
        <v>1307</v>
      </c>
      <c r="L66" s="87">
        <v>0</v>
      </c>
      <c r="M66" s="87">
        <v>0</v>
      </c>
      <c r="N66" s="90">
        <v>648</v>
      </c>
      <c r="O66" s="87">
        <v>0</v>
      </c>
      <c r="P66" s="87">
        <v>0</v>
      </c>
      <c r="Q66" s="90">
        <v>0</v>
      </c>
      <c r="R66" s="87">
        <v>0</v>
      </c>
      <c r="S66" s="87">
        <v>0</v>
      </c>
      <c r="T66" s="90">
        <v>120</v>
      </c>
      <c r="U66" s="150">
        <f t="shared" ref="U66:U70" si="18">SUM(F66:S66)</f>
        <v>74598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>
        <v>1342</v>
      </c>
      <c r="D67" s="87">
        <v>161</v>
      </c>
      <c r="E67" s="87">
        <v>14</v>
      </c>
      <c r="F67" s="149">
        <v>7945</v>
      </c>
      <c r="G67" s="149"/>
      <c r="H67" s="88">
        <v>1857</v>
      </c>
      <c r="I67" s="88">
        <v>1675</v>
      </c>
      <c r="J67" s="88">
        <v>0</v>
      </c>
      <c r="K67" s="89">
        <v>1004</v>
      </c>
      <c r="L67" s="87">
        <v>0</v>
      </c>
      <c r="M67" s="87">
        <v>0</v>
      </c>
      <c r="N67" s="90">
        <v>0</v>
      </c>
      <c r="O67" s="87">
        <v>0</v>
      </c>
      <c r="P67" s="87">
        <v>0</v>
      </c>
      <c r="Q67" s="90">
        <v>0</v>
      </c>
      <c r="R67" s="87">
        <v>0</v>
      </c>
      <c r="S67" s="87">
        <v>0</v>
      </c>
      <c r="T67" s="90">
        <v>0</v>
      </c>
      <c r="U67" s="150">
        <f t="shared" si="18"/>
        <v>12481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>
        <v>1341</v>
      </c>
      <c r="D68" s="87">
        <v>45</v>
      </c>
      <c r="E68" s="87">
        <v>8</v>
      </c>
      <c r="F68" s="149">
        <v>662</v>
      </c>
      <c r="G68" s="149"/>
      <c r="H68" s="88">
        <v>262</v>
      </c>
      <c r="I68" s="88">
        <v>491</v>
      </c>
      <c r="J68" s="88">
        <v>0</v>
      </c>
      <c r="K68" s="89">
        <v>0</v>
      </c>
      <c r="L68" s="87">
        <v>0</v>
      </c>
      <c r="M68" s="87">
        <v>0</v>
      </c>
      <c r="N68" s="90">
        <v>1399</v>
      </c>
      <c r="O68" s="87">
        <v>0</v>
      </c>
      <c r="P68" s="87">
        <v>0</v>
      </c>
      <c r="Q68" s="90">
        <v>0</v>
      </c>
      <c r="R68" s="87">
        <v>0</v>
      </c>
      <c r="S68" s="87">
        <v>0</v>
      </c>
      <c r="T68" s="90">
        <v>0</v>
      </c>
      <c r="U68" s="150">
        <f t="shared" si="18"/>
        <v>2814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1870</v>
      </c>
      <c r="E71" s="96">
        <f>SUM(E65:E70)</f>
        <v>82</v>
      </c>
      <c r="F71" s="133">
        <f>SUM(F65:G70)</f>
        <v>67299</v>
      </c>
      <c r="G71" s="134"/>
      <c r="H71" s="95">
        <f>SUM(H65:H70)</f>
        <v>10552</v>
      </c>
      <c r="I71" s="95">
        <f>SUM(I65:I70)</f>
        <v>7684</v>
      </c>
      <c r="J71" s="95">
        <f>SUM(J65:J70)</f>
        <v>0</v>
      </c>
      <c r="K71" s="95">
        <f t="shared" ref="K71:P71" si="19">SUM(K65:K70)</f>
        <v>2311</v>
      </c>
      <c r="L71" s="95">
        <f t="shared" si="19"/>
        <v>0</v>
      </c>
      <c r="M71" s="95">
        <f t="shared" si="19"/>
        <v>0</v>
      </c>
      <c r="N71" s="95">
        <f t="shared" si="19"/>
        <v>2047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120</v>
      </c>
      <c r="U71" s="133">
        <f>SUM(U65:W70)</f>
        <v>89893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Quic Pay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>
        <v>0</v>
      </c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>
        <v>58692</v>
      </c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>
        <v>7945</v>
      </c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>
        <v>662</v>
      </c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67299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67299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</mergeCells>
  <phoneticPr fontId="2"/>
  <dataValidations count="2">
    <dataValidation type="list" allowBlank="1" showInputMessage="1" showErrorMessage="1" sqref="G60" xr:uid="{B79DE64B-72B8-48B7-87C8-27792A8D8A9A}">
      <formula1>#REF!</formula1>
    </dataValidation>
    <dataValidation type="list" allowBlank="1" showInputMessage="1" showErrorMessage="1" sqref="I4" xr:uid="{E0833013-D292-40EE-AF42-FD65E0425AA8}">
      <formula1>$AC$65:$AC$71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490C-56C3-4215-B9CF-E9C5DFDBDCA0}">
  <sheetPr>
    <pageSetUpPr fitToPage="1"/>
  </sheetPr>
  <dimension ref="A1:AG93"/>
  <sheetViews>
    <sheetView topLeftCell="B64" zoomScale="90" zoomScaleNormal="90" workbookViewId="0">
      <selection activeCell="O77" sqref="O7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 t="str">
        <f>H60</f>
        <v>田中　美昴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2026</v>
      </c>
      <c r="D3" s="254"/>
      <c r="E3" s="255" t="s">
        <v>3</v>
      </c>
      <c r="F3" s="256">
        <f>D60</f>
        <v>46206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(金)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1344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20147</v>
      </c>
      <c r="F12" s="14">
        <f>F77</f>
        <v>0</v>
      </c>
      <c r="G12" s="15">
        <f>E12-F12</f>
        <v>20147</v>
      </c>
      <c r="H12" s="12" t="str">
        <f>I64</f>
        <v>クレカ</v>
      </c>
      <c r="I12" s="13">
        <f>I66</f>
        <v>1409</v>
      </c>
      <c r="J12" s="14">
        <f>G77</f>
        <v>0</v>
      </c>
      <c r="K12" s="15">
        <f t="shared" ref="K12:K15" si="3">I12-J12</f>
        <v>1409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83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208</v>
      </c>
      <c r="F14" s="27">
        <f>L77</f>
        <v>0</v>
      </c>
      <c r="G14" s="23">
        <f t="shared" si="4"/>
        <v>208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2586</v>
      </c>
      <c r="J15" s="22">
        <f>P77</f>
        <v>0</v>
      </c>
      <c r="K15" s="24">
        <f t="shared" si="3"/>
        <v>2586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20</v>
      </c>
      <c r="F16" s="40">
        <f>R77</f>
        <v>0</v>
      </c>
      <c r="G16" s="41">
        <f t="shared" si="4"/>
        <v>20</v>
      </c>
      <c r="H16" s="233" t="s">
        <v>9</v>
      </c>
      <c r="I16" s="234"/>
      <c r="J16" s="235">
        <f>G12+G13+K12+K13+O12+O13+G14+K14+O14+G15+K15+O15</f>
        <v>24350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1343</v>
      </c>
      <c r="C17" s="43">
        <f>D66</f>
        <v>1996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114600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90250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90250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418</v>
      </c>
      <c r="F19" s="14">
        <f>F78</f>
        <v>0</v>
      </c>
      <c r="G19" s="15">
        <f>E19-F19</f>
        <v>418</v>
      </c>
      <c r="H19" s="12" t="str">
        <f>I64</f>
        <v>クレカ</v>
      </c>
      <c r="I19" s="13">
        <f>I67</f>
        <v>1369</v>
      </c>
      <c r="J19" s="14">
        <f>G78</f>
        <v>0</v>
      </c>
      <c r="K19" s="15">
        <f t="shared" ref="K19:K22" si="6">I19-J19</f>
        <v>1369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8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1787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1343</v>
      </c>
      <c r="C24" s="43">
        <f>D67</f>
        <v>312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13066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11279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11279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1342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20565</v>
      </c>
      <c r="G49" s="231"/>
      <c r="H49" s="229" t="str">
        <f>I64</f>
        <v>クレカ</v>
      </c>
      <c r="I49" s="230"/>
      <c r="J49" s="224">
        <f>K5+K12+K19+K26+K33+K40</f>
        <v>2778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91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208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2586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2308</v>
      </c>
      <c r="D53" s="200" t="str">
        <f>T64</f>
        <v>当たり券</v>
      </c>
      <c r="E53" s="201"/>
      <c r="F53" s="202">
        <f>G9+G16+G23+G30+G37+G44</f>
        <v>20</v>
      </c>
      <c r="G53" s="203"/>
      <c r="H53" s="204" t="s">
        <v>9</v>
      </c>
      <c r="I53" s="205"/>
      <c r="J53" s="206">
        <f>J9+J16+J23+J30+J37+J44</f>
        <v>26137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101529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>
        <f>L56/C50</f>
        <v>1402.9230769230769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127666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101529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101529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>
        <v>2026</v>
      </c>
      <c r="C60" s="75" t="s">
        <v>3</v>
      </c>
      <c r="D60" s="153">
        <v>46206</v>
      </c>
      <c r="E60" s="154"/>
      <c r="F60" s="75" t="s">
        <v>38</v>
      </c>
      <c r="G60" s="76" t="str">
        <f>TEXT(D60,"(aaa)")</f>
        <v>(金)</v>
      </c>
      <c r="H60" s="125" t="s">
        <v>80</v>
      </c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>
        <v>1344</v>
      </c>
      <c r="D65" s="87">
        <v>0</v>
      </c>
      <c r="E65" s="87">
        <v>0</v>
      </c>
      <c r="F65" s="149">
        <v>0</v>
      </c>
      <c r="G65" s="149"/>
      <c r="H65" s="88">
        <v>0</v>
      </c>
      <c r="I65" s="88">
        <v>0</v>
      </c>
      <c r="J65" s="88">
        <v>0</v>
      </c>
      <c r="K65" s="89">
        <v>0</v>
      </c>
      <c r="L65" s="87">
        <v>0</v>
      </c>
      <c r="M65" s="87">
        <v>0</v>
      </c>
      <c r="N65" s="90">
        <v>0</v>
      </c>
      <c r="O65" s="87">
        <v>0</v>
      </c>
      <c r="P65" s="87">
        <v>0</v>
      </c>
      <c r="Q65" s="90">
        <v>0</v>
      </c>
      <c r="R65" s="87">
        <v>0</v>
      </c>
      <c r="S65" s="87">
        <v>0</v>
      </c>
      <c r="T65" s="90">
        <v>0</v>
      </c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>
        <v>1343</v>
      </c>
      <c r="D66" s="87">
        <v>1996</v>
      </c>
      <c r="E66" s="87">
        <v>83</v>
      </c>
      <c r="F66" s="149">
        <v>90250</v>
      </c>
      <c r="G66" s="149"/>
      <c r="H66" s="88">
        <v>20147</v>
      </c>
      <c r="I66" s="88">
        <v>1409</v>
      </c>
      <c r="J66" s="88">
        <v>0</v>
      </c>
      <c r="K66" s="89">
        <v>0</v>
      </c>
      <c r="L66" s="87">
        <v>0</v>
      </c>
      <c r="M66" s="87">
        <v>0</v>
      </c>
      <c r="N66" s="90">
        <v>208</v>
      </c>
      <c r="O66" s="87">
        <v>0</v>
      </c>
      <c r="P66" s="87">
        <v>0</v>
      </c>
      <c r="Q66" s="90">
        <v>0</v>
      </c>
      <c r="R66" s="87">
        <v>2586</v>
      </c>
      <c r="S66" s="87">
        <v>0</v>
      </c>
      <c r="T66" s="90">
        <v>20</v>
      </c>
      <c r="U66" s="150">
        <f t="shared" ref="U66:U70" si="18">SUM(F66:S66)</f>
        <v>114600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>
        <v>1343</v>
      </c>
      <c r="D67" s="87">
        <v>312</v>
      </c>
      <c r="E67" s="87">
        <v>8</v>
      </c>
      <c r="F67" s="149">
        <v>11279</v>
      </c>
      <c r="G67" s="149"/>
      <c r="H67" s="88">
        <v>418</v>
      </c>
      <c r="I67" s="88">
        <v>1369</v>
      </c>
      <c r="J67" s="88">
        <v>0</v>
      </c>
      <c r="K67" s="89">
        <v>0</v>
      </c>
      <c r="L67" s="87">
        <v>0</v>
      </c>
      <c r="M67" s="87">
        <v>0</v>
      </c>
      <c r="N67" s="90">
        <v>0</v>
      </c>
      <c r="O67" s="87">
        <v>0</v>
      </c>
      <c r="P67" s="87">
        <v>0</v>
      </c>
      <c r="Q67" s="90">
        <v>0</v>
      </c>
      <c r="R67" s="87">
        <v>0</v>
      </c>
      <c r="S67" s="87">
        <v>0</v>
      </c>
      <c r="T67" s="90">
        <v>0</v>
      </c>
      <c r="U67" s="150">
        <f t="shared" si="18"/>
        <v>13066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>
        <v>1342</v>
      </c>
      <c r="D68" s="87">
        <v>0</v>
      </c>
      <c r="E68" s="87">
        <v>0</v>
      </c>
      <c r="F68" s="149">
        <v>0</v>
      </c>
      <c r="G68" s="149"/>
      <c r="H68" s="88">
        <v>0</v>
      </c>
      <c r="I68" s="88">
        <v>0</v>
      </c>
      <c r="J68" s="88">
        <v>0</v>
      </c>
      <c r="K68" s="89">
        <v>0</v>
      </c>
      <c r="L68" s="87">
        <v>0</v>
      </c>
      <c r="M68" s="87">
        <v>0</v>
      </c>
      <c r="N68" s="90">
        <v>0</v>
      </c>
      <c r="O68" s="87">
        <v>0</v>
      </c>
      <c r="P68" s="87">
        <v>0</v>
      </c>
      <c r="Q68" s="90">
        <v>0</v>
      </c>
      <c r="R68" s="87">
        <v>0</v>
      </c>
      <c r="S68" s="87">
        <v>0</v>
      </c>
      <c r="T68" s="90">
        <v>0</v>
      </c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>
        <v>0</v>
      </c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>
        <v>0</v>
      </c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2308</v>
      </c>
      <c r="E71" s="96">
        <f>SUM(E65:E70)</f>
        <v>91</v>
      </c>
      <c r="F71" s="133">
        <f>SUM(F65:G70)</f>
        <v>101529</v>
      </c>
      <c r="G71" s="134"/>
      <c r="H71" s="95">
        <f>SUM(H65:H70)</f>
        <v>20565</v>
      </c>
      <c r="I71" s="95">
        <f>SUM(I65:I70)</f>
        <v>2778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208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2586</v>
      </c>
      <c r="S71" s="95">
        <f t="shared" si="20"/>
        <v>0</v>
      </c>
      <c r="T71" s="95">
        <f t="shared" si="20"/>
        <v>20</v>
      </c>
      <c r="U71" s="133">
        <f>SUM(U65:W70)</f>
        <v>127666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>
        <v>0</v>
      </c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>
        <v>90250</v>
      </c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>
        <v>11279</v>
      </c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>
        <v>0</v>
      </c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101529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101529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DED4D6A1-0AFE-40DA-93B5-A9CB91E7826D}">
      <formula1>$AC$65:$AC$71</formula1>
    </dataValidation>
    <dataValidation type="list" allowBlank="1" showInputMessage="1" showErrorMessage="1" sqref="G60" xr:uid="{D7E82A83-EF7B-46F4-AAD4-40321CCFA377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AA86-837C-4A45-A570-EDD1D71BA602}">
  <sheetPr>
    <pageSetUpPr fitToPage="1"/>
  </sheetPr>
  <dimension ref="A1:AG93"/>
  <sheetViews>
    <sheetView topLeftCell="A66" zoomScale="79" zoomScaleNormal="90" workbookViewId="0">
      <selection activeCell="O83" sqref="O83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 t="str">
        <f>H60</f>
        <v>松葉沙矢香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2026</v>
      </c>
      <c r="D3" s="254"/>
      <c r="E3" s="255" t="s">
        <v>3</v>
      </c>
      <c r="F3" s="256">
        <f>D60</f>
        <v>46207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1280</v>
      </c>
      <c r="F5" s="14">
        <f>F76</f>
        <v>0</v>
      </c>
      <c r="G5" s="15">
        <f>E5-F5</f>
        <v>1280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4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1280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1345</v>
      </c>
      <c r="C10" s="43">
        <f>D65</f>
        <v>56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2980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1700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1700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41470</v>
      </c>
      <c r="F12" s="14">
        <f>F77</f>
        <v>0</v>
      </c>
      <c r="G12" s="15">
        <f>E12-F12</f>
        <v>41470</v>
      </c>
      <c r="H12" s="12" t="str">
        <f>I64</f>
        <v>クレカ</v>
      </c>
      <c r="I12" s="13">
        <f>I66</f>
        <v>44949</v>
      </c>
      <c r="J12" s="14">
        <f>G77</f>
        <v>0</v>
      </c>
      <c r="K12" s="15">
        <f t="shared" ref="K12:K15" si="3">I12-J12</f>
        <v>44949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154</v>
      </c>
      <c r="D13" s="20" t="str">
        <f>K64</f>
        <v>ID</v>
      </c>
      <c r="E13" s="21">
        <f>K66</f>
        <v>6942</v>
      </c>
      <c r="F13" s="22">
        <f>I77</f>
        <v>0</v>
      </c>
      <c r="G13" s="23">
        <f t="shared" ref="G13:G16" si="4">E13-F13</f>
        <v>6942</v>
      </c>
      <c r="H13" s="20" t="str">
        <f>L64</f>
        <v>楽天</v>
      </c>
      <c r="I13" s="21">
        <f>L66</f>
        <v>1331</v>
      </c>
      <c r="J13" s="22">
        <f>J77</f>
        <v>0</v>
      </c>
      <c r="K13" s="24">
        <f t="shared" si="3"/>
        <v>1331</v>
      </c>
      <c r="L13" s="25" t="str">
        <f>M64</f>
        <v>交通系</v>
      </c>
      <c r="M13" s="26">
        <f>M66</f>
        <v>2218</v>
      </c>
      <c r="N13" s="27">
        <f>K77</f>
        <v>0</v>
      </c>
      <c r="O13" s="28">
        <f t="shared" ref="O13:O15" si="5">M13-N13</f>
        <v>2218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5877</v>
      </c>
      <c r="F14" s="27">
        <f>L77</f>
        <v>0</v>
      </c>
      <c r="G14" s="23">
        <f t="shared" si="4"/>
        <v>5877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6186</v>
      </c>
      <c r="J15" s="22">
        <f>P77</f>
        <v>0</v>
      </c>
      <c r="K15" s="24">
        <f t="shared" si="3"/>
        <v>6186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70</v>
      </c>
      <c r="F16" s="40">
        <f>R77</f>
        <v>0</v>
      </c>
      <c r="G16" s="41">
        <f t="shared" si="4"/>
        <v>70</v>
      </c>
      <c r="H16" s="233" t="s">
        <v>9</v>
      </c>
      <c r="I16" s="234"/>
      <c r="J16" s="235">
        <f>G12+G13+K12+K13+O12+O13+G14+K14+O14+G15+K15+O15</f>
        <v>108973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1344</v>
      </c>
      <c r="C17" s="43">
        <f>D66</f>
        <v>4453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245135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136162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136162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6695</v>
      </c>
      <c r="F19" s="14">
        <f>F78</f>
        <v>0</v>
      </c>
      <c r="G19" s="15">
        <f>E19-F19</f>
        <v>6695</v>
      </c>
      <c r="H19" s="12" t="str">
        <f>I64</f>
        <v>クレカ</v>
      </c>
      <c r="I19" s="13">
        <f>I67</f>
        <v>14114</v>
      </c>
      <c r="J19" s="14">
        <f>G78</f>
        <v>0</v>
      </c>
      <c r="K19" s="15">
        <f t="shared" ref="K19:K22" si="6">I19-J19</f>
        <v>14114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76</v>
      </c>
      <c r="D20" s="20" t="str">
        <f>K64</f>
        <v>ID</v>
      </c>
      <c r="E20" s="21">
        <f>K67</f>
        <v>1460</v>
      </c>
      <c r="F20" s="22">
        <f>I78</f>
        <v>0</v>
      </c>
      <c r="G20" s="23">
        <f t="shared" ref="G20:G23" si="7">E20-F20</f>
        <v>1460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937</v>
      </c>
      <c r="F21" s="27">
        <f>L78</f>
        <v>0</v>
      </c>
      <c r="G21" s="23">
        <f t="shared" si="7"/>
        <v>937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5777</v>
      </c>
      <c r="J22" s="22">
        <f>P78</f>
        <v>0</v>
      </c>
      <c r="K22" s="24">
        <f t="shared" si="6"/>
        <v>5777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28983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1344</v>
      </c>
      <c r="C24" s="43">
        <f>D67</f>
        <v>1822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104954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75971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75971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3344</v>
      </c>
      <c r="F26" s="14">
        <f>F79</f>
        <v>0</v>
      </c>
      <c r="G26" s="15">
        <f>E26-F26</f>
        <v>3344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21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2526</v>
      </c>
      <c r="J29" s="22">
        <f>P79</f>
        <v>0</v>
      </c>
      <c r="K29" s="24">
        <f t="shared" si="9"/>
        <v>2526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100</v>
      </c>
      <c r="F30" s="40">
        <f>R79</f>
        <v>0</v>
      </c>
      <c r="G30" s="41">
        <f t="shared" si="10"/>
        <v>100</v>
      </c>
      <c r="H30" s="233" t="s">
        <v>9</v>
      </c>
      <c r="I30" s="234"/>
      <c r="J30" s="235">
        <f>G26+G27+K26+K27+O26+O27+G28+K28+O28+G29+K29+O29</f>
        <v>5870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1343</v>
      </c>
      <c r="C31" s="43">
        <f>D68</f>
        <v>493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37595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31725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31725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52789</v>
      </c>
      <c r="G49" s="231"/>
      <c r="H49" s="229" t="str">
        <f>I64</f>
        <v>クレカ</v>
      </c>
      <c r="I49" s="230"/>
      <c r="J49" s="224">
        <f>K5+K12+K19+K26+K33+K40</f>
        <v>59063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255</v>
      </c>
      <c r="D50" s="222" t="str">
        <f>K64</f>
        <v>ID</v>
      </c>
      <c r="E50" s="223"/>
      <c r="F50" s="219">
        <f>G6+G13+G20+G27+G34+G41</f>
        <v>8402</v>
      </c>
      <c r="G50" s="220"/>
      <c r="H50" s="217" t="str">
        <f>L64</f>
        <v>楽天</v>
      </c>
      <c r="I50" s="218"/>
      <c r="J50" s="219">
        <f>K6+K13+K20+K27+K34+K41</f>
        <v>1331</v>
      </c>
      <c r="K50" s="220"/>
      <c r="L50" s="200" t="str">
        <f>M64</f>
        <v>交通系</v>
      </c>
      <c r="M50" s="201"/>
      <c r="N50" s="202">
        <f>O6+O13+O20+O27+O34+O41</f>
        <v>2218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6814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14489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6824</v>
      </c>
      <c r="D53" s="200" t="str">
        <f>T64</f>
        <v>当たり券</v>
      </c>
      <c r="E53" s="201"/>
      <c r="F53" s="202">
        <f>G9+G16+G23+G30+G37+G44</f>
        <v>170</v>
      </c>
      <c r="G53" s="203"/>
      <c r="H53" s="204" t="s">
        <v>9</v>
      </c>
      <c r="I53" s="205"/>
      <c r="J53" s="206">
        <f>J9+J16+J23+J30+J37+J44</f>
        <v>145106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245558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>
        <f>L56/C50</f>
        <v>1532.0156862745098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390664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245558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245558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>
        <v>2026</v>
      </c>
      <c r="C60" s="75" t="s">
        <v>3</v>
      </c>
      <c r="D60" s="153">
        <v>46207</v>
      </c>
      <c r="E60" s="154"/>
      <c r="F60" s="75" t="s">
        <v>38</v>
      </c>
      <c r="G60" s="76" t="str">
        <f>TEXT(D60,"(aaa)")</f>
        <v>(土)</v>
      </c>
      <c r="H60" s="125" t="s">
        <v>81</v>
      </c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>
        <v>1345</v>
      </c>
      <c r="D65" s="87">
        <v>56</v>
      </c>
      <c r="E65" s="87">
        <v>4</v>
      </c>
      <c r="F65" s="149">
        <v>1700</v>
      </c>
      <c r="G65" s="149"/>
      <c r="H65" s="88">
        <v>1280</v>
      </c>
      <c r="I65" s="88">
        <v>0</v>
      </c>
      <c r="J65" s="88">
        <v>0</v>
      </c>
      <c r="K65" s="89">
        <v>0</v>
      </c>
      <c r="L65" s="87">
        <v>0</v>
      </c>
      <c r="M65" s="87">
        <v>0</v>
      </c>
      <c r="N65" s="90">
        <v>0</v>
      </c>
      <c r="O65" s="87">
        <v>0</v>
      </c>
      <c r="P65" s="87">
        <v>0</v>
      </c>
      <c r="Q65" s="90">
        <v>0</v>
      </c>
      <c r="R65" s="87">
        <v>0</v>
      </c>
      <c r="S65" s="87">
        <v>0</v>
      </c>
      <c r="T65" s="90">
        <v>0</v>
      </c>
      <c r="U65" s="150">
        <f>SUM(F65:S65)</f>
        <v>2980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>
        <v>1344</v>
      </c>
      <c r="D66" s="87">
        <v>4453</v>
      </c>
      <c r="E66" s="87">
        <v>154</v>
      </c>
      <c r="F66" s="149">
        <v>136162</v>
      </c>
      <c r="G66" s="149"/>
      <c r="H66" s="88">
        <v>41470</v>
      </c>
      <c r="I66" s="88">
        <v>44949</v>
      </c>
      <c r="J66" s="88">
        <v>0</v>
      </c>
      <c r="K66" s="89">
        <v>6942</v>
      </c>
      <c r="L66" s="87">
        <v>1331</v>
      </c>
      <c r="M66" s="87">
        <v>2218</v>
      </c>
      <c r="N66" s="90">
        <v>5877</v>
      </c>
      <c r="O66" s="87">
        <v>0</v>
      </c>
      <c r="P66" s="87">
        <v>0</v>
      </c>
      <c r="Q66" s="90">
        <v>0</v>
      </c>
      <c r="R66" s="87">
        <v>6186</v>
      </c>
      <c r="S66" s="87">
        <v>0</v>
      </c>
      <c r="T66" s="90">
        <v>70</v>
      </c>
      <c r="U66" s="150">
        <f t="shared" ref="U66:U70" si="18">SUM(F66:S66)</f>
        <v>245135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>
        <v>1344</v>
      </c>
      <c r="D67" s="87">
        <v>1822</v>
      </c>
      <c r="E67" s="87">
        <v>76</v>
      </c>
      <c r="F67" s="149">
        <v>75971</v>
      </c>
      <c r="G67" s="149"/>
      <c r="H67" s="88">
        <v>6695</v>
      </c>
      <c r="I67" s="88">
        <v>14114</v>
      </c>
      <c r="J67" s="88">
        <v>0</v>
      </c>
      <c r="K67" s="89">
        <v>1460</v>
      </c>
      <c r="L67" s="87">
        <v>0</v>
      </c>
      <c r="M67" s="87">
        <v>0</v>
      </c>
      <c r="N67" s="90">
        <v>937</v>
      </c>
      <c r="O67" s="87">
        <v>0</v>
      </c>
      <c r="P67" s="87">
        <v>0</v>
      </c>
      <c r="Q67" s="90">
        <v>0</v>
      </c>
      <c r="R67" s="87">
        <v>5777</v>
      </c>
      <c r="S67" s="87">
        <v>0</v>
      </c>
      <c r="T67" s="90">
        <v>0</v>
      </c>
      <c r="U67" s="150">
        <f t="shared" si="18"/>
        <v>104954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>
        <v>1343</v>
      </c>
      <c r="D68" s="87">
        <v>493</v>
      </c>
      <c r="E68" s="87">
        <v>21</v>
      </c>
      <c r="F68" s="149">
        <v>31725</v>
      </c>
      <c r="G68" s="149"/>
      <c r="H68" s="88">
        <v>3344</v>
      </c>
      <c r="I68" s="88">
        <v>0</v>
      </c>
      <c r="J68" s="88">
        <v>0</v>
      </c>
      <c r="K68" s="89">
        <v>0</v>
      </c>
      <c r="L68" s="87">
        <v>0</v>
      </c>
      <c r="M68" s="87">
        <v>0</v>
      </c>
      <c r="N68" s="90">
        <v>0</v>
      </c>
      <c r="O68" s="87">
        <v>0</v>
      </c>
      <c r="P68" s="87">
        <v>0</v>
      </c>
      <c r="Q68" s="90">
        <v>0</v>
      </c>
      <c r="R68" s="87">
        <v>2526</v>
      </c>
      <c r="S68" s="87">
        <v>0</v>
      </c>
      <c r="T68" s="90">
        <v>100</v>
      </c>
      <c r="U68" s="150">
        <f t="shared" si="18"/>
        <v>37595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>
        <v>0</v>
      </c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>
        <v>0</v>
      </c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6824</v>
      </c>
      <c r="E71" s="96">
        <f>SUM(E65:E70)</f>
        <v>255</v>
      </c>
      <c r="F71" s="133">
        <f>SUM(F65:G70)</f>
        <v>245558</v>
      </c>
      <c r="G71" s="134"/>
      <c r="H71" s="95">
        <f>SUM(H65:H70)</f>
        <v>52789</v>
      </c>
      <c r="I71" s="95">
        <f>SUM(I65:I70)</f>
        <v>59063</v>
      </c>
      <c r="J71" s="95">
        <f>SUM(J65:J70)</f>
        <v>0</v>
      </c>
      <c r="K71" s="95">
        <f t="shared" ref="K71:P71" si="19">SUM(K65:K70)</f>
        <v>8402</v>
      </c>
      <c r="L71" s="95">
        <f t="shared" si="19"/>
        <v>1331</v>
      </c>
      <c r="M71" s="95">
        <f t="shared" si="19"/>
        <v>2218</v>
      </c>
      <c r="N71" s="95">
        <f t="shared" si="19"/>
        <v>6814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14489</v>
      </c>
      <c r="S71" s="95">
        <f t="shared" si="20"/>
        <v>0</v>
      </c>
      <c r="T71" s="95">
        <f t="shared" si="20"/>
        <v>170</v>
      </c>
      <c r="U71" s="133">
        <f>SUM(U65:W70)</f>
        <v>390664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>
        <v>1700</v>
      </c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>
        <v>136162</v>
      </c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>
        <v>75971</v>
      </c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>
        <v>31725</v>
      </c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245558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245558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407FB2FA-779F-40A6-B575-8FD7BCE5DF35}">
      <formula1>$AC$65:$AC$71</formula1>
    </dataValidation>
    <dataValidation type="list" allowBlank="1" showInputMessage="1" showErrorMessage="1" sqref="G60" xr:uid="{F6CB591C-BAD2-40D6-88D8-634075BF792E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D260-2BD5-4EBF-9155-35C4804C57C7}">
  <sheetPr>
    <pageSetUpPr fitToPage="1"/>
  </sheetPr>
  <dimension ref="A1:AG93"/>
  <sheetViews>
    <sheetView topLeftCell="A66" zoomScale="90" zoomScaleNormal="90" workbookViewId="0">
      <selection activeCell="B60" sqref="B59:C60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 t="str">
        <f>H60</f>
        <v>松葉沙矢香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2026</v>
      </c>
      <c r="D3" s="254"/>
      <c r="E3" s="255" t="s">
        <v>3</v>
      </c>
      <c r="F3" s="256">
        <f>D60</f>
        <v>46208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(日)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2533</v>
      </c>
      <c r="J5" s="14">
        <f>G76</f>
        <v>0</v>
      </c>
      <c r="K5" s="15">
        <f t="shared" ref="K5:K8" si="0">I5-J5</f>
        <v>2533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8</v>
      </c>
      <c r="D6" s="20" t="str">
        <f>K64</f>
        <v>ID</v>
      </c>
      <c r="E6" s="21">
        <f>K65</f>
        <v>2272</v>
      </c>
      <c r="F6" s="22">
        <f>I76</f>
        <v>0</v>
      </c>
      <c r="G6" s="23">
        <f t="shared" ref="G6:G9" si="1">E6-F6</f>
        <v>2272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4805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1346</v>
      </c>
      <c r="C10" s="43">
        <f>D65</f>
        <v>200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14554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9749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9749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38802</v>
      </c>
      <c r="F12" s="14">
        <f>F77</f>
        <v>0</v>
      </c>
      <c r="G12" s="15">
        <f>E12-F12</f>
        <v>38802</v>
      </c>
      <c r="H12" s="12" t="str">
        <f>I64</f>
        <v>クレカ</v>
      </c>
      <c r="I12" s="13">
        <f>I66</f>
        <v>99293</v>
      </c>
      <c r="J12" s="14">
        <f>G77</f>
        <v>0</v>
      </c>
      <c r="K12" s="15">
        <f t="shared" ref="K12:K15" si="3">I12-J12</f>
        <v>99293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186</v>
      </c>
      <c r="D13" s="20" t="str">
        <f>K64</f>
        <v>ID</v>
      </c>
      <c r="E13" s="21">
        <f>K66</f>
        <v>1848</v>
      </c>
      <c r="F13" s="22">
        <f>I77</f>
        <v>0</v>
      </c>
      <c r="G13" s="23">
        <f t="shared" ref="G13:G16" si="4">E13-F13</f>
        <v>1848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1397</v>
      </c>
      <c r="F14" s="27">
        <f>L77</f>
        <v>0</v>
      </c>
      <c r="G14" s="23">
        <f t="shared" si="4"/>
        <v>1397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19560</v>
      </c>
      <c r="J15" s="22">
        <f>P77</f>
        <v>0</v>
      </c>
      <c r="K15" s="24">
        <f t="shared" si="3"/>
        <v>19560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140</v>
      </c>
      <c r="F16" s="40">
        <f>R77</f>
        <v>0</v>
      </c>
      <c r="G16" s="41">
        <f t="shared" si="4"/>
        <v>140</v>
      </c>
      <c r="H16" s="233" t="s">
        <v>9</v>
      </c>
      <c r="I16" s="234"/>
      <c r="J16" s="235">
        <f>G12+G13+K12+K13+O12+O13+G14+K14+O14+G15+K15+O15</f>
        <v>160900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1345</v>
      </c>
      <c r="C17" s="43">
        <f>D66</f>
        <v>5289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305872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144972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144972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27462</v>
      </c>
      <c r="F19" s="14">
        <f>F78</f>
        <v>0</v>
      </c>
      <c r="G19" s="15">
        <f>E19-F19</f>
        <v>27462</v>
      </c>
      <c r="H19" s="12" t="str">
        <f>I64</f>
        <v>クレカ</v>
      </c>
      <c r="I19" s="13">
        <f>I67</f>
        <v>12966</v>
      </c>
      <c r="J19" s="14">
        <f>G78</f>
        <v>0</v>
      </c>
      <c r="K19" s="15">
        <f t="shared" ref="K19:K22" si="6">I19-J19</f>
        <v>12966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90</v>
      </c>
      <c r="D20" s="20" t="str">
        <f>K64</f>
        <v>ID</v>
      </c>
      <c r="E20" s="21">
        <f>K67</f>
        <v>4141</v>
      </c>
      <c r="F20" s="22">
        <f>I78</f>
        <v>0</v>
      </c>
      <c r="G20" s="23">
        <f t="shared" ref="G20:G23" si="7">E20-F20</f>
        <v>4141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3022</v>
      </c>
      <c r="J22" s="22">
        <f>P78</f>
        <v>0</v>
      </c>
      <c r="K22" s="24">
        <f t="shared" si="6"/>
        <v>3022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47591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1345</v>
      </c>
      <c r="C24" s="43">
        <f>D67</f>
        <v>3607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166315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118724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118724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9736</v>
      </c>
      <c r="F26" s="14">
        <f>F79</f>
        <v>0</v>
      </c>
      <c r="G26" s="15">
        <f>E26-F26</f>
        <v>9736</v>
      </c>
      <c r="H26" s="12" t="str">
        <f>I64</f>
        <v>クレカ</v>
      </c>
      <c r="I26" s="13">
        <f>I68</f>
        <v>24061</v>
      </c>
      <c r="J26" s="14">
        <f>G79</f>
        <v>0</v>
      </c>
      <c r="K26" s="15">
        <f t="shared" ref="K26:K29" si="9">I26-J26</f>
        <v>24061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63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300</v>
      </c>
      <c r="F30" s="40">
        <f>R79</f>
        <v>0</v>
      </c>
      <c r="G30" s="41">
        <f t="shared" si="10"/>
        <v>300</v>
      </c>
      <c r="H30" s="233" t="s">
        <v>9</v>
      </c>
      <c r="I30" s="234"/>
      <c r="J30" s="235">
        <f>G26+G27+K26+K27+O26+O27+G28+K28+O28+G29+K29+O29</f>
        <v>33797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1344</v>
      </c>
      <c r="C31" s="43">
        <f>D68</f>
        <v>1835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102137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68340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68340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76000</v>
      </c>
      <c r="G49" s="231"/>
      <c r="H49" s="229" t="str">
        <f>I64</f>
        <v>クレカ</v>
      </c>
      <c r="I49" s="230"/>
      <c r="J49" s="224">
        <f>K5+K12+K19+K26+K33+K40</f>
        <v>138853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347</v>
      </c>
      <c r="D50" s="222" t="str">
        <f>K64</f>
        <v>ID</v>
      </c>
      <c r="E50" s="223"/>
      <c r="F50" s="219">
        <f>G6+G13+G20+G27+G34+G41</f>
        <v>8261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1397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22582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10931</v>
      </c>
      <c r="D53" s="200" t="str">
        <f>T64</f>
        <v>当たり券</v>
      </c>
      <c r="E53" s="201"/>
      <c r="F53" s="202">
        <f>G9+G16+G23+G30+G37+G44</f>
        <v>440</v>
      </c>
      <c r="G53" s="203"/>
      <c r="H53" s="204" t="s">
        <v>9</v>
      </c>
      <c r="I53" s="205"/>
      <c r="J53" s="206">
        <f>J9+J16+J23+J30+J37+J44</f>
        <v>247093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341785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>
        <f>L56/C50</f>
        <v>1697.0547550432277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588878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341785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341785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>
        <v>2026</v>
      </c>
      <c r="C60" s="75" t="s">
        <v>3</v>
      </c>
      <c r="D60" s="153">
        <v>46208</v>
      </c>
      <c r="E60" s="154"/>
      <c r="F60" s="75" t="s">
        <v>38</v>
      </c>
      <c r="G60" s="76" t="str">
        <f>TEXT(D60,"(aaa)")</f>
        <v>(日)</v>
      </c>
      <c r="H60" s="125" t="s">
        <v>81</v>
      </c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>
        <v>1346</v>
      </c>
      <c r="D65" s="87">
        <v>200</v>
      </c>
      <c r="E65" s="87">
        <v>8</v>
      </c>
      <c r="F65" s="149">
        <v>9749</v>
      </c>
      <c r="G65" s="149"/>
      <c r="H65" s="88">
        <v>0</v>
      </c>
      <c r="I65" s="88">
        <v>2533</v>
      </c>
      <c r="J65" s="88">
        <v>0</v>
      </c>
      <c r="K65" s="89">
        <v>2272</v>
      </c>
      <c r="L65" s="87">
        <v>0</v>
      </c>
      <c r="M65" s="87">
        <v>0</v>
      </c>
      <c r="N65" s="90">
        <v>0</v>
      </c>
      <c r="O65" s="87">
        <v>0</v>
      </c>
      <c r="P65" s="87">
        <v>0</v>
      </c>
      <c r="Q65" s="90">
        <v>0</v>
      </c>
      <c r="R65" s="87">
        <v>0</v>
      </c>
      <c r="S65" s="87">
        <v>0</v>
      </c>
      <c r="T65" s="90">
        <v>0</v>
      </c>
      <c r="U65" s="150">
        <f>SUM(F65:S65)</f>
        <v>14554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>
        <v>1345</v>
      </c>
      <c r="D66" s="87">
        <v>5289</v>
      </c>
      <c r="E66" s="87">
        <v>186</v>
      </c>
      <c r="F66" s="149">
        <v>144972</v>
      </c>
      <c r="G66" s="149"/>
      <c r="H66" s="88">
        <v>38802</v>
      </c>
      <c r="I66" s="88">
        <v>99293</v>
      </c>
      <c r="J66" s="88">
        <v>0</v>
      </c>
      <c r="K66" s="89">
        <v>1848</v>
      </c>
      <c r="L66" s="87">
        <v>0</v>
      </c>
      <c r="M66" s="87">
        <v>0</v>
      </c>
      <c r="N66" s="90">
        <v>1397</v>
      </c>
      <c r="O66" s="87">
        <v>0</v>
      </c>
      <c r="P66" s="87">
        <v>0</v>
      </c>
      <c r="Q66" s="90">
        <v>0</v>
      </c>
      <c r="R66" s="87">
        <v>19560</v>
      </c>
      <c r="S66" s="87">
        <v>0</v>
      </c>
      <c r="T66" s="90">
        <v>140</v>
      </c>
      <c r="U66" s="150">
        <f t="shared" ref="U66:U70" si="18">SUM(F66:S66)</f>
        <v>305872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>
        <v>1345</v>
      </c>
      <c r="D67" s="87">
        <v>3607</v>
      </c>
      <c r="E67" s="87">
        <v>90</v>
      </c>
      <c r="F67" s="149">
        <v>118724</v>
      </c>
      <c r="G67" s="149"/>
      <c r="H67" s="88">
        <v>27462</v>
      </c>
      <c r="I67" s="88">
        <v>12966</v>
      </c>
      <c r="J67" s="88">
        <v>0</v>
      </c>
      <c r="K67" s="89">
        <v>4141</v>
      </c>
      <c r="L67" s="87">
        <v>0</v>
      </c>
      <c r="M67" s="87">
        <v>0</v>
      </c>
      <c r="N67" s="90">
        <v>0</v>
      </c>
      <c r="O67" s="87">
        <v>0</v>
      </c>
      <c r="P67" s="87">
        <v>0</v>
      </c>
      <c r="Q67" s="90">
        <v>0</v>
      </c>
      <c r="R67" s="87">
        <v>3022</v>
      </c>
      <c r="S67" s="87">
        <v>0</v>
      </c>
      <c r="T67" s="90">
        <v>0</v>
      </c>
      <c r="U67" s="150">
        <f t="shared" si="18"/>
        <v>166315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>
        <v>1344</v>
      </c>
      <c r="D68" s="87">
        <v>1835</v>
      </c>
      <c r="E68" s="87">
        <v>63</v>
      </c>
      <c r="F68" s="149">
        <v>68340</v>
      </c>
      <c r="G68" s="149"/>
      <c r="H68" s="88">
        <v>9736</v>
      </c>
      <c r="I68" s="88">
        <v>24061</v>
      </c>
      <c r="J68" s="88">
        <v>0</v>
      </c>
      <c r="K68" s="89">
        <v>0</v>
      </c>
      <c r="L68" s="87">
        <v>0</v>
      </c>
      <c r="M68" s="87">
        <v>0</v>
      </c>
      <c r="N68" s="90">
        <v>0</v>
      </c>
      <c r="O68" s="87">
        <v>0</v>
      </c>
      <c r="P68" s="87">
        <v>0</v>
      </c>
      <c r="Q68" s="90">
        <v>0</v>
      </c>
      <c r="R68" s="87">
        <v>0</v>
      </c>
      <c r="S68" s="87">
        <v>0</v>
      </c>
      <c r="T68" s="90">
        <v>300</v>
      </c>
      <c r="U68" s="150">
        <f t="shared" si="18"/>
        <v>102137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>
        <v>0</v>
      </c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10931</v>
      </c>
      <c r="E71" s="96">
        <f>SUM(E65:E70)</f>
        <v>347</v>
      </c>
      <c r="F71" s="133">
        <f>SUM(F65:G70)</f>
        <v>341785</v>
      </c>
      <c r="G71" s="134"/>
      <c r="H71" s="95">
        <f>SUM(H65:H70)</f>
        <v>76000</v>
      </c>
      <c r="I71" s="95">
        <f>SUM(I65:I70)</f>
        <v>138853</v>
      </c>
      <c r="J71" s="95">
        <f>SUM(J65:J70)</f>
        <v>0</v>
      </c>
      <c r="K71" s="95">
        <f t="shared" ref="K71:P71" si="19">SUM(K65:K70)</f>
        <v>8261</v>
      </c>
      <c r="L71" s="95">
        <f t="shared" si="19"/>
        <v>0</v>
      </c>
      <c r="M71" s="95">
        <f t="shared" si="19"/>
        <v>0</v>
      </c>
      <c r="N71" s="95">
        <f t="shared" si="19"/>
        <v>1397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22582</v>
      </c>
      <c r="S71" s="95">
        <f t="shared" si="20"/>
        <v>0</v>
      </c>
      <c r="T71" s="95">
        <f t="shared" si="20"/>
        <v>440</v>
      </c>
      <c r="U71" s="133">
        <f>SUM(U65:W70)</f>
        <v>588878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>
        <v>9749</v>
      </c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>
        <v>144972</v>
      </c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>
        <v>118724</v>
      </c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>
        <v>68340</v>
      </c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341785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341785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4B20E60F-B1BA-4CD5-993A-A88B98A9CF30}">
      <formula1>$AC$65:$AC$71</formula1>
    </dataValidation>
    <dataValidation type="list" allowBlank="1" showInputMessage="1" showErrorMessage="1" sqref="G60" xr:uid="{D5C42D09-AEA0-4438-90BF-1443F1D56273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6B11-777C-4CFF-9A31-6B255661E847}">
  <sheetPr>
    <pageSetUpPr fitToPage="1"/>
  </sheetPr>
  <dimension ref="A1:AG93"/>
  <sheetViews>
    <sheetView topLeftCell="A68" zoomScale="90" zoomScaleNormal="90" workbookViewId="0">
      <selection activeCell="B88" sqref="B88:G89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 t="str">
        <f>H60</f>
        <v>松葉沙矢香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2026</v>
      </c>
      <c r="D3" s="254"/>
      <c r="E3" s="255" t="s">
        <v>3</v>
      </c>
      <c r="F3" s="256">
        <f>D60</f>
        <v>46209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(月)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1347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12665</v>
      </c>
      <c r="F12" s="14">
        <f>F77</f>
        <v>0</v>
      </c>
      <c r="G12" s="15">
        <f>E12-F12</f>
        <v>12665</v>
      </c>
      <c r="H12" s="12" t="str">
        <f>I64</f>
        <v>クレカ</v>
      </c>
      <c r="I12" s="13">
        <f>I66</f>
        <v>13732</v>
      </c>
      <c r="J12" s="14">
        <f>G77</f>
        <v>0</v>
      </c>
      <c r="K12" s="15">
        <f t="shared" ref="K12:K15" si="3">I12-J12</f>
        <v>13732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75</v>
      </c>
      <c r="D13" s="20" t="str">
        <f>K64</f>
        <v>ID</v>
      </c>
      <c r="E13" s="21">
        <f>K66</f>
        <v>8078</v>
      </c>
      <c r="F13" s="22">
        <f>I77</f>
        <v>0</v>
      </c>
      <c r="G13" s="23">
        <f t="shared" ref="G13:G16" si="4">E13-F13</f>
        <v>8078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100</v>
      </c>
      <c r="F16" s="40">
        <f>R77</f>
        <v>0</v>
      </c>
      <c r="G16" s="41">
        <f t="shared" si="4"/>
        <v>100</v>
      </c>
      <c r="H16" s="233" t="s">
        <v>9</v>
      </c>
      <c r="I16" s="234"/>
      <c r="J16" s="235">
        <f>G12+G13+K12+K13+O12+O13+G14+K14+O14+G15+K15+O15</f>
        <v>34475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1346</v>
      </c>
      <c r="C17" s="43">
        <f>D66</f>
        <v>1207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110951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76476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76476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9552</v>
      </c>
      <c r="F19" s="14">
        <f>F78</f>
        <v>0</v>
      </c>
      <c r="G19" s="15">
        <f>E19-F19</f>
        <v>9552</v>
      </c>
      <c r="H19" s="12" t="str">
        <f>I64</f>
        <v>クレカ</v>
      </c>
      <c r="I19" s="13">
        <f>I67</f>
        <v>5553</v>
      </c>
      <c r="J19" s="14">
        <f>G78</f>
        <v>0</v>
      </c>
      <c r="K19" s="15">
        <f t="shared" ref="K19:K22" si="6">I19-J19</f>
        <v>5553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13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15105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1346</v>
      </c>
      <c r="C24" s="43">
        <f>D67</f>
        <v>630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37549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22444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22444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1803</v>
      </c>
      <c r="J26" s="14">
        <f>G79</f>
        <v>0</v>
      </c>
      <c r="K26" s="15">
        <f t="shared" ref="K26:K29" si="9">I26-J26</f>
        <v>1803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1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1803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1345</v>
      </c>
      <c r="C31" s="43">
        <f>D68</f>
        <v>8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1803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22217</v>
      </c>
      <c r="G49" s="231"/>
      <c r="H49" s="229" t="str">
        <f>I64</f>
        <v>クレカ</v>
      </c>
      <c r="I49" s="230"/>
      <c r="J49" s="224">
        <f>K5+K12+K19+K26+K33+K40</f>
        <v>21088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89</v>
      </c>
      <c r="D50" s="222" t="str">
        <f>K64</f>
        <v>ID</v>
      </c>
      <c r="E50" s="223"/>
      <c r="F50" s="219">
        <f>G6+G13+G20+G27+G34+G41</f>
        <v>8078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1845</v>
      </c>
      <c r="D53" s="200" t="str">
        <f>T64</f>
        <v>当たり券</v>
      </c>
      <c r="E53" s="201"/>
      <c r="F53" s="202">
        <f>G9+G16+G23+G30+G37+G44</f>
        <v>100</v>
      </c>
      <c r="G53" s="203"/>
      <c r="H53" s="204" t="s">
        <v>9</v>
      </c>
      <c r="I53" s="205"/>
      <c r="J53" s="206">
        <f>J9+J16+J23+J30+J37+J44</f>
        <v>51383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98920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>
        <f>L56/C50</f>
        <v>1688.7977528089887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150303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98920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98920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>
        <v>2026</v>
      </c>
      <c r="C60" s="75" t="s">
        <v>3</v>
      </c>
      <c r="D60" s="153">
        <v>46209</v>
      </c>
      <c r="E60" s="154"/>
      <c r="F60" s="75" t="s">
        <v>38</v>
      </c>
      <c r="G60" s="76" t="str">
        <f>TEXT(D60,"(aaa)")</f>
        <v>(月)</v>
      </c>
      <c r="H60" s="125" t="s">
        <v>81</v>
      </c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>
        <v>1347</v>
      </c>
      <c r="D65" s="87">
        <v>0</v>
      </c>
      <c r="E65" s="87">
        <v>0</v>
      </c>
      <c r="F65" s="149">
        <v>0</v>
      </c>
      <c r="G65" s="149"/>
      <c r="H65" s="88">
        <v>0</v>
      </c>
      <c r="I65" s="88">
        <v>0</v>
      </c>
      <c r="J65" s="88">
        <v>0</v>
      </c>
      <c r="K65" s="89">
        <v>0</v>
      </c>
      <c r="L65" s="87">
        <v>0</v>
      </c>
      <c r="M65" s="87">
        <v>0</v>
      </c>
      <c r="N65" s="90">
        <v>0</v>
      </c>
      <c r="O65" s="87">
        <v>0</v>
      </c>
      <c r="P65" s="87">
        <v>0</v>
      </c>
      <c r="Q65" s="90">
        <v>0</v>
      </c>
      <c r="R65" s="87">
        <v>0</v>
      </c>
      <c r="S65" s="87">
        <v>0</v>
      </c>
      <c r="T65" s="90">
        <v>0</v>
      </c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>
        <v>1346</v>
      </c>
      <c r="D66" s="87">
        <v>1207</v>
      </c>
      <c r="E66" s="87">
        <v>75</v>
      </c>
      <c r="F66" s="149">
        <v>76476</v>
      </c>
      <c r="G66" s="149"/>
      <c r="H66" s="88">
        <v>12665</v>
      </c>
      <c r="I66" s="88">
        <v>13732</v>
      </c>
      <c r="J66" s="88">
        <v>0</v>
      </c>
      <c r="K66" s="89">
        <v>8078</v>
      </c>
      <c r="L66" s="87">
        <v>0</v>
      </c>
      <c r="M66" s="87">
        <v>0</v>
      </c>
      <c r="N66" s="90">
        <v>0</v>
      </c>
      <c r="O66" s="87">
        <v>0</v>
      </c>
      <c r="P66" s="87">
        <v>0</v>
      </c>
      <c r="Q66" s="90">
        <v>0</v>
      </c>
      <c r="R66" s="87">
        <v>0</v>
      </c>
      <c r="S66" s="87">
        <v>0</v>
      </c>
      <c r="T66" s="90">
        <v>100</v>
      </c>
      <c r="U66" s="150">
        <f t="shared" ref="U66:U70" si="18">SUM(F66:S66)</f>
        <v>110951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>
        <v>1346</v>
      </c>
      <c r="D67" s="87">
        <v>630</v>
      </c>
      <c r="E67" s="87">
        <v>13</v>
      </c>
      <c r="F67" s="149">
        <v>22444</v>
      </c>
      <c r="G67" s="149"/>
      <c r="H67" s="88">
        <v>9552</v>
      </c>
      <c r="I67" s="88">
        <v>5553</v>
      </c>
      <c r="J67" s="88">
        <v>0</v>
      </c>
      <c r="K67" s="89">
        <v>0</v>
      </c>
      <c r="L67" s="87">
        <v>0</v>
      </c>
      <c r="M67" s="87">
        <v>0</v>
      </c>
      <c r="N67" s="90">
        <v>0</v>
      </c>
      <c r="O67" s="87">
        <v>0</v>
      </c>
      <c r="P67" s="87">
        <v>0</v>
      </c>
      <c r="Q67" s="90">
        <v>0</v>
      </c>
      <c r="R67" s="87">
        <v>0</v>
      </c>
      <c r="S67" s="87">
        <v>0</v>
      </c>
      <c r="T67" s="90">
        <v>0</v>
      </c>
      <c r="U67" s="150">
        <f t="shared" si="18"/>
        <v>37549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>
        <v>1345</v>
      </c>
      <c r="D68" s="87">
        <v>8</v>
      </c>
      <c r="E68" s="87">
        <v>1</v>
      </c>
      <c r="F68" s="149">
        <v>0</v>
      </c>
      <c r="G68" s="149"/>
      <c r="H68" s="88">
        <v>0</v>
      </c>
      <c r="I68" s="88">
        <v>1803</v>
      </c>
      <c r="J68" s="88">
        <v>0</v>
      </c>
      <c r="K68" s="89">
        <v>0</v>
      </c>
      <c r="L68" s="87">
        <v>0</v>
      </c>
      <c r="M68" s="87">
        <v>0</v>
      </c>
      <c r="N68" s="90">
        <v>0</v>
      </c>
      <c r="O68" s="87">
        <v>0</v>
      </c>
      <c r="P68" s="87">
        <v>0</v>
      </c>
      <c r="Q68" s="90">
        <v>0</v>
      </c>
      <c r="R68" s="87">
        <v>0</v>
      </c>
      <c r="S68" s="87">
        <v>0</v>
      </c>
      <c r="T68" s="90">
        <v>0</v>
      </c>
      <c r="U68" s="150">
        <f t="shared" si="18"/>
        <v>1803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>
        <v>0</v>
      </c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>
        <v>0</v>
      </c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1845</v>
      </c>
      <c r="E71" s="96">
        <f>SUM(E65:E70)</f>
        <v>89</v>
      </c>
      <c r="F71" s="133">
        <f>SUM(F65:G70)</f>
        <v>98920</v>
      </c>
      <c r="G71" s="134"/>
      <c r="H71" s="95">
        <f>SUM(H65:H70)</f>
        <v>22217</v>
      </c>
      <c r="I71" s="95">
        <f>SUM(I65:I70)</f>
        <v>21088</v>
      </c>
      <c r="J71" s="95">
        <f>SUM(J65:J70)</f>
        <v>0</v>
      </c>
      <c r="K71" s="95">
        <f t="shared" ref="K71:P71" si="19">SUM(K65:K70)</f>
        <v>8078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100</v>
      </c>
      <c r="U71" s="133">
        <f>SUM(U65:W70)</f>
        <v>150303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>
        <v>0</v>
      </c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>
        <v>76476</v>
      </c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>
        <v>22444</v>
      </c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>
        <v>0</v>
      </c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98920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98920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F4BDCB73-9027-4227-9537-D921D5D5BCF5}">
      <formula1>$AC$65:$AC$71</formula1>
    </dataValidation>
    <dataValidation type="list" allowBlank="1" showInputMessage="1" showErrorMessage="1" sqref="G60" xr:uid="{7DAF6B97-AF3A-445B-B35E-0808B2BCD31A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CDCB-CACD-42C7-832C-4DFAD9485718}">
  <sheetPr>
    <pageSetUpPr fitToPage="1"/>
  </sheetPr>
  <dimension ref="A1:AG93"/>
  <sheetViews>
    <sheetView topLeftCell="A64" zoomScale="90" zoomScaleNormal="90" workbookViewId="0">
      <selection activeCell="F15" sqref="F15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 t="str">
        <f>H60</f>
        <v>篠田　彩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2026</v>
      </c>
      <c r="D3" s="254"/>
      <c r="E3" s="255" t="s">
        <v>3</v>
      </c>
      <c r="F3" s="256">
        <f>D60</f>
        <v>46210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(火)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1348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24128</v>
      </c>
      <c r="F12" s="14">
        <f>F77</f>
        <v>0</v>
      </c>
      <c r="G12" s="15">
        <f>E12-F12</f>
        <v>24128</v>
      </c>
      <c r="H12" s="12" t="str">
        <f>I64</f>
        <v>クレカ</v>
      </c>
      <c r="I12" s="13">
        <f>I66</f>
        <v>22720</v>
      </c>
      <c r="J12" s="14">
        <f>G77</f>
        <v>0</v>
      </c>
      <c r="K12" s="15">
        <f t="shared" ref="K12:K15" si="3">I12-J12</f>
        <v>22720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82</v>
      </c>
      <c r="D13" s="20" t="str">
        <f>K64</f>
        <v>ID</v>
      </c>
      <c r="E13" s="21">
        <f>K66</f>
        <v>2893</v>
      </c>
      <c r="F13" s="22">
        <f>I77</f>
        <v>0</v>
      </c>
      <c r="G13" s="23">
        <f t="shared" ref="G13:G16" si="4">E13-F13</f>
        <v>2893</v>
      </c>
      <c r="H13" s="20" t="str">
        <f>L64</f>
        <v>楽天</v>
      </c>
      <c r="I13" s="21">
        <f>L66</f>
        <v>1182</v>
      </c>
      <c r="J13" s="22">
        <f>J77</f>
        <v>0</v>
      </c>
      <c r="K13" s="24">
        <f t="shared" si="3"/>
        <v>1182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1968</v>
      </c>
      <c r="F14" s="27">
        <f>L77</f>
        <v>0</v>
      </c>
      <c r="G14" s="23">
        <f t="shared" si="4"/>
        <v>1968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545</v>
      </c>
      <c r="J15" s="22">
        <f>P77</f>
        <v>0</v>
      </c>
      <c r="K15" s="24">
        <f t="shared" si="3"/>
        <v>545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53436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1347</v>
      </c>
      <c r="C17" s="43">
        <f>D66</f>
        <v>1936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123983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70547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70547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979</v>
      </c>
      <c r="J19" s="14">
        <f>G78</f>
        <v>0</v>
      </c>
      <c r="K19" s="15">
        <f t="shared" ref="K19:K22" si="6">I19-J19</f>
        <v>979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12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979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1347</v>
      </c>
      <c r="C24" s="43">
        <f>D67</f>
        <v>218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21776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20797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20797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1346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24128</v>
      </c>
      <c r="G49" s="231"/>
      <c r="H49" s="229" t="str">
        <f>I64</f>
        <v>クレカ</v>
      </c>
      <c r="I49" s="230"/>
      <c r="J49" s="224">
        <f>K5+K12+K19+K26+K33+K40</f>
        <v>23699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94</v>
      </c>
      <c r="D50" s="222" t="str">
        <f>K64</f>
        <v>ID</v>
      </c>
      <c r="E50" s="223"/>
      <c r="F50" s="219">
        <f>G6+G13+G20+G27+G34+G41</f>
        <v>2893</v>
      </c>
      <c r="G50" s="220"/>
      <c r="H50" s="217" t="str">
        <f>L64</f>
        <v>楽天</v>
      </c>
      <c r="I50" s="218"/>
      <c r="J50" s="219">
        <f>K6+K13+K20+K27+K34+K41</f>
        <v>1182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1968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545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2154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54415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91344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>
        <f>L56/C50</f>
        <v>1550.627659574468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145759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91344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91344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>
        <v>2026</v>
      </c>
      <c r="C60" s="75" t="s">
        <v>3</v>
      </c>
      <c r="D60" s="153">
        <v>46210</v>
      </c>
      <c r="E60" s="154"/>
      <c r="F60" s="75" t="s">
        <v>38</v>
      </c>
      <c r="G60" s="76" t="str">
        <f>TEXT(D60,"(aaa)")</f>
        <v>(火)</v>
      </c>
      <c r="H60" s="125" t="s">
        <v>82</v>
      </c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>
        <v>1348</v>
      </c>
      <c r="D65" s="87">
        <v>0</v>
      </c>
      <c r="E65" s="87">
        <v>0</v>
      </c>
      <c r="F65" s="149">
        <v>0</v>
      </c>
      <c r="G65" s="149"/>
      <c r="H65" s="88">
        <v>0</v>
      </c>
      <c r="I65" s="88">
        <v>0</v>
      </c>
      <c r="J65" s="88">
        <v>0</v>
      </c>
      <c r="K65" s="89">
        <v>0</v>
      </c>
      <c r="L65" s="87">
        <v>0</v>
      </c>
      <c r="M65" s="87">
        <v>0</v>
      </c>
      <c r="N65" s="90">
        <v>0</v>
      </c>
      <c r="O65" s="87">
        <v>0</v>
      </c>
      <c r="P65" s="87">
        <v>0</v>
      </c>
      <c r="Q65" s="90">
        <v>0</v>
      </c>
      <c r="R65" s="87">
        <v>0</v>
      </c>
      <c r="S65" s="87">
        <v>0</v>
      </c>
      <c r="T65" s="90">
        <v>0</v>
      </c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>
        <v>1347</v>
      </c>
      <c r="D66" s="87">
        <v>1936</v>
      </c>
      <c r="E66" s="87">
        <v>82</v>
      </c>
      <c r="F66" s="149">
        <v>70547</v>
      </c>
      <c r="G66" s="149"/>
      <c r="H66" s="88">
        <v>24128</v>
      </c>
      <c r="I66" s="88">
        <v>22720</v>
      </c>
      <c r="J66" s="88">
        <v>0</v>
      </c>
      <c r="K66" s="89">
        <v>2893</v>
      </c>
      <c r="L66" s="87">
        <v>1182</v>
      </c>
      <c r="M66" s="87">
        <v>0</v>
      </c>
      <c r="N66" s="90">
        <v>1968</v>
      </c>
      <c r="O66" s="87">
        <v>0</v>
      </c>
      <c r="P66" s="87">
        <v>0</v>
      </c>
      <c r="Q66" s="90">
        <v>0</v>
      </c>
      <c r="R66" s="87">
        <v>545</v>
      </c>
      <c r="S66" s="87">
        <v>0</v>
      </c>
      <c r="T66" s="90">
        <v>0</v>
      </c>
      <c r="U66" s="150">
        <f t="shared" ref="U66:U70" si="18">SUM(F66:S66)</f>
        <v>123983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>
        <v>1347</v>
      </c>
      <c r="D67" s="87">
        <v>218</v>
      </c>
      <c r="E67" s="87">
        <v>12</v>
      </c>
      <c r="F67" s="149">
        <v>20797</v>
      </c>
      <c r="G67" s="149"/>
      <c r="H67" s="88">
        <v>0</v>
      </c>
      <c r="I67" s="88">
        <v>979</v>
      </c>
      <c r="J67" s="88">
        <v>0</v>
      </c>
      <c r="K67" s="89">
        <v>0</v>
      </c>
      <c r="L67" s="87">
        <v>0</v>
      </c>
      <c r="M67" s="87">
        <v>0</v>
      </c>
      <c r="N67" s="90">
        <v>0</v>
      </c>
      <c r="O67" s="87">
        <v>0</v>
      </c>
      <c r="P67" s="87">
        <v>0</v>
      </c>
      <c r="Q67" s="90">
        <v>0</v>
      </c>
      <c r="R67" s="87">
        <v>0</v>
      </c>
      <c r="S67" s="87">
        <v>0</v>
      </c>
      <c r="T67" s="90">
        <v>0</v>
      </c>
      <c r="U67" s="150">
        <f t="shared" si="18"/>
        <v>21776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>
        <v>1346</v>
      </c>
      <c r="D68" s="87">
        <v>0</v>
      </c>
      <c r="E68" s="87">
        <v>0</v>
      </c>
      <c r="F68" s="149">
        <v>0</v>
      </c>
      <c r="G68" s="149"/>
      <c r="H68" s="88">
        <v>0</v>
      </c>
      <c r="I68" s="88">
        <v>0</v>
      </c>
      <c r="J68" s="88">
        <v>0</v>
      </c>
      <c r="K68" s="89">
        <v>0</v>
      </c>
      <c r="L68" s="87">
        <v>0</v>
      </c>
      <c r="M68" s="87">
        <v>0</v>
      </c>
      <c r="N68" s="90">
        <v>0</v>
      </c>
      <c r="O68" s="87">
        <v>0</v>
      </c>
      <c r="P68" s="87">
        <v>0</v>
      </c>
      <c r="Q68" s="90">
        <v>0</v>
      </c>
      <c r="R68" s="87">
        <v>0</v>
      </c>
      <c r="S68" s="87">
        <v>0</v>
      </c>
      <c r="T68" s="90">
        <v>0</v>
      </c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>
        <v>0</v>
      </c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>
        <v>0</v>
      </c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2154</v>
      </c>
      <c r="E71" s="96">
        <f>SUM(E65:E70)</f>
        <v>94</v>
      </c>
      <c r="F71" s="133">
        <f>SUM(F65:G70)</f>
        <v>91344</v>
      </c>
      <c r="G71" s="134"/>
      <c r="H71" s="95">
        <f>SUM(H65:H70)</f>
        <v>24128</v>
      </c>
      <c r="I71" s="95">
        <f>SUM(I65:I70)</f>
        <v>23699</v>
      </c>
      <c r="J71" s="95">
        <f>SUM(J65:J70)</f>
        <v>0</v>
      </c>
      <c r="K71" s="95">
        <f t="shared" ref="K71:P71" si="19">SUM(K65:K70)</f>
        <v>2893</v>
      </c>
      <c r="L71" s="95">
        <f t="shared" si="19"/>
        <v>1182</v>
      </c>
      <c r="M71" s="95">
        <f t="shared" si="19"/>
        <v>0</v>
      </c>
      <c r="N71" s="95">
        <f t="shared" si="19"/>
        <v>1968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545</v>
      </c>
      <c r="S71" s="95">
        <f t="shared" si="20"/>
        <v>0</v>
      </c>
      <c r="T71" s="95">
        <f t="shared" si="20"/>
        <v>0</v>
      </c>
      <c r="U71" s="133">
        <f>SUM(U65:W70)</f>
        <v>145759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>
        <v>0</v>
      </c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>
        <v>70547</v>
      </c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>
        <v>20797</v>
      </c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>
        <v>0</v>
      </c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91344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91344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3B3DBF7B-AA80-4FE7-BA60-653D28400432}">
      <formula1>$AC$65:$AC$71</formula1>
    </dataValidation>
    <dataValidation type="list" allowBlank="1" showInputMessage="1" showErrorMessage="1" sqref="G60" xr:uid="{9F07E53B-63EE-4539-BC41-31DC4E21CAE5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2E70-B8C8-47A7-BCCC-58A66AAB5D6F}">
  <sheetPr>
    <pageSetUpPr fitToPage="1"/>
  </sheetPr>
  <dimension ref="A1:AG93"/>
  <sheetViews>
    <sheetView topLeftCell="A65" zoomScale="90" zoomScaleNormal="90" workbookViewId="0">
      <selection activeCell="O78" sqref="O78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 t="str">
        <f>H60</f>
        <v>hanada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2026</v>
      </c>
      <c r="D3" s="254"/>
      <c r="E3" s="255" t="s">
        <v>3</v>
      </c>
      <c r="F3" s="256">
        <f>D60</f>
        <v>46211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(水)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1349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24785</v>
      </c>
      <c r="F12" s="14">
        <f>F77</f>
        <v>0</v>
      </c>
      <c r="G12" s="15">
        <f>E12-F12</f>
        <v>24785</v>
      </c>
      <c r="H12" s="12" t="str">
        <f>I64</f>
        <v>クレカ</v>
      </c>
      <c r="I12" s="13">
        <f>I66</f>
        <v>22437</v>
      </c>
      <c r="J12" s="14">
        <f>G77</f>
        <v>0</v>
      </c>
      <c r="K12" s="15">
        <f t="shared" ref="K12:K15" si="3">I12-J12</f>
        <v>22437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96</v>
      </c>
      <c r="D13" s="20" t="str">
        <f>K64</f>
        <v>ID</v>
      </c>
      <c r="E13" s="21">
        <f>K66</f>
        <v>9712</v>
      </c>
      <c r="F13" s="22">
        <f>I77</f>
        <v>0</v>
      </c>
      <c r="G13" s="23">
        <f t="shared" ref="G13:G16" si="4">E13-F13</f>
        <v>9712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584</v>
      </c>
      <c r="N13" s="27">
        <f>K77</f>
        <v>0</v>
      </c>
      <c r="O13" s="28">
        <f t="shared" ref="O13:O15" si="5">M13-N13</f>
        <v>584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1543</v>
      </c>
      <c r="F14" s="27">
        <f>L77</f>
        <v>0</v>
      </c>
      <c r="G14" s="23">
        <f t="shared" si="4"/>
        <v>1543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100</v>
      </c>
      <c r="F16" s="40">
        <f>R77</f>
        <v>0</v>
      </c>
      <c r="G16" s="41">
        <f t="shared" si="4"/>
        <v>100</v>
      </c>
      <c r="H16" s="233" t="s">
        <v>9</v>
      </c>
      <c r="I16" s="234"/>
      <c r="J16" s="235">
        <f>G12+G13+K12+K13+O12+O13+G14+K14+O14+G15+K15+O15</f>
        <v>59061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1348</v>
      </c>
      <c r="C17" s="43">
        <f>D66</f>
        <v>1611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116966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57905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57905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6977</v>
      </c>
      <c r="F19" s="14">
        <f>F78</f>
        <v>0</v>
      </c>
      <c r="G19" s="15">
        <f>E19-F19</f>
        <v>6977</v>
      </c>
      <c r="H19" s="12" t="str">
        <f>I64</f>
        <v>クレカ</v>
      </c>
      <c r="I19" s="13">
        <f>I67</f>
        <v>19014</v>
      </c>
      <c r="J19" s="14">
        <f>G78</f>
        <v>0</v>
      </c>
      <c r="K19" s="15">
        <f t="shared" ref="K19:K22" si="6">I19-J19</f>
        <v>19014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18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O77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25991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1348</v>
      </c>
      <c r="C24" s="43">
        <f>D67</f>
        <v>769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37728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11737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11737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1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1347</v>
      </c>
      <c r="C31" s="43">
        <f>D68</f>
        <v>21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1111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1111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1111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31762</v>
      </c>
      <c r="G49" s="231"/>
      <c r="H49" s="229" t="str">
        <f>I64</f>
        <v>クレカ</v>
      </c>
      <c r="I49" s="230"/>
      <c r="J49" s="224">
        <f>K5+K12+K19+K26+K33+K40</f>
        <v>41451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115</v>
      </c>
      <c r="D50" s="222" t="str">
        <f>K64</f>
        <v>ID</v>
      </c>
      <c r="E50" s="223"/>
      <c r="F50" s="219">
        <f>G6+G13+G20+G27+G34+G41</f>
        <v>9712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584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1543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2401</v>
      </c>
      <c r="D53" s="200" t="str">
        <f>T64</f>
        <v>当たり券</v>
      </c>
      <c r="E53" s="201"/>
      <c r="F53" s="202">
        <f>G9+G16+G23+G30+G37+G44</f>
        <v>100</v>
      </c>
      <c r="G53" s="203"/>
      <c r="H53" s="204" t="s">
        <v>9</v>
      </c>
      <c r="I53" s="205"/>
      <c r="J53" s="206">
        <f>J9+J16+J23+J30+J37+J44</f>
        <v>85052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70753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>
        <f>L56/C50</f>
        <v>1354.8260869565217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155805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70753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70753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>
        <v>2026</v>
      </c>
      <c r="C60" s="75" t="s">
        <v>3</v>
      </c>
      <c r="D60" s="153">
        <v>46211</v>
      </c>
      <c r="E60" s="154"/>
      <c r="F60" s="75" t="s">
        <v>38</v>
      </c>
      <c r="G60" s="76" t="str">
        <f>TEXT(D60,"(aaa)")</f>
        <v>(水)</v>
      </c>
      <c r="H60" s="125" t="s">
        <v>79</v>
      </c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>
        <v>1349</v>
      </c>
      <c r="D65" s="87">
        <v>0</v>
      </c>
      <c r="E65" s="87">
        <v>0</v>
      </c>
      <c r="F65" s="149">
        <v>0</v>
      </c>
      <c r="G65" s="149"/>
      <c r="H65" s="88">
        <v>0</v>
      </c>
      <c r="I65" s="88">
        <v>0</v>
      </c>
      <c r="J65" s="88">
        <v>0</v>
      </c>
      <c r="K65" s="89">
        <v>0</v>
      </c>
      <c r="L65" s="87">
        <v>0</v>
      </c>
      <c r="M65" s="87">
        <v>0</v>
      </c>
      <c r="N65" s="90">
        <v>0</v>
      </c>
      <c r="O65" s="87">
        <v>0</v>
      </c>
      <c r="P65" s="87">
        <v>0</v>
      </c>
      <c r="Q65" s="90">
        <v>0</v>
      </c>
      <c r="R65" s="87">
        <v>0</v>
      </c>
      <c r="S65" s="87">
        <v>0</v>
      </c>
      <c r="T65" s="90">
        <v>0</v>
      </c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>
        <v>1348</v>
      </c>
      <c r="D66" s="87">
        <v>1611</v>
      </c>
      <c r="E66" s="87">
        <v>96</v>
      </c>
      <c r="F66" s="149">
        <v>57905</v>
      </c>
      <c r="G66" s="149"/>
      <c r="H66" s="88">
        <v>24785</v>
      </c>
      <c r="I66" s="88">
        <v>22437</v>
      </c>
      <c r="J66" s="88">
        <v>0</v>
      </c>
      <c r="K66" s="89">
        <v>9712</v>
      </c>
      <c r="L66" s="87">
        <v>0</v>
      </c>
      <c r="M66" s="87">
        <v>584</v>
      </c>
      <c r="N66" s="90">
        <v>1543</v>
      </c>
      <c r="O66" s="87">
        <v>0</v>
      </c>
      <c r="P66" s="87">
        <v>0</v>
      </c>
      <c r="Q66" s="90">
        <v>0</v>
      </c>
      <c r="R66" s="87">
        <v>0</v>
      </c>
      <c r="S66" s="87">
        <v>0</v>
      </c>
      <c r="T66" s="90">
        <v>100</v>
      </c>
      <c r="U66" s="150">
        <f t="shared" ref="U66:U70" si="18">SUM(F66:S66)</f>
        <v>116966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>
        <v>1348</v>
      </c>
      <c r="D67" s="87">
        <v>769</v>
      </c>
      <c r="E67" s="87">
        <v>18</v>
      </c>
      <c r="F67" s="149">
        <v>11737</v>
      </c>
      <c r="G67" s="149"/>
      <c r="H67" s="88">
        <v>6977</v>
      </c>
      <c r="I67" s="88">
        <v>19014</v>
      </c>
      <c r="J67" s="88">
        <v>0</v>
      </c>
      <c r="K67" s="89">
        <v>0</v>
      </c>
      <c r="L67" s="87">
        <v>0</v>
      </c>
      <c r="M67" s="87">
        <v>0</v>
      </c>
      <c r="N67" s="90">
        <v>0</v>
      </c>
      <c r="O67" s="87">
        <v>0</v>
      </c>
      <c r="P67" s="87">
        <v>0</v>
      </c>
      <c r="Q67" s="90">
        <v>0</v>
      </c>
      <c r="R67" s="87">
        <v>0</v>
      </c>
      <c r="S67" s="87">
        <v>0</v>
      </c>
      <c r="T67" s="90">
        <v>0</v>
      </c>
      <c r="U67" s="150">
        <f t="shared" si="18"/>
        <v>37728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>
        <v>1347</v>
      </c>
      <c r="D68" s="87">
        <v>21</v>
      </c>
      <c r="E68" s="87">
        <v>1</v>
      </c>
      <c r="F68" s="149">
        <v>1111</v>
      </c>
      <c r="G68" s="149"/>
      <c r="H68" s="88">
        <v>0</v>
      </c>
      <c r="I68" s="88">
        <v>0</v>
      </c>
      <c r="J68" s="88">
        <v>0</v>
      </c>
      <c r="K68" s="89">
        <v>0</v>
      </c>
      <c r="L68" s="87">
        <v>0</v>
      </c>
      <c r="M68" s="87">
        <v>0</v>
      </c>
      <c r="N68" s="90">
        <v>0</v>
      </c>
      <c r="O68" s="87">
        <v>0</v>
      </c>
      <c r="P68" s="87">
        <v>0</v>
      </c>
      <c r="Q68" s="90">
        <v>0</v>
      </c>
      <c r="R68" s="87">
        <v>0</v>
      </c>
      <c r="S68" s="87">
        <v>0</v>
      </c>
      <c r="T68" s="90">
        <v>0</v>
      </c>
      <c r="U68" s="150">
        <f t="shared" si="18"/>
        <v>1111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2401</v>
      </c>
      <c r="E71" s="96">
        <f>SUM(E65:E70)</f>
        <v>115</v>
      </c>
      <c r="F71" s="133">
        <f>SUM(F65:G70)</f>
        <v>70753</v>
      </c>
      <c r="G71" s="134"/>
      <c r="H71" s="95">
        <f>SUM(H65:H70)</f>
        <v>31762</v>
      </c>
      <c r="I71" s="95">
        <f>SUM(I65:I70)</f>
        <v>41451</v>
      </c>
      <c r="J71" s="95">
        <f>SUM(J65:J70)</f>
        <v>0</v>
      </c>
      <c r="K71" s="95">
        <f t="shared" ref="K71:P71" si="19">SUM(K65:K70)</f>
        <v>9712</v>
      </c>
      <c r="L71" s="95">
        <f t="shared" si="19"/>
        <v>0</v>
      </c>
      <c r="M71" s="95">
        <f t="shared" si="19"/>
        <v>584</v>
      </c>
      <c r="N71" s="95">
        <f t="shared" si="19"/>
        <v>1543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100</v>
      </c>
      <c r="U71" s="133">
        <f>SUM(U65:W70)</f>
        <v>155805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>
        <v>0</v>
      </c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>
        <v>57905</v>
      </c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>
        <v>11737</v>
      </c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14"/>
      <c r="P78" s="102"/>
      <c r="Q78" s="103"/>
      <c r="R78" s="104"/>
    </row>
    <row r="79" spans="2:27" ht="14.25" customHeight="1" x14ac:dyDescent="0.35">
      <c r="B79" s="101" t="s">
        <v>62</v>
      </c>
      <c r="C79" s="129">
        <v>1111</v>
      </c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70753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70753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N81 P76:R81 O76:O77 O79:O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8688792E-BB0D-4541-8658-0D96AFED9911}">
      <formula1>$AC$65:$AC$71</formula1>
    </dataValidation>
    <dataValidation type="list" allowBlank="1" showInputMessage="1" showErrorMessage="1" sqref="G60" xr:uid="{AFDF1FDE-6E6E-409E-8FA5-8DCCFFC1B3E9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FE45-A902-4410-924F-8A49A780D000}">
  <sheetPr>
    <pageSetUpPr fitToPage="1"/>
  </sheetPr>
  <dimension ref="A1:AG93"/>
  <sheetViews>
    <sheetView topLeftCell="A66" zoomScale="80" zoomScaleNormal="80" workbookViewId="0">
      <selection activeCell="F78" sqref="F78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 t="str">
        <f>H60</f>
        <v>松葉沙矢香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2026</v>
      </c>
      <c r="D3" s="254"/>
      <c r="E3" s="255" t="s">
        <v>3</v>
      </c>
      <c r="F3" s="256">
        <f>D60</f>
        <v>46212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(木)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1350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1682</v>
      </c>
      <c r="F12" s="14">
        <f>F77</f>
        <v>0</v>
      </c>
      <c r="G12" s="15">
        <f>E12-F12</f>
        <v>1682</v>
      </c>
      <c r="H12" s="12" t="str">
        <f>I64</f>
        <v>クレカ</v>
      </c>
      <c r="I12" s="13">
        <f>I66</f>
        <v>8352</v>
      </c>
      <c r="J12" s="14">
        <f>G77</f>
        <v>0</v>
      </c>
      <c r="K12" s="15">
        <f t="shared" ref="K12:K15" si="3">I12-J12</f>
        <v>8352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56</v>
      </c>
      <c r="D13" s="20" t="str">
        <f>K64</f>
        <v>ID</v>
      </c>
      <c r="E13" s="21">
        <f>K66</f>
        <v>827</v>
      </c>
      <c r="F13" s="22">
        <f>I77</f>
        <v>0</v>
      </c>
      <c r="G13" s="23">
        <f t="shared" ref="G13:G16" si="4">E13-F13</f>
        <v>827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674</v>
      </c>
      <c r="F14" s="27">
        <f>L77</f>
        <v>0</v>
      </c>
      <c r="G14" s="23">
        <f t="shared" si="4"/>
        <v>674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5074</v>
      </c>
      <c r="F15" s="27">
        <f>O77</f>
        <v>0</v>
      </c>
      <c r="G15" s="23">
        <f t="shared" si="4"/>
        <v>5074</v>
      </c>
      <c r="H15" s="25" t="str">
        <f>R64</f>
        <v>フリー③</v>
      </c>
      <c r="I15" s="34">
        <f>R66</f>
        <v>3079</v>
      </c>
      <c r="J15" s="22">
        <f>P77</f>
        <v>0</v>
      </c>
      <c r="K15" s="24">
        <f t="shared" si="3"/>
        <v>3079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19688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1349</v>
      </c>
      <c r="C17" s="43">
        <f>D66</f>
        <v>3240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135913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116225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116225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1721</v>
      </c>
      <c r="F19" s="14">
        <f>F78</f>
        <v>0</v>
      </c>
      <c r="G19" s="15">
        <f>E19-F19</f>
        <v>1721</v>
      </c>
      <c r="H19" s="12" t="str">
        <f>I64</f>
        <v>クレカ</v>
      </c>
      <c r="I19" s="13">
        <f>I67</f>
        <v>427</v>
      </c>
      <c r="J19" s="14">
        <f>G78</f>
        <v>0</v>
      </c>
      <c r="K19" s="15">
        <f t="shared" ref="K19:K22" si="6">I19-J19</f>
        <v>427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10</v>
      </c>
      <c r="D20" s="20" t="str">
        <f>K64</f>
        <v>ID</v>
      </c>
      <c r="E20" s="21">
        <f>K67</f>
        <v>22437</v>
      </c>
      <c r="F20" s="22">
        <f>I78</f>
        <v>0</v>
      </c>
      <c r="G20" s="23">
        <f t="shared" ref="G20:G23" si="7">E20-F20</f>
        <v>22437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24585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1349</v>
      </c>
      <c r="C24" s="43">
        <f>D67</f>
        <v>824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31901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7316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7316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1348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3403</v>
      </c>
      <c r="G49" s="231"/>
      <c r="H49" s="229" t="str">
        <f>I64</f>
        <v>クレカ</v>
      </c>
      <c r="I49" s="230"/>
      <c r="J49" s="224">
        <f>K5+K12+K19+K26+K33+K40</f>
        <v>8779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66</v>
      </c>
      <c r="D50" s="222" t="str">
        <f>K64</f>
        <v>ID</v>
      </c>
      <c r="E50" s="223"/>
      <c r="F50" s="219">
        <f>G6+G13+G20+G27+G34+G41</f>
        <v>23264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674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5074</v>
      </c>
      <c r="G52" s="220"/>
      <c r="H52" s="217" t="str">
        <f>R64</f>
        <v>フリー③</v>
      </c>
      <c r="I52" s="218"/>
      <c r="J52" s="219">
        <f>K8+K15+K22+K29+K36+K43</f>
        <v>3079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4064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44273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123541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>
        <f>L56/C50</f>
        <v>2542.6363636363635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167814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123541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123541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>
        <v>2026</v>
      </c>
      <c r="C60" s="75" t="s">
        <v>3</v>
      </c>
      <c r="D60" s="153">
        <v>46212</v>
      </c>
      <c r="E60" s="154"/>
      <c r="F60" s="75" t="s">
        <v>38</v>
      </c>
      <c r="G60" s="76" t="str">
        <f>TEXT(D60,"(aaa)")</f>
        <v>(木)</v>
      </c>
      <c r="H60" s="125" t="s">
        <v>81</v>
      </c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>
        <v>1350</v>
      </c>
      <c r="D65" s="87">
        <v>0</v>
      </c>
      <c r="E65" s="87">
        <v>0</v>
      </c>
      <c r="F65" s="149">
        <v>0</v>
      </c>
      <c r="G65" s="149"/>
      <c r="H65" s="88">
        <v>0</v>
      </c>
      <c r="I65" s="88">
        <v>0</v>
      </c>
      <c r="J65" s="88">
        <v>0</v>
      </c>
      <c r="K65" s="89">
        <v>0</v>
      </c>
      <c r="L65" s="87">
        <v>0</v>
      </c>
      <c r="M65" s="87">
        <v>0</v>
      </c>
      <c r="N65" s="90">
        <v>0</v>
      </c>
      <c r="O65" s="87">
        <v>0</v>
      </c>
      <c r="P65" s="87">
        <v>0</v>
      </c>
      <c r="Q65" s="90">
        <v>0</v>
      </c>
      <c r="R65" s="87">
        <v>0</v>
      </c>
      <c r="S65" s="87">
        <v>0</v>
      </c>
      <c r="T65" s="90">
        <v>0</v>
      </c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>
        <v>1349</v>
      </c>
      <c r="D66" s="87">
        <v>3240</v>
      </c>
      <c r="E66" s="87">
        <v>56</v>
      </c>
      <c r="F66" s="149">
        <v>116225</v>
      </c>
      <c r="G66" s="149"/>
      <c r="H66" s="88">
        <v>1682</v>
      </c>
      <c r="I66" s="88">
        <v>8352</v>
      </c>
      <c r="J66" s="88">
        <v>0</v>
      </c>
      <c r="K66" s="89">
        <v>827</v>
      </c>
      <c r="L66" s="87">
        <v>0</v>
      </c>
      <c r="M66" s="87">
        <v>0</v>
      </c>
      <c r="N66" s="90">
        <v>674</v>
      </c>
      <c r="O66" s="87">
        <v>0</v>
      </c>
      <c r="P66" s="87">
        <v>0</v>
      </c>
      <c r="Q66" s="90">
        <v>5074</v>
      </c>
      <c r="R66" s="87">
        <v>3079</v>
      </c>
      <c r="S66" s="87">
        <v>0</v>
      </c>
      <c r="T66" s="90">
        <v>0</v>
      </c>
      <c r="U66" s="150">
        <f t="shared" ref="U66:U70" si="18">SUM(F66:S66)</f>
        <v>135913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>
        <v>1349</v>
      </c>
      <c r="D67" s="87">
        <v>824</v>
      </c>
      <c r="E67" s="87">
        <v>10</v>
      </c>
      <c r="F67" s="149">
        <v>7316</v>
      </c>
      <c r="G67" s="149"/>
      <c r="H67" s="88">
        <v>1721</v>
      </c>
      <c r="I67" s="88">
        <v>427</v>
      </c>
      <c r="J67" s="88">
        <v>0</v>
      </c>
      <c r="K67" s="89">
        <v>22437</v>
      </c>
      <c r="L67" s="87">
        <v>0</v>
      </c>
      <c r="M67" s="87">
        <v>0</v>
      </c>
      <c r="N67" s="90">
        <v>0</v>
      </c>
      <c r="O67" s="87">
        <v>0</v>
      </c>
      <c r="P67" s="87">
        <v>0</v>
      </c>
      <c r="Q67" s="90">
        <v>0</v>
      </c>
      <c r="R67" s="87">
        <v>0</v>
      </c>
      <c r="S67" s="87">
        <v>0</v>
      </c>
      <c r="T67" s="90">
        <v>0</v>
      </c>
      <c r="U67" s="150">
        <f t="shared" si="18"/>
        <v>31901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>
        <v>1348</v>
      </c>
      <c r="D68" s="87">
        <v>0</v>
      </c>
      <c r="E68" s="87">
        <v>0</v>
      </c>
      <c r="F68" s="149">
        <v>0</v>
      </c>
      <c r="G68" s="149"/>
      <c r="H68" s="88">
        <v>0</v>
      </c>
      <c r="I68" s="88">
        <v>0</v>
      </c>
      <c r="J68" s="88">
        <v>0</v>
      </c>
      <c r="K68" s="89">
        <v>0</v>
      </c>
      <c r="L68" s="87">
        <v>0</v>
      </c>
      <c r="M68" s="87">
        <v>0</v>
      </c>
      <c r="N68" s="90">
        <v>0</v>
      </c>
      <c r="O68" s="87">
        <v>0</v>
      </c>
      <c r="P68" s="87">
        <v>0</v>
      </c>
      <c r="Q68" s="90">
        <v>0</v>
      </c>
      <c r="R68" s="87">
        <v>0</v>
      </c>
      <c r="S68" s="87">
        <v>0</v>
      </c>
      <c r="T68" s="90">
        <v>0</v>
      </c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>
        <v>0</v>
      </c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>
        <v>0</v>
      </c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4064</v>
      </c>
      <c r="E71" s="96">
        <f>SUM(E65:E70)</f>
        <v>66</v>
      </c>
      <c r="F71" s="133">
        <f>SUM(F65:G70)</f>
        <v>123541</v>
      </c>
      <c r="G71" s="134"/>
      <c r="H71" s="95">
        <f>SUM(H65:H70)</f>
        <v>3403</v>
      </c>
      <c r="I71" s="95">
        <f>SUM(I65:I70)</f>
        <v>8779</v>
      </c>
      <c r="J71" s="95">
        <f>SUM(J65:J70)</f>
        <v>0</v>
      </c>
      <c r="K71" s="95">
        <f t="shared" ref="K71:P71" si="19">SUM(K65:K70)</f>
        <v>23264</v>
      </c>
      <c r="L71" s="95">
        <f t="shared" si="19"/>
        <v>0</v>
      </c>
      <c r="M71" s="95">
        <f t="shared" si="19"/>
        <v>0</v>
      </c>
      <c r="N71" s="95">
        <f t="shared" si="19"/>
        <v>674</v>
      </c>
      <c r="O71" s="95">
        <f t="shared" si="19"/>
        <v>0</v>
      </c>
      <c r="P71" s="95">
        <f t="shared" si="19"/>
        <v>0</v>
      </c>
      <c r="Q71" s="95">
        <f>SUM(Q65:Q70)</f>
        <v>5074</v>
      </c>
      <c r="R71" s="95">
        <f t="shared" ref="R71:T71" si="20">SUM(R65:R70)</f>
        <v>3079</v>
      </c>
      <c r="S71" s="95">
        <f t="shared" si="20"/>
        <v>0</v>
      </c>
      <c r="T71" s="95">
        <f t="shared" si="20"/>
        <v>0</v>
      </c>
      <c r="U71" s="133">
        <f>SUM(U65:W70)</f>
        <v>167814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>
        <v>0</v>
      </c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>
        <v>116225</v>
      </c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>
        <v>7316</v>
      </c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>
        <v>0</v>
      </c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123541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123541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29F398CE-7CEA-41F6-ABBB-F0B5CF49F6DD}">
      <formula1>$AC$65:$AC$71</formula1>
    </dataValidation>
    <dataValidation type="list" allowBlank="1" showInputMessage="1" showErrorMessage="1" sqref="G60" xr:uid="{F7B3F8AA-8ABF-4851-A7EF-B8DD3A4177DA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9D42-2369-4FC8-8C88-E46AC765C335}">
  <sheetPr>
    <pageSetUpPr fitToPage="1"/>
  </sheetPr>
  <dimension ref="A1:AG93"/>
  <sheetViews>
    <sheetView topLeftCell="A71" zoomScale="90" zoomScaleNormal="90" workbookViewId="0">
      <selection activeCell="L56" sqref="L56:O5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 t="str">
        <f>H60</f>
        <v>田中　美昴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2026</v>
      </c>
      <c r="D3" s="254"/>
      <c r="E3" s="255" t="s">
        <v>3</v>
      </c>
      <c r="F3" s="256">
        <f>D60</f>
        <v>46213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(金)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1351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22281</v>
      </c>
      <c r="F12" s="14">
        <f>F77</f>
        <v>0</v>
      </c>
      <c r="G12" s="15">
        <f>E12-F12</f>
        <v>22281</v>
      </c>
      <c r="H12" s="12" t="str">
        <f>I64</f>
        <v>クレカ</v>
      </c>
      <c r="I12" s="13">
        <f>I66</f>
        <v>39746</v>
      </c>
      <c r="J12" s="14">
        <f>G77</f>
        <v>0</v>
      </c>
      <c r="K12" s="15">
        <f t="shared" ref="K12:K15" si="3">I12-J12</f>
        <v>39746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68</v>
      </c>
      <c r="D13" s="20" t="str">
        <f>K64</f>
        <v>ID</v>
      </c>
      <c r="E13" s="21">
        <f>K66</f>
        <v>1458</v>
      </c>
      <c r="F13" s="22">
        <f>I77</f>
        <v>0</v>
      </c>
      <c r="G13" s="23">
        <f t="shared" ref="G13:G16" si="4">E13-F13</f>
        <v>1458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4437</v>
      </c>
      <c r="F14" s="27">
        <f>L77</f>
        <v>0</v>
      </c>
      <c r="G14" s="23">
        <f t="shared" si="4"/>
        <v>4437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50</v>
      </c>
      <c r="F16" s="40">
        <f>R77</f>
        <v>0</v>
      </c>
      <c r="G16" s="41">
        <f t="shared" si="4"/>
        <v>50</v>
      </c>
      <c r="H16" s="233" t="s">
        <v>9</v>
      </c>
      <c r="I16" s="234"/>
      <c r="J16" s="235">
        <f>G12+G13+K12+K13+O12+O13+G14+K14+O14+G15+K15+O15</f>
        <v>67922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1350</v>
      </c>
      <c r="C17" s="43">
        <f>D66</f>
        <v>2545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122359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54437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54437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1475</v>
      </c>
      <c r="F19" s="14">
        <f>F78</f>
        <v>0</v>
      </c>
      <c r="G19" s="15">
        <f>E19-F19</f>
        <v>1475</v>
      </c>
      <c r="H19" s="12" t="str">
        <f>I64</f>
        <v>クレカ</v>
      </c>
      <c r="I19" s="13">
        <f>I67</f>
        <v>2224</v>
      </c>
      <c r="J19" s="14">
        <f>G78</f>
        <v>0</v>
      </c>
      <c r="K19" s="15">
        <f t="shared" ref="K19:K22" si="6">I19-J19</f>
        <v>2224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12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2154</v>
      </c>
      <c r="J22" s="22">
        <f>P78</f>
        <v>0</v>
      </c>
      <c r="K22" s="24">
        <f t="shared" si="6"/>
        <v>2154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5853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1350</v>
      </c>
      <c r="C24" s="43">
        <f>D67</f>
        <v>895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27011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21158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21158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1349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23756</v>
      </c>
      <c r="G49" s="231"/>
      <c r="H49" s="229" t="str">
        <f>I64</f>
        <v>クレカ</v>
      </c>
      <c r="I49" s="230"/>
      <c r="J49" s="224">
        <f>K5+K12+K19+K26+K33+K40</f>
        <v>41970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80</v>
      </c>
      <c r="D50" s="222" t="str">
        <f>K64</f>
        <v>ID</v>
      </c>
      <c r="E50" s="223"/>
      <c r="F50" s="219">
        <f>G6+G13+G20+G27+G34+G41</f>
        <v>1458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4437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2154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3440</v>
      </c>
      <c r="D53" s="200" t="str">
        <f>T64</f>
        <v>当たり券</v>
      </c>
      <c r="E53" s="201"/>
      <c r="F53" s="202">
        <f>G9+G16+G23+G30+G37+G44</f>
        <v>50</v>
      </c>
      <c r="G53" s="203"/>
      <c r="H53" s="204" t="s">
        <v>9</v>
      </c>
      <c r="I53" s="205"/>
      <c r="J53" s="206">
        <f>J9+J16+J23+J30+J37+J44</f>
        <v>73775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75595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>
        <f>L56/C50</f>
        <v>1867.125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149370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75595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75595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>
        <v>2026</v>
      </c>
      <c r="C60" s="75" t="s">
        <v>3</v>
      </c>
      <c r="D60" s="153">
        <v>46213</v>
      </c>
      <c r="E60" s="154"/>
      <c r="F60" s="75" t="s">
        <v>38</v>
      </c>
      <c r="G60" s="76" t="str">
        <f>TEXT(D60,"(aaa)")</f>
        <v>(金)</v>
      </c>
      <c r="H60" s="125" t="s">
        <v>80</v>
      </c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>
        <v>1351</v>
      </c>
      <c r="D65" s="87">
        <v>0</v>
      </c>
      <c r="E65" s="87">
        <v>0</v>
      </c>
      <c r="F65" s="149">
        <v>0</v>
      </c>
      <c r="G65" s="149"/>
      <c r="H65" s="88">
        <v>0</v>
      </c>
      <c r="I65" s="88">
        <v>0</v>
      </c>
      <c r="J65" s="88">
        <v>0</v>
      </c>
      <c r="K65" s="89">
        <v>0</v>
      </c>
      <c r="L65" s="87">
        <v>0</v>
      </c>
      <c r="M65" s="87">
        <v>0</v>
      </c>
      <c r="N65" s="90">
        <v>0</v>
      </c>
      <c r="O65" s="87">
        <v>0</v>
      </c>
      <c r="P65" s="87">
        <v>0</v>
      </c>
      <c r="Q65" s="90">
        <v>0</v>
      </c>
      <c r="R65" s="87">
        <v>0</v>
      </c>
      <c r="S65" s="87">
        <v>0</v>
      </c>
      <c r="T65" s="90">
        <v>0</v>
      </c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>
        <v>1350</v>
      </c>
      <c r="D66" s="87">
        <v>2545</v>
      </c>
      <c r="E66" s="87">
        <v>68</v>
      </c>
      <c r="F66" s="149">
        <v>54437</v>
      </c>
      <c r="G66" s="149"/>
      <c r="H66" s="88">
        <v>22281</v>
      </c>
      <c r="I66" s="88">
        <v>39746</v>
      </c>
      <c r="J66" s="88">
        <v>0</v>
      </c>
      <c r="K66" s="89">
        <v>1458</v>
      </c>
      <c r="L66" s="87">
        <v>0</v>
      </c>
      <c r="M66" s="87">
        <v>0</v>
      </c>
      <c r="N66" s="90">
        <v>4437</v>
      </c>
      <c r="O66" s="87">
        <v>0</v>
      </c>
      <c r="P66" s="87">
        <v>0</v>
      </c>
      <c r="Q66" s="90">
        <v>0</v>
      </c>
      <c r="R66" s="87">
        <v>0</v>
      </c>
      <c r="S66" s="87">
        <v>0</v>
      </c>
      <c r="T66" s="90">
        <v>50</v>
      </c>
      <c r="U66" s="150">
        <f t="shared" ref="U66:U70" si="18">SUM(F66:S66)</f>
        <v>122359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>
        <v>1350</v>
      </c>
      <c r="D67" s="87">
        <v>895</v>
      </c>
      <c r="E67" s="87">
        <v>12</v>
      </c>
      <c r="F67" s="149">
        <v>21158</v>
      </c>
      <c r="G67" s="149"/>
      <c r="H67" s="88">
        <v>1475</v>
      </c>
      <c r="I67" s="88">
        <v>2224</v>
      </c>
      <c r="J67" s="88">
        <v>0</v>
      </c>
      <c r="K67" s="89">
        <v>0</v>
      </c>
      <c r="L67" s="87">
        <v>0</v>
      </c>
      <c r="M67" s="87">
        <v>0</v>
      </c>
      <c r="N67" s="90">
        <v>0</v>
      </c>
      <c r="O67" s="87">
        <v>0</v>
      </c>
      <c r="P67" s="87">
        <v>0</v>
      </c>
      <c r="Q67" s="90">
        <v>0</v>
      </c>
      <c r="R67" s="87">
        <v>2154</v>
      </c>
      <c r="S67" s="87">
        <v>0</v>
      </c>
      <c r="T67" s="90">
        <v>0</v>
      </c>
      <c r="U67" s="150">
        <f t="shared" si="18"/>
        <v>27011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>
        <v>1349</v>
      </c>
      <c r="D68" s="87">
        <v>0</v>
      </c>
      <c r="E68" s="87">
        <v>0</v>
      </c>
      <c r="F68" s="149">
        <v>0</v>
      </c>
      <c r="G68" s="149"/>
      <c r="H68" s="88">
        <v>0</v>
      </c>
      <c r="I68" s="88">
        <v>0</v>
      </c>
      <c r="J68" s="88">
        <v>0</v>
      </c>
      <c r="K68" s="89">
        <v>0</v>
      </c>
      <c r="L68" s="87">
        <v>0</v>
      </c>
      <c r="M68" s="87">
        <v>0</v>
      </c>
      <c r="N68" s="90">
        <v>0</v>
      </c>
      <c r="O68" s="87">
        <v>0</v>
      </c>
      <c r="P68" s="87">
        <v>0</v>
      </c>
      <c r="Q68" s="90">
        <v>0</v>
      </c>
      <c r="R68" s="87">
        <v>0</v>
      </c>
      <c r="S68" s="87">
        <v>0</v>
      </c>
      <c r="T68" s="90">
        <v>0</v>
      </c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>
        <v>0</v>
      </c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>
        <v>0</v>
      </c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3440</v>
      </c>
      <c r="E71" s="96">
        <f>SUM(E65:E70)</f>
        <v>80</v>
      </c>
      <c r="F71" s="133">
        <f>SUM(F65:G70)</f>
        <v>75595</v>
      </c>
      <c r="G71" s="134"/>
      <c r="H71" s="95">
        <f>SUM(H65:H70)</f>
        <v>23756</v>
      </c>
      <c r="I71" s="95">
        <f>SUM(I65:I70)</f>
        <v>41970</v>
      </c>
      <c r="J71" s="95">
        <f>SUM(J65:J70)</f>
        <v>0</v>
      </c>
      <c r="K71" s="95">
        <f t="shared" ref="K71:P71" si="19">SUM(K65:K70)</f>
        <v>1458</v>
      </c>
      <c r="L71" s="95">
        <f t="shared" si="19"/>
        <v>0</v>
      </c>
      <c r="M71" s="95">
        <f t="shared" si="19"/>
        <v>0</v>
      </c>
      <c r="N71" s="95">
        <f t="shared" si="19"/>
        <v>4437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2154</v>
      </c>
      <c r="S71" s="95">
        <f t="shared" si="20"/>
        <v>0</v>
      </c>
      <c r="T71" s="95">
        <f t="shared" si="20"/>
        <v>50</v>
      </c>
      <c r="U71" s="133">
        <f>SUM(U65:W70)</f>
        <v>149370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>
        <v>0</v>
      </c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>
        <v>54437</v>
      </c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>
        <v>21158</v>
      </c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>
        <v>0</v>
      </c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75595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75595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1A0D10EC-5D40-447A-B575-ECDA7CBFB32B}">
      <formula1>$AC$65:$AC$71</formula1>
    </dataValidation>
    <dataValidation type="list" allowBlank="1" showInputMessage="1" showErrorMessage="1" sqref="G60" xr:uid="{B788928B-582E-40AC-A37F-9ECCFF0B738D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6678-12FC-44EF-8779-5BBB7337963C}">
  <sheetPr>
    <pageSetUpPr fitToPage="1"/>
  </sheetPr>
  <dimension ref="A1:AG93"/>
  <sheetViews>
    <sheetView topLeftCell="A72" zoomScale="90" zoomScaleNormal="90" workbookViewId="0">
      <selection activeCell="O77" sqref="O7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 t="str">
        <f>H60</f>
        <v>田中　美昴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2026</v>
      </c>
      <c r="D3" s="254"/>
      <c r="E3" s="255" t="s">
        <v>3</v>
      </c>
      <c r="F3" s="256">
        <f>D60</f>
        <v>46214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1494</v>
      </c>
      <c r="F5" s="14">
        <f>F76</f>
        <v>0</v>
      </c>
      <c r="G5" s="15">
        <f>E5-F5</f>
        <v>1494</v>
      </c>
      <c r="H5" s="12" t="str">
        <f>I64</f>
        <v>クレカ</v>
      </c>
      <c r="I5" s="13">
        <f>I65</f>
        <v>10017</v>
      </c>
      <c r="J5" s="14">
        <f>G76</f>
        <v>0</v>
      </c>
      <c r="K5" s="15">
        <f t="shared" ref="K5:K8" si="0">I5-J5</f>
        <v>10017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10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11511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1352</v>
      </c>
      <c r="C10" s="43">
        <f>D65</f>
        <v>356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24522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13011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13011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60108</v>
      </c>
      <c r="F12" s="14">
        <f>F77</f>
        <v>0</v>
      </c>
      <c r="G12" s="15">
        <f>E12-F12</f>
        <v>60108</v>
      </c>
      <c r="H12" s="12" t="str">
        <f>I64</f>
        <v>クレカ</v>
      </c>
      <c r="I12" s="13">
        <f>I66</f>
        <v>50652</v>
      </c>
      <c r="J12" s="14">
        <f>G77</f>
        <v>0</v>
      </c>
      <c r="K12" s="15">
        <f t="shared" ref="K12:K15" si="3">I12-J12</f>
        <v>50652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138</v>
      </c>
      <c r="D13" s="20" t="str">
        <f>K64</f>
        <v>ID</v>
      </c>
      <c r="E13" s="21">
        <f>K66</f>
        <v>1501</v>
      </c>
      <c r="F13" s="22">
        <f>I77</f>
        <v>0</v>
      </c>
      <c r="G13" s="23">
        <f t="shared" ref="G13:G16" si="4">E13-F13</f>
        <v>1501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385</v>
      </c>
      <c r="F14" s="27">
        <f>L77</f>
        <v>0</v>
      </c>
      <c r="G14" s="23">
        <f t="shared" si="4"/>
        <v>385</v>
      </c>
      <c r="H14" s="25" t="str">
        <f>O64</f>
        <v>nanaco</v>
      </c>
      <c r="I14" s="29">
        <f>O66</f>
        <v>461</v>
      </c>
      <c r="J14" s="27">
        <f>M77</f>
        <v>0</v>
      </c>
      <c r="K14" s="24">
        <f t="shared" si="3"/>
        <v>461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3097</v>
      </c>
      <c r="J15" s="22">
        <f>P77</f>
        <v>0</v>
      </c>
      <c r="K15" s="24">
        <f t="shared" si="3"/>
        <v>3097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20</v>
      </c>
      <c r="F16" s="40">
        <f>R77</f>
        <v>0</v>
      </c>
      <c r="G16" s="41">
        <f t="shared" si="4"/>
        <v>20</v>
      </c>
      <c r="H16" s="233" t="s">
        <v>9</v>
      </c>
      <c r="I16" s="234"/>
      <c r="J16" s="235">
        <f>G12+G13+K12+K13+O12+O13+G14+K14+O14+G15+K15+O15</f>
        <v>116204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1351</v>
      </c>
      <c r="C17" s="43">
        <f>D66</f>
        <v>4650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251748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135544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135544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19459</v>
      </c>
      <c r="F19" s="14">
        <f>F78</f>
        <v>0</v>
      </c>
      <c r="G19" s="15">
        <f>E19-F19</f>
        <v>19459</v>
      </c>
      <c r="H19" s="12" t="str">
        <f>I64</f>
        <v>クレカ</v>
      </c>
      <c r="I19" s="13">
        <f>I67</f>
        <v>21051</v>
      </c>
      <c r="J19" s="14">
        <f>G78</f>
        <v>0</v>
      </c>
      <c r="K19" s="15">
        <f t="shared" ref="K19:K22" si="6">I19-J19</f>
        <v>21051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67</v>
      </c>
      <c r="D20" s="20" t="str">
        <f>K64</f>
        <v>ID</v>
      </c>
      <c r="E20" s="21">
        <f>K67</f>
        <v>1489</v>
      </c>
      <c r="F20" s="22">
        <f>I78</f>
        <v>0</v>
      </c>
      <c r="G20" s="23">
        <f t="shared" ref="G20:G23" si="7">E20-F20</f>
        <v>1489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866</v>
      </c>
      <c r="F21" s="27">
        <f>L78</f>
        <v>0</v>
      </c>
      <c r="G21" s="23">
        <f t="shared" si="7"/>
        <v>866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2850</v>
      </c>
      <c r="J22" s="22">
        <f>P78</f>
        <v>0</v>
      </c>
      <c r="K22" s="24">
        <f t="shared" si="6"/>
        <v>2850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45715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1351</v>
      </c>
      <c r="C24" s="43">
        <f>D67</f>
        <v>1431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100392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54677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54677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19133</v>
      </c>
      <c r="F26" s="14">
        <f>F79</f>
        <v>0</v>
      </c>
      <c r="G26" s="15">
        <f>E26-F26</f>
        <v>19133</v>
      </c>
      <c r="H26" s="12" t="str">
        <f>I64</f>
        <v>クレカ</v>
      </c>
      <c r="I26" s="13">
        <f>I68</f>
        <v>6549</v>
      </c>
      <c r="J26" s="14">
        <f>G79</f>
        <v>0</v>
      </c>
      <c r="K26" s="15">
        <f t="shared" ref="K26:K29" si="9">I26-J26</f>
        <v>6549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20</v>
      </c>
      <c r="D27" s="20" t="str">
        <f>K64</f>
        <v>ID</v>
      </c>
      <c r="E27" s="21">
        <f>K68</f>
        <v>6050</v>
      </c>
      <c r="F27" s="22">
        <f>I79</f>
        <v>0</v>
      </c>
      <c r="G27" s="23">
        <f t="shared" ref="G27:G30" si="10">E27-F27</f>
        <v>6050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31732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1350</v>
      </c>
      <c r="C31" s="43">
        <f>D68</f>
        <v>984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52341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20609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20609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100194</v>
      </c>
      <c r="G49" s="231"/>
      <c r="H49" s="229" t="str">
        <f>I64</f>
        <v>クレカ</v>
      </c>
      <c r="I49" s="230"/>
      <c r="J49" s="224">
        <f>K5+K12+K19+K26+K33+K40</f>
        <v>88269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235</v>
      </c>
      <c r="D50" s="222" t="str">
        <f>K64</f>
        <v>ID</v>
      </c>
      <c r="E50" s="223"/>
      <c r="F50" s="219">
        <f>G6+G13+G20+G27+G34+G41</f>
        <v>9040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1251</v>
      </c>
      <c r="G51" s="220"/>
      <c r="H51" s="217" t="str">
        <f>O64</f>
        <v>nanaco</v>
      </c>
      <c r="I51" s="218"/>
      <c r="J51" s="219">
        <f>K7+K14+K21+K28+K35+K42</f>
        <v>461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5947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7421</v>
      </c>
      <c r="D53" s="200" t="str">
        <f>T64</f>
        <v>当たり券</v>
      </c>
      <c r="E53" s="201"/>
      <c r="F53" s="202">
        <f>G9+G16+G23+G30+G37+G44</f>
        <v>20</v>
      </c>
      <c r="G53" s="203"/>
      <c r="H53" s="204" t="s">
        <v>9</v>
      </c>
      <c r="I53" s="205"/>
      <c r="J53" s="206">
        <f>J9+J16+J23+J30+J37+J44</f>
        <v>205162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223841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>
        <f>L56/C50</f>
        <v>1825.5446808510637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429003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223841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223841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>
        <v>2026</v>
      </c>
      <c r="C60" s="75" t="s">
        <v>3</v>
      </c>
      <c r="D60" s="153">
        <v>46214</v>
      </c>
      <c r="E60" s="154"/>
      <c r="F60" s="75" t="s">
        <v>38</v>
      </c>
      <c r="G60" s="76" t="str">
        <f>TEXT(D60,"(aaa)")</f>
        <v>(土)</v>
      </c>
      <c r="H60" s="125" t="s">
        <v>80</v>
      </c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>
        <v>1352</v>
      </c>
      <c r="D65" s="87">
        <v>356</v>
      </c>
      <c r="E65" s="87">
        <v>10</v>
      </c>
      <c r="F65" s="149">
        <v>13011</v>
      </c>
      <c r="G65" s="149"/>
      <c r="H65" s="88">
        <v>1494</v>
      </c>
      <c r="I65" s="88">
        <v>10017</v>
      </c>
      <c r="J65" s="88">
        <v>0</v>
      </c>
      <c r="K65" s="89">
        <v>0</v>
      </c>
      <c r="L65" s="87">
        <v>0</v>
      </c>
      <c r="M65" s="87">
        <v>0</v>
      </c>
      <c r="N65" s="90">
        <v>0</v>
      </c>
      <c r="O65" s="87">
        <v>0</v>
      </c>
      <c r="P65" s="87">
        <v>0</v>
      </c>
      <c r="Q65" s="90">
        <v>0</v>
      </c>
      <c r="R65" s="87">
        <v>0</v>
      </c>
      <c r="S65" s="87">
        <v>0</v>
      </c>
      <c r="T65" s="90">
        <v>0</v>
      </c>
      <c r="U65" s="150">
        <f>SUM(F65:S65)</f>
        <v>24522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>
        <v>1351</v>
      </c>
      <c r="D66" s="87">
        <v>4650</v>
      </c>
      <c r="E66" s="87">
        <v>138</v>
      </c>
      <c r="F66" s="149">
        <v>135544</v>
      </c>
      <c r="G66" s="149"/>
      <c r="H66" s="88">
        <v>60108</v>
      </c>
      <c r="I66" s="88">
        <v>50652</v>
      </c>
      <c r="J66" s="88">
        <v>0</v>
      </c>
      <c r="K66" s="89">
        <v>1501</v>
      </c>
      <c r="L66" s="87">
        <v>0</v>
      </c>
      <c r="M66" s="87">
        <v>0</v>
      </c>
      <c r="N66" s="90">
        <v>385</v>
      </c>
      <c r="O66" s="87">
        <v>461</v>
      </c>
      <c r="P66" s="87">
        <v>0</v>
      </c>
      <c r="Q66" s="90">
        <v>0</v>
      </c>
      <c r="R66" s="87">
        <v>3097</v>
      </c>
      <c r="S66" s="87">
        <v>0</v>
      </c>
      <c r="T66" s="90">
        <v>20</v>
      </c>
      <c r="U66" s="150">
        <f t="shared" ref="U66:U70" si="18">SUM(F66:S66)</f>
        <v>251748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>
        <v>1351</v>
      </c>
      <c r="D67" s="87">
        <v>1431</v>
      </c>
      <c r="E67" s="87">
        <v>67</v>
      </c>
      <c r="F67" s="149">
        <v>54677</v>
      </c>
      <c r="G67" s="149"/>
      <c r="H67" s="88">
        <v>19459</v>
      </c>
      <c r="I67" s="88">
        <v>21051</v>
      </c>
      <c r="J67" s="88">
        <v>0</v>
      </c>
      <c r="K67" s="89">
        <v>1489</v>
      </c>
      <c r="L67" s="87">
        <v>0</v>
      </c>
      <c r="M67" s="87">
        <v>0</v>
      </c>
      <c r="N67" s="90">
        <v>866</v>
      </c>
      <c r="O67" s="87">
        <v>0</v>
      </c>
      <c r="P67" s="87">
        <v>0</v>
      </c>
      <c r="Q67" s="90">
        <v>0</v>
      </c>
      <c r="R67" s="87">
        <v>2850</v>
      </c>
      <c r="S67" s="87">
        <v>0</v>
      </c>
      <c r="T67" s="90">
        <v>0</v>
      </c>
      <c r="U67" s="150">
        <f t="shared" si="18"/>
        <v>100392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>
        <v>1350</v>
      </c>
      <c r="D68" s="87">
        <v>984</v>
      </c>
      <c r="E68" s="87">
        <v>20</v>
      </c>
      <c r="F68" s="149">
        <v>20609</v>
      </c>
      <c r="G68" s="149"/>
      <c r="H68" s="88">
        <v>19133</v>
      </c>
      <c r="I68" s="88">
        <v>6549</v>
      </c>
      <c r="J68" s="88">
        <v>0</v>
      </c>
      <c r="K68" s="89">
        <v>6050</v>
      </c>
      <c r="L68" s="87">
        <v>0</v>
      </c>
      <c r="M68" s="87">
        <v>0</v>
      </c>
      <c r="N68" s="90">
        <v>0</v>
      </c>
      <c r="O68" s="87">
        <v>0</v>
      </c>
      <c r="P68" s="87">
        <v>0</v>
      </c>
      <c r="Q68" s="90">
        <v>0</v>
      </c>
      <c r="R68" s="87">
        <v>0</v>
      </c>
      <c r="S68" s="87">
        <v>0</v>
      </c>
      <c r="T68" s="90">
        <v>0</v>
      </c>
      <c r="U68" s="150">
        <f t="shared" si="18"/>
        <v>52341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>
        <v>0</v>
      </c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>
        <v>0</v>
      </c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7421</v>
      </c>
      <c r="E71" s="96">
        <f>SUM(E65:E70)</f>
        <v>235</v>
      </c>
      <c r="F71" s="133">
        <f>SUM(F65:G70)</f>
        <v>223841</v>
      </c>
      <c r="G71" s="134"/>
      <c r="H71" s="95">
        <f>SUM(H65:H70)</f>
        <v>100194</v>
      </c>
      <c r="I71" s="95">
        <f>SUM(I65:I70)</f>
        <v>88269</v>
      </c>
      <c r="J71" s="95">
        <f>SUM(J65:J70)</f>
        <v>0</v>
      </c>
      <c r="K71" s="95">
        <f t="shared" ref="K71:P71" si="19">SUM(K65:K70)</f>
        <v>9040</v>
      </c>
      <c r="L71" s="95">
        <f t="shared" si="19"/>
        <v>0</v>
      </c>
      <c r="M71" s="95">
        <f t="shared" si="19"/>
        <v>0</v>
      </c>
      <c r="N71" s="95">
        <f t="shared" si="19"/>
        <v>1251</v>
      </c>
      <c r="O71" s="95">
        <f t="shared" si="19"/>
        <v>461</v>
      </c>
      <c r="P71" s="95">
        <f t="shared" si="19"/>
        <v>0</v>
      </c>
      <c r="Q71" s="95">
        <f>SUM(Q65:Q70)</f>
        <v>0</v>
      </c>
      <c r="R71" s="95">
        <f t="shared" ref="R71:T71" si="20">SUM(R65:R70)</f>
        <v>5947</v>
      </c>
      <c r="S71" s="95">
        <f t="shared" si="20"/>
        <v>0</v>
      </c>
      <c r="T71" s="95">
        <f t="shared" si="20"/>
        <v>20</v>
      </c>
      <c r="U71" s="133">
        <f>SUM(U65:W70)</f>
        <v>429003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>
        <v>13011</v>
      </c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>
        <v>135544</v>
      </c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>
        <v>54677</v>
      </c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>
        <v>20609</v>
      </c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223841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223841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DBF93594-9F80-4D1E-9BE1-31C65E1A41F7}">
      <formula1>$AC$65:$AC$71</formula1>
    </dataValidation>
    <dataValidation type="list" allowBlank="1" showInputMessage="1" showErrorMessage="1" sqref="G60" xr:uid="{90F37B1C-AB48-44B9-A7B1-8897CB3DCDD3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09E2-81E5-4D54-ABEF-5C17E4969057}">
  <sheetPr>
    <pageSetUpPr fitToPage="1"/>
  </sheetPr>
  <dimension ref="A1:AG93"/>
  <sheetViews>
    <sheetView tabSelected="1" topLeftCell="A68" zoomScale="90" zoomScaleNormal="90" workbookViewId="0">
      <selection activeCell="O78" sqref="O78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 t="str">
        <f>H60</f>
        <v>篠田　彩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2026</v>
      </c>
      <c r="D3" s="254"/>
      <c r="E3" s="255" t="s">
        <v>3</v>
      </c>
      <c r="F3" s="256">
        <f>D60</f>
        <v>46215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(日)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8705</v>
      </c>
      <c r="F5" s="14">
        <f>F76</f>
        <v>0</v>
      </c>
      <c r="G5" s="15">
        <f>E5-F5</f>
        <v>8705</v>
      </c>
      <c r="H5" s="12" t="str">
        <f>I64</f>
        <v>クレカ</v>
      </c>
      <c r="I5" s="13">
        <f>I65</f>
        <v>1322</v>
      </c>
      <c r="J5" s="14">
        <f>G76</f>
        <v>0</v>
      </c>
      <c r="K5" s="15">
        <f t="shared" ref="K5:K8" si="0">I5-J5</f>
        <v>1322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19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1029</v>
      </c>
      <c r="J8" s="22">
        <f>P76</f>
        <v>0</v>
      </c>
      <c r="K8" s="24">
        <f t="shared" si="0"/>
        <v>1029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11056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1353</v>
      </c>
      <c r="C10" s="43">
        <f>D65</f>
        <v>553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29775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18719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18719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89797</v>
      </c>
      <c r="F12" s="14">
        <f>F77</f>
        <v>0</v>
      </c>
      <c r="G12" s="15">
        <f>E12-F12</f>
        <v>89797</v>
      </c>
      <c r="H12" s="12" t="str">
        <f>I64</f>
        <v>クレカ</v>
      </c>
      <c r="I12" s="13">
        <f>I66</f>
        <v>76901</v>
      </c>
      <c r="J12" s="14">
        <f>G77</f>
        <v>0</v>
      </c>
      <c r="K12" s="15">
        <f t="shared" ref="K12:K15" si="3">I12-J12</f>
        <v>76901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180</v>
      </c>
      <c r="D13" s="20" t="str">
        <f>K64</f>
        <v>ID</v>
      </c>
      <c r="E13" s="21">
        <f>K66</f>
        <v>5508</v>
      </c>
      <c r="F13" s="22">
        <f>I77</f>
        <v>0</v>
      </c>
      <c r="G13" s="23">
        <f t="shared" ref="G13:G16" si="4">E13-F13</f>
        <v>5508</v>
      </c>
      <c r="H13" s="20" t="str">
        <f>L64</f>
        <v>楽天</v>
      </c>
      <c r="I13" s="21">
        <f>L66</f>
        <v>962</v>
      </c>
      <c r="J13" s="22">
        <f>J77</f>
        <v>0</v>
      </c>
      <c r="K13" s="24">
        <f t="shared" si="3"/>
        <v>962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2123</v>
      </c>
      <c r="J14" s="27">
        <f>M77</f>
        <v>0</v>
      </c>
      <c r="K14" s="24">
        <f t="shared" si="3"/>
        <v>2123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927</v>
      </c>
      <c r="F15" s="27">
        <f>O77</f>
        <v>0</v>
      </c>
      <c r="G15" s="23">
        <f t="shared" si="4"/>
        <v>927</v>
      </c>
      <c r="H15" s="25" t="str">
        <f>R64</f>
        <v>フリー③</v>
      </c>
      <c r="I15" s="34">
        <f>R66</f>
        <v>5934</v>
      </c>
      <c r="J15" s="22">
        <f>P77</f>
        <v>0</v>
      </c>
      <c r="K15" s="24">
        <f t="shared" si="3"/>
        <v>5934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170</v>
      </c>
      <c r="F16" s="40">
        <f>R77</f>
        <v>0</v>
      </c>
      <c r="G16" s="41">
        <f t="shared" si="4"/>
        <v>170</v>
      </c>
      <c r="H16" s="233" t="s">
        <v>9</v>
      </c>
      <c r="I16" s="234"/>
      <c r="J16" s="235">
        <f>G12+G13+K12+K13+O12+O13+G14+K14+O14+G15+K15+O15</f>
        <v>182152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1352</v>
      </c>
      <c r="C17" s="43">
        <f>D66</f>
        <v>7057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363395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181243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181243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24142</v>
      </c>
      <c r="F19" s="14">
        <f>F78</f>
        <v>0</v>
      </c>
      <c r="G19" s="15">
        <f>E19-F19</f>
        <v>24142</v>
      </c>
      <c r="H19" s="12" t="str">
        <f>I64</f>
        <v>クレカ</v>
      </c>
      <c r="I19" s="13">
        <f>I67</f>
        <v>35820</v>
      </c>
      <c r="J19" s="14">
        <f>G78</f>
        <v>0</v>
      </c>
      <c r="K19" s="15">
        <f t="shared" ref="K19:K22" si="6">I19-J19</f>
        <v>35820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87</v>
      </c>
      <c r="D20" s="20" t="str">
        <f>K64</f>
        <v>ID</v>
      </c>
      <c r="E20" s="21">
        <f>K67</f>
        <v>1677</v>
      </c>
      <c r="F20" s="22">
        <f>I78</f>
        <v>0</v>
      </c>
      <c r="G20" s="23">
        <f t="shared" ref="G20:G23" si="7">E20-F20</f>
        <v>1677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5179</v>
      </c>
      <c r="F21" s="27">
        <f>L78</f>
        <v>0</v>
      </c>
      <c r="G21" s="23">
        <f t="shared" si="7"/>
        <v>5179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3270</v>
      </c>
      <c r="J22" s="22">
        <f>P78</f>
        <v>0</v>
      </c>
      <c r="K22" s="24">
        <f t="shared" si="6"/>
        <v>3270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150</v>
      </c>
      <c r="F23" s="40">
        <f>R78</f>
        <v>0</v>
      </c>
      <c r="G23" s="41">
        <f t="shared" si="7"/>
        <v>150</v>
      </c>
      <c r="H23" s="233" t="s">
        <v>9</v>
      </c>
      <c r="I23" s="234"/>
      <c r="J23" s="235">
        <f>G19+G20+K19+K20+O19+O20+G21+K21+O21+G22+K22+O22</f>
        <v>70088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1352</v>
      </c>
      <c r="C24" s="43">
        <f>D67</f>
        <v>3228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167978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97890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97890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26889</v>
      </c>
      <c r="F26" s="14">
        <f>F79</f>
        <v>0</v>
      </c>
      <c r="G26" s="15">
        <f>E26-F26</f>
        <v>26889</v>
      </c>
      <c r="H26" s="12" t="str">
        <f>I64</f>
        <v>クレカ</v>
      </c>
      <c r="I26" s="13">
        <f>I68</f>
        <v>10769</v>
      </c>
      <c r="J26" s="14">
        <f>G79</f>
        <v>0</v>
      </c>
      <c r="K26" s="15">
        <f t="shared" ref="K26:K29" si="9">I26-J26</f>
        <v>10769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39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1266</v>
      </c>
      <c r="F28" s="27">
        <f>L79</f>
        <v>0</v>
      </c>
      <c r="G28" s="23">
        <f t="shared" si="10"/>
        <v>1266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1049</v>
      </c>
      <c r="F29" s="27">
        <f>O79</f>
        <v>0</v>
      </c>
      <c r="G29" s="23">
        <f t="shared" si="10"/>
        <v>1049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39973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1351</v>
      </c>
      <c r="C31" s="43">
        <f>D68</f>
        <v>1192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71610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31637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31637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149533</v>
      </c>
      <c r="G49" s="231"/>
      <c r="H49" s="229" t="str">
        <f>I64</f>
        <v>クレカ</v>
      </c>
      <c r="I49" s="230"/>
      <c r="J49" s="224">
        <f>K5+K12+K19+K26+K33+K40</f>
        <v>124812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325</v>
      </c>
      <c r="D50" s="222" t="str">
        <f>K64</f>
        <v>ID</v>
      </c>
      <c r="E50" s="223"/>
      <c r="F50" s="219">
        <f>G6+G13+G20+G27+G34+G41</f>
        <v>7185</v>
      </c>
      <c r="G50" s="220"/>
      <c r="H50" s="217" t="str">
        <f>L64</f>
        <v>楽天</v>
      </c>
      <c r="I50" s="218"/>
      <c r="J50" s="219">
        <f>K6+K13+K20+K27+K34+K41</f>
        <v>962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6445</v>
      </c>
      <c r="G51" s="220"/>
      <c r="H51" s="217" t="str">
        <f>O64</f>
        <v>nanaco</v>
      </c>
      <c r="I51" s="218"/>
      <c r="J51" s="219">
        <f>K7+K14+K21+K28+K35+K42</f>
        <v>2123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1976</v>
      </c>
      <c r="G52" s="220"/>
      <c r="H52" s="217" t="str">
        <f>R64</f>
        <v>フリー③</v>
      </c>
      <c r="I52" s="218"/>
      <c r="J52" s="219">
        <f>K8+K15+K22+K29+K36+K43</f>
        <v>10233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12030</v>
      </c>
      <c r="D53" s="200" t="str">
        <f>T64</f>
        <v>当たり券</v>
      </c>
      <c r="E53" s="201"/>
      <c r="F53" s="202">
        <f>G9+G16+G23+G30+G37+G44</f>
        <v>320</v>
      </c>
      <c r="G53" s="203"/>
      <c r="H53" s="204" t="s">
        <v>9</v>
      </c>
      <c r="I53" s="205"/>
      <c r="J53" s="206">
        <f>J9+J16+J23+J30+J37+J44</f>
        <v>303269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329489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>
        <f>L56/C50</f>
        <v>1946.9476923076923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632758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329489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329489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>
        <v>2026</v>
      </c>
      <c r="C60" s="75" t="s">
        <v>3</v>
      </c>
      <c r="D60" s="153">
        <v>46215</v>
      </c>
      <c r="E60" s="154"/>
      <c r="F60" s="75" t="s">
        <v>38</v>
      </c>
      <c r="G60" s="76" t="str">
        <f>TEXT(D60,"(aaa)")</f>
        <v>(日)</v>
      </c>
      <c r="H60" s="125" t="s">
        <v>82</v>
      </c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>
        <v>1353</v>
      </c>
      <c r="D65" s="87">
        <v>553</v>
      </c>
      <c r="E65" s="87">
        <v>19</v>
      </c>
      <c r="F65" s="149">
        <v>18719</v>
      </c>
      <c r="G65" s="149"/>
      <c r="H65" s="88">
        <v>8705</v>
      </c>
      <c r="I65" s="88">
        <v>1322</v>
      </c>
      <c r="J65" s="88">
        <v>0</v>
      </c>
      <c r="K65" s="89">
        <v>0</v>
      </c>
      <c r="L65" s="87">
        <v>0</v>
      </c>
      <c r="M65" s="87">
        <v>0</v>
      </c>
      <c r="N65" s="90">
        <v>0</v>
      </c>
      <c r="O65" s="87">
        <v>0</v>
      </c>
      <c r="P65" s="87">
        <v>0</v>
      </c>
      <c r="Q65" s="90">
        <v>0</v>
      </c>
      <c r="R65" s="87">
        <v>1029</v>
      </c>
      <c r="S65" s="87">
        <v>0</v>
      </c>
      <c r="T65" s="90">
        <v>0</v>
      </c>
      <c r="U65" s="150">
        <f>SUM(F65:S65)</f>
        <v>29775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>
        <v>1352</v>
      </c>
      <c r="D66" s="87">
        <v>7057</v>
      </c>
      <c r="E66" s="87">
        <v>180</v>
      </c>
      <c r="F66" s="149">
        <v>181243</v>
      </c>
      <c r="G66" s="149"/>
      <c r="H66" s="88">
        <v>89797</v>
      </c>
      <c r="I66" s="88">
        <v>76901</v>
      </c>
      <c r="J66" s="88">
        <v>0</v>
      </c>
      <c r="K66" s="89">
        <v>5508</v>
      </c>
      <c r="L66" s="87">
        <v>962</v>
      </c>
      <c r="M66" s="87">
        <v>0</v>
      </c>
      <c r="N66" s="90">
        <v>0</v>
      </c>
      <c r="O66" s="87">
        <v>2123</v>
      </c>
      <c r="P66" s="87">
        <v>0</v>
      </c>
      <c r="Q66" s="90">
        <v>927</v>
      </c>
      <c r="R66" s="87">
        <v>5934</v>
      </c>
      <c r="S66" s="87">
        <v>0</v>
      </c>
      <c r="T66" s="90">
        <v>170</v>
      </c>
      <c r="U66" s="150">
        <f t="shared" ref="U66:U70" si="18">SUM(F66:S66)</f>
        <v>363395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>
        <v>1352</v>
      </c>
      <c r="D67" s="87">
        <v>3228</v>
      </c>
      <c r="E67" s="87">
        <v>87</v>
      </c>
      <c r="F67" s="149">
        <v>97890</v>
      </c>
      <c r="G67" s="149"/>
      <c r="H67" s="88">
        <v>24142</v>
      </c>
      <c r="I67" s="88">
        <v>35820</v>
      </c>
      <c r="J67" s="88">
        <v>0</v>
      </c>
      <c r="K67" s="89">
        <v>1677</v>
      </c>
      <c r="L67" s="87">
        <v>0</v>
      </c>
      <c r="M67" s="87">
        <v>0</v>
      </c>
      <c r="N67" s="90">
        <v>5179</v>
      </c>
      <c r="O67" s="87">
        <v>0</v>
      </c>
      <c r="P67" s="87">
        <v>0</v>
      </c>
      <c r="Q67" s="90">
        <v>0</v>
      </c>
      <c r="R67" s="87">
        <v>3270</v>
      </c>
      <c r="S67" s="87">
        <v>0</v>
      </c>
      <c r="T67" s="90">
        <v>150</v>
      </c>
      <c r="U67" s="150">
        <f t="shared" si="18"/>
        <v>167978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>
        <v>1351</v>
      </c>
      <c r="D68" s="87">
        <v>1192</v>
      </c>
      <c r="E68" s="87">
        <v>39</v>
      </c>
      <c r="F68" s="149">
        <v>31637</v>
      </c>
      <c r="G68" s="149"/>
      <c r="H68" s="88">
        <v>26889</v>
      </c>
      <c r="I68" s="88">
        <v>10769</v>
      </c>
      <c r="J68" s="88">
        <v>0</v>
      </c>
      <c r="K68" s="89">
        <v>0</v>
      </c>
      <c r="L68" s="87">
        <v>0</v>
      </c>
      <c r="M68" s="87">
        <v>0</v>
      </c>
      <c r="N68" s="90">
        <v>1266</v>
      </c>
      <c r="O68" s="87">
        <v>0</v>
      </c>
      <c r="P68" s="87">
        <v>0</v>
      </c>
      <c r="Q68" s="90">
        <v>1049</v>
      </c>
      <c r="R68" s="87">
        <v>0</v>
      </c>
      <c r="S68" s="87">
        <v>0</v>
      </c>
      <c r="T68" s="90">
        <v>0</v>
      </c>
      <c r="U68" s="150">
        <f t="shared" si="18"/>
        <v>71610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>
        <v>0</v>
      </c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>
        <v>0</v>
      </c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12030</v>
      </c>
      <c r="E71" s="96">
        <f>SUM(E65:E70)</f>
        <v>325</v>
      </c>
      <c r="F71" s="133">
        <f>SUM(F65:G70)</f>
        <v>329489</v>
      </c>
      <c r="G71" s="134"/>
      <c r="H71" s="95">
        <f>SUM(H65:H70)</f>
        <v>149533</v>
      </c>
      <c r="I71" s="95">
        <f>SUM(I65:I70)</f>
        <v>124812</v>
      </c>
      <c r="J71" s="95">
        <f>SUM(J65:J70)</f>
        <v>0</v>
      </c>
      <c r="K71" s="95">
        <f t="shared" ref="K71:P71" si="19">SUM(K65:K70)</f>
        <v>7185</v>
      </c>
      <c r="L71" s="95">
        <f t="shared" si="19"/>
        <v>962</v>
      </c>
      <c r="M71" s="95">
        <f t="shared" si="19"/>
        <v>0</v>
      </c>
      <c r="N71" s="95">
        <f t="shared" si="19"/>
        <v>6445</v>
      </c>
      <c r="O71" s="95">
        <f t="shared" si="19"/>
        <v>2123</v>
      </c>
      <c r="P71" s="95">
        <f t="shared" si="19"/>
        <v>0</v>
      </c>
      <c r="Q71" s="95">
        <f>SUM(Q65:Q70)</f>
        <v>1976</v>
      </c>
      <c r="R71" s="95">
        <f t="shared" ref="R71:T71" si="20">SUM(R65:R70)</f>
        <v>10233</v>
      </c>
      <c r="S71" s="95">
        <f t="shared" si="20"/>
        <v>0</v>
      </c>
      <c r="T71" s="95">
        <f t="shared" si="20"/>
        <v>320</v>
      </c>
      <c r="U71" s="133">
        <f>SUM(U65:W70)</f>
        <v>632758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>
        <v>18719</v>
      </c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>
        <v>181243</v>
      </c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>
        <v>97890</v>
      </c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>
        <v>31637</v>
      </c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329489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329489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A3DEE376-81D1-4B6A-8A24-3A357DB0D643}">
      <formula1>$AC$65:$AC$71</formula1>
    </dataValidation>
    <dataValidation type="list" allowBlank="1" showInputMessage="1" showErrorMessage="1" sqref="G60" xr:uid="{DF4930D5-79DA-4A63-9010-A737F09EDEDD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F1C0-36FB-4182-A2EB-5B7A8BF4121D}">
  <sheetPr>
    <pageSetUpPr fitToPage="1"/>
  </sheetPr>
  <dimension ref="A1:AG93"/>
  <sheetViews>
    <sheetView topLeftCell="A71" zoomScale="90" zoomScaleNormal="90" workbookViewId="0">
      <selection activeCell="O78" sqref="O78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3B507902-F0B2-412E-B096-6E480273A547}">
      <formula1>$AC$65:$AC$71</formula1>
    </dataValidation>
    <dataValidation type="list" allowBlank="1" showInputMessage="1" showErrorMessage="1" sqref="G60" xr:uid="{4B4DAB0C-A44C-4D4D-AAF3-8F718672806C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36B7-8CCE-43FA-BACB-ABD6F4801EFC}">
  <sheetPr>
    <pageSetUpPr fitToPage="1"/>
  </sheetPr>
  <dimension ref="A1:AG93"/>
  <sheetViews>
    <sheetView topLeftCell="A71" zoomScale="90" zoomScaleNormal="90" workbookViewId="0">
      <selection activeCell="F77" sqref="F7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E5650DA0-57A1-4428-B228-2FA43742B488}">
      <formula1>$AC$65:$AC$71</formula1>
    </dataValidation>
    <dataValidation type="list" allowBlank="1" showInputMessage="1" showErrorMessage="1" sqref="G60" xr:uid="{ABFD166A-DB32-4ABB-9E6C-D1A786BC82AE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D46C-0F61-4DAE-AAD7-F9667A961677}">
  <sheetPr>
    <pageSetUpPr fitToPage="1"/>
  </sheetPr>
  <dimension ref="A1:AG93"/>
  <sheetViews>
    <sheetView topLeftCell="A68" zoomScale="90" zoomScaleNormal="90" workbookViewId="0">
      <selection activeCell="F77" sqref="F77:P7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17324E6C-9322-43EB-A6F6-204ACF058CB9}">
      <formula1>$AC$65:$AC$71</formula1>
    </dataValidation>
    <dataValidation type="list" allowBlank="1" showInputMessage="1" showErrorMessage="1" sqref="G60" xr:uid="{F4285CE3-7E76-4617-8832-86172E62F1C2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8298-B742-40B1-9357-C5388265FFBB}">
  <sheetPr>
    <pageSetUpPr fitToPage="1"/>
  </sheetPr>
  <dimension ref="A1:AG93"/>
  <sheetViews>
    <sheetView topLeftCell="A68" zoomScale="90" zoomScaleNormal="90" workbookViewId="0">
      <selection activeCell="O77" sqref="O7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89FEC996-873B-43EC-9BFD-49D8022E8DF2}">
      <formula1>$AC$65:$AC$71</formula1>
    </dataValidation>
    <dataValidation type="list" allowBlank="1" showInputMessage="1" showErrorMessage="1" sqref="G60" xr:uid="{7FA028E0-FF52-40AF-AD61-93C98F183050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A67F-DBF7-454A-80A6-57F67A4332DE}">
  <sheetPr>
    <pageSetUpPr fitToPage="1"/>
  </sheetPr>
  <dimension ref="A1:AG93"/>
  <sheetViews>
    <sheetView topLeftCell="A65" zoomScale="90" zoomScaleNormal="90" workbookViewId="0">
      <selection activeCell="C76" sqref="C76:D81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364D1839-2AF8-4D8E-B3B9-02F9F2D38B53}">
      <formula1>$AC$65:$AC$71</formula1>
    </dataValidation>
    <dataValidation type="list" allowBlank="1" showInputMessage="1" showErrorMessage="1" sqref="G60" xr:uid="{D214B21C-A311-4605-BBB3-5C43E0C96FF6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D9FB-C05A-47AD-BC21-0004A981B07C}">
  <sheetPr>
    <pageSetUpPr fitToPage="1"/>
  </sheetPr>
  <dimension ref="A1:AG93"/>
  <sheetViews>
    <sheetView topLeftCell="A68" zoomScale="90" zoomScaleNormal="90" workbookViewId="0">
      <selection activeCell="G77" sqref="G7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6B7AAF8F-CB72-41A6-83A9-CF13D82E4F0B}">
      <formula1>$AC$65:$AC$71</formula1>
    </dataValidation>
    <dataValidation type="list" allowBlank="1" showInputMessage="1" showErrorMessage="1" sqref="G60" xr:uid="{19A40444-0128-4BE9-A4A7-90A8C8106221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108C-D37D-4292-B585-6DE0C71251E2}">
  <sheetPr>
    <pageSetUpPr fitToPage="1"/>
  </sheetPr>
  <dimension ref="A1:AG93"/>
  <sheetViews>
    <sheetView topLeftCell="A71" zoomScale="90" zoomScaleNormal="90" workbookViewId="0">
      <selection activeCell="O77" sqref="O7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8A38C421-72F1-4F41-A38B-AABC65FCDCAC}">
      <formula1>$AC$65:$AC$71</formula1>
    </dataValidation>
    <dataValidation type="list" allowBlank="1" showInputMessage="1" showErrorMessage="1" sqref="G60" xr:uid="{A9E42361-C990-409E-8C4C-EF4EF805246C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5CD0-FF08-4B09-8DB6-2AA3B9ECC479}">
  <sheetPr>
    <pageSetUpPr fitToPage="1"/>
  </sheetPr>
  <dimension ref="A1:AG93"/>
  <sheetViews>
    <sheetView topLeftCell="A65" zoomScale="90" zoomScaleNormal="90" workbookViewId="0">
      <selection activeCell="O78" sqref="O78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34B4FC14-878B-42AD-9232-69762058A9FF}">
      <formula1>$AC$65:$AC$71</formula1>
    </dataValidation>
    <dataValidation type="list" allowBlank="1" showInputMessage="1" showErrorMessage="1" sqref="G60" xr:uid="{69BAFEDA-4545-4027-A247-8742D007087A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845C-C163-4B64-8B6B-803E6EB9CE38}">
  <sheetPr>
    <pageSetUpPr fitToPage="1"/>
  </sheetPr>
  <dimension ref="A1:AG93"/>
  <sheetViews>
    <sheetView topLeftCell="A71" zoomScale="90" zoomScaleNormal="90" workbookViewId="0">
      <selection activeCell="O77" sqref="O7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QP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オフクレ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QP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オフクレ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QP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オフクレ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QP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オフクレ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QP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オフクレ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QP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オフクレ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QP</v>
      </c>
      <c r="I52" s="218"/>
      <c r="J52" s="219">
        <f>K8+K15+K22+K29+K36+K43</f>
        <v>0</v>
      </c>
      <c r="K52" s="220"/>
      <c r="L52" s="200" t="str">
        <f>S64</f>
        <v>オフクレ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76</v>
      </c>
      <c r="S64" s="85" t="s">
        <v>77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QP</v>
      </c>
      <c r="Q75" s="82" t="str">
        <f t="shared" si="21"/>
        <v>オフクレ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EF476CFA-8A5C-411B-8EB7-C312E16C8663}">
      <formula1>$AC$65:$AC$71</formula1>
    </dataValidation>
    <dataValidation type="list" allowBlank="1" showInputMessage="1" showErrorMessage="1" sqref="G60" xr:uid="{4E026292-A4E7-41F4-BC47-A9C652F62F0B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A79C-4A00-4A90-9F92-4B89C14851EF}">
  <sheetPr>
    <pageSetUpPr fitToPage="1"/>
  </sheetPr>
  <dimension ref="A1:AG93"/>
  <sheetViews>
    <sheetView topLeftCell="A64" zoomScale="90" zoomScaleNormal="90" workbookViewId="0">
      <selection activeCell="E77" sqref="E7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2E84B802-77A7-4BFC-AFE5-5183B00A774B}">
      <formula1>$AC$65:$AC$71</formula1>
    </dataValidation>
    <dataValidation type="list" allowBlank="1" showInputMessage="1" showErrorMessage="1" sqref="G60" xr:uid="{BBCA2FC9-EEED-4972-81CF-6E05431705DE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6D40-3A93-4879-94F7-B8FBF0D7FD5B}">
  <sheetPr>
    <pageSetUpPr fitToPage="1"/>
  </sheetPr>
  <dimension ref="A1:AG93"/>
  <sheetViews>
    <sheetView topLeftCell="A69" zoomScale="90" zoomScaleNormal="90" workbookViewId="0">
      <selection activeCell="O79" sqref="O79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3D234088-9CCE-4367-9E32-8D493287D04D}">
      <formula1>$AC$65:$AC$71</formula1>
    </dataValidation>
    <dataValidation type="list" allowBlank="1" showInputMessage="1" showErrorMessage="1" sqref="G60" xr:uid="{2BA6C2E0-AD78-43F2-ACBC-B000CD62B1EC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07FF-D86C-4B02-B9DD-ECF10D4813CC}">
  <sheetPr>
    <pageSetUpPr fitToPage="1"/>
  </sheetPr>
  <dimension ref="A1:AG93"/>
  <sheetViews>
    <sheetView topLeftCell="A71" zoomScale="90" zoomScaleNormal="90" workbookViewId="0">
      <selection activeCell="U66" sqref="U66:W66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5FE14632-2281-4BF6-8E59-3C5B1A582ED7}">
      <formula1>$AC$65:$AC$71</formula1>
    </dataValidation>
    <dataValidation type="list" allowBlank="1" showInputMessage="1" showErrorMessage="1" sqref="G60" xr:uid="{81E6CD35-D3E8-465B-BD6D-EBDFD41A50F6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3C02-9651-4513-B78C-7A5351A8BE6A}">
  <sheetPr>
    <pageSetUpPr fitToPage="1"/>
  </sheetPr>
  <dimension ref="A1:AG93"/>
  <sheetViews>
    <sheetView topLeftCell="A57" zoomScale="90" zoomScaleNormal="90" workbookViewId="0">
      <selection activeCell="O77" sqref="O7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623AA462-0B45-44A5-B092-52D93E80F832}">
      <formula1>$AC$65:$AC$71</formula1>
    </dataValidation>
    <dataValidation type="list" allowBlank="1" showInputMessage="1" showErrorMessage="1" sqref="G60" xr:uid="{04ED9383-DFC3-4E6C-A0E0-B44F9DCF63C6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7217-C151-474F-B41E-5FFDADB36EFA}">
  <sheetPr>
    <pageSetUpPr fitToPage="1"/>
  </sheetPr>
  <dimension ref="A1:AG93"/>
  <sheetViews>
    <sheetView topLeftCell="A70" zoomScale="90" zoomScaleNormal="90" workbookViewId="0">
      <selection activeCell="J60" sqref="J60:L60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F243C675-C5EB-44D6-872E-56886C00CF86}">
      <formula1>$AC$65:$AC$71</formula1>
    </dataValidation>
    <dataValidation type="list" allowBlank="1" showInputMessage="1" showErrorMessage="1" sqref="G60" xr:uid="{AA4E4F98-C6B4-4D8B-AF7B-6E18E0383BEA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FFA5-ABF7-4513-AF90-BA2D72C91407}">
  <sheetPr>
    <pageSetUpPr fitToPage="1"/>
  </sheetPr>
  <dimension ref="A1:AG93"/>
  <sheetViews>
    <sheetView topLeftCell="A65" zoomScale="90" zoomScaleNormal="90" workbookViewId="0">
      <selection activeCell="U84" sqref="U84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2ED171CC-57AF-491F-B32C-96148721346B}">
      <formula1>$AC$65:$AC$71</formula1>
    </dataValidation>
    <dataValidation type="list" allowBlank="1" showInputMessage="1" showErrorMessage="1" sqref="G60" xr:uid="{9F5FD2A4-F05A-4EA2-8F2D-CC68B9F37674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CD1C-42C2-4229-9661-454B4B24B9C1}">
  <sheetPr>
    <pageSetUpPr fitToPage="1"/>
  </sheetPr>
  <dimension ref="A1:AG93"/>
  <sheetViews>
    <sheetView topLeftCell="A61" zoomScale="90" zoomScaleNormal="90" workbookViewId="0">
      <selection activeCell="O77" sqref="O7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Qpay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Qpay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Qpay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Qpay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Qpay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Qpay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Qpay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73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Qpay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28E1D606-D3FA-472D-B36E-DCF57EF3BB9B}">
      <formula1>$AC$65:$AC$71</formula1>
    </dataValidation>
    <dataValidation type="list" allowBlank="1" showInputMessage="1" showErrorMessage="1" sqref="G60" xr:uid="{17CA0E48-268C-41CF-B292-D320550C2AC8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0C0C-DDF6-4D42-86A9-0C67224B442B}">
  <sheetPr>
    <pageSetUpPr fitToPage="1"/>
  </sheetPr>
  <dimension ref="A1:AG93"/>
  <sheetViews>
    <sheetView topLeftCell="A69" zoomScale="90" zoomScaleNormal="90" workbookViewId="0">
      <selection activeCell="O77" sqref="O77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54CE214B-AF6D-4061-B236-5E234E2D9601}">
      <formula1>$AC$65:$AC$71</formula1>
    </dataValidation>
    <dataValidation type="list" allowBlank="1" showInputMessage="1" showErrorMessage="1" sqref="G60" xr:uid="{7DA8FE19-A8EB-4C7A-9697-C9E15DCD12C5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A646-BCC3-4C8D-B776-5CA7F349835F}">
  <sheetPr>
    <pageSetUpPr fitToPage="1"/>
  </sheetPr>
  <dimension ref="A1:AG93"/>
  <sheetViews>
    <sheetView topLeftCell="A62" zoomScale="70" zoomScaleNormal="70" workbookViewId="0">
      <selection activeCell="B88" sqref="B88:I89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f>E69</f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23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23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23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23" ht="14.25" customHeight="1" thickTop="1" x14ac:dyDescent="0.4">
      <c r="V84" s="4"/>
      <c r="W84" s="4"/>
    </row>
    <row r="85" spans="2:23" ht="14.25" customHeight="1" x14ac:dyDescent="0.4">
      <c r="V85" s="4"/>
      <c r="W85" s="4"/>
    </row>
    <row r="86" spans="2:23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23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23" ht="14.25" customHeight="1" x14ac:dyDescent="0.4">
      <c r="B88" s="122"/>
      <c r="C88" s="123"/>
      <c r="D88" s="123"/>
      <c r="E88" s="124"/>
      <c r="F88" s="128"/>
      <c r="G88" s="124"/>
      <c r="H88" s="122"/>
      <c r="I88" s="124"/>
      <c r="V88" s="4"/>
      <c r="W88" s="4"/>
    </row>
    <row r="89" spans="2:23" ht="14.25" customHeight="1" x14ac:dyDescent="0.4">
      <c r="B89" s="125"/>
      <c r="C89" s="126"/>
      <c r="D89" s="126"/>
      <c r="E89" s="127"/>
      <c r="F89" s="125"/>
      <c r="G89" s="127"/>
      <c r="H89" s="125"/>
      <c r="I89" s="127"/>
      <c r="V89" s="4"/>
      <c r="W89" s="4"/>
    </row>
    <row r="90" spans="2:23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23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23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23" ht="14.25" customHeight="1" x14ac:dyDescent="0.4"/>
  </sheetData>
  <sheetProtection sheet="1" objects="1" scenarios="1"/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84E5B661-2C14-406B-BFA5-4E874205D7CE}">
      <formula1>$AC$65:$AC$71</formula1>
    </dataValidation>
    <dataValidation type="list" allowBlank="1" showInputMessage="1" showErrorMessage="1" sqref="G60" xr:uid="{05829DCF-A799-4CAD-8B32-923C94F77268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69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D4BC-186E-4FC3-94B5-A5367D409114}">
  <sheetPr>
    <pageSetUpPr fitToPage="1"/>
  </sheetPr>
  <dimension ref="A1:AH96"/>
  <sheetViews>
    <sheetView topLeftCell="C59" zoomScale="90" zoomScaleNormal="90" workbookViewId="0">
      <selection activeCell="Q8" sqref="Q8"/>
    </sheetView>
  </sheetViews>
  <sheetFormatPr defaultColWidth="8.75" defaultRowHeight="18.75" x14ac:dyDescent="0.4"/>
  <cols>
    <col min="1" max="1" width="2" style="1" customWidth="1"/>
    <col min="2" max="31" width="6.25" style="1" customWidth="1"/>
    <col min="32" max="32" width="2.5" style="1" customWidth="1"/>
    <col min="33" max="37" width="6.25" style="1" customWidth="1"/>
    <col min="38" max="38" width="2.5" style="1" customWidth="1"/>
    <col min="39" max="42" width="6.25" style="1" customWidth="1"/>
    <col min="43" max="43" width="3.125" style="1" customWidth="1"/>
    <col min="44" max="44" width="6.25" style="1" customWidth="1"/>
    <col min="45" max="46" width="9.375" style="1" customWidth="1"/>
    <col min="47" max="47" width="4.25" style="1" customWidth="1"/>
    <col min="48" max="49" width="7.5" style="1" customWidth="1"/>
    <col min="50" max="50" width="6.25" style="1" customWidth="1"/>
    <col min="51" max="53" width="4.25" style="1" customWidth="1"/>
    <col min="54" max="107" width="1.5" style="1" customWidth="1"/>
    <col min="108" max="108" width="4.5" style="1" customWidth="1"/>
    <col min="109" max="16384" width="8.75" style="1"/>
  </cols>
  <sheetData>
    <row r="1" spans="2:16" ht="17.25" customHeight="1" x14ac:dyDescent="0.4">
      <c r="C1" s="250" t="s">
        <v>0</v>
      </c>
      <c r="D1" s="250"/>
      <c r="E1" s="3"/>
      <c r="F1" s="251" t="s">
        <v>1</v>
      </c>
      <c r="G1" s="251"/>
      <c r="H1" s="251"/>
      <c r="I1" s="251"/>
      <c r="J1" s="251"/>
      <c r="K1" s="251"/>
      <c r="L1" s="252" t="s">
        <v>2</v>
      </c>
      <c r="M1" s="252"/>
      <c r="N1" s="252"/>
      <c r="O1" s="5"/>
      <c r="P1" s="6"/>
    </row>
    <row r="2" spans="2:16" ht="18.75" customHeight="1" thickBot="1" x14ac:dyDescent="0.45">
      <c r="D2" s="3"/>
      <c r="E2" s="3"/>
      <c r="F2" s="251"/>
      <c r="G2" s="251"/>
      <c r="H2" s="251"/>
      <c r="I2" s="251"/>
      <c r="J2" s="251"/>
      <c r="K2" s="251"/>
      <c r="L2" s="253">
        <f>H60</f>
        <v>0</v>
      </c>
      <c r="M2" s="253"/>
      <c r="N2" s="253"/>
      <c r="O2" s="5"/>
      <c r="P2" s="5"/>
    </row>
    <row r="3" spans="2:16" ht="17.25" customHeight="1" thickTop="1" x14ac:dyDescent="0.4">
      <c r="B3" s="7"/>
      <c r="C3" s="254">
        <f>B60</f>
        <v>0</v>
      </c>
      <c r="D3" s="254"/>
      <c r="E3" s="255" t="s">
        <v>3</v>
      </c>
      <c r="F3" s="256">
        <f>D60</f>
        <v>0</v>
      </c>
      <c r="G3" s="256"/>
      <c r="H3" s="256"/>
      <c r="I3" s="3"/>
      <c r="J3" s="8"/>
      <c r="K3" s="257" t="str">
        <f>J60</f>
        <v>天理店</v>
      </c>
      <c r="L3" s="257"/>
      <c r="M3" s="257"/>
      <c r="N3" s="257"/>
      <c r="O3" s="5"/>
      <c r="P3" s="5"/>
    </row>
    <row r="4" spans="2:16" ht="17.25" customHeight="1" thickBot="1" x14ac:dyDescent="0.45">
      <c r="B4" s="7"/>
      <c r="C4" s="254"/>
      <c r="D4" s="254"/>
      <c r="E4" s="255"/>
      <c r="F4" s="256"/>
      <c r="G4" s="256"/>
      <c r="H4" s="256"/>
      <c r="I4" s="1" t="str">
        <f>G60</f>
        <v>(土)</v>
      </c>
      <c r="J4" s="8"/>
      <c r="K4" s="258"/>
      <c r="L4" s="258"/>
      <c r="M4" s="258"/>
      <c r="N4" s="258"/>
      <c r="O4" s="9" t="s">
        <v>4</v>
      </c>
    </row>
    <row r="5" spans="2:16" ht="17.25" customHeight="1" thickTop="1" x14ac:dyDescent="0.5">
      <c r="B5" s="10"/>
      <c r="C5" s="11" t="s">
        <v>5</v>
      </c>
      <c r="D5" s="12" t="str">
        <f>H64</f>
        <v>PayPay</v>
      </c>
      <c r="E5" s="13">
        <f>H65</f>
        <v>0</v>
      </c>
      <c r="F5" s="14">
        <f>F76</f>
        <v>0</v>
      </c>
      <c r="G5" s="15">
        <f>E5-F5</f>
        <v>0</v>
      </c>
      <c r="H5" s="12" t="str">
        <f>I64</f>
        <v>クレカ</v>
      </c>
      <c r="I5" s="13">
        <f>I65</f>
        <v>0</v>
      </c>
      <c r="J5" s="14">
        <f>G76</f>
        <v>0</v>
      </c>
      <c r="K5" s="15">
        <f t="shared" ref="K5:K8" si="0">I5-J5</f>
        <v>0</v>
      </c>
      <c r="L5" s="12" t="str">
        <f>J64</f>
        <v>銀聯</v>
      </c>
      <c r="M5" s="16">
        <f>J65</f>
        <v>0</v>
      </c>
      <c r="N5" s="14">
        <f>H76</f>
        <v>0</v>
      </c>
      <c r="O5" s="17">
        <f>M5-N5</f>
        <v>0</v>
      </c>
    </row>
    <row r="6" spans="2:16" ht="17.25" customHeight="1" x14ac:dyDescent="0.5">
      <c r="B6" s="18"/>
      <c r="C6" s="19">
        <f>E65</f>
        <v>0</v>
      </c>
      <c r="D6" s="20" t="str">
        <f>K64</f>
        <v>ID</v>
      </c>
      <c r="E6" s="21">
        <f>K65</f>
        <v>0</v>
      </c>
      <c r="F6" s="22">
        <f>I76</f>
        <v>0</v>
      </c>
      <c r="G6" s="23">
        <f t="shared" ref="G6:G9" si="1">E6-F6</f>
        <v>0</v>
      </c>
      <c r="H6" s="20" t="str">
        <f>L64</f>
        <v>楽天</v>
      </c>
      <c r="I6" s="21">
        <f>L65</f>
        <v>0</v>
      </c>
      <c r="J6" s="22">
        <f>J76</f>
        <v>0</v>
      </c>
      <c r="K6" s="24">
        <f t="shared" si="0"/>
        <v>0</v>
      </c>
      <c r="L6" s="25" t="str">
        <f>M64</f>
        <v>交通系</v>
      </c>
      <c r="M6" s="26">
        <f>M65</f>
        <v>0</v>
      </c>
      <c r="N6" s="27">
        <f>K76</f>
        <v>0</v>
      </c>
      <c r="O6" s="28">
        <f t="shared" ref="O6:O8" si="2">M6-N6</f>
        <v>0</v>
      </c>
    </row>
    <row r="7" spans="2:16" ht="17.25" customHeight="1" x14ac:dyDescent="0.35">
      <c r="B7" s="232" t="s">
        <v>6</v>
      </c>
      <c r="C7" s="19" t="s">
        <v>7</v>
      </c>
      <c r="D7" s="25" t="str">
        <f>N64</f>
        <v>WAON</v>
      </c>
      <c r="E7" s="21">
        <f>N65</f>
        <v>0</v>
      </c>
      <c r="F7" s="27">
        <f>L76</f>
        <v>0</v>
      </c>
      <c r="G7" s="23">
        <f t="shared" si="1"/>
        <v>0</v>
      </c>
      <c r="H7" s="25" t="str">
        <f>O64</f>
        <v>nanaco</v>
      </c>
      <c r="I7" s="29">
        <f>O65</f>
        <v>0</v>
      </c>
      <c r="J7" s="27">
        <f>M76</f>
        <v>0</v>
      </c>
      <c r="K7" s="24">
        <f t="shared" si="0"/>
        <v>0</v>
      </c>
      <c r="L7" s="30" t="str">
        <f>P64</f>
        <v>いまなら</v>
      </c>
      <c r="M7" s="31">
        <f>P65</f>
        <v>0</v>
      </c>
      <c r="N7" s="22">
        <f>N76</f>
        <v>0</v>
      </c>
      <c r="O7" s="28">
        <f t="shared" si="2"/>
        <v>0</v>
      </c>
    </row>
    <row r="8" spans="2:16" ht="17.25" customHeight="1" thickBot="1" x14ac:dyDescent="0.4">
      <c r="B8" s="232"/>
      <c r="C8" s="32"/>
      <c r="D8" s="25" t="str">
        <f>Q64</f>
        <v>イチカ</v>
      </c>
      <c r="E8" s="33">
        <f>Q65</f>
        <v>0</v>
      </c>
      <c r="F8" s="27">
        <f>O76</f>
        <v>0</v>
      </c>
      <c r="G8" s="23">
        <f t="shared" si="1"/>
        <v>0</v>
      </c>
      <c r="H8" s="25" t="str">
        <f>R64</f>
        <v>フリー③</v>
      </c>
      <c r="I8" s="34">
        <f>R65</f>
        <v>0</v>
      </c>
      <c r="J8" s="22">
        <f>P76</f>
        <v>0</v>
      </c>
      <c r="K8" s="24">
        <f t="shared" si="0"/>
        <v>0</v>
      </c>
      <c r="L8" s="35" t="str">
        <f>S64</f>
        <v>フリー④</v>
      </c>
      <c r="M8" s="36">
        <f>S65</f>
        <v>0</v>
      </c>
      <c r="N8" s="37">
        <f>Q76</f>
        <v>0</v>
      </c>
      <c r="O8" s="28">
        <f t="shared" si="2"/>
        <v>0</v>
      </c>
    </row>
    <row r="9" spans="2:16" ht="17.25" customHeight="1" thickBot="1" x14ac:dyDescent="0.4">
      <c r="B9" s="232"/>
      <c r="C9" s="38" t="s">
        <v>8</v>
      </c>
      <c r="D9" s="25" t="str">
        <f>T64</f>
        <v>当たり券</v>
      </c>
      <c r="E9" s="39">
        <f>T65</f>
        <v>0</v>
      </c>
      <c r="F9" s="40">
        <f>R76</f>
        <v>0</v>
      </c>
      <c r="G9" s="41">
        <f t="shared" si="1"/>
        <v>0</v>
      </c>
      <c r="H9" s="233" t="s">
        <v>9</v>
      </c>
      <c r="I9" s="234"/>
      <c r="J9" s="235">
        <f>G5+G6+K5+K6+O5+O6+G7+K7+O7+G8+K8+O8</f>
        <v>0</v>
      </c>
      <c r="K9" s="236"/>
      <c r="L9" s="237" t="s">
        <v>10</v>
      </c>
      <c r="M9" s="238"/>
      <c r="N9" s="238"/>
      <c r="O9" s="239"/>
      <c r="P9" s="6"/>
    </row>
    <row r="10" spans="2:16" ht="17.25" customHeight="1" x14ac:dyDescent="0.35">
      <c r="B10" s="42">
        <f>C65</f>
        <v>0</v>
      </c>
      <c r="C10" s="43">
        <f>D65</f>
        <v>0</v>
      </c>
      <c r="D10" s="184" t="s">
        <v>11</v>
      </c>
      <c r="E10" s="185"/>
      <c r="F10" s="240" t="s">
        <v>12</v>
      </c>
      <c r="G10" s="241"/>
      <c r="H10" s="242" t="s">
        <v>13</v>
      </c>
      <c r="I10" s="242"/>
      <c r="J10" s="243" t="s">
        <v>14</v>
      </c>
      <c r="K10" s="244"/>
      <c r="L10" s="192">
        <f>J9+J11</f>
        <v>0</v>
      </c>
      <c r="M10" s="193"/>
      <c r="N10" s="193"/>
      <c r="O10" s="194"/>
      <c r="P10" s="6"/>
    </row>
    <row r="11" spans="2:16" ht="17.25" customHeight="1" thickBot="1" x14ac:dyDescent="0.4">
      <c r="B11" s="44" t="s">
        <v>15</v>
      </c>
      <c r="C11" s="45" t="s">
        <v>16</v>
      </c>
      <c r="D11" s="163">
        <f>F65</f>
        <v>0</v>
      </c>
      <c r="E11" s="164"/>
      <c r="F11" s="245">
        <f>E76</f>
        <v>0</v>
      </c>
      <c r="G11" s="246"/>
      <c r="H11" s="247">
        <f>J11-(D11-F11)</f>
        <v>0</v>
      </c>
      <c r="I11" s="247"/>
      <c r="J11" s="248">
        <f>C76</f>
        <v>0</v>
      </c>
      <c r="K11" s="249"/>
      <c r="L11" s="195"/>
      <c r="M11" s="196"/>
      <c r="N11" s="196"/>
      <c r="O11" s="197"/>
    </row>
    <row r="12" spans="2:16" ht="17.25" customHeight="1" thickTop="1" x14ac:dyDescent="0.5">
      <c r="B12" s="10"/>
      <c r="C12" s="11" t="s">
        <v>5</v>
      </c>
      <c r="D12" s="12" t="str">
        <f>H64</f>
        <v>PayPay</v>
      </c>
      <c r="E12" s="13">
        <f>H66</f>
        <v>0</v>
      </c>
      <c r="F12" s="14">
        <f>F77</f>
        <v>0</v>
      </c>
      <c r="G12" s="15">
        <f>E12-F12</f>
        <v>0</v>
      </c>
      <c r="H12" s="12" t="str">
        <f>I64</f>
        <v>クレカ</v>
      </c>
      <c r="I12" s="13">
        <f>I66</f>
        <v>0</v>
      </c>
      <c r="J12" s="14">
        <f>G77</f>
        <v>0</v>
      </c>
      <c r="K12" s="15">
        <f t="shared" ref="K12:K15" si="3">I12-J12</f>
        <v>0</v>
      </c>
      <c r="L12" s="12" t="str">
        <f>J64</f>
        <v>銀聯</v>
      </c>
      <c r="M12" s="16">
        <f>J66</f>
        <v>0</v>
      </c>
      <c r="N12" s="14">
        <f>H77</f>
        <v>0</v>
      </c>
      <c r="O12" s="17">
        <f>M12-N12</f>
        <v>0</v>
      </c>
    </row>
    <row r="13" spans="2:16" ht="17.25" customHeight="1" x14ac:dyDescent="0.5">
      <c r="B13" s="18"/>
      <c r="C13" s="19">
        <f>E66</f>
        <v>0</v>
      </c>
      <c r="D13" s="20" t="str">
        <f>K64</f>
        <v>ID</v>
      </c>
      <c r="E13" s="21">
        <f>K66</f>
        <v>0</v>
      </c>
      <c r="F13" s="22">
        <f>I77</f>
        <v>0</v>
      </c>
      <c r="G13" s="23">
        <f t="shared" ref="G13:G16" si="4">E13-F13</f>
        <v>0</v>
      </c>
      <c r="H13" s="20" t="str">
        <f>L64</f>
        <v>楽天</v>
      </c>
      <c r="I13" s="21">
        <f>L66</f>
        <v>0</v>
      </c>
      <c r="J13" s="22">
        <f>J77</f>
        <v>0</v>
      </c>
      <c r="K13" s="24">
        <f t="shared" si="3"/>
        <v>0</v>
      </c>
      <c r="L13" s="25" t="str">
        <f>M64</f>
        <v>交通系</v>
      </c>
      <c r="M13" s="26">
        <f>M66</f>
        <v>0</v>
      </c>
      <c r="N13" s="27">
        <f>K77</f>
        <v>0</v>
      </c>
      <c r="O13" s="28">
        <f t="shared" ref="O13:O15" si="5">M13-N13</f>
        <v>0</v>
      </c>
    </row>
    <row r="14" spans="2:16" ht="17.25" customHeight="1" x14ac:dyDescent="0.35">
      <c r="B14" s="232" t="s">
        <v>17</v>
      </c>
      <c r="C14" s="19" t="s">
        <v>18</v>
      </c>
      <c r="D14" s="25" t="str">
        <f>N64</f>
        <v>WAON</v>
      </c>
      <c r="E14" s="21">
        <f>N66</f>
        <v>0</v>
      </c>
      <c r="F14" s="27">
        <f>L77</f>
        <v>0</v>
      </c>
      <c r="G14" s="23">
        <f t="shared" si="4"/>
        <v>0</v>
      </c>
      <c r="H14" s="25" t="str">
        <f>O64</f>
        <v>nanaco</v>
      </c>
      <c r="I14" s="29">
        <f>O66</f>
        <v>0</v>
      </c>
      <c r="J14" s="27">
        <f>M77</f>
        <v>0</v>
      </c>
      <c r="K14" s="24">
        <f t="shared" si="3"/>
        <v>0</v>
      </c>
      <c r="L14" s="30" t="str">
        <f>P64</f>
        <v>いまなら</v>
      </c>
      <c r="M14" s="31">
        <f>P66</f>
        <v>0</v>
      </c>
      <c r="N14" s="22">
        <f>N77</f>
        <v>0</v>
      </c>
      <c r="O14" s="28">
        <f t="shared" si="5"/>
        <v>0</v>
      </c>
    </row>
    <row r="15" spans="2:16" ht="17.25" customHeight="1" thickBot="1" x14ac:dyDescent="0.4">
      <c r="B15" s="232"/>
      <c r="C15" s="32"/>
      <c r="D15" s="25" t="str">
        <f>Q64</f>
        <v>イチカ</v>
      </c>
      <c r="E15" s="33">
        <f>Q66</f>
        <v>0</v>
      </c>
      <c r="F15" s="27">
        <f>O77</f>
        <v>0</v>
      </c>
      <c r="G15" s="23">
        <f t="shared" si="4"/>
        <v>0</v>
      </c>
      <c r="H15" s="25" t="str">
        <f>R64</f>
        <v>フリー③</v>
      </c>
      <c r="I15" s="34">
        <f>R66</f>
        <v>0</v>
      </c>
      <c r="J15" s="22">
        <f>P77</f>
        <v>0</v>
      </c>
      <c r="K15" s="24">
        <f t="shared" si="3"/>
        <v>0</v>
      </c>
      <c r="L15" s="35" t="str">
        <f>S64</f>
        <v>フリー④</v>
      </c>
      <c r="M15" s="36">
        <f>S66</f>
        <v>0</v>
      </c>
      <c r="N15" s="37">
        <f>Q77</f>
        <v>0</v>
      </c>
      <c r="O15" s="28">
        <f t="shared" si="5"/>
        <v>0</v>
      </c>
    </row>
    <row r="16" spans="2:16" ht="17.25" customHeight="1" thickBot="1" x14ac:dyDescent="0.4">
      <c r="B16" s="232"/>
      <c r="C16" s="38" t="s">
        <v>8</v>
      </c>
      <c r="D16" s="25" t="str">
        <f>T64</f>
        <v>当たり券</v>
      </c>
      <c r="E16" s="39">
        <f>T66</f>
        <v>0</v>
      </c>
      <c r="F16" s="40">
        <f>R77</f>
        <v>0</v>
      </c>
      <c r="G16" s="41">
        <f t="shared" si="4"/>
        <v>0</v>
      </c>
      <c r="H16" s="233" t="s">
        <v>9</v>
      </c>
      <c r="I16" s="234"/>
      <c r="J16" s="235">
        <f>G12+G13+K12+K13+O12+O13+G14+K14+O14+G15+K15+O15</f>
        <v>0</v>
      </c>
      <c r="K16" s="236"/>
      <c r="L16" s="237" t="s">
        <v>10</v>
      </c>
      <c r="M16" s="238"/>
      <c r="N16" s="238"/>
      <c r="O16" s="239"/>
      <c r="P16" s="6"/>
    </row>
    <row r="17" spans="1:16" ht="17.25" customHeight="1" x14ac:dyDescent="0.35">
      <c r="B17" s="42">
        <f>C66</f>
        <v>0</v>
      </c>
      <c r="C17" s="43">
        <f>D66</f>
        <v>0</v>
      </c>
      <c r="D17" s="184" t="s">
        <v>11</v>
      </c>
      <c r="E17" s="185"/>
      <c r="F17" s="240" t="s">
        <v>12</v>
      </c>
      <c r="G17" s="241"/>
      <c r="H17" s="242" t="s">
        <v>13</v>
      </c>
      <c r="I17" s="242"/>
      <c r="J17" s="243" t="s">
        <v>14</v>
      </c>
      <c r="K17" s="244"/>
      <c r="L17" s="192">
        <f>J16+J18</f>
        <v>0</v>
      </c>
      <c r="M17" s="193"/>
      <c r="N17" s="193"/>
      <c r="O17" s="194"/>
      <c r="P17" s="6"/>
    </row>
    <row r="18" spans="1:16" ht="17.25" customHeight="1" thickBot="1" x14ac:dyDescent="0.4">
      <c r="B18" s="44" t="s">
        <v>15</v>
      </c>
      <c r="C18" s="45" t="s">
        <v>16</v>
      </c>
      <c r="D18" s="163">
        <f>F66</f>
        <v>0</v>
      </c>
      <c r="E18" s="164"/>
      <c r="F18" s="245">
        <f>E77</f>
        <v>0</v>
      </c>
      <c r="G18" s="246"/>
      <c r="H18" s="247">
        <f>J18-(D18-F18)</f>
        <v>0</v>
      </c>
      <c r="I18" s="247"/>
      <c r="J18" s="248">
        <f>C77</f>
        <v>0</v>
      </c>
      <c r="K18" s="249"/>
      <c r="L18" s="195"/>
      <c r="M18" s="196"/>
      <c r="N18" s="196"/>
      <c r="O18" s="197"/>
    </row>
    <row r="19" spans="1:16" ht="17.25" customHeight="1" thickTop="1" x14ac:dyDescent="0.5">
      <c r="B19" s="10"/>
      <c r="C19" s="11" t="s">
        <v>5</v>
      </c>
      <c r="D19" s="12" t="str">
        <f>H64</f>
        <v>PayPay</v>
      </c>
      <c r="E19" s="13">
        <f>H67</f>
        <v>0</v>
      </c>
      <c r="F19" s="14">
        <f>F78</f>
        <v>0</v>
      </c>
      <c r="G19" s="15">
        <f>E19-F19</f>
        <v>0</v>
      </c>
      <c r="H19" s="12" t="str">
        <f>I64</f>
        <v>クレカ</v>
      </c>
      <c r="I19" s="13">
        <f>I67</f>
        <v>0</v>
      </c>
      <c r="J19" s="14">
        <f>G78</f>
        <v>0</v>
      </c>
      <c r="K19" s="15">
        <f t="shared" ref="K19:K22" si="6">I19-J19</f>
        <v>0</v>
      </c>
      <c r="L19" s="12" t="str">
        <f>J64</f>
        <v>銀聯</v>
      </c>
      <c r="M19" s="16">
        <f>J67</f>
        <v>0</v>
      </c>
      <c r="N19" s="14">
        <f>H78</f>
        <v>0</v>
      </c>
      <c r="O19" s="17">
        <f>M19-N19</f>
        <v>0</v>
      </c>
    </row>
    <row r="20" spans="1:16" ht="17.25" customHeight="1" x14ac:dyDescent="0.5">
      <c r="B20" s="18"/>
      <c r="C20" s="19">
        <f>E67</f>
        <v>0</v>
      </c>
      <c r="D20" s="20" t="str">
        <f>K64</f>
        <v>ID</v>
      </c>
      <c r="E20" s="21">
        <f>K67</f>
        <v>0</v>
      </c>
      <c r="F20" s="22">
        <f>I78</f>
        <v>0</v>
      </c>
      <c r="G20" s="23">
        <f t="shared" ref="G20:G23" si="7">E20-F20</f>
        <v>0</v>
      </c>
      <c r="H20" s="20" t="str">
        <f>L64</f>
        <v>楽天</v>
      </c>
      <c r="I20" s="21">
        <f>L67</f>
        <v>0</v>
      </c>
      <c r="J20" s="22">
        <f>J78</f>
        <v>0</v>
      </c>
      <c r="K20" s="24">
        <f t="shared" si="6"/>
        <v>0</v>
      </c>
      <c r="L20" s="25" t="str">
        <f>M64</f>
        <v>交通系</v>
      </c>
      <c r="M20" s="26">
        <f>M67</f>
        <v>0</v>
      </c>
      <c r="N20" s="27">
        <f>K78</f>
        <v>0</v>
      </c>
      <c r="O20" s="28">
        <f t="shared" ref="O20:O22" si="8">M20-N20</f>
        <v>0</v>
      </c>
    </row>
    <row r="21" spans="1:16" ht="17.25" customHeight="1" x14ac:dyDescent="0.35">
      <c r="B21" s="232" t="s">
        <v>19</v>
      </c>
      <c r="C21" s="19" t="s">
        <v>18</v>
      </c>
      <c r="D21" s="25" t="str">
        <f>N64</f>
        <v>WAON</v>
      </c>
      <c r="E21" s="21">
        <f>N67</f>
        <v>0</v>
      </c>
      <c r="F21" s="27">
        <f>L78</f>
        <v>0</v>
      </c>
      <c r="G21" s="23">
        <f t="shared" si="7"/>
        <v>0</v>
      </c>
      <c r="H21" s="25" t="str">
        <f>O64</f>
        <v>nanaco</v>
      </c>
      <c r="I21" s="29">
        <f>O67</f>
        <v>0</v>
      </c>
      <c r="J21" s="27">
        <f>M78</f>
        <v>0</v>
      </c>
      <c r="K21" s="24">
        <f t="shared" si="6"/>
        <v>0</v>
      </c>
      <c r="L21" s="30" t="str">
        <f>P64</f>
        <v>いまなら</v>
      </c>
      <c r="M21" s="31">
        <f>P67</f>
        <v>0</v>
      </c>
      <c r="N21" s="22">
        <f>N78</f>
        <v>0</v>
      </c>
      <c r="O21" s="28">
        <f t="shared" si="8"/>
        <v>0</v>
      </c>
    </row>
    <row r="22" spans="1:16" ht="17.25" customHeight="1" thickBot="1" x14ac:dyDescent="0.4">
      <c r="B22" s="232"/>
      <c r="C22" s="32"/>
      <c r="D22" s="25" t="str">
        <f>Q64</f>
        <v>イチカ</v>
      </c>
      <c r="E22" s="33">
        <f>Q67</f>
        <v>0</v>
      </c>
      <c r="F22" s="27">
        <f>O78</f>
        <v>0</v>
      </c>
      <c r="G22" s="23">
        <f t="shared" si="7"/>
        <v>0</v>
      </c>
      <c r="H22" s="25" t="str">
        <f>R64</f>
        <v>フリー③</v>
      </c>
      <c r="I22" s="34">
        <f>R67</f>
        <v>0</v>
      </c>
      <c r="J22" s="22">
        <f>P78</f>
        <v>0</v>
      </c>
      <c r="K22" s="24">
        <f t="shared" si="6"/>
        <v>0</v>
      </c>
      <c r="L22" s="35" t="str">
        <f>S64</f>
        <v>フリー④</v>
      </c>
      <c r="M22" s="36">
        <f>S67</f>
        <v>0</v>
      </c>
      <c r="N22" s="37">
        <f>Q78</f>
        <v>0</v>
      </c>
      <c r="O22" s="28">
        <f t="shared" si="8"/>
        <v>0</v>
      </c>
    </row>
    <row r="23" spans="1:16" ht="17.25" customHeight="1" thickBot="1" x14ac:dyDescent="0.4">
      <c r="A23" s="47" t="s">
        <v>20</v>
      </c>
      <c r="B23" s="232"/>
      <c r="C23" s="38" t="s">
        <v>8</v>
      </c>
      <c r="D23" s="25" t="str">
        <f>T64</f>
        <v>当たり券</v>
      </c>
      <c r="E23" s="39">
        <f>T67</f>
        <v>0</v>
      </c>
      <c r="F23" s="40">
        <f>R78</f>
        <v>0</v>
      </c>
      <c r="G23" s="41">
        <f t="shared" si="7"/>
        <v>0</v>
      </c>
      <c r="H23" s="233" t="s">
        <v>9</v>
      </c>
      <c r="I23" s="234"/>
      <c r="J23" s="235">
        <f>G19+G20+K19+K20+O19+O20+G21+K21+O21+G22+K22+O22</f>
        <v>0</v>
      </c>
      <c r="K23" s="236"/>
      <c r="L23" s="237" t="s">
        <v>10</v>
      </c>
      <c r="M23" s="238"/>
      <c r="N23" s="238"/>
      <c r="O23" s="239"/>
      <c r="P23" s="6"/>
    </row>
    <row r="24" spans="1:16" ht="17.25" customHeight="1" x14ac:dyDescent="0.35">
      <c r="B24" s="42">
        <f>C67</f>
        <v>0</v>
      </c>
      <c r="C24" s="43">
        <f>D67</f>
        <v>0</v>
      </c>
      <c r="D24" s="184" t="s">
        <v>11</v>
      </c>
      <c r="E24" s="185"/>
      <c r="F24" s="240" t="s">
        <v>12</v>
      </c>
      <c r="G24" s="241"/>
      <c r="H24" s="242" t="s">
        <v>13</v>
      </c>
      <c r="I24" s="242"/>
      <c r="J24" s="243" t="s">
        <v>14</v>
      </c>
      <c r="K24" s="244"/>
      <c r="L24" s="192">
        <f>J23+J25</f>
        <v>0</v>
      </c>
      <c r="M24" s="193"/>
      <c r="N24" s="193"/>
      <c r="O24" s="194"/>
      <c r="P24" s="6"/>
    </row>
    <row r="25" spans="1:16" ht="17.25" customHeight="1" thickBot="1" x14ac:dyDescent="0.4">
      <c r="B25" s="44" t="s">
        <v>15</v>
      </c>
      <c r="C25" s="45" t="s">
        <v>16</v>
      </c>
      <c r="D25" s="163">
        <f>F67</f>
        <v>0</v>
      </c>
      <c r="E25" s="164"/>
      <c r="F25" s="245">
        <f>E78</f>
        <v>0</v>
      </c>
      <c r="G25" s="246"/>
      <c r="H25" s="247">
        <f>J25-(D25-F25)</f>
        <v>0</v>
      </c>
      <c r="I25" s="247"/>
      <c r="J25" s="248">
        <f>C78</f>
        <v>0</v>
      </c>
      <c r="K25" s="249"/>
      <c r="L25" s="195"/>
      <c r="M25" s="196"/>
      <c r="N25" s="196"/>
      <c r="O25" s="197"/>
    </row>
    <row r="26" spans="1:16" ht="17.25" customHeight="1" thickTop="1" x14ac:dyDescent="0.5">
      <c r="A26" s="48"/>
      <c r="B26" s="10"/>
      <c r="C26" s="11" t="s">
        <v>5</v>
      </c>
      <c r="D26" s="12" t="str">
        <f>H64</f>
        <v>PayPay</v>
      </c>
      <c r="E26" s="13">
        <f>H68</f>
        <v>0</v>
      </c>
      <c r="F26" s="14">
        <f>F79</f>
        <v>0</v>
      </c>
      <c r="G26" s="15">
        <f>E26-F26</f>
        <v>0</v>
      </c>
      <c r="H26" s="12" t="str">
        <f>I64</f>
        <v>クレカ</v>
      </c>
      <c r="I26" s="13">
        <f>I68</f>
        <v>0</v>
      </c>
      <c r="J26" s="14">
        <f>G79</f>
        <v>0</v>
      </c>
      <c r="K26" s="15">
        <f t="shared" ref="K26:K29" si="9">I26-J26</f>
        <v>0</v>
      </c>
      <c r="L26" s="12" t="str">
        <f>J64</f>
        <v>銀聯</v>
      </c>
      <c r="M26" s="16">
        <f>J68</f>
        <v>0</v>
      </c>
      <c r="N26" s="14">
        <f>H79</f>
        <v>0</v>
      </c>
      <c r="O26" s="17">
        <f>M26-N26</f>
        <v>0</v>
      </c>
    </row>
    <row r="27" spans="1:16" ht="17.25" customHeight="1" x14ac:dyDescent="0.5">
      <c r="A27" s="48"/>
      <c r="B27" s="18"/>
      <c r="C27" s="19">
        <f>E68</f>
        <v>0</v>
      </c>
      <c r="D27" s="20" t="str">
        <f>K64</f>
        <v>ID</v>
      </c>
      <c r="E27" s="21">
        <f>K68</f>
        <v>0</v>
      </c>
      <c r="F27" s="22">
        <f>I79</f>
        <v>0</v>
      </c>
      <c r="G27" s="23">
        <f t="shared" ref="G27:G30" si="10">E27-F27</f>
        <v>0</v>
      </c>
      <c r="H27" s="20" t="str">
        <f>L64</f>
        <v>楽天</v>
      </c>
      <c r="I27" s="21">
        <f>L68</f>
        <v>0</v>
      </c>
      <c r="J27" s="22">
        <f>J79</f>
        <v>0</v>
      </c>
      <c r="K27" s="24">
        <f t="shared" si="9"/>
        <v>0</v>
      </c>
      <c r="L27" s="25" t="str">
        <f>M64</f>
        <v>交通系</v>
      </c>
      <c r="M27" s="26">
        <f>M68</f>
        <v>0</v>
      </c>
      <c r="N27" s="27">
        <f>K79</f>
        <v>0</v>
      </c>
      <c r="O27" s="28">
        <f t="shared" ref="O27:O29" si="11">M27-N27</f>
        <v>0</v>
      </c>
    </row>
    <row r="28" spans="1:16" ht="17.25" customHeight="1" x14ac:dyDescent="0.35">
      <c r="B28" s="232" t="s">
        <v>21</v>
      </c>
      <c r="C28" s="19" t="s">
        <v>7</v>
      </c>
      <c r="D28" s="25" t="str">
        <f>N64</f>
        <v>WAON</v>
      </c>
      <c r="E28" s="21">
        <f>N68</f>
        <v>0</v>
      </c>
      <c r="F28" s="27">
        <f>L79</f>
        <v>0</v>
      </c>
      <c r="G28" s="23">
        <f t="shared" si="10"/>
        <v>0</v>
      </c>
      <c r="H28" s="25" t="str">
        <f>O64</f>
        <v>nanaco</v>
      </c>
      <c r="I28" s="29">
        <f>O68</f>
        <v>0</v>
      </c>
      <c r="J28" s="27">
        <f>M79</f>
        <v>0</v>
      </c>
      <c r="K28" s="24">
        <f t="shared" si="9"/>
        <v>0</v>
      </c>
      <c r="L28" s="30" t="str">
        <f>P64</f>
        <v>いまなら</v>
      </c>
      <c r="M28" s="31">
        <f>P68</f>
        <v>0</v>
      </c>
      <c r="N28" s="22">
        <f>N79</f>
        <v>0</v>
      </c>
      <c r="O28" s="28">
        <f t="shared" si="11"/>
        <v>0</v>
      </c>
    </row>
    <row r="29" spans="1:16" ht="17.25" customHeight="1" thickBot="1" x14ac:dyDescent="0.4">
      <c r="B29" s="232"/>
      <c r="C29" s="32"/>
      <c r="D29" s="25" t="str">
        <f>Q64</f>
        <v>イチカ</v>
      </c>
      <c r="E29" s="33">
        <f>Q68</f>
        <v>0</v>
      </c>
      <c r="F29" s="27">
        <f>O79</f>
        <v>0</v>
      </c>
      <c r="G29" s="23">
        <f t="shared" si="10"/>
        <v>0</v>
      </c>
      <c r="H29" s="25" t="str">
        <f>R64</f>
        <v>フリー③</v>
      </c>
      <c r="I29" s="34">
        <f>R68</f>
        <v>0</v>
      </c>
      <c r="J29" s="22">
        <f>P79</f>
        <v>0</v>
      </c>
      <c r="K29" s="24">
        <f t="shared" si="9"/>
        <v>0</v>
      </c>
      <c r="L29" s="35" t="str">
        <f>S64</f>
        <v>フリー④</v>
      </c>
      <c r="M29" s="36">
        <f>S68</f>
        <v>0</v>
      </c>
      <c r="N29" s="37">
        <f>Q79</f>
        <v>0</v>
      </c>
      <c r="O29" s="28">
        <f t="shared" si="11"/>
        <v>0</v>
      </c>
    </row>
    <row r="30" spans="1:16" ht="17.25" customHeight="1" thickBot="1" x14ac:dyDescent="0.4">
      <c r="B30" s="232"/>
      <c r="C30" s="38" t="s">
        <v>8</v>
      </c>
      <c r="D30" s="25" t="str">
        <f>T64</f>
        <v>当たり券</v>
      </c>
      <c r="E30" s="39">
        <f>T68</f>
        <v>0</v>
      </c>
      <c r="F30" s="40">
        <f>R79</f>
        <v>0</v>
      </c>
      <c r="G30" s="41">
        <f t="shared" si="10"/>
        <v>0</v>
      </c>
      <c r="H30" s="233" t="s">
        <v>9</v>
      </c>
      <c r="I30" s="234"/>
      <c r="J30" s="235">
        <f>G26+G27+K26+K27+O26+O27+G28+K28+O28+G29+K29+O29</f>
        <v>0</v>
      </c>
      <c r="K30" s="236"/>
      <c r="L30" s="237" t="s">
        <v>10</v>
      </c>
      <c r="M30" s="238"/>
      <c r="N30" s="238"/>
      <c r="O30" s="239"/>
      <c r="P30" s="6"/>
    </row>
    <row r="31" spans="1:16" ht="17.25" customHeight="1" x14ac:dyDescent="0.35">
      <c r="B31" s="42">
        <f>C68</f>
        <v>0</v>
      </c>
      <c r="C31" s="43">
        <f>D68</f>
        <v>0</v>
      </c>
      <c r="D31" s="184" t="s">
        <v>11</v>
      </c>
      <c r="E31" s="185"/>
      <c r="F31" s="240" t="s">
        <v>12</v>
      </c>
      <c r="G31" s="241"/>
      <c r="H31" s="242" t="s">
        <v>13</v>
      </c>
      <c r="I31" s="242"/>
      <c r="J31" s="243" t="s">
        <v>14</v>
      </c>
      <c r="K31" s="244"/>
      <c r="L31" s="192">
        <f>J30+J32</f>
        <v>0</v>
      </c>
      <c r="M31" s="193"/>
      <c r="N31" s="193"/>
      <c r="O31" s="194"/>
      <c r="P31" s="6"/>
    </row>
    <row r="32" spans="1:16" ht="17.25" customHeight="1" thickBot="1" x14ac:dyDescent="0.4">
      <c r="B32" s="44" t="s">
        <v>15</v>
      </c>
      <c r="C32" s="45" t="s">
        <v>16</v>
      </c>
      <c r="D32" s="163">
        <f>F68</f>
        <v>0</v>
      </c>
      <c r="E32" s="164"/>
      <c r="F32" s="245">
        <f>E79</f>
        <v>0</v>
      </c>
      <c r="G32" s="246"/>
      <c r="H32" s="247">
        <f>J32-(D32-F32)</f>
        <v>0</v>
      </c>
      <c r="I32" s="247"/>
      <c r="J32" s="248">
        <f>C79</f>
        <v>0</v>
      </c>
      <c r="K32" s="249"/>
      <c r="L32" s="195"/>
      <c r="M32" s="196"/>
      <c r="N32" s="196"/>
      <c r="O32" s="197"/>
    </row>
    <row r="33" spans="2:16" ht="17.25" customHeight="1" thickTop="1" x14ac:dyDescent="0.5">
      <c r="B33" s="10"/>
      <c r="C33" s="11" t="s">
        <v>5</v>
      </c>
      <c r="D33" s="12" t="str">
        <f>H64</f>
        <v>PayPay</v>
      </c>
      <c r="E33" s="13">
        <f>H69</f>
        <v>0</v>
      </c>
      <c r="F33" s="14">
        <f>F80</f>
        <v>0</v>
      </c>
      <c r="G33" s="15">
        <f>E33-F33</f>
        <v>0</v>
      </c>
      <c r="H33" s="12" t="str">
        <f>I64</f>
        <v>クレカ</v>
      </c>
      <c r="I33" s="13">
        <f>I69</f>
        <v>0</v>
      </c>
      <c r="J33" s="14">
        <f>G80</f>
        <v>0</v>
      </c>
      <c r="K33" s="15">
        <f t="shared" ref="K33:K36" si="12">I33-J33</f>
        <v>0</v>
      </c>
      <c r="L33" s="12" t="str">
        <f>J64</f>
        <v>銀聯</v>
      </c>
      <c r="M33" s="16">
        <f>J69</f>
        <v>0</v>
      </c>
      <c r="N33" s="14">
        <f>H80</f>
        <v>0</v>
      </c>
      <c r="O33" s="17">
        <f>M33-N33</f>
        <v>0</v>
      </c>
    </row>
    <row r="34" spans="2:16" ht="17.25" customHeight="1" x14ac:dyDescent="0.5">
      <c r="B34" s="18"/>
      <c r="C34" s="19">
        <v>0</v>
      </c>
      <c r="D34" s="20" t="str">
        <f>K64</f>
        <v>ID</v>
      </c>
      <c r="E34" s="21">
        <f>K69</f>
        <v>0</v>
      </c>
      <c r="F34" s="22">
        <f>I80</f>
        <v>0</v>
      </c>
      <c r="G34" s="23">
        <f t="shared" ref="G34:G37" si="13">E34-F34</f>
        <v>0</v>
      </c>
      <c r="H34" s="20" t="str">
        <f>L64</f>
        <v>楽天</v>
      </c>
      <c r="I34" s="21">
        <f>L69</f>
        <v>0</v>
      </c>
      <c r="J34" s="22">
        <f>J80</f>
        <v>0</v>
      </c>
      <c r="K34" s="24">
        <f t="shared" si="12"/>
        <v>0</v>
      </c>
      <c r="L34" s="25" t="str">
        <f>M64</f>
        <v>交通系</v>
      </c>
      <c r="M34" s="26">
        <f>M69</f>
        <v>0</v>
      </c>
      <c r="N34" s="27">
        <f>K80</f>
        <v>0</v>
      </c>
      <c r="O34" s="28">
        <f t="shared" ref="O34:O36" si="14">M34-N34</f>
        <v>0</v>
      </c>
    </row>
    <row r="35" spans="2:16" ht="17.25" customHeight="1" x14ac:dyDescent="0.35">
      <c r="B35" s="232" t="s">
        <v>22</v>
      </c>
      <c r="C35" s="19" t="s">
        <v>18</v>
      </c>
      <c r="D35" s="25" t="str">
        <f>N64</f>
        <v>WAON</v>
      </c>
      <c r="E35" s="21">
        <f>N69</f>
        <v>0</v>
      </c>
      <c r="F35" s="27">
        <f>L80</f>
        <v>0</v>
      </c>
      <c r="G35" s="23">
        <f t="shared" si="13"/>
        <v>0</v>
      </c>
      <c r="H35" s="25" t="str">
        <f>O64</f>
        <v>nanaco</v>
      </c>
      <c r="I35" s="29">
        <f>O69</f>
        <v>0</v>
      </c>
      <c r="J35" s="27">
        <f>M80</f>
        <v>0</v>
      </c>
      <c r="K35" s="24">
        <f t="shared" si="12"/>
        <v>0</v>
      </c>
      <c r="L35" s="30" t="str">
        <f>P64</f>
        <v>いまなら</v>
      </c>
      <c r="M35" s="31">
        <f>P69</f>
        <v>0</v>
      </c>
      <c r="N35" s="22">
        <f>N80</f>
        <v>0</v>
      </c>
      <c r="O35" s="28">
        <f t="shared" si="14"/>
        <v>0</v>
      </c>
    </row>
    <row r="36" spans="2:16" ht="17.25" customHeight="1" thickBot="1" x14ac:dyDescent="0.4">
      <c r="B36" s="232"/>
      <c r="C36" s="32"/>
      <c r="D36" s="25" t="str">
        <f>Q64</f>
        <v>イチカ</v>
      </c>
      <c r="E36" s="33">
        <f>Q69</f>
        <v>0</v>
      </c>
      <c r="F36" s="27">
        <f>O80</f>
        <v>0</v>
      </c>
      <c r="G36" s="23">
        <f t="shared" si="13"/>
        <v>0</v>
      </c>
      <c r="H36" s="25" t="str">
        <f>R64</f>
        <v>フリー③</v>
      </c>
      <c r="I36" s="34">
        <f>R69</f>
        <v>0</v>
      </c>
      <c r="J36" s="22">
        <f>P80</f>
        <v>0</v>
      </c>
      <c r="K36" s="24">
        <f t="shared" si="12"/>
        <v>0</v>
      </c>
      <c r="L36" s="35" t="str">
        <f>S64</f>
        <v>フリー④</v>
      </c>
      <c r="M36" s="36">
        <f>S69</f>
        <v>0</v>
      </c>
      <c r="N36" s="37">
        <f>Q80</f>
        <v>0</v>
      </c>
      <c r="O36" s="28">
        <f t="shared" si="14"/>
        <v>0</v>
      </c>
    </row>
    <row r="37" spans="2:16" ht="17.25" customHeight="1" thickBot="1" x14ac:dyDescent="0.4">
      <c r="B37" s="232"/>
      <c r="C37" s="38" t="s">
        <v>8</v>
      </c>
      <c r="D37" s="25" t="str">
        <f>T64</f>
        <v>当たり券</v>
      </c>
      <c r="E37" s="39">
        <f>T69</f>
        <v>0</v>
      </c>
      <c r="F37" s="40">
        <f>R80</f>
        <v>0</v>
      </c>
      <c r="G37" s="41">
        <f t="shared" si="13"/>
        <v>0</v>
      </c>
      <c r="H37" s="233" t="s">
        <v>9</v>
      </c>
      <c r="I37" s="234"/>
      <c r="J37" s="235">
        <f>G33+G34+K33+K34+O33+O34+G35+K35+O35+G36+K36+O36</f>
        <v>0</v>
      </c>
      <c r="K37" s="236"/>
      <c r="L37" s="237" t="s">
        <v>10</v>
      </c>
      <c r="M37" s="238"/>
      <c r="N37" s="238"/>
      <c r="O37" s="239"/>
      <c r="P37" s="6"/>
    </row>
    <row r="38" spans="2:16" ht="17.25" customHeight="1" x14ac:dyDescent="0.35">
      <c r="B38" s="42">
        <f>C69</f>
        <v>0</v>
      </c>
      <c r="C38" s="43">
        <f>D69</f>
        <v>0</v>
      </c>
      <c r="D38" s="184" t="s">
        <v>11</v>
      </c>
      <c r="E38" s="185"/>
      <c r="F38" s="240" t="s">
        <v>12</v>
      </c>
      <c r="G38" s="241"/>
      <c r="H38" s="242" t="s">
        <v>13</v>
      </c>
      <c r="I38" s="242"/>
      <c r="J38" s="243" t="s">
        <v>14</v>
      </c>
      <c r="K38" s="244"/>
      <c r="L38" s="192">
        <f>J37+J39</f>
        <v>0</v>
      </c>
      <c r="M38" s="193"/>
      <c r="N38" s="193"/>
      <c r="O38" s="194"/>
      <c r="P38" s="6"/>
    </row>
    <row r="39" spans="2:16" ht="17.25" customHeight="1" thickBot="1" x14ac:dyDescent="0.4">
      <c r="B39" s="44" t="s">
        <v>15</v>
      </c>
      <c r="C39" s="45" t="s">
        <v>16</v>
      </c>
      <c r="D39" s="163">
        <f>F69</f>
        <v>0</v>
      </c>
      <c r="E39" s="164"/>
      <c r="F39" s="245">
        <f>E80</f>
        <v>0</v>
      </c>
      <c r="G39" s="246"/>
      <c r="H39" s="247">
        <f>J39-(D39-F39)</f>
        <v>0</v>
      </c>
      <c r="I39" s="247"/>
      <c r="J39" s="248">
        <f>C80</f>
        <v>0</v>
      </c>
      <c r="K39" s="249"/>
      <c r="L39" s="195"/>
      <c r="M39" s="196"/>
      <c r="N39" s="196"/>
      <c r="O39" s="197"/>
    </row>
    <row r="40" spans="2:16" ht="17.25" customHeight="1" thickTop="1" x14ac:dyDescent="0.5">
      <c r="B40" s="10"/>
      <c r="C40" s="11" t="s">
        <v>5</v>
      </c>
      <c r="D40" s="12" t="str">
        <f>H64</f>
        <v>PayPay</v>
      </c>
      <c r="E40" s="13">
        <f>H70</f>
        <v>0</v>
      </c>
      <c r="F40" s="14">
        <f>F81</f>
        <v>0</v>
      </c>
      <c r="G40" s="15">
        <f>E40-F40</f>
        <v>0</v>
      </c>
      <c r="H40" s="12" t="str">
        <f>I64</f>
        <v>クレカ</v>
      </c>
      <c r="I40" s="13">
        <f>I70</f>
        <v>0</v>
      </c>
      <c r="J40" s="14">
        <f>G81</f>
        <v>0</v>
      </c>
      <c r="K40" s="15">
        <f t="shared" ref="K40:K43" si="15">I40-J40</f>
        <v>0</v>
      </c>
      <c r="L40" s="12" t="str">
        <f>J64</f>
        <v>銀聯</v>
      </c>
      <c r="M40" s="16">
        <f>J70</f>
        <v>0</v>
      </c>
      <c r="N40" s="14">
        <f>H81</f>
        <v>0</v>
      </c>
      <c r="O40" s="17">
        <f>M40-N40</f>
        <v>0</v>
      </c>
    </row>
    <row r="41" spans="2:16" ht="17.25" customHeight="1" x14ac:dyDescent="0.5">
      <c r="B41" s="18"/>
      <c r="C41" s="19">
        <f>E70</f>
        <v>0</v>
      </c>
      <c r="D41" s="20" t="str">
        <f>K64</f>
        <v>ID</v>
      </c>
      <c r="E41" s="21">
        <f>K70</f>
        <v>0</v>
      </c>
      <c r="F41" s="22">
        <f>I81</f>
        <v>0</v>
      </c>
      <c r="G41" s="23">
        <f t="shared" ref="G41:G44" si="16">E41-F41</f>
        <v>0</v>
      </c>
      <c r="H41" s="20" t="str">
        <f>L64</f>
        <v>楽天</v>
      </c>
      <c r="I41" s="21">
        <f>L70</f>
        <v>0</v>
      </c>
      <c r="J41" s="22">
        <f>J81</f>
        <v>0</v>
      </c>
      <c r="K41" s="24">
        <f t="shared" si="15"/>
        <v>0</v>
      </c>
      <c r="L41" s="25" t="str">
        <f>M64</f>
        <v>交通系</v>
      </c>
      <c r="M41" s="26">
        <f>M70</f>
        <v>0</v>
      </c>
      <c r="N41" s="27">
        <f>K81</f>
        <v>0</v>
      </c>
      <c r="O41" s="28">
        <f t="shared" ref="O41:O43" si="17">M41-N41</f>
        <v>0</v>
      </c>
    </row>
    <row r="42" spans="2:16" ht="17.25" customHeight="1" x14ac:dyDescent="0.35">
      <c r="B42" s="232" t="s">
        <v>23</v>
      </c>
      <c r="C42" s="19" t="s">
        <v>18</v>
      </c>
      <c r="D42" s="25" t="str">
        <f>N64</f>
        <v>WAON</v>
      </c>
      <c r="E42" s="21">
        <f>N70</f>
        <v>0</v>
      </c>
      <c r="F42" s="27">
        <f>L81</f>
        <v>0</v>
      </c>
      <c r="G42" s="23">
        <f t="shared" si="16"/>
        <v>0</v>
      </c>
      <c r="H42" s="25" t="str">
        <f>O64</f>
        <v>nanaco</v>
      </c>
      <c r="I42" s="29">
        <f>O70</f>
        <v>0</v>
      </c>
      <c r="J42" s="27">
        <f>M81</f>
        <v>0</v>
      </c>
      <c r="K42" s="24">
        <f t="shared" si="15"/>
        <v>0</v>
      </c>
      <c r="L42" s="30" t="str">
        <f>P64</f>
        <v>いまなら</v>
      </c>
      <c r="M42" s="31">
        <f>P70</f>
        <v>0</v>
      </c>
      <c r="N42" s="22">
        <f>N81</f>
        <v>0</v>
      </c>
      <c r="O42" s="28">
        <f t="shared" si="17"/>
        <v>0</v>
      </c>
    </row>
    <row r="43" spans="2:16" ht="17.25" customHeight="1" thickBot="1" x14ac:dyDescent="0.4">
      <c r="B43" s="232"/>
      <c r="C43" s="32"/>
      <c r="D43" s="25" t="str">
        <f>Q64</f>
        <v>イチカ</v>
      </c>
      <c r="E43" s="33">
        <f>Q70</f>
        <v>0</v>
      </c>
      <c r="F43" s="27">
        <f>O81</f>
        <v>0</v>
      </c>
      <c r="G43" s="23">
        <f t="shared" si="16"/>
        <v>0</v>
      </c>
      <c r="H43" s="25" t="str">
        <f>R64</f>
        <v>フリー③</v>
      </c>
      <c r="I43" s="34">
        <f>R70</f>
        <v>0</v>
      </c>
      <c r="J43" s="22">
        <f>P81</f>
        <v>0</v>
      </c>
      <c r="K43" s="24">
        <f t="shared" si="15"/>
        <v>0</v>
      </c>
      <c r="L43" s="35" t="str">
        <f>S64</f>
        <v>フリー④</v>
      </c>
      <c r="M43" s="36">
        <f>S70</f>
        <v>0</v>
      </c>
      <c r="N43" s="37">
        <f>Q81</f>
        <v>0</v>
      </c>
      <c r="O43" s="28">
        <f t="shared" si="17"/>
        <v>0</v>
      </c>
    </row>
    <row r="44" spans="2:16" ht="17.25" customHeight="1" thickBot="1" x14ac:dyDescent="0.4">
      <c r="B44" s="232"/>
      <c r="C44" s="38" t="s">
        <v>8</v>
      </c>
      <c r="D44" s="25" t="str">
        <f>T64</f>
        <v>当たり券</v>
      </c>
      <c r="E44" s="39">
        <f>T70</f>
        <v>0</v>
      </c>
      <c r="F44" s="40">
        <f>R81</f>
        <v>0</v>
      </c>
      <c r="G44" s="41">
        <f t="shared" si="16"/>
        <v>0</v>
      </c>
      <c r="H44" s="233" t="s">
        <v>9</v>
      </c>
      <c r="I44" s="234"/>
      <c r="J44" s="235">
        <f>G40+G41+K40+K41+O40+O41+G42+K42+O42+G43+K43+O43</f>
        <v>0</v>
      </c>
      <c r="K44" s="236"/>
      <c r="L44" s="237" t="s">
        <v>10</v>
      </c>
      <c r="M44" s="238"/>
      <c r="N44" s="238"/>
      <c r="O44" s="239"/>
      <c r="P44" s="6"/>
    </row>
    <row r="45" spans="2:16" ht="17.25" customHeight="1" x14ac:dyDescent="0.35">
      <c r="B45" s="42">
        <f>C70</f>
        <v>0</v>
      </c>
      <c r="C45" s="43">
        <f>D70</f>
        <v>0</v>
      </c>
      <c r="D45" s="184" t="s">
        <v>11</v>
      </c>
      <c r="E45" s="185"/>
      <c r="F45" s="240" t="s">
        <v>12</v>
      </c>
      <c r="G45" s="241"/>
      <c r="H45" s="242" t="s">
        <v>13</v>
      </c>
      <c r="I45" s="242"/>
      <c r="J45" s="243" t="s">
        <v>14</v>
      </c>
      <c r="K45" s="244"/>
      <c r="L45" s="192">
        <f>J44+J46</f>
        <v>0</v>
      </c>
      <c r="M45" s="193"/>
      <c r="N45" s="193"/>
      <c r="O45" s="194"/>
      <c r="P45" s="6"/>
    </row>
    <row r="46" spans="2:16" ht="17.25" customHeight="1" thickBot="1" x14ac:dyDescent="0.4">
      <c r="B46" s="44" t="s">
        <v>15</v>
      </c>
      <c r="C46" s="45" t="s">
        <v>16</v>
      </c>
      <c r="D46" s="163">
        <f>F70</f>
        <v>0</v>
      </c>
      <c r="E46" s="164"/>
      <c r="F46" s="245">
        <f>E81</f>
        <v>0</v>
      </c>
      <c r="G46" s="246"/>
      <c r="H46" s="247">
        <f>J46-(D46-F46)</f>
        <v>0</v>
      </c>
      <c r="I46" s="247"/>
      <c r="J46" s="248">
        <f>C81</f>
        <v>0</v>
      </c>
      <c r="K46" s="249"/>
      <c r="L46" s="195"/>
      <c r="M46" s="196"/>
      <c r="N46" s="196"/>
      <c r="O46" s="197"/>
    </row>
    <row r="47" spans="2:16" ht="11.25" customHeight="1" thickTop="1" x14ac:dyDescent="0.5">
      <c r="B47" s="49"/>
      <c r="C47" s="50"/>
      <c r="D47" s="51"/>
      <c r="E47" s="51"/>
      <c r="F47" s="52"/>
      <c r="G47" s="52"/>
      <c r="H47" s="53"/>
      <c r="I47" s="53"/>
      <c r="J47" s="54"/>
      <c r="K47" s="54"/>
      <c r="L47" s="55"/>
      <c r="M47" s="55"/>
      <c r="N47" s="55"/>
      <c r="O47" s="55"/>
    </row>
    <row r="48" spans="2:16" ht="36.75" customHeight="1" thickBot="1" x14ac:dyDescent="0.55000000000000004">
      <c r="B48" s="56"/>
      <c r="C48" s="57"/>
      <c r="D48" s="58"/>
      <c r="E48" s="58"/>
      <c r="F48" s="59"/>
      <c r="G48" s="59"/>
      <c r="H48" s="60"/>
      <c r="I48" s="60"/>
      <c r="J48" s="61"/>
      <c r="K48" s="61"/>
      <c r="L48" s="46"/>
      <c r="M48" s="46"/>
      <c r="N48" s="46"/>
      <c r="O48" s="46"/>
    </row>
    <row r="49" spans="2:33" ht="26.25" customHeight="1" thickTop="1" x14ac:dyDescent="0.4">
      <c r="B49" s="227" t="s">
        <v>24</v>
      </c>
      <c r="C49" s="228"/>
      <c r="D49" s="229" t="str">
        <f>H64</f>
        <v>PayPay</v>
      </c>
      <c r="E49" s="230"/>
      <c r="F49" s="224">
        <f>G5+G12+G19+G26+G33+G40</f>
        <v>0</v>
      </c>
      <c r="G49" s="231"/>
      <c r="H49" s="229" t="str">
        <f>I64</f>
        <v>クレカ</v>
      </c>
      <c r="I49" s="230"/>
      <c r="J49" s="224">
        <f>K5+K12+K19+K26+K33+K40</f>
        <v>0</v>
      </c>
      <c r="K49" s="231"/>
      <c r="L49" s="229" t="str">
        <f>J64</f>
        <v>銀聯</v>
      </c>
      <c r="M49" s="230"/>
      <c r="N49" s="224">
        <f>O5+O12+O19+O26+O33+O40</f>
        <v>0</v>
      </c>
      <c r="O49" s="225"/>
    </row>
    <row r="50" spans="2:33" ht="26.25" customHeight="1" x14ac:dyDescent="0.35">
      <c r="B50" s="226" t="s">
        <v>25</v>
      </c>
      <c r="C50" s="62">
        <f>C6+C13+C20+C27+C34+C41</f>
        <v>0</v>
      </c>
      <c r="D50" s="222" t="str">
        <f>K64</f>
        <v>ID</v>
      </c>
      <c r="E50" s="223"/>
      <c r="F50" s="219">
        <f>G6+G13+G20+G27+G34+G41</f>
        <v>0</v>
      </c>
      <c r="G50" s="220"/>
      <c r="H50" s="217" t="str">
        <f>L64</f>
        <v>楽天</v>
      </c>
      <c r="I50" s="218"/>
      <c r="J50" s="219">
        <f>K6+K13+K20+K27+K34+K41</f>
        <v>0</v>
      </c>
      <c r="K50" s="220"/>
      <c r="L50" s="200" t="str">
        <f>M64</f>
        <v>交通系</v>
      </c>
      <c r="M50" s="201"/>
      <c r="N50" s="202">
        <f>O6+O13+O20+O27+O34+O41</f>
        <v>0</v>
      </c>
      <c r="O50" s="221"/>
    </row>
    <row r="51" spans="2:33" ht="26.25" customHeight="1" x14ac:dyDescent="0.4">
      <c r="B51" s="198"/>
      <c r="C51" s="63" t="s">
        <v>18</v>
      </c>
      <c r="D51" s="222" t="str">
        <f>N64</f>
        <v>WAON</v>
      </c>
      <c r="E51" s="223"/>
      <c r="F51" s="219">
        <f>G7+G14+G21+G28+G35+G42</f>
        <v>0</v>
      </c>
      <c r="G51" s="220"/>
      <c r="H51" s="217" t="str">
        <f>O64</f>
        <v>nanaco</v>
      </c>
      <c r="I51" s="218"/>
      <c r="J51" s="219">
        <f>K7+K14+K21+K28+K35+K42</f>
        <v>0</v>
      </c>
      <c r="K51" s="220"/>
      <c r="L51" s="200" t="str">
        <f>P64</f>
        <v>いまなら</v>
      </c>
      <c r="M51" s="201"/>
      <c r="N51" s="202">
        <f>O7+O14+O21+O28+O35+O42</f>
        <v>0</v>
      </c>
      <c r="O51" s="221"/>
    </row>
    <row r="52" spans="2:33" ht="26.25" customHeight="1" thickBot="1" x14ac:dyDescent="0.4">
      <c r="B52" s="64"/>
      <c r="C52" s="65"/>
      <c r="D52" s="222" t="str">
        <f>Q64</f>
        <v>イチカ</v>
      </c>
      <c r="E52" s="223"/>
      <c r="F52" s="219">
        <f>G8+G15+G22+G29+G36+G43</f>
        <v>0</v>
      </c>
      <c r="G52" s="220"/>
      <c r="H52" s="217" t="str">
        <f>R64</f>
        <v>フリー③</v>
      </c>
      <c r="I52" s="218"/>
      <c r="J52" s="219">
        <f>K8+K15+K22+K29+K36+K43</f>
        <v>0</v>
      </c>
      <c r="K52" s="220"/>
      <c r="L52" s="200" t="str">
        <f>S64</f>
        <v>フリー④</v>
      </c>
      <c r="M52" s="201"/>
      <c r="N52" s="202">
        <f>O8+O15+O22+O29+O36+O43</f>
        <v>0</v>
      </c>
      <c r="O52" s="221"/>
    </row>
    <row r="53" spans="2:33" ht="26.25" customHeight="1" thickBot="1" x14ac:dyDescent="0.4">
      <c r="B53" s="198" t="s">
        <v>26</v>
      </c>
      <c r="C53" s="66">
        <f>C10+C17+C24+C31+C38+C45</f>
        <v>0</v>
      </c>
      <c r="D53" s="200" t="str">
        <f>T64</f>
        <v>当たり券</v>
      </c>
      <c r="E53" s="201"/>
      <c r="F53" s="202">
        <f>G9+G16+G23+G30+G37+G44</f>
        <v>0</v>
      </c>
      <c r="G53" s="203"/>
      <c r="H53" s="204" t="s">
        <v>9</v>
      </c>
      <c r="I53" s="205"/>
      <c r="J53" s="206">
        <f>J9+J16+J23+J30+J37+J44</f>
        <v>0</v>
      </c>
      <c r="K53" s="207"/>
      <c r="L53" s="208" t="s">
        <v>27</v>
      </c>
      <c r="M53" s="209"/>
      <c r="N53" s="209"/>
      <c r="O53" s="210"/>
    </row>
    <row r="54" spans="2:33" ht="26.25" customHeight="1" thickBot="1" x14ac:dyDescent="0.45">
      <c r="B54" s="199"/>
      <c r="C54" s="67" t="s">
        <v>16</v>
      </c>
      <c r="D54" s="211" t="s">
        <v>28</v>
      </c>
      <c r="E54" s="212"/>
      <c r="F54" s="212"/>
      <c r="G54" s="212"/>
      <c r="H54" s="212"/>
      <c r="I54" s="212"/>
      <c r="J54" s="212"/>
      <c r="K54" s="213"/>
      <c r="L54" s="214">
        <f>C83</f>
        <v>0</v>
      </c>
      <c r="M54" s="215"/>
      <c r="N54" s="215"/>
      <c r="O54" s="216"/>
    </row>
    <row r="55" spans="2:33" ht="26.25" customHeight="1" thickBot="1" x14ac:dyDescent="0.45">
      <c r="B55" s="64"/>
      <c r="C55" s="68"/>
      <c r="D55" s="176">
        <f>B88</f>
        <v>0</v>
      </c>
      <c r="E55" s="177"/>
      <c r="F55" s="177"/>
      <c r="G55" s="177"/>
      <c r="H55" s="178">
        <f>F88</f>
        <v>0</v>
      </c>
      <c r="I55" s="178"/>
      <c r="J55" s="177">
        <f>H88</f>
        <v>0</v>
      </c>
      <c r="K55" s="179"/>
      <c r="L55" s="180" t="s">
        <v>29</v>
      </c>
      <c r="M55" s="180"/>
      <c r="N55" s="180"/>
      <c r="O55" s="181"/>
      <c r="P55" s="6"/>
    </row>
    <row r="56" spans="2:33" ht="26.25" customHeight="1" x14ac:dyDescent="0.35">
      <c r="B56" s="182" t="s">
        <v>30</v>
      </c>
      <c r="C56" s="69" t="e">
        <f>L56/C50</f>
        <v>#DIV/0!</v>
      </c>
      <c r="D56" s="184" t="s">
        <v>31</v>
      </c>
      <c r="E56" s="185"/>
      <c r="F56" s="186" t="s">
        <v>12</v>
      </c>
      <c r="G56" s="187"/>
      <c r="H56" s="188" t="s">
        <v>13</v>
      </c>
      <c r="I56" s="189"/>
      <c r="J56" s="190" t="s">
        <v>14</v>
      </c>
      <c r="K56" s="191"/>
      <c r="L56" s="192">
        <f>J53+J57</f>
        <v>0</v>
      </c>
      <c r="M56" s="193"/>
      <c r="N56" s="193"/>
      <c r="O56" s="194"/>
      <c r="P56" s="6"/>
    </row>
    <row r="57" spans="2:33" ht="26.25" customHeight="1" thickBot="1" x14ac:dyDescent="0.45">
      <c r="B57" s="183"/>
      <c r="C57" s="70" t="s">
        <v>32</v>
      </c>
      <c r="D57" s="163">
        <f>D11+D18+D25+D32+D39+D46</f>
        <v>0</v>
      </c>
      <c r="E57" s="164"/>
      <c r="F57" s="165">
        <f>F11+F18+F25+F32+F39+F46</f>
        <v>0</v>
      </c>
      <c r="G57" s="166"/>
      <c r="H57" s="167">
        <f>J57-(D57-F57)</f>
        <v>0</v>
      </c>
      <c r="I57" s="167"/>
      <c r="J57" s="168">
        <f>J11+J18+J25+J32+J39+J46</f>
        <v>0</v>
      </c>
      <c r="K57" s="169"/>
      <c r="L57" s="195"/>
      <c r="M57" s="196"/>
      <c r="N57" s="196"/>
      <c r="O57" s="197"/>
    </row>
    <row r="58" spans="2:33" ht="14.25" customHeight="1" thickTop="1" x14ac:dyDescent="0.4">
      <c r="C58" s="2"/>
      <c r="D58" s="2"/>
      <c r="E58" s="2"/>
      <c r="F58" s="71"/>
      <c r="G58" s="71"/>
      <c r="H58" s="72"/>
      <c r="I58" s="72"/>
      <c r="J58" s="72"/>
      <c r="K58" s="72"/>
      <c r="L58" s="2"/>
    </row>
    <row r="59" spans="2:33" ht="14.25" customHeight="1" x14ac:dyDescent="0.4">
      <c r="B59" s="170" t="s">
        <v>33</v>
      </c>
      <c r="C59" s="171"/>
      <c r="D59" s="172" t="s">
        <v>34</v>
      </c>
      <c r="E59" s="173"/>
      <c r="F59" s="174"/>
      <c r="G59" s="73" t="s">
        <v>35</v>
      </c>
      <c r="H59" s="170" t="s">
        <v>36</v>
      </c>
      <c r="I59" s="171"/>
      <c r="J59" s="170" t="s">
        <v>37</v>
      </c>
      <c r="K59" s="175"/>
      <c r="L59" s="171"/>
    </row>
    <row r="60" spans="2:33" ht="14.25" customHeight="1" x14ac:dyDescent="0.4">
      <c r="B60" s="74"/>
      <c r="C60" s="75" t="s">
        <v>3</v>
      </c>
      <c r="D60" s="153"/>
      <c r="E60" s="154"/>
      <c r="F60" s="75" t="s">
        <v>38</v>
      </c>
      <c r="G60" s="76" t="str">
        <f>TEXT(D60,"(aaa)")</f>
        <v>(土)</v>
      </c>
      <c r="H60" s="125"/>
      <c r="I60" s="127"/>
      <c r="J60" s="125" t="s">
        <v>75</v>
      </c>
      <c r="K60" s="126"/>
      <c r="L60" s="127"/>
    </row>
    <row r="61" spans="2:33" ht="14.25" customHeight="1" x14ac:dyDescent="0.4">
      <c r="I61" s="2"/>
      <c r="J61" s="2"/>
      <c r="K61" s="2"/>
      <c r="AE61" s="2"/>
      <c r="AF61" s="2"/>
      <c r="AG61" s="2"/>
    </row>
    <row r="62" spans="2:33" ht="14.25" customHeight="1" thickBot="1" x14ac:dyDescent="0.45"/>
    <row r="63" spans="2:33" ht="14.25" customHeight="1" thickTop="1" x14ac:dyDescent="0.35">
      <c r="B63" s="155" t="s">
        <v>39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7" t="s">
        <v>40</v>
      </c>
      <c r="M63" s="157"/>
      <c r="N63" s="157"/>
      <c r="O63" s="157" t="s">
        <v>40</v>
      </c>
      <c r="P63" s="157"/>
      <c r="Q63" s="157"/>
      <c r="R63" s="157" t="s">
        <v>40</v>
      </c>
      <c r="S63" s="157"/>
      <c r="T63" s="157"/>
      <c r="U63" s="77"/>
      <c r="V63" s="77"/>
      <c r="W63" s="78"/>
    </row>
    <row r="64" spans="2:33" ht="14.25" customHeight="1" x14ac:dyDescent="0.4">
      <c r="B64" s="79" t="s">
        <v>41</v>
      </c>
      <c r="C64" s="80" t="s">
        <v>42</v>
      </c>
      <c r="D64" s="81" t="s">
        <v>26</v>
      </c>
      <c r="E64" s="80" t="s">
        <v>25</v>
      </c>
      <c r="F64" s="158" t="s">
        <v>11</v>
      </c>
      <c r="G64" s="159"/>
      <c r="H64" s="82" t="s">
        <v>43</v>
      </c>
      <c r="I64" s="82" t="s">
        <v>44</v>
      </c>
      <c r="J64" s="82" t="s">
        <v>45</v>
      </c>
      <c r="K64" s="83" t="s">
        <v>46</v>
      </c>
      <c r="L64" s="84" t="s">
        <v>47</v>
      </c>
      <c r="M64" s="84" t="s">
        <v>48</v>
      </c>
      <c r="N64" s="84" t="s">
        <v>49</v>
      </c>
      <c r="O64" s="84" t="s">
        <v>50</v>
      </c>
      <c r="P64" s="85" t="s">
        <v>51</v>
      </c>
      <c r="Q64" s="85" t="s">
        <v>52</v>
      </c>
      <c r="R64" s="85" t="s">
        <v>53</v>
      </c>
      <c r="S64" s="85" t="s">
        <v>54</v>
      </c>
      <c r="T64" s="85" t="s">
        <v>72</v>
      </c>
      <c r="U64" s="160"/>
      <c r="V64" s="161"/>
      <c r="W64" s="162"/>
    </row>
    <row r="65" spans="2:27" ht="14.25" customHeight="1" x14ac:dyDescent="0.4">
      <c r="B65" s="86" t="s">
        <v>6</v>
      </c>
      <c r="C65" s="87"/>
      <c r="D65" s="87"/>
      <c r="E65" s="87"/>
      <c r="F65" s="149"/>
      <c r="G65" s="149"/>
      <c r="H65" s="88"/>
      <c r="I65" s="88"/>
      <c r="J65" s="88"/>
      <c r="K65" s="89"/>
      <c r="L65" s="87"/>
      <c r="M65" s="87"/>
      <c r="N65" s="90"/>
      <c r="O65" s="87"/>
      <c r="P65" s="87"/>
      <c r="Q65" s="90"/>
      <c r="R65" s="87"/>
      <c r="S65" s="87"/>
      <c r="T65" s="90"/>
      <c r="U65" s="150">
        <f>SUM(F65:S65)</f>
        <v>0</v>
      </c>
      <c r="V65" s="151"/>
      <c r="W65" s="152"/>
      <c r="X65" s="146" t="s">
        <v>55</v>
      </c>
      <c r="Y65" s="147"/>
      <c r="Z65" s="91"/>
      <c r="AA65" s="91"/>
    </row>
    <row r="66" spans="2:27" ht="14.25" customHeight="1" x14ac:dyDescent="0.4">
      <c r="B66" s="92" t="s">
        <v>56</v>
      </c>
      <c r="C66" s="87"/>
      <c r="D66" s="87"/>
      <c r="E66" s="87"/>
      <c r="F66" s="149"/>
      <c r="G66" s="149"/>
      <c r="H66" s="88"/>
      <c r="I66" s="88"/>
      <c r="J66" s="88"/>
      <c r="K66" s="89"/>
      <c r="L66" s="87"/>
      <c r="M66" s="87"/>
      <c r="N66" s="90"/>
      <c r="O66" s="87"/>
      <c r="P66" s="87"/>
      <c r="Q66" s="90"/>
      <c r="R66" s="87"/>
      <c r="S66" s="87"/>
      <c r="T66" s="90"/>
      <c r="U66" s="150">
        <f t="shared" ref="U66:U70" si="18">SUM(F66:S66)</f>
        <v>0</v>
      </c>
      <c r="V66" s="151"/>
      <c r="W66" s="152"/>
      <c r="X66" s="148"/>
      <c r="Y66" s="147"/>
      <c r="Z66" s="91"/>
      <c r="AA66" s="91"/>
    </row>
    <row r="67" spans="2:27" ht="14.25" customHeight="1" x14ac:dyDescent="0.4">
      <c r="B67" s="92" t="s">
        <v>19</v>
      </c>
      <c r="C67" s="87"/>
      <c r="D67" s="87"/>
      <c r="E67" s="87"/>
      <c r="F67" s="149"/>
      <c r="G67" s="149"/>
      <c r="H67" s="88"/>
      <c r="I67" s="88"/>
      <c r="J67" s="88"/>
      <c r="K67" s="89"/>
      <c r="L67" s="87"/>
      <c r="M67" s="87"/>
      <c r="N67" s="90"/>
      <c r="O67" s="87"/>
      <c r="P67" s="87"/>
      <c r="Q67" s="90"/>
      <c r="R67" s="87"/>
      <c r="S67" s="87"/>
      <c r="T67" s="90"/>
      <c r="U67" s="150">
        <f t="shared" si="18"/>
        <v>0</v>
      </c>
      <c r="V67" s="151"/>
      <c r="W67" s="152"/>
      <c r="X67" s="148"/>
      <c r="Y67" s="147"/>
      <c r="Z67" s="91"/>
      <c r="AA67" s="91"/>
    </row>
    <row r="68" spans="2:27" ht="14.25" customHeight="1" x14ac:dyDescent="0.4">
      <c r="B68" s="92" t="s">
        <v>21</v>
      </c>
      <c r="C68" s="87"/>
      <c r="D68" s="87"/>
      <c r="E68" s="87"/>
      <c r="F68" s="149"/>
      <c r="G68" s="149"/>
      <c r="H68" s="88"/>
      <c r="I68" s="88"/>
      <c r="J68" s="88"/>
      <c r="K68" s="89"/>
      <c r="L68" s="87"/>
      <c r="M68" s="87"/>
      <c r="N68" s="90"/>
      <c r="O68" s="87"/>
      <c r="P68" s="87"/>
      <c r="Q68" s="90"/>
      <c r="R68" s="87"/>
      <c r="S68" s="87"/>
      <c r="T68" s="90"/>
      <c r="U68" s="150">
        <f t="shared" si="18"/>
        <v>0</v>
      </c>
      <c r="V68" s="151"/>
      <c r="W68" s="152"/>
      <c r="X68" s="148"/>
      <c r="Y68" s="147"/>
      <c r="Z68" s="91"/>
      <c r="AA68" s="91"/>
    </row>
    <row r="69" spans="2:27" ht="14.25" customHeight="1" x14ac:dyDescent="0.4">
      <c r="B69" s="92" t="s">
        <v>22</v>
      </c>
      <c r="C69" s="87"/>
      <c r="D69" s="87"/>
      <c r="E69" s="87"/>
      <c r="F69" s="149"/>
      <c r="G69" s="149"/>
      <c r="H69" s="88"/>
      <c r="I69" s="88"/>
      <c r="J69" s="88"/>
      <c r="K69" s="89"/>
      <c r="L69" s="87"/>
      <c r="M69" s="87"/>
      <c r="N69" s="90"/>
      <c r="O69" s="87"/>
      <c r="P69" s="87"/>
      <c r="Q69" s="90"/>
      <c r="R69" s="87"/>
      <c r="S69" s="87"/>
      <c r="T69" s="90"/>
      <c r="U69" s="150">
        <f t="shared" si="18"/>
        <v>0</v>
      </c>
      <c r="V69" s="151"/>
      <c r="W69" s="152"/>
      <c r="X69" s="148"/>
      <c r="Y69" s="147"/>
      <c r="Z69" s="91"/>
      <c r="AA69" s="91"/>
    </row>
    <row r="70" spans="2:27" ht="14.25" customHeight="1" x14ac:dyDescent="0.4">
      <c r="B70" s="92" t="s">
        <v>23</v>
      </c>
      <c r="C70" s="87"/>
      <c r="D70" s="87"/>
      <c r="E70" s="87"/>
      <c r="F70" s="149"/>
      <c r="G70" s="149"/>
      <c r="H70" s="88"/>
      <c r="I70" s="88"/>
      <c r="J70" s="88"/>
      <c r="K70" s="89"/>
      <c r="L70" s="87"/>
      <c r="M70" s="87"/>
      <c r="N70" s="90"/>
      <c r="O70" s="87"/>
      <c r="P70" s="87"/>
      <c r="Q70" s="90"/>
      <c r="R70" s="87"/>
      <c r="S70" s="87"/>
      <c r="T70" s="90"/>
      <c r="U70" s="150">
        <f t="shared" si="18"/>
        <v>0</v>
      </c>
      <c r="V70" s="151"/>
      <c r="W70" s="152"/>
      <c r="X70" s="148"/>
      <c r="Y70" s="147"/>
      <c r="Z70" s="91"/>
      <c r="AA70" s="91"/>
    </row>
    <row r="71" spans="2:27" ht="14.25" customHeight="1" thickBot="1" x14ac:dyDescent="0.45">
      <c r="B71" s="93" t="s">
        <v>24</v>
      </c>
      <c r="C71" s="94"/>
      <c r="D71" s="95">
        <f>SUM(D65:D70)</f>
        <v>0</v>
      </c>
      <c r="E71" s="96">
        <f>SUM(E65:E70)</f>
        <v>0</v>
      </c>
      <c r="F71" s="133">
        <f>SUM(F65:G70)</f>
        <v>0</v>
      </c>
      <c r="G71" s="134"/>
      <c r="H71" s="95">
        <f>SUM(H65:H70)</f>
        <v>0</v>
      </c>
      <c r="I71" s="95">
        <f>SUM(I65:I70)</f>
        <v>0</v>
      </c>
      <c r="J71" s="95">
        <f>SUM(J65:J70)</f>
        <v>0</v>
      </c>
      <c r="K71" s="95">
        <f t="shared" ref="K71:P71" si="19">SUM(K65:K70)</f>
        <v>0</v>
      </c>
      <c r="L71" s="95">
        <f t="shared" si="19"/>
        <v>0</v>
      </c>
      <c r="M71" s="95">
        <f t="shared" si="19"/>
        <v>0</v>
      </c>
      <c r="N71" s="95">
        <f t="shared" si="19"/>
        <v>0</v>
      </c>
      <c r="O71" s="95">
        <f t="shared" si="19"/>
        <v>0</v>
      </c>
      <c r="P71" s="95">
        <f t="shared" si="19"/>
        <v>0</v>
      </c>
      <c r="Q71" s="95">
        <f>SUM(Q65:Q70)</f>
        <v>0</v>
      </c>
      <c r="R71" s="95">
        <f t="shared" ref="R71:T71" si="20">SUM(R65:R70)</f>
        <v>0</v>
      </c>
      <c r="S71" s="95">
        <f t="shared" si="20"/>
        <v>0</v>
      </c>
      <c r="T71" s="95">
        <f t="shared" si="20"/>
        <v>0</v>
      </c>
      <c r="U71" s="133">
        <f>SUM(U65:W70)</f>
        <v>0</v>
      </c>
      <c r="V71" s="135"/>
      <c r="W71" s="136"/>
      <c r="X71" s="97"/>
      <c r="Y71" s="91"/>
      <c r="Z71" s="91"/>
      <c r="AA71" s="91"/>
    </row>
    <row r="72" spans="2:27" ht="14.25" customHeight="1" thickTop="1" x14ac:dyDescent="0.4"/>
    <row r="73" spans="2:27" ht="14.25" customHeight="1" thickBot="1" x14ac:dyDescent="0.45"/>
    <row r="74" spans="2:27" s="98" customFormat="1" ht="14.25" customHeight="1" thickTop="1" x14ac:dyDescent="0.4">
      <c r="B74" s="137" t="s">
        <v>57</v>
      </c>
      <c r="C74" s="139" t="s">
        <v>58</v>
      </c>
      <c r="D74" s="140"/>
      <c r="E74" s="143" t="s">
        <v>59</v>
      </c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5"/>
      <c r="S74" s="1"/>
      <c r="T74" s="1"/>
      <c r="U74" s="1"/>
      <c r="V74" s="1"/>
      <c r="W74" s="1"/>
      <c r="X74" s="1"/>
      <c r="Y74" s="1"/>
      <c r="Z74" s="1"/>
      <c r="AA74" s="1"/>
    </row>
    <row r="75" spans="2:27" ht="14.25" customHeight="1" x14ac:dyDescent="0.4">
      <c r="B75" s="138"/>
      <c r="C75" s="141"/>
      <c r="D75" s="142"/>
      <c r="E75" s="99" t="s">
        <v>60</v>
      </c>
      <c r="F75" s="82" t="str">
        <f>H64</f>
        <v>PayPay</v>
      </c>
      <c r="G75" s="82" t="str">
        <f t="shared" ref="G75:R75" si="21">I64</f>
        <v>クレカ</v>
      </c>
      <c r="H75" s="82" t="str">
        <f t="shared" si="21"/>
        <v>銀聯</v>
      </c>
      <c r="I75" s="82" t="str">
        <f t="shared" si="21"/>
        <v>ID</v>
      </c>
      <c r="J75" s="82" t="str">
        <f t="shared" si="21"/>
        <v>楽天</v>
      </c>
      <c r="K75" s="82" t="str">
        <f t="shared" si="21"/>
        <v>交通系</v>
      </c>
      <c r="L75" s="82" t="str">
        <f t="shared" si="21"/>
        <v>WAON</v>
      </c>
      <c r="M75" s="82" t="str">
        <f t="shared" si="21"/>
        <v>nanaco</v>
      </c>
      <c r="N75" s="82" t="str">
        <f t="shared" si="21"/>
        <v>いまなら</v>
      </c>
      <c r="O75" s="82" t="str">
        <f t="shared" si="21"/>
        <v>イチカ</v>
      </c>
      <c r="P75" s="82" t="str">
        <f t="shared" si="21"/>
        <v>フリー③</v>
      </c>
      <c r="Q75" s="82" t="str">
        <f t="shared" si="21"/>
        <v>フリー④</v>
      </c>
      <c r="R75" s="100" t="str">
        <f t="shared" si="21"/>
        <v>当たり券</v>
      </c>
      <c r="S75" s="98"/>
      <c r="T75" s="98"/>
      <c r="U75" s="98"/>
      <c r="V75" s="98"/>
      <c r="W75" s="98"/>
      <c r="X75" s="98"/>
      <c r="Y75" s="98"/>
      <c r="Z75" s="98"/>
      <c r="AA75" s="98"/>
    </row>
    <row r="76" spans="2:27" ht="14.25" customHeight="1" x14ac:dyDescent="0.35">
      <c r="B76" s="101" t="s">
        <v>6</v>
      </c>
      <c r="C76" s="129"/>
      <c r="D76" s="130"/>
      <c r="E76" s="102"/>
      <c r="F76" s="102"/>
      <c r="G76" s="102"/>
      <c r="H76" s="102"/>
      <c r="I76" s="102"/>
      <c r="J76" s="102"/>
      <c r="K76" s="103"/>
      <c r="L76" s="102"/>
      <c r="M76" s="102"/>
      <c r="N76" s="102"/>
      <c r="O76" s="102"/>
      <c r="P76" s="102"/>
      <c r="Q76" s="103"/>
      <c r="R76" s="104"/>
    </row>
    <row r="77" spans="2:27" ht="14.25" customHeight="1" x14ac:dyDescent="0.35">
      <c r="B77" s="101" t="s">
        <v>56</v>
      </c>
      <c r="C77" s="129"/>
      <c r="D77" s="130"/>
      <c r="E77" s="102"/>
      <c r="F77" s="102"/>
      <c r="G77" s="102"/>
      <c r="H77" s="102"/>
      <c r="I77" s="102"/>
      <c r="J77" s="102"/>
      <c r="K77" s="103"/>
      <c r="L77" s="102"/>
      <c r="M77" s="102"/>
      <c r="N77" s="102"/>
      <c r="O77" s="102"/>
      <c r="P77" s="102"/>
      <c r="Q77" s="103"/>
      <c r="R77" s="104"/>
    </row>
    <row r="78" spans="2:27" ht="14.25" customHeight="1" x14ac:dyDescent="0.35">
      <c r="B78" s="101" t="s">
        <v>61</v>
      </c>
      <c r="C78" s="129"/>
      <c r="D78" s="130"/>
      <c r="E78" s="102"/>
      <c r="F78" s="102"/>
      <c r="G78" s="102"/>
      <c r="H78" s="102"/>
      <c r="I78" s="102"/>
      <c r="J78" s="102"/>
      <c r="K78" s="103"/>
      <c r="L78" s="102"/>
      <c r="M78" s="102"/>
      <c r="N78" s="102"/>
      <c r="O78" s="102"/>
      <c r="P78" s="102"/>
      <c r="Q78" s="103"/>
      <c r="R78" s="104"/>
    </row>
    <row r="79" spans="2:27" ht="14.25" customHeight="1" x14ac:dyDescent="0.35">
      <c r="B79" s="101" t="s">
        <v>62</v>
      </c>
      <c r="C79" s="129"/>
      <c r="D79" s="130"/>
      <c r="E79" s="102"/>
      <c r="F79" s="102"/>
      <c r="G79" s="102"/>
      <c r="H79" s="102"/>
      <c r="I79" s="102"/>
      <c r="J79" s="102"/>
      <c r="K79" s="103"/>
      <c r="L79" s="102"/>
      <c r="M79" s="102"/>
      <c r="N79" s="102"/>
      <c r="O79" s="102"/>
      <c r="P79" s="102"/>
      <c r="Q79" s="103"/>
      <c r="R79" s="104"/>
    </row>
    <row r="80" spans="2:27" ht="14.25" customHeight="1" x14ac:dyDescent="0.35">
      <c r="B80" s="101" t="s">
        <v>63</v>
      </c>
      <c r="C80" s="129"/>
      <c r="D80" s="130"/>
      <c r="E80" s="102"/>
      <c r="F80" s="102"/>
      <c r="G80" s="102"/>
      <c r="H80" s="102"/>
      <c r="I80" s="102"/>
      <c r="J80" s="102"/>
      <c r="K80" s="105"/>
      <c r="L80" s="102"/>
      <c r="M80" s="105"/>
      <c r="N80" s="102"/>
      <c r="O80" s="102"/>
      <c r="P80" s="102"/>
      <c r="Q80" s="105"/>
      <c r="R80" s="106"/>
    </row>
    <row r="81" spans="2:34" ht="14.25" customHeight="1" thickBot="1" x14ac:dyDescent="0.4">
      <c r="B81" s="107" t="s">
        <v>64</v>
      </c>
      <c r="C81" s="129"/>
      <c r="D81" s="130"/>
      <c r="E81" s="108"/>
      <c r="F81" s="108"/>
      <c r="G81" s="108"/>
      <c r="H81" s="108"/>
      <c r="I81" s="108"/>
      <c r="J81" s="108"/>
      <c r="K81" s="109"/>
      <c r="L81" s="108"/>
      <c r="M81" s="109"/>
      <c r="N81" s="108"/>
      <c r="O81" s="108"/>
      <c r="P81" s="108"/>
      <c r="Q81" s="109"/>
      <c r="R81" s="110"/>
    </row>
    <row r="82" spans="2:34" ht="14.25" customHeight="1" thickTop="1" thickBot="1" x14ac:dyDescent="0.45">
      <c r="B82" s="111" t="s">
        <v>24</v>
      </c>
      <c r="C82" s="131">
        <f>SUM(C76:D81)</f>
        <v>0</v>
      </c>
      <c r="D82" s="132"/>
      <c r="F82" s="112"/>
      <c r="G82" s="112"/>
      <c r="H82" s="112"/>
      <c r="I82" s="112"/>
      <c r="U82" s="4"/>
      <c r="V82" s="4"/>
    </row>
    <row r="83" spans="2:34" ht="14.25" customHeight="1" thickTop="1" thickBot="1" x14ac:dyDescent="0.45">
      <c r="B83" s="113" t="s">
        <v>65</v>
      </c>
      <c r="C83" s="116">
        <f>C82+F88</f>
        <v>0</v>
      </c>
      <c r="D83" s="117"/>
      <c r="V83" s="4"/>
      <c r="W83" s="4"/>
    </row>
    <row r="84" spans="2:34" ht="14.25" customHeight="1" thickTop="1" x14ac:dyDescent="0.4">
      <c r="V84" s="4"/>
      <c r="W84" s="4"/>
    </row>
    <row r="85" spans="2:34" ht="14.25" customHeight="1" x14ac:dyDescent="0.4">
      <c r="V85" s="4"/>
      <c r="W85" s="4"/>
    </row>
    <row r="86" spans="2:34" ht="14.25" customHeight="1" x14ac:dyDescent="0.4">
      <c r="B86" s="118" t="s">
        <v>28</v>
      </c>
      <c r="C86" s="118"/>
      <c r="D86" s="118"/>
      <c r="E86" s="118"/>
      <c r="F86" s="118"/>
      <c r="G86" s="118"/>
      <c r="H86" s="118"/>
      <c r="I86" s="118"/>
      <c r="V86" s="4"/>
      <c r="W86" s="4"/>
    </row>
    <row r="87" spans="2:34" ht="14.25" customHeight="1" x14ac:dyDescent="0.4">
      <c r="B87" s="119" t="s">
        <v>66</v>
      </c>
      <c r="C87" s="120"/>
      <c r="D87" s="120"/>
      <c r="E87" s="121"/>
      <c r="F87" s="119" t="s">
        <v>67</v>
      </c>
      <c r="G87" s="121"/>
      <c r="H87" s="119" t="s">
        <v>68</v>
      </c>
      <c r="I87" s="121"/>
      <c r="V87" s="4"/>
      <c r="W87" s="4"/>
    </row>
    <row r="88" spans="2:34" ht="14.25" customHeight="1" x14ac:dyDescent="0.4">
      <c r="B88" s="259"/>
      <c r="C88" s="260"/>
      <c r="D88" s="260"/>
      <c r="E88" s="261"/>
      <c r="F88" s="128"/>
      <c r="G88" s="124"/>
      <c r="H88" s="122"/>
      <c r="I88" s="124"/>
      <c r="V88" s="4"/>
      <c r="W88" s="4"/>
    </row>
    <row r="89" spans="2:34" ht="14.25" customHeight="1" x14ac:dyDescent="0.4">
      <c r="B89" s="262"/>
      <c r="C89" s="263"/>
      <c r="D89" s="263"/>
      <c r="E89" s="264"/>
      <c r="F89" s="125"/>
      <c r="G89" s="127"/>
      <c r="H89" s="125"/>
      <c r="I89" s="127"/>
      <c r="V89" s="4"/>
      <c r="W89" s="4"/>
    </row>
    <row r="90" spans="2:34" ht="14.25" customHeight="1" x14ac:dyDescent="0.4">
      <c r="B90" s="115" t="s">
        <v>69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V90" s="4"/>
      <c r="W90" s="4"/>
    </row>
    <row r="91" spans="2:34" ht="14.25" customHeight="1" x14ac:dyDescent="0.4">
      <c r="B91" s="115" t="s">
        <v>70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V91" s="4"/>
      <c r="W91" s="4"/>
    </row>
    <row r="92" spans="2:34" ht="14.25" customHeight="1" x14ac:dyDescent="0.4">
      <c r="B92" s="115" t="s">
        <v>71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</row>
    <row r="93" spans="2:34" ht="14.25" customHeight="1" x14ac:dyDescent="0.4"/>
    <row r="96" spans="2:34" x14ac:dyDescent="0.4">
      <c r="AH96" s="1" t="s">
        <v>78</v>
      </c>
    </row>
  </sheetData>
  <protectedRanges>
    <protectedRange sqref="B60 D60:E60 G60:L60 C65:K65 B88:I89 L64:T65 C66:T70 C76:R81" name="範囲1"/>
  </protectedRanges>
  <mergeCells count="183">
    <mergeCell ref="L9:O9"/>
    <mergeCell ref="D10:E10"/>
    <mergeCell ref="F10:G10"/>
    <mergeCell ref="H10:I10"/>
    <mergeCell ref="J10:K10"/>
    <mergeCell ref="L10:O11"/>
    <mergeCell ref="D11:E11"/>
    <mergeCell ref="C1:D1"/>
    <mergeCell ref="F1:K2"/>
    <mergeCell ref="L1:N1"/>
    <mergeCell ref="L2:N2"/>
    <mergeCell ref="C3:D4"/>
    <mergeCell ref="E3:E4"/>
    <mergeCell ref="F3:H4"/>
    <mergeCell ref="K3:N4"/>
    <mergeCell ref="F11:G11"/>
    <mergeCell ref="H11:I11"/>
    <mergeCell ref="J11:K11"/>
    <mergeCell ref="L37:O37"/>
    <mergeCell ref="B14:B16"/>
    <mergeCell ref="H16:I16"/>
    <mergeCell ref="J16:K16"/>
    <mergeCell ref="B7:B9"/>
    <mergeCell ref="H9:I9"/>
    <mergeCell ref="J9:K9"/>
    <mergeCell ref="L23:O23"/>
    <mergeCell ref="D24:E24"/>
    <mergeCell ref="F24:G24"/>
    <mergeCell ref="H24:I24"/>
    <mergeCell ref="J24:K24"/>
    <mergeCell ref="L24:O25"/>
    <mergeCell ref="D25:E25"/>
    <mergeCell ref="L16:O16"/>
    <mergeCell ref="D17:E17"/>
    <mergeCell ref="F17:G17"/>
    <mergeCell ref="H17:I17"/>
    <mergeCell ref="J17:K17"/>
    <mergeCell ref="L17:O18"/>
    <mergeCell ref="D18:E18"/>
    <mergeCell ref="F18:G18"/>
    <mergeCell ref="H18:I18"/>
    <mergeCell ref="J18:K18"/>
    <mergeCell ref="J39:K39"/>
    <mergeCell ref="H25:I25"/>
    <mergeCell ref="J25:K25"/>
    <mergeCell ref="B28:B30"/>
    <mergeCell ref="H30:I30"/>
    <mergeCell ref="J30:K30"/>
    <mergeCell ref="B21:B23"/>
    <mergeCell ref="H23:I23"/>
    <mergeCell ref="J23:K23"/>
    <mergeCell ref="F25:G25"/>
    <mergeCell ref="L30:O30"/>
    <mergeCell ref="D31:E31"/>
    <mergeCell ref="F31:G31"/>
    <mergeCell ref="H31:I31"/>
    <mergeCell ref="J31:K31"/>
    <mergeCell ref="L31:O32"/>
    <mergeCell ref="D32:E32"/>
    <mergeCell ref="F32:G32"/>
    <mergeCell ref="H32:I32"/>
    <mergeCell ref="J32:K32"/>
    <mergeCell ref="B42:B44"/>
    <mergeCell ref="H44:I44"/>
    <mergeCell ref="J44:K44"/>
    <mergeCell ref="B35:B37"/>
    <mergeCell ref="H37:I37"/>
    <mergeCell ref="J37:K37"/>
    <mergeCell ref="L44:O44"/>
    <mergeCell ref="D45:E45"/>
    <mergeCell ref="F45:G45"/>
    <mergeCell ref="H45:I45"/>
    <mergeCell ref="J45:K45"/>
    <mergeCell ref="L45:O46"/>
    <mergeCell ref="D46:E46"/>
    <mergeCell ref="F46:G46"/>
    <mergeCell ref="H46:I46"/>
    <mergeCell ref="J46:K46"/>
    <mergeCell ref="D38:E38"/>
    <mergeCell ref="F38:G38"/>
    <mergeCell ref="H38:I38"/>
    <mergeCell ref="J38:K38"/>
    <mergeCell ref="L38:O39"/>
    <mergeCell ref="D39:E39"/>
    <mergeCell ref="F39:G39"/>
    <mergeCell ref="H39:I39"/>
    <mergeCell ref="N49:O49"/>
    <mergeCell ref="B50:B51"/>
    <mergeCell ref="D50:E50"/>
    <mergeCell ref="F50:G50"/>
    <mergeCell ref="H50:I50"/>
    <mergeCell ref="J50:K50"/>
    <mergeCell ref="L50:M50"/>
    <mergeCell ref="N50:O50"/>
    <mergeCell ref="D51:E51"/>
    <mergeCell ref="F51:G51"/>
    <mergeCell ref="B49:C49"/>
    <mergeCell ref="D49:E49"/>
    <mergeCell ref="F49:G49"/>
    <mergeCell ref="H49:I49"/>
    <mergeCell ref="J49:K49"/>
    <mergeCell ref="L49:M49"/>
    <mergeCell ref="B53:B54"/>
    <mergeCell ref="D53:E53"/>
    <mergeCell ref="F53:G53"/>
    <mergeCell ref="H53:I53"/>
    <mergeCell ref="J53:K53"/>
    <mergeCell ref="L53:O53"/>
    <mergeCell ref="D54:K54"/>
    <mergeCell ref="L54:O54"/>
    <mergeCell ref="H51:I51"/>
    <mergeCell ref="J51:K51"/>
    <mergeCell ref="L51:M51"/>
    <mergeCell ref="N51:O51"/>
    <mergeCell ref="D52:E52"/>
    <mergeCell ref="F52:G52"/>
    <mergeCell ref="H52:I52"/>
    <mergeCell ref="J52:K52"/>
    <mergeCell ref="L52:M52"/>
    <mergeCell ref="N52:O52"/>
    <mergeCell ref="D57:E57"/>
    <mergeCell ref="F57:G57"/>
    <mergeCell ref="H57:I57"/>
    <mergeCell ref="J57:K57"/>
    <mergeCell ref="B59:C59"/>
    <mergeCell ref="D59:F59"/>
    <mergeCell ref="H59:I59"/>
    <mergeCell ref="J59:L59"/>
    <mergeCell ref="D55:G55"/>
    <mergeCell ref="H55:I55"/>
    <mergeCell ref="J55:K55"/>
    <mergeCell ref="L55:O55"/>
    <mergeCell ref="B56:B57"/>
    <mergeCell ref="D56:E56"/>
    <mergeCell ref="F56:G56"/>
    <mergeCell ref="H56:I56"/>
    <mergeCell ref="J56:K56"/>
    <mergeCell ref="L56:O57"/>
    <mergeCell ref="X65:Y70"/>
    <mergeCell ref="F66:G66"/>
    <mergeCell ref="U66:W66"/>
    <mergeCell ref="F67:G67"/>
    <mergeCell ref="U67:W67"/>
    <mergeCell ref="D60:E60"/>
    <mergeCell ref="H60:I60"/>
    <mergeCell ref="J60:L60"/>
    <mergeCell ref="B63:K63"/>
    <mergeCell ref="L63:N63"/>
    <mergeCell ref="O63:Q63"/>
    <mergeCell ref="F68:G68"/>
    <mergeCell ref="U68:W68"/>
    <mergeCell ref="F69:G69"/>
    <mergeCell ref="U69:W69"/>
    <mergeCell ref="F70:G70"/>
    <mergeCell ref="U70:W70"/>
    <mergeCell ref="R63:T63"/>
    <mergeCell ref="F64:G64"/>
    <mergeCell ref="U64:W64"/>
    <mergeCell ref="F65:G65"/>
    <mergeCell ref="U65:W65"/>
    <mergeCell ref="C77:D77"/>
    <mergeCell ref="C78:D78"/>
    <mergeCell ref="C79:D79"/>
    <mergeCell ref="C80:D80"/>
    <mergeCell ref="C81:D81"/>
    <mergeCell ref="C82:D82"/>
    <mergeCell ref="F71:G71"/>
    <mergeCell ref="U71:W71"/>
    <mergeCell ref="B74:B75"/>
    <mergeCell ref="C74:D75"/>
    <mergeCell ref="E74:R74"/>
    <mergeCell ref="C76:D76"/>
    <mergeCell ref="B90:L90"/>
    <mergeCell ref="B91:L91"/>
    <mergeCell ref="B92:L92"/>
    <mergeCell ref="C83:D83"/>
    <mergeCell ref="B86:I86"/>
    <mergeCell ref="B87:E87"/>
    <mergeCell ref="F87:G87"/>
    <mergeCell ref="H87:I87"/>
    <mergeCell ref="B88:E89"/>
    <mergeCell ref="F88:G89"/>
    <mergeCell ref="H88:I89"/>
  </mergeCells>
  <phoneticPr fontId="2"/>
  <dataValidations count="2">
    <dataValidation type="list" allowBlank="1" showInputMessage="1" showErrorMessage="1" sqref="I4" xr:uid="{045209CB-916B-4CF7-A64F-983E34FE3308}">
      <formula1>$AC$65:$AC$71</formula1>
    </dataValidation>
    <dataValidation type="list" allowBlank="1" showInputMessage="1" showErrorMessage="1" sqref="G60" xr:uid="{13879FC6-9586-4141-A8CA-78387C9FD959}">
      <formula1>#REF!</formula1>
    </dataValidation>
  </dataValidations>
  <printOptions horizontalCentered="1"/>
  <pageMargins left="0.23622047244094491" right="0.23622047244094491" top="0.55118110236220474" bottom="0.35433070866141736" header="0.31496062992125984" footer="0.31496062992125984"/>
  <pageSetup paperSize="9" scale="72" orientation="portrait" horizontalDpi="4294967293" r:id="rId1"/>
  <rowBreaks count="1" manualBreakCount="1">
    <brk id="46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31</vt:i4>
      </vt:variant>
      <vt:variant>
        <vt:lpstr>名前付き一覧</vt:lpstr>
      </vt:variant>
      <vt:variant>
        <vt:i4>31</vt:i4>
      </vt:variant>
    </vt:vector>
  </HeadingPairs>
  <TitlesOfParts>
    <vt:vector size="6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'01'!Print_Area</vt:lpstr>
      <vt:lpstr>'02'!Print_Area</vt:lpstr>
      <vt:lpstr>'03'!Print_Area</vt:lpstr>
      <vt:lpstr>'04'!Print_Area</vt:lpstr>
      <vt:lpstr>'05'!Print_Area</vt:lpstr>
      <vt:lpstr>'06'!Print_Area</vt:lpstr>
      <vt:lpstr>'07'!Print_Area</vt:lpstr>
      <vt:lpstr>'08'!Print_Area</vt:lpstr>
      <vt:lpstr>'09'!Print_Area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kintai</dc:creator>
  <cp:lastModifiedBy>よしや 天理</cp:lastModifiedBy>
  <cp:lastPrinted>2026-06-29T00:22:29Z</cp:lastPrinted>
  <dcterms:created xsi:type="dcterms:W3CDTF">2023-09-01T07:04:43Z</dcterms:created>
  <dcterms:modified xsi:type="dcterms:W3CDTF">2026-07-13T00:31:42Z</dcterms:modified>
</cp:coreProperties>
</file>