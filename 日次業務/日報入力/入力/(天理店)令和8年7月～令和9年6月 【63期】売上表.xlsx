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5969337a492b74/HTY/売上関係/"/>
    </mc:Choice>
  </mc:AlternateContent>
  <xr:revisionPtr revIDLastSave="30" documentId="8_{EA049043-906A-4AAC-9497-D766057A6083}" xr6:coauthVersionLast="47" xr6:coauthVersionMax="47" xr10:uidLastSave="{F9B58703-6AF8-4E78-9070-648F4BC6A862}"/>
  <bookViews>
    <workbookView xWindow="-120" yWindow="-120" windowWidth="20730" windowHeight="11160" xr2:uid="{00000000-000D-0000-FFFF-FFFF00000000}"/>
  </bookViews>
  <sheets>
    <sheet name="令和8年7月" sheetId="1" r:id="rId1"/>
    <sheet name="令和8年8月" sheetId="2" r:id="rId2"/>
    <sheet name="令和8年9月 " sheetId="3" r:id="rId3"/>
    <sheet name="令和8年10月" sheetId="4" r:id="rId4"/>
    <sheet name="令和8年11月" sheetId="5" r:id="rId5"/>
    <sheet name="令和8年12月" sheetId="6" r:id="rId6"/>
    <sheet name="令和9年1月" sheetId="7" r:id="rId7"/>
    <sheet name="令和9年2月" sheetId="8" r:id="rId8"/>
    <sheet name="令和9年3月 " sheetId="9" r:id="rId9"/>
    <sheet name="令和9年4月" sheetId="10" r:id="rId10"/>
    <sheet name="令和9年5月" sheetId="11" r:id="rId11"/>
    <sheet name="令和9年6月" sheetId="12" r:id="rId12"/>
  </sheets>
  <calcPr calcId="191029"/>
</workbook>
</file>

<file path=xl/calcChain.xml><?xml version="1.0" encoding="utf-8"?>
<calcChain xmlns="http://schemas.openxmlformats.org/spreadsheetml/2006/main">
  <c r="I6" i="1" l="1"/>
  <c r="H6" i="1"/>
  <c r="I5" i="1"/>
  <c r="DO37" i="12"/>
  <c r="DN37" i="12"/>
  <c r="DM37" i="12"/>
  <c r="DL37" i="12"/>
  <c r="DK37" i="12"/>
  <c r="DJ37" i="12"/>
  <c r="DI37" i="12"/>
  <c r="DH37" i="12"/>
  <c r="DG37" i="12"/>
  <c r="DF37" i="12"/>
  <c r="DA37" i="12"/>
  <c r="CZ37" i="12"/>
  <c r="CY37" i="12"/>
  <c r="CX37" i="12"/>
  <c r="CV37" i="12"/>
  <c r="CU37" i="12"/>
  <c r="CS37" i="12"/>
  <c r="CQ37" i="12"/>
  <c r="CO37" i="12"/>
  <c r="CM37" i="12"/>
  <c r="CK37" i="12"/>
  <c r="CI37" i="12"/>
  <c r="CG37" i="12"/>
  <c r="CE37" i="12"/>
  <c r="CC37" i="12"/>
  <c r="CA37" i="12"/>
  <c r="BY37" i="12"/>
  <c r="BW37" i="12"/>
  <c r="BU37" i="12"/>
  <c r="BS37" i="12"/>
  <c r="BQ37" i="12"/>
  <c r="BO37" i="12"/>
  <c r="BM37" i="12"/>
  <c r="BK37" i="12"/>
  <c r="BI37" i="12"/>
  <c r="BG37" i="12"/>
  <c r="BE37" i="12"/>
  <c r="BC37" i="12"/>
  <c r="BA37" i="12"/>
  <c r="AY37" i="12"/>
  <c r="AW37" i="12"/>
  <c r="AQ37" i="12"/>
  <c r="AP37" i="12"/>
  <c r="AO37" i="12"/>
  <c r="AN37" i="12"/>
  <c r="AM37" i="12"/>
  <c r="AL37" i="12"/>
  <c r="AK37" i="12"/>
  <c r="AJ37" i="12"/>
  <c r="AI37" i="12"/>
  <c r="AH37" i="12"/>
  <c r="AG37" i="12"/>
  <c r="AF37" i="12"/>
  <c r="AE37" i="12"/>
  <c r="AD37" i="12"/>
  <c r="Y37" i="12"/>
  <c r="W37" i="12"/>
  <c r="L37" i="12" s="1"/>
  <c r="U37" i="12"/>
  <c r="K37" i="12"/>
  <c r="H37" i="12"/>
  <c r="F37" i="12"/>
  <c r="DO36" i="12"/>
  <c r="DN36" i="12"/>
  <c r="DM36" i="12"/>
  <c r="DL36" i="12"/>
  <c r="DK36" i="12"/>
  <c r="DJ36" i="12"/>
  <c r="DI36" i="12"/>
  <c r="DH36" i="12"/>
  <c r="DG36" i="12"/>
  <c r="DF36" i="12"/>
  <c r="DA36" i="12"/>
  <c r="CZ36" i="12"/>
  <c r="CY36" i="12"/>
  <c r="CX36" i="12"/>
  <c r="CV36" i="12"/>
  <c r="CU36" i="12"/>
  <c r="CS36" i="12"/>
  <c r="CQ36" i="12"/>
  <c r="CO36" i="12"/>
  <c r="CM36" i="12"/>
  <c r="CK36" i="12"/>
  <c r="CI36" i="12"/>
  <c r="CG36" i="12"/>
  <c r="CE36" i="12"/>
  <c r="CC36" i="12"/>
  <c r="CA36" i="12"/>
  <c r="BY36" i="12"/>
  <c r="BW36" i="12"/>
  <c r="BU36" i="12"/>
  <c r="BS36" i="12"/>
  <c r="BQ36" i="12"/>
  <c r="BO36" i="12"/>
  <c r="BM36" i="12"/>
  <c r="BK36" i="12"/>
  <c r="BI36" i="12"/>
  <c r="BG36" i="12"/>
  <c r="BE36" i="12"/>
  <c r="BC36" i="12"/>
  <c r="BA36" i="12"/>
  <c r="AY36" i="12"/>
  <c r="AW36" i="12"/>
  <c r="AQ36" i="12"/>
  <c r="AP36" i="12"/>
  <c r="AO36" i="12"/>
  <c r="AN36" i="12"/>
  <c r="AM36" i="12"/>
  <c r="AL36" i="12"/>
  <c r="AK36" i="12"/>
  <c r="AJ36" i="12"/>
  <c r="AI36" i="12"/>
  <c r="AH36" i="12"/>
  <c r="AG36" i="12"/>
  <c r="AF36" i="12"/>
  <c r="AE36" i="12"/>
  <c r="AD36" i="12"/>
  <c r="Y36" i="12"/>
  <c r="W36" i="12"/>
  <c r="U36" i="12"/>
  <c r="N36" i="12"/>
  <c r="K36" i="12"/>
  <c r="L36" i="12" s="1"/>
  <c r="F36" i="12"/>
  <c r="DQ35" i="12"/>
  <c r="DP35" i="12"/>
  <c r="DC35" i="12"/>
  <c r="CT35" i="12"/>
  <c r="CR35" i="12"/>
  <c r="CP35" i="12"/>
  <c r="CN35" i="12"/>
  <c r="CL35" i="12"/>
  <c r="CJ35" i="12"/>
  <c r="CH35" i="12"/>
  <c r="CF35" i="12"/>
  <c r="CD35" i="12"/>
  <c r="CB35" i="12"/>
  <c r="BZ35" i="12"/>
  <c r="BX35" i="12"/>
  <c r="BV35" i="12"/>
  <c r="BT35" i="12"/>
  <c r="BR35" i="12"/>
  <c r="BP35" i="12"/>
  <c r="BN35" i="12"/>
  <c r="BL35" i="12"/>
  <c r="BJ35" i="12"/>
  <c r="BH35" i="12"/>
  <c r="BF35" i="12"/>
  <c r="BD35" i="12"/>
  <c r="BB35" i="12"/>
  <c r="AZ35" i="12"/>
  <c r="AX35" i="12"/>
  <c r="AV35" i="12"/>
  <c r="AR35" i="12"/>
  <c r="AT35" i="12" s="1"/>
  <c r="AB35" i="12"/>
  <c r="X35" i="12"/>
  <c r="N35" i="12" s="1"/>
  <c r="Q35" i="12"/>
  <c r="O35" i="12"/>
  <c r="M35" i="12"/>
  <c r="L35" i="12"/>
  <c r="G35" i="12"/>
  <c r="DQ34" i="12"/>
  <c r="DP34" i="12"/>
  <c r="DC34" i="12"/>
  <c r="CT34" i="12"/>
  <c r="CR34" i="12"/>
  <c r="CP34" i="12"/>
  <c r="CN34" i="12"/>
  <c r="CL34" i="12"/>
  <c r="CJ34" i="12"/>
  <c r="CH34" i="12"/>
  <c r="CF34" i="12"/>
  <c r="CD34" i="12"/>
  <c r="CB34" i="12"/>
  <c r="BZ34" i="12"/>
  <c r="BX34" i="12"/>
  <c r="BV34" i="12"/>
  <c r="BT34" i="12"/>
  <c r="BR34" i="12"/>
  <c r="BP34" i="12"/>
  <c r="BN34" i="12"/>
  <c r="BL34" i="12"/>
  <c r="BJ34" i="12"/>
  <c r="BH34" i="12"/>
  <c r="BF34" i="12"/>
  <c r="BD34" i="12"/>
  <c r="BB34" i="12"/>
  <c r="AZ34" i="12"/>
  <c r="AX34" i="12"/>
  <c r="AV34" i="12"/>
  <c r="AR34" i="12"/>
  <c r="AT34" i="12" s="1"/>
  <c r="X34" i="12"/>
  <c r="N34" i="12" s="1"/>
  <c r="Q34" i="12"/>
  <c r="O34" i="12"/>
  <c r="M34" i="12"/>
  <c r="L34" i="12"/>
  <c r="G34" i="12"/>
  <c r="DQ33" i="12"/>
  <c r="DP33" i="12"/>
  <c r="DC33" i="12"/>
  <c r="CT33" i="12"/>
  <c r="CR33" i="12"/>
  <c r="CP33" i="12"/>
  <c r="CN33" i="12"/>
  <c r="CL33" i="12"/>
  <c r="CJ33" i="12"/>
  <c r="CH33" i="12"/>
  <c r="CF33" i="12"/>
  <c r="CD33" i="12"/>
  <c r="CB33" i="12"/>
  <c r="BZ33" i="12"/>
  <c r="BX33" i="12"/>
  <c r="BV33" i="12"/>
  <c r="BT33" i="12"/>
  <c r="BR33" i="12"/>
  <c r="BP33" i="12"/>
  <c r="BN33" i="12"/>
  <c r="BL33" i="12"/>
  <c r="BJ33" i="12"/>
  <c r="BH33" i="12"/>
  <c r="BF33" i="12"/>
  <c r="BD33" i="12"/>
  <c r="BB33" i="12"/>
  <c r="AZ33" i="12"/>
  <c r="AX33" i="12"/>
  <c r="AV33" i="12"/>
  <c r="AR33" i="12"/>
  <c r="AT33" i="12" s="1"/>
  <c r="X33" i="12"/>
  <c r="N33" i="12" s="1"/>
  <c r="Q33" i="12"/>
  <c r="O33" i="12"/>
  <c r="M33" i="12"/>
  <c r="L33" i="12"/>
  <c r="G33" i="12"/>
  <c r="DQ32" i="12"/>
  <c r="DP32" i="12"/>
  <c r="DC32" i="12"/>
  <c r="CT32" i="12"/>
  <c r="CR32" i="12"/>
  <c r="CP32" i="12"/>
  <c r="CN32" i="12"/>
  <c r="CL32" i="12"/>
  <c r="CJ32" i="12"/>
  <c r="CH32" i="12"/>
  <c r="CF32" i="12"/>
  <c r="CD32" i="12"/>
  <c r="CB32" i="12"/>
  <c r="BZ32" i="12"/>
  <c r="BX32" i="12"/>
  <c r="BV32" i="12"/>
  <c r="BT32" i="12"/>
  <c r="BR32" i="12"/>
  <c r="BP32" i="12"/>
  <c r="BN32" i="12"/>
  <c r="BL32" i="12"/>
  <c r="BJ32" i="12"/>
  <c r="BH32" i="12"/>
  <c r="BF32" i="12"/>
  <c r="BD32" i="12"/>
  <c r="BB32" i="12"/>
  <c r="AZ32" i="12"/>
  <c r="AX32" i="12"/>
  <c r="AV32" i="12"/>
  <c r="AR32" i="12"/>
  <c r="AT32" i="12" s="1"/>
  <c r="X32" i="12"/>
  <c r="N32" i="12" s="1"/>
  <c r="Q32" i="12"/>
  <c r="O32" i="12"/>
  <c r="M32" i="12"/>
  <c r="L32" i="12"/>
  <c r="G32" i="12"/>
  <c r="DQ31" i="12"/>
  <c r="DP31" i="12"/>
  <c r="DC31" i="12"/>
  <c r="CT31" i="12"/>
  <c r="CR31" i="12"/>
  <c r="CP31" i="12"/>
  <c r="CN31" i="12"/>
  <c r="CL31" i="12"/>
  <c r="CJ31" i="12"/>
  <c r="CH31" i="12"/>
  <c r="CF31" i="12"/>
  <c r="CD31" i="12"/>
  <c r="CB31" i="12"/>
  <c r="BZ31" i="12"/>
  <c r="BX31" i="12"/>
  <c r="BV31" i="12"/>
  <c r="BT31" i="12"/>
  <c r="BR31" i="12"/>
  <c r="BP31" i="12"/>
  <c r="BN31" i="12"/>
  <c r="BL31" i="12"/>
  <c r="BJ31" i="12"/>
  <c r="BH31" i="12"/>
  <c r="BF31" i="12"/>
  <c r="BD31" i="12"/>
  <c r="BB31" i="12"/>
  <c r="AZ31" i="12"/>
  <c r="AX31" i="12"/>
  <c r="AV31" i="12"/>
  <c r="AR31" i="12"/>
  <c r="AT31" i="12" s="1"/>
  <c r="X31" i="12"/>
  <c r="N31" i="12" s="1"/>
  <c r="Q31" i="12"/>
  <c r="O31" i="12"/>
  <c r="M31" i="12"/>
  <c r="L31" i="12"/>
  <c r="G31" i="12"/>
  <c r="DQ30" i="12"/>
  <c r="DP30" i="12"/>
  <c r="DC30" i="12"/>
  <c r="CT30" i="12"/>
  <c r="CR30" i="12"/>
  <c r="CP30" i="12"/>
  <c r="CN30" i="12"/>
  <c r="CL30" i="12"/>
  <c r="CJ30" i="12"/>
  <c r="CH30" i="12"/>
  <c r="CF30" i="12"/>
  <c r="CD30" i="12"/>
  <c r="CB30" i="12"/>
  <c r="BZ30" i="12"/>
  <c r="BX30" i="12"/>
  <c r="BV30" i="12"/>
  <c r="BT30" i="12"/>
  <c r="BR30" i="12"/>
  <c r="BP30" i="12"/>
  <c r="BN30" i="12"/>
  <c r="BL30" i="12"/>
  <c r="BJ30" i="12"/>
  <c r="BH30" i="12"/>
  <c r="BF30" i="12"/>
  <c r="BD30" i="12"/>
  <c r="BB30" i="12"/>
  <c r="AZ30" i="12"/>
  <c r="AX30" i="12"/>
  <c r="AV30" i="12"/>
  <c r="AR30" i="12"/>
  <c r="AT30" i="12" s="1"/>
  <c r="X30" i="12"/>
  <c r="N30" i="12" s="1"/>
  <c r="Q30" i="12"/>
  <c r="O30" i="12"/>
  <c r="M30" i="12"/>
  <c r="L30" i="12"/>
  <c r="G30" i="12"/>
  <c r="DQ29" i="12"/>
  <c r="DP29" i="12"/>
  <c r="DC29" i="12"/>
  <c r="CT29" i="12"/>
  <c r="CR29" i="12"/>
  <c r="CP29" i="12"/>
  <c r="CN29" i="12"/>
  <c r="CL29" i="12"/>
  <c r="CJ29" i="12"/>
  <c r="CH29" i="12"/>
  <c r="CF29" i="12"/>
  <c r="CD29" i="12"/>
  <c r="CB29" i="12"/>
  <c r="BZ29" i="12"/>
  <c r="BX29" i="12"/>
  <c r="BV29" i="12"/>
  <c r="BT29" i="12"/>
  <c r="BR29" i="12"/>
  <c r="BP29" i="12"/>
  <c r="BN29" i="12"/>
  <c r="BL29" i="12"/>
  <c r="BJ29" i="12"/>
  <c r="BH29" i="12"/>
  <c r="BF29" i="12"/>
  <c r="BD29" i="12"/>
  <c r="BB29" i="12"/>
  <c r="AZ29" i="12"/>
  <c r="AX29" i="12"/>
  <c r="AV29" i="12"/>
  <c r="AR29" i="12"/>
  <c r="AT29" i="12" s="1"/>
  <c r="X29" i="12"/>
  <c r="N29" i="12" s="1"/>
  <c r="Q29" i="12"/>
  <c r="O29" i="12"/>
  <c r="M29" i="12"/>
  <c r="L29" i="12"/>
  <c r="G29" i="12"/>
  <c r="DQ28" i="12"/>
  <c r="DP28" i="12"/>
  <c r="DC28" i="12"/>
  <c r="CT28" i="12"/>
  <c r="CR28" i="12"/>
  <c r="CP28" i="12"/>
  <c r="CN28" i="12"/>
  <c r="CL28" i="12"/>
  <c r="CJ28" i="12"/>
  <c r="CH28" i="12"/>
  <c r="CF28" i="12"/>
  <c r="CD28" i="12"/>
  <c r="CB28" i="12"/>
  <c r="BZ28" i="12"/>
  <c r="BX28" i="12"/>
  <c r="BV28" i="12"/>
  <c r="BT28" i="12"/>
  <c r="BR28" i="12"/>
  <c r="BP28" i="12"/>
  <c r="BN28" i="12"/>
  <c r="BL28" i="12"/>
  <c r="BJ28" i="12"/>
  <c r="BH28" i="12"/>
  <c r="BF28" i="12"/>
  <c r="BD28" i="12"/>
  <c r="BB28" i="12"/>
  <c r="AZ28" i="12"/>
  <c r="AX28" i="12"/>
  <c r="AV28" i="12"/>
  <c r="AR28" i="12"/>
  <c r="AT28" i="12" s="1"/>
  <c r="X28" i="12"/>
  <c r="N28" i="12" s="1"/>
  <c r="Q28" i="12"/>
  <c r="O28" i="12"/>
  <c r="M28" i="12"/>
  <c r="L28" i="12"/>
  <c r="G28" i="12"/>
  <c r="DQ27" i="12"/>
  <c r="DP27" i="12"/>
  <c r="DC27" i="12"/>
  <c r="CT27" i="12"/>
  <c r="CR27" i="12"/>
  <c r="CP27" i="12"/>
  <c r="CN27" i="12"/>
  <c r="CL27" i="12"/>
  <c r="CJ27" i="12"/>
  <c r="CH27" i="12"/>
  <c r="CF27" i="12"/>
  <c r="CD27" i="12"/>
  <c r="CB27" i="12"/>
  <c r="BZ27" i="12"/>
  <c r="BX27" i="12"/>
  <c r="BV27" i="12"/>
  <c r="BT27" i="12"/>
  <c r="BR27" i="12"/>
  <c r="BP27" i="12"/>
  <c r="BN27" i="12"/>
  <c r="BL27" i="12"/>
  <c r="BJ27" i="12"/>
  <c r="BH27" i="12"/>
  <c r="BF27" i="12"/>
  <c r="BD27" i="12"/>
  <c r="BB27" i="12"/>
  <c r="AZ27" i="12"/>
  <c r="AX27" i="12"/>
  <c r="AV27" i="12"/>
  <c r="AR27" i="12"/>
  <c r="AT27" i="12" s="1"/>
  <c r="X27" i="12"/>
  <c r="N27" i="12" s="1"/>
  <c r="Q27" i="12"/>
  <c r="O27" i="12"/>
  <c r="M27" i="12"/>
  <c r="L27" i="12"/>
  <c r="G27" i="12"/>
  <c r="DQ26" i="12"/>
  <c r="DP26" i="12"/>
  <c r="DC26" i="12"/>
  <c r="CT26" i="12"/>
  <c r="CR26" i="12"/>
  <c r="CP26" i="12"/>
  <c r="CN26" i="12"/>
  <c r="CL26" i="12"/>
  <c r="CJ26" i="12"/>
  <c r="CH26" i="12"/>
  <c r="CF26" i="12"/>
  <c r="CD26" i="12"/>
  <c r="CB26" i="12"/>
  <c r="BZ26" i="12"/>
  <c r="BX26" i="12"/>
  <c r="BV26" i="12"/>
  <c r="BT26" i="12"/>
  <c r="BR26" i="12"/>
  <c r="BP26" i="12"/>
  <c r="BN26" i="12"/>
  <c r="BL26" i="12"/>
  <c r="BJ26" i="12"/>
  <c r="BH26" i="12"/>
  <c r="BF26" i="12"/>
  <c r="BD26" i="12"/>
  <c r="BB26" i="12"/>
  <c r="AZ26" i="12"/>
  <c r="AX26" i="12"/>
  <c r="AV26" i="12"/>
  <c r="AR26" i="12"/>
  <c r="AT26" i="12" s="1"/>
  <c r="X26" i="12"/>
  <c r="N26" i="12" s="1"/>
  <c r="Q26" i="12"/>
  <c r="O26" i="12"/>
  <c r="M26" i="12"/>
  <c r="L26" i="12"/>
  <c r="G26" i="12"/>
  <c r="DQ25" i="12"/>
  <c r="DP25" i="12"/>
  <c r="DC25" i="12"/>
  <c r="CT25" i="12"/>
  <c r="CR25" i="12"/>
  <c r="CP25" i="12"/>
  <c r="CN25" i="12"/>
  <c r="CL25" i="12"/>
  <c r="CJ25" i="12"/>
  <c r="CH25" i="12"/>
  <c r="CF25" i="12"/>
  <c r="CD25" i="12"/>
  <c r="CB25" i="12"/>
  <c r="BZ25" i="12"/>
  <c r="BX25" i="12"/>
  <c r="BV25" i="12"/>
  <c r="BT25" i="12"/>
  <c r="BR25" i="12"/>
  <c r="BP25" i="12"/>
  <c r="BN25" i="12"/>
  <c r="BL25" i="12"/>
  <c r="BJ25" i="12"/>
  <c r="BH25" i="12"/>
  <c r="BF25" i="12"/>
  <c r="BD25" i="12"/>
  <c r="BB25" i="12"/>
  <c r="AZ25" i="12"/>
  <c r="AX25" i="12"/>
  <c r="AV25" i="12"/>
  <c r="AR25" i="12"/>
  <c r="AT25" i="12" s="1"/>
  <c r="X25" i="12"/>
  <c r="N25" i="12" s="1"/>
  <c r="Q25" i="12"/>
  <c r="O25" i="12"/>
  <c r="M25" i="12"/>
  <c r="L25" i="12"/>
  <c r="G25" i="12"/>
  <c r="DQ24" i="12"/>
  <c r="DP24" i="12"/>
  <c r="DC24" i="12"/>
  <c r="CT24" i="12"/>
  <c r="CR24" i="12"/>
  <c r="CP24" i="12"/>
  <c r="CN24" i="12"/>
  <c r="CL24" i="12"/>
  <c r="CJ24" i="12"/>
  <c r="CH24" i="12"/>
  <c r="CF24" i="12"/>
  <c r="CD24" i="12"/>
  <c r="CB24" i="12"/>
  <c r="BZ24" i="12"/>
  <c r="BX24" i="12"/>
  <c r="BV24" i="12"/>
  <c r="BT24" i="12"/>
  <c r="BR24" i="12"/>
  <c r="BP24" i="12"/>
  <c r="BN24" i="12"/>
  <c r="BL24" i="12"/>
  <c r="BJ24" i="12"/>
  <c r="BH24" i="12"/>
  <c r="BF24" i="12"/>
  <c r="BD24" i="12"/>
  <c r="BB24" i="12"/>
  <c r="AZ24" i="12"/>
  <c r="AX24" i="12"/>
  <c r="AV24" i="12"/>
  <c r="AR24" i="12"/>
  <c r="AT24" i="12" s="1"/>
  <c r="X24" i="12"/>
  <c r="N24" i="12" s="1"/>
  <c r="Q24" i="12"/>
  <c r="O24" i="12"/>
  <c r="M24" i="12"/>
  <c r="L24" i="12"/>
  <c r="G24" i="12"/>
  <c r="DQ23" i="12"/>
  <c r="DP23" i="12"/>
  <c r="DC23" i="12"/>
  <c r="CT23" i="12"/>
  <c r="CR23" i="12"/>
  <c r="CP23" i="12"/>
  <c r="CN23" i="12"/>
  <c r="CL23" i="12"/>
  <c r="CJ23" i="12"/>
  <c r="CH23" i="12"/>
  <c r="CF23" i="12"/>
  <c r="CD23" i="12"/>
  <c r="CB23" i="12"/>
  <c r="BZ23" i="12"/>
  <c r="BX23" i="12"/>
  <c r="BV23" i="12"/>
  <c r="BT23" i="12"/>
  <c r="BR23" i="12"/>
  <c r="BP23" i="12"/>
  <c r="BN23" i="12"/>
  <c r="BL23" i="12"/>
  <c r="BJ23" i="12"/>
  <c r="BH23" i="12"/>
  <c r="BF23" i="12"/>
  <c r="BD23" i="12"/>
  <c r="BB23" i="12"/>
  <c r="AZ23" i="12"/>
  <c r="AX23" i="12"/>
  <c r="AV23" i="12"/>
  <c r="AR23" i="12"/>
  <c r="AT23" i="12" s="1"/>
  <c r="X23" i="12"/>
  <c r="N23" i="12" s="1"/>
  <c r="Q23" i="12"/>
  <c r="O23" i="12"/>
  <c r="M23" i="12"/>
  <c r="L23" i="12"/>
  <c r="G23" i="12"/>
  <c r="DP22" i="12"/>
  <c r="DQ22" i="12" s="1"/>
  <c r="DC22" i="12"/>
  <c r="CT22" i="12"/>
  <c r="CR22" i="12"/>
  <c r="CP22" i="12"/>
  <c r="CN22" i="12"/>
  <c r="CL22" i="12"/>
  <c r="CJ22" i="12"/>
  <c r="CH22" i="12"/>
  <c r="CF22" i="12"/>
  <c r="CD22" i="12"/>
  <c r="CB22" i="12"/>
  <c r="BZ22" i="12"/>
  <c r="BX22" i="12"/>
  <c r="BV22" i="12"/>
  <c r="BT22" i="12"/>
  <c r="BR22" i="12"/>
  <c r="BP22" i="12"/>
  <c r="BN22" i="12"/>
  <c r="BL22" i="12"/>
  <c r="BJ22" i="12"/>
  <c r="BH22" i="12"/>
  <c r="BF22" i="12"/>
  <c r="BD22" i="12"/>
  <c r="BB22" i="12"/>
  <c r="AZ22" i="12"/>
  <c r="AX22" i="12"/>
  <c r="AV22" i="12"/>
  <c r="AR22" i="12"/>
  <c r="AT22" i="12" s="1"/>
  <c r="X22" i="12"/>
  <c r="Q22" i="12"/>
  <c r="O22" i="12"/>
  <c r="M22" i="12"/>
  <c r="N22" i="12" s="1"/>
  <c r="L22" i="12"/>
  <c r="G22" i="12"/>
  <c r="DP21" i="12"/>
  <c r="DQ21" i="12" s="1"/>
  <c r="DC21" i="12"/>
  <c r="CT21" i="12"/>
  <c r="CR21" i="12"/>
  <c r="CP21" i="12"/>
  <c r="CN21" i="12"/>
  <c r="CL21" i="12"/>
  <c r="CJ21" i="12"/>
  <c r="CH21" i="12"/>
  <c r="CF21" i="12"/>
  <c r="CD21" i="12"/>
  <c r="CB21" i="12"/>
  <c r="BZ21" i="12"/>
  <c r="BX21" i="12"/>
  <c r="BV21" i="12"/>
  <c r="BT21" i="12"/>
  <c r="BR21" i="12"/>
  <c r="BP21" i="12"/>
  <c r="BN21" i="12"/>
  <c r="BL21" i="12"/>
  <c r="BJ21" i="12"/>
  <c r="BH21" i="12"/>
  <c r="BF21" i="12"/>
  <c r="BD21" i="12"/>
  <c r="BB21" i="12"/>
  <c r="AZ21" i="12"/>
  <c r="AX21" i="12"/>
  <c r="AV21" i="12"/>
  <c r="AR21" i="12"/>
  <c r="AT21" i="12" s="1"/>
  <c r="X21" i="12"/>
  <c r="Q21" i="12"/>
  <c r="O21" i="12"/>
  <c r="M21" i="12"/>
  <c r="L21" i="12"/>
  <c r="G21" i="12"/>
  <c r="DP20" i="12"/>
  <c r="DQ20" i="12" s="1"/>
  <c r="DC20" i="12"/>
  <c r="CT20" i="12"/>
  <c r="CR20" i="12"/>
  <c r="CP20" i="12"/>
  <c r="CN20" i="12"/>
  <c r="CL20" i="12"/>
  <c r="CJ20" i="12"/>
  <c r="CH20" i="12"/>
  <c r="CF20" i="12"/>
  <c r="CD20" i="12"/>
  <c r="CB20" i="12"/>
  <c r="BZ20" i="12"/>
  <c r="BX20" i="12"/>
  <c r="BV20" i="12"/>
  <c r="BT20" i="12"/>
  <c r="BR20" i="12"/>
  <c r="BP20" i="12"/>
  <c r="BN20" i="12"/>
  <c r="BL20" i="12"/>
  <c r="BJ20" i="12"/>
  <c r="BH20" i="12"/>
  <c r="BF20" i="12"/>
  <c r="BD20" i="12"/>
  <c r="BB20" i="12"/>
  <c r="AZ20" i="12"/>
  <c r="AX20" i="12"/>
  <c r="AV20" i="12"/>
  <c r="AR20" i="12"/>
  <c r="AT20" i="12" s="1"/>
  <c r="X20" i="12"/>
  <c r="Q20" i="12"/>
  <c r="O20" i="12"/>
  <c r="M20" i="12"/>
  <c r="L20" i="12"/>
  <c r="G20" i="12"/>
  <c r="DP19" i="12"/>
  <c r="DQ19" i="12" s="1"/>
  <c r="DC19" i="12"/>
  <c r="CT19" i="12"/>
  <c r="CR19" i="12"/>
  <c r="CP19" i="12"/>
  <c r="CN19" i="12"/>
  <c r="CL19" i="12"/>
  <c r="CJ19" i="12"/>
  <c r="CH19" i="12"/>
  <c r="CF19" i="12"/>
  <c r="CD19" i="12"/>
  <c r="CB19" i="12"/>
  <c r="BZ19" i="12"/>
  <c r="BX19" i="12"/>
  <c r="BV19" i="12"/>
  <c r="BT19" i="12"/>
  <c r="BR19" i="12"/>
  <c r="BP19" i="12"/>
  <c r="BN19" i="12"/>
  <c r="BL19" i="12"/>
  <c r="BJ19" i="12"/>
  <c r="BH19" i="12"/>
  <c r="BF19" i="12"/>
  <c r="BD19" i="12"/>
  <c r="BB19" i="12"/>
  <c r="AZ19" i="12"/>
  <c r="AX19" i="12"/>
  <c r="AV19" i="12"/>
  <c r="AR19" i="12"/>
  <c r="AT19" i="12" s="1"/>
  <c r="X19" i="12"/>
  <c r="Q19" i="12"/>
  <c r="O19" i="12"/>
  <c r="M19" i="12"/>
  <c r="N19" i="12" s="1"/>
  <c r="L19" i="12"/>
  <c r="G19" i="12"/>
  <c r="DP18" i="12"/>
  <c r="DQ18" i="12" s="1"/>
  <c r="DC18" i="12"/>
  <c r="CT18" i="12"/>
  <c r="CR18" i="12"/>
  <c r="CP18" i="12"/>
  <c r="CN18" i="12"/>
  <c r="CL18" i="12"/>
  <c r="CJ18" i="12"/>
  <c r="CH18" i="12"/>
  <c r="CF18" i="12"/>
  <c r="CD18" i="12"/>
  <c r="CB18" i="12"/>
  <c r="BZ18" i="12"/>
  <c r="BX18" i="12"/>
  <c r="BV18" i="12"/>
  <c r="BT18" i="12"/>
  <c r="BR18" i="12"/>
  <c r="BP18" i="12"/>
  <c r="BN18" i="12"/>
  <c r="BL18" i="12"/>
  <c r="BJ18" i="12"/>
  <c r="BH18" i="12"/>
  <c r="BF18" i="12"/>
  <c r="BD18" i="12"/>
  <c r="BB18" i="12"/>
  <c r="AZ18" i="12"/>
  <c r="AX18" i="12"/>
  <c r="AV18" i="12"/>
  <c r="AR18" i="12"/>
  <c r="AT18" i="12" s="1"/>
  <c r="X18" i="12"/>
  <c r="Q18" i="12"/>
  <c r="O18" i="12"/>
  <c r="M18" i="12"/>
  <c r="N18" i="12" s="1"/>
  <c r="L18" i="12"/>
  <c r="G18" i="12"/>
  <c r="DP17" i="12"/>
  <c r="DQ17" i="12" s="1"/>
  <c r="DC17" i="12"/>
  <c r="CT17" i="12"/>
  <c r="CR17" i="12"/>
  <c r="CP17" i="12"/>
  <c r="CN17" i="12"/>
  <c r="CL17" i="12"/>
  <c r="CJ17" i="12"/>
  <c r="CH17" i="12"/>
  <c r="CF17" i="12"/>
  <c r="CD17" i="12"/>
  <c r="CB17" i="12"/>
  <c r="BZ17" i="12"/>
  <c r="BX17" i="12"/>
  <c r="BV17" i="12"/>
  <c r="BT17" i="12"/>
  <c r="BR17" i="12"/>
  <c r="BP17" i="12"/>
  <c r="BN17" i="12"/>
  <c r="BL17" i="12"/>
  <c r="BJ17" i="12"/>
  <c r="BH17" i="12"/>
  <c r="BF17" i="12"/>
  <c r="BD17" i="12"/>
  <c r="BB17" i="12"/>
  <c r="AZ17" i="12"/>
  <c r="AX17" i="12"/>
  <c r="AV17" i="12"/>
  <c r="AR17" i="12"/>
  <c r="AT17" i="12" s="1"/>
  <c r="X17" i="12"/>
  <c r="Q17" i="12"/>
  <c r="O17" i="12"/>
  <c r="M17" i="12"/>
  <c r="L17" i="12"/>
  <c r="G17" i="12"/>
  <c r="DP16" i="12"/>
  <c r="DQ16" i="12" s="1"/>
  <c r="DC16" i="12"/>
  <c r="CT16" i="12"/>
  <c r="CR16" i="12"/>
  <c r="CP16" i="12"/>
  <c r="CN16" i="12"/>
  <c r="CL16" i="12"/>
  <c r="CJ16" i="12"/>
  <c r="CH16" i="12"/>
  <c r="CF16" i="12"/>
  <c r="CD16" i="12"/>
  <c r="CB16" i="12"/>
  <c r="BZ16" i="12"/>
  <c r="BX16" i="12"/>
  <c r="BV16" i="12"/>
  <c r="BT16" i="12"/>
  <c r="BR16" i="12"/>
  <c r="BP16" i="12"/>
  <c r="BN16" i="12"/>
  <c r="BL16" i="12"/>
  <c r="BJ16" i="12"/>
  <c r="BH16" i="12"/>
  <c r="BF16" i="12"/>
  <c r="BD16" i="12"/>
  <c r="BB16" i="12"/>
  <c r="AZ16" i="12"/>
  <c r="AX16" i="12"/>
  <c r="AV16" i="12"/>
  <c r="AR16" i="12"/>
  <c r="AT16" i="12" s="1"/>
  <c r="X16" i="12"/>
  <c r="Q16" i="12"/>
  <c r="O16" i="12"/>
  <c r="M16" i="12"/>
  <c r="N16" i="12" s="1"/>
  <c r="L16" i="12"/>
  <c r="G16" i="12"/>
  <c r="DP15" i="12"/>
  <c r="DQ15" i="12" s="1"/>
  <c r="DC15" i="12"/>
  <c r="CT15" i="12"/>
  <c r="CR15" i="12"/>
  <c r="CP15" i="12"/>
  <c r="CN15" i="12"/>
  <c r="CL15" i="12"/>
  <c r="CJ15" i="12"/>
  <c r="CH15" i="12"/>
  <c r="CF15" i="12"/>
  <c r="CD15" i="12"/>
  <c r="CB15" i="12"/>
  <c r="BZ15" i="12"/>
  <c r="BX15" i="12"/>
  <c r="BV15" i="12"/>
  <c r="BT15" i="12"/>
  <c r="BR15" i="12"/>
  <c r="BP15" i="12"/>
  <c r="BN15" i="12"/>
  <c r="BL15" i="12"/>
  <c r="BJ15" i="12"/>
  <c r="BH15" i="12"/>
  <c r="BF15" i="12"/>
  <c r="BD15" i="12"/>
  <c r="BB15" i="12"/>
  <c r="AZ15" i="12"/>
  <c r="AX15" i="12"/>
  <c r="AV15" i="12"/>
  <c r="AR15" i="12"/>
  <c r="AT15" i="12" s="1"/>
  <c r="X15" i="12"/>
  <c r="Q15" i="12"/>
  <c r="O15" i="12"/>
  <c r="M15" i="12"/>
  <c r="L15" i="12"/>
  <c r="G15" i="12"/>
  <c r="DP14" i="12"/>
  <c r="DQ14" i="12" s="1"/>
  <c r="DC14" i="12"/>
  <c r="CT14" i="12"/>
  <c r="CR14" i="12"/>
  <c r="CP14" i="12"/>
  <c r="CN14" i="12"/>
  <c r="CL14" i="12"/>
  <c r="CJ14" i="12"/>
  <c r="CH14" i="12"/>
  <c r="CF14" i="12"/>
  <c r="CD14" i="12"/>
  <c r="CB14" i="12"/>
  <c r="BZ14" i="12"/>
  <c r="BX14" i="12"/>
  <c r="BV14" i="12"/>
  <c r="BT14" i="12"/>
  <c r="BR14" i="12"/>
  <c r="BP14" i="12"/>
  <c r="BN14" i="12"/>
  <c r="BL14" i="12"/>
  <c r="BJ14" i="12"/>
  <c r="BH14" i="12"/>
  <c r="BF14" i="12"/>
  <c r="BD14" i="12"/>
  <c r="BB14" i="12"/>
  <c r="AZ14" i="12"/>
  <c r="AX14" i="12"/>
  <c r="AV14" i="12"/>
  <c r="AR14" i="12"/>
  <c r="AT14" i="12" s="1"/>
  <c r="X14" i="12"/>
  <c r="Q14" i="12"/>
  <c r="O14" i="12"/>
  <c r="M14" i="12"/>
  <c r="L14" i="12"/>
  <c r="G14" i="12"/>
  <c r="DP13" i="12"/>
  <c r="DQ13" i="12" s="1"/>
  <c r="DC13" i="12"/>
  <c r="CT13" i="12"/>
  <c r="CR13" i="12"/>
  <c r="CP13" i="12"/>
  <c r="CN13" i="12"/>
  <c r="CL13" i="12"/>
  <c r="CJ13" i="12"/>
  <c r="CH13" i="12"/>
  <c r="CF13" i="12"/>
  <c r="CD13" i="12"/>
  <c r="CB13" i="12"/>
  <c r="BZ13" i="12"/>
  <c r="BX13" i="12"/>
  <c r="BV13" i="12"/>
  <c r="BT13" i="12"/>
  <c r="BR13" i="12"/>
  <c r="BP13" i="12"/>
  <c r="BN13" i="12"/>
  <c r="BL13" i="12"/>
  <c r="BJ13" i="12"/>
  <c r="BH13" i="12"/>
  <c r="BF13" i="12"/>
  <c r="BD13" i="12"/>
  <c r="BB13" i="12"/>
  <c r="AZ13" i="12"/>
  <c r="AX13" i="12"/>
  <c r="AV13" i="12"/>
  <c r="AR13" i="12"/>
  <c r="AT13" i="12" s="1"/>
  <c r="X13" i="12"/>
  <c r="Q13" i="12"/>
  <c r="O13" i="12"/>
  <c r="M13" i="12"/>
  <c r="N13" i="12" s="1"/>
  <c r="L13" i="12"/>
  <c r="G13" i="12"/>
  <c r="DP12" i="12"/>
  <c r="DQ12" i="12" s="1"/>
  <c r="DC12" i="12"/>
  <c r="CT12" i="12"/>
  <c r="CR12" i="12"/>
  <c r="CP12" i="12"/>
  <c r="CN12" i="12"/>
  <c r="CL12" i="12"/>
  <c r="CJ12" i="12"/>
  <c r="CH12" i="12"/>
  <c r="CF12" i="12"/>
  <c r="CD12" i="12"/>
  <c r="CB12" i="12"/>
  <c r="BZ12" i="12"/>
  <c r="BX12" i="12"/>
  <c r="BV12" i="12"/>
  <c r="BT12" i="12"/>
  <c r="BR12" i="12"/>
  <c r="BP12" i="12"/>
  <c r="BN12" i="12"/>
  <c r="BL12" i="12"/>
  <c r="BJ12" i="12"/>
  <c r="BH12" i="12"/>
  <c r="BF12" i="12"/>
  <c r="BD12" i="12"/>
  <c r="BB12" i="12"/>
  <c r="AZ12" i="12"/>
  <c r="AX12" i="12"/>
  <c r="AV12" i="12"/>
  <c r="AR12" i="12"/>
  <c r="AT12" i="12" s="1"/>
  <c r="X12" i="12"/>
  <c r="Q12" i="12"/>
  <c r="O12" i="12"/>
  <c r="M12" i="12"/>
  <c r="L12" i="12"/>
  <c r="G12" i="12"/>
  <c r="DP11" i="12"/>
  <c r="DQ11" i="12" s="1"/>
  <c r="DC11" i="12"/>
  <c r="CT11" i="12"/>
  <c r="CR11" i="12"/>
  <c r="CP11" i="12"/>
  <c r="CN11" i="12"/>
  <c r="CL11" i="12"/>
  <c r="CJ11" i="12"/>
  <c r="CH11" i="12"/>
  <c r="CF11" i="12"/>
  <c r="CD11" i="12"/>
  <c r="CB11" i="12"/>
  <c r="BZ11" i="12"/>
  <c r="BX11" i="12"/>
  <c r="BV11" i="12"/>
  <c r="BT11" i="12"/>
  <c r="BR11" i="12"/>
  <c r="BP11" i="12"/>
  <c r="BN11" i="12"/>
  <c r="BL11" i="12"/>
  <c r="BJ11" i="12"/>
  <c r="BH11" i="12"/>
  <c r="BF11" i="12"/>
  <c r="BD11" i="12"/>
  <c r="BB11" i="12"/>
  <c r="AZ11" i="12"/>
  <c r="AX11" i="12"/>
  <c r="AV11" i="12"/>
  <c r="AR11" i="12"/>
  <c r="AT11" i="12" s="1"/>
  <c r="X11" i="12"/>
  <c r="Q11" i="12"/>
  <c r="O11" i="12"/>
  <c r="M11" i="12"/>
  <c r="L11" i="12"/>
  <c r="G11" i="12"/>
  <c r="DP10" i="12"/>
  <c r="DQ10" i="12" s="1"/>
  <c r="DC10" i="12"/>
  <c r="CT10" i="12"/>
  <c r="CR10" i="12"/>
  <c r="CP10" i="12"/>
  <c r="CN10" i="12"/>
  <c r="CL10" i="12"/>
  <c r="CJ10" i="12"/>
  <c r="CH10" i="12"/>
  <c r="CF10" i="12"/>
  <c r="CD10" i="12"/>
  <c r="CB10" i="12"/>
  <c r="BZ10" i="12"/>
  <c r="BX10" i="12"/>
  <c r="BV10" i="12"/>
  <c r="BT10" i="12"/>
  <c r="BR10" i="12"/>
  <c r="BP10" i="12"/>
  <c r="BN10" i="12"/>
  <c r="BL10" i="12"/>
  <c r="BJ10" i="12"/>
  <c r="BH10" i="12"/>
  <c r="BF10" i="12"/>
  <c r="BD10" i="12"/>
  <c r="BB10" i="12"/>
  <c r="AZ10" i="12"/>
  <c r="AX10" i="12"/>
  <c r="AV10" i="12"/>
  <c r="AR10" i="12"/>
  <c r="AT10" i="12" s="1"/>
  <c r="X10" i="12"/>
  <c r="Q10" i="12"/>
  <c r="O10" i="12"/>
  <c r="M10" i="12"/>
  <c r="L10" i="12"/>
  <c r="G10" i="12"/>
  <c r="DP9" i="12"/>
  <c r="DQ9" i="12" s="1"/>
  <c r="DC9" i="12"/>
  <c r="CT9" i="12"/>
  <c r="CR9" i="12"/>
  <c r="CP9" i="12"/>
  <c r="CN9" i="12"/>
  <c r="CL9" i="12"/>
  <c r="CJ9" i="12"/>
  <c r="CH9" i="12"/>
  <c r="CF9" i="12"/>
  <c r="CD9" i="12"/>
  <c r="CB9" i="12"/>
  <c r="BZ9" i="12"/>
  <c r="BX9" i="12"/>
  <c r="BV9" i="12"/>
  <c r="BT9" i="12"/>
  <c r="BR9" i="12"/>
  <c r="BP9" i="12"/>
  <c r="BN9" i="12"/>
  <c r="BL9" i="12"/>
  <c r="BJ9" i="12"/>
  <c r="BH9" i="12"/>
  <c r="BF9" i="12"/>
  <c r="BD9" i="12"/>
  <c r="BB9" i="12"/>
  <c r="AZ9" i="12"/>
  <c r="AX9" i="12"/>
  <c r="AV9" i="12"/>
  <c r="AR9" i="12"/>
  <c r="AT9" i="12" s="1"/>
  <c r="X9" i="12"/>
  <c r="Q9" i="12"/>
  <c r="O9" i="12"/>
  <c r="M9" i="12"/>
  <c r="L9" i="12"/>
  <c r="G9" i="12"/>
  <c r="DP8" i="12"/>
  <c r="DQ8" i="12" s="1"/>
  <c r="DC8" i="12"/>
  <c r="CT8" i="12"/>
  <c r="CR8" i="12"/>
  <c r="CP8" i="12"/>
  <c r="CN8" i="12"/>
  <c r="CL8" i="12"/>
  <c r="CJ8" i="12"/>
  <c r="CH8" i="12"/>
  <c r="CF8" i="12"/>
  <c r="CD8" i="12"/>
  <c r="CB8" i="12"/>
  <c r="BZ8" i="12"/>
  <c r="BX8" i="12"/>
  <c r="BV8" i="12"/>
  <c r="BT8" i="12"/>
  <c r="BR8" i="12"/>
  <c r="BP8" i="12"/>
  <c r="BN8" i="12"/>
  <c r="BL8" i="12"/>
  <c r="BJ8" i="12"/>
  <c r="BH8" i="12"/>
  <c r="BF8" i="12"/>
  <c r="BD8" i="12"/>
  <c r="BB8" i="12"/>
  <c r="AZ8" i="12"/>
  <c r="AX8" i="12"/>
  <c r="AV8" i="12"/>
  <c r="AT8" i="12"/>
  <c r="AR8" i="12"/>
  <c r="AS8" i="12" s="1"/>
  <c r="X8" i="12"/>
  <c r="Q8" i="12"/>
  <c r="O8" i="12"/>
  <c r="M8" i="12"/>
  <c r="N8" i="12" s="1"/>
  <c r="L8" i="12"/>
  <c r="G8" i="12"/>
  <c r="DP7" i="12"/>
  <c r="DQ7" i="12" s="1"/>
  <c r="DC7" i="12"/>
  <c r="CT7" i="12"/>
  <c r="CR7" i="12"/>
  <c r="CP7" i="12"/>
  <c r="CN7" i="12"/>
  <c r="CL7" i="12"/>
  <c r="CJ7" i="12"/>
  <c r="CH7" i="12"/>
  <c r="CF7" i="12"/>
  <c r="CD7" i="12"/>
  <c r="CB7" i="12"/>
  <c r="BZ7" i="12"/>
  <c r="BX7" i="12"/>
  <c r="BV7" i="12"/>
  <c r="BT7" i="12"/>
  <c r="BR7" i="12"/>
  <c r="BP7" i="12"/>
  <c r="BN7" i="12"/>
  <c r="BL7" i="12"/>
  <c r="BJ7" i="12"/>
  <c r="BH7" i="12"/>
  <c r="BF7" i="12"/>
  <c r="BD7" i="12"/>
  <c r="BB7" i="12"/>
  <c r="AZ7" i="12"/>
  <c r="AX7" i="12"/>
  <c r="AV7" i="12"/>
  <c r="AT7" i="12"/>
  <c r="AR7" i="12"/>
  <c r="AS7" i="12" s="1"/>
  <c r="X7" i="12"/>
  <c r="Q7" i="12"/>
  <c r="O7" i="12"/>
  <c r="M7" i="12"/>
  <c r="N7" i="12" s="1"/>
  <c r="L7" i="12"/>
  <c r="G7" i="12"/>
  <c r="DP6" i="12"/>
  <c r="DQ6" i="12" s="1"/>
  <c r="DC6" i="12"/>
  <c r="CT6" i="12"/>
  <c r="CR6" i="12"/>
  <c r="CP6" i="12"/>
  <c r="CN6" i="12"/>
  <c r="CL6" i="12"/>
  <c r="CJ6" i="12"/>
  <c r="CH6" i="12"/>
  <c r="CF6" i="12"/>
  <c r="CD6" i="12"/>
  <c r="CB6" i="12"/>
  <c r="BZ6" i="12"/>
  <c r="BX6" i="12"/>
  <c r="BV6" i="12"/>
  <c r="BT6" i="12"/>
  <c r="BR6" i="12"/>
  <c r="BP6" i="12"/>
  <c r="BN6" i="12"/>
  <c r="BL6" i="12"/>
  <c r="BJ6" i="12"/>
  <c r="BH6" i="12"/>
  <c r="BF6" i="12"/>
  <c r="BD6" i="12"/>
  <c r="BB6" i="12"/>
  <c r="AZ6" i="12"/>
  <c r="AX6" i="12"/>
  <c r="AV6" i="12"/>
  <c r="AT6" i="12"/>
  <c r="AR6" i="12"/>
  <c r="AS6" i="12" s="1"/>
  <c r="X6" i="12"/>
  <c r="V6" i="12"/>
  <c r="AA6" i="12" s="1"/>
  <c r="Q6" i="12"/>
  <c r="O6" i="12"/>
  <c r="N6" i="12"/>
  <c r="M6" i="12"/>
  <c r="L6" i="12"/>
  <c r="G6" i="12"/>
  <c r="DQ5" i="12"/>
  <c r="DP5" i="12"/>
  <c r="DP36" i="12" s="1"/>
  <c r="DQ36" i="12" s="1"/>
  <c r="DC5" i="12"/>
  <c r="CT5" i="12"/>
  <c r="CT37" i="12" s="1"/>
  <c r="CR5" i="12"/>
  <c r="CP5" i="12"/>
  <c r="CP37" i="12" s="1"/>
  <c r="CN5" i="12"/>
  <c r="CN37" i="12" s="1"/>
  <c r="CL5" i="12"/>
  <c r="CL37" i="12" s="1"/>
  <c r="CJ5" i="12"/>
  <c r="CJ37" i="12" s="1"/>
  <c r="CH5" i="12"/>
  <c r="CH37" i="12" s="1"/>
  <c r="CF5" i="12"/>
  <c r="CD5" i="12"/>
  <c r="CD37" i="12" s="1"/>
  <c r="CB5" i="12"/>
  <c r="BZ5" i="12"/>
  <c r="BZ37" i="12" s="1"/>
  <c r="BX5" i="12"/>
  <c r="BX37" i="12" s="1"/>
  <c r="BV5" i="12"/>
  <c r="BV37" i="12" s="1"/>
  <c r="BT5" i="12"/>
  <c r="BT37" i="12" s="1"/>
  <c r="BR5" i="12"/>
  <c r="BR37" i="12" s="1"/>
  <c r="BP5" i="12"/>
  <c r="BN5" i="12"/>
  <c r="BN37" i="12" s="1"/>
  <c r="BL5" i="12"/>
  <c r="BJ5" i="12"/>
  <c r="BJ37" i="12" s="1"/>
  <c r="BH5" i="12"/>
  <c r="BH37" i="12" s="1"/>
  <c r="BF5" i="12"/>
  <c r="BF37" i="12" s="1"/>
  <c r="BD5" i="12"/>
  <c r="BD37" i="12" s="1"/>
  <c r="BB5" i="12"/>
  <c r="BB37" i="12" s="1"/>
  <c r="AZ5" i="12"/>
  <c r="AX5" i="12"/>
  <c r="AX37" i="12" s="1"/>
  <c r="AV5" i="12"/>
  <c r="AT5" i="12"/>
  <c r="AT36" i="12" s="1"/>
  <c r="AR5" i="12"/>
  <c r="AR36" i="12" s="1"/>
  <c r="AS36" i="12" s="1"/>
  <c r="AC5" i="12"/>
  <c r="J37" i="12" s="1"/>
  <c r="AA5" i="12"/>
  <c r="Z5" i="12"/>
  <c r="Z6" i="12" s="1"/>
  <c r="Z7" i="12" s="1"/>
  <c r="Z8" i="12" s="1"/>
  <c r="Z9" i="12" s="1"/>
  <c r="Z10" i="12" s="1"/>
  <c r="Z11" i="12" s="1"/>
  <c r="Z12" i="12" s="1"/>
  <c r="Z13" i="12" s="1"/>
  <c r="Z14" i="12" s="1"/>
  <c r="Z15" i="12" s="1"/>
  <c r="Z16" i="12" s="1"/>
  <c r="Z17" i="12" s="1"/>
  <c r="Z18" i="12" s="1"/>
  <c r="Z19" i="12" s="1"/>
  <c r="Z20" i="12" s="1"/>
  <c r="Z21" i="12" s="1"/>
  <c r="Z22" i="12" s="1"/>
  <c r="Z23" i="12" s="1"/>
  <c r="Z24" i="12" s="1"/>
  <c r="Z25" i="12" s="1"/>
  <c r="Z26" i="12" s="1"/>
  <c r="Z27" i="12" s="1"/>
  <c r="Z28" i="12" s="1"/>
  <c r="Z29" i="12" s="1"/>
  <c r="Z30" i="12" s="1"/>
  <c r="Z31" i="12" s="1"/>
  <c r="Z32" i="12" s="1"/>
  <c r="Z33" i="12" s="1"/>
  <c r="Z34" i="12" s="1"/>
  <c r="Z35" i="12" s="1"/>
  <c r="X5" i="12"/>
  <c r="X37" i="12" s="1"/>
  <c r="V5" i="12"/>
  <c r="Q5" i="12"/>
  <c r="Q37" i="12" s="1"/>
  <c r="O5" i="12"/>
  <c r="O37" i="12" s="1"/>
  <c r="N5" i="12"/>
  <c r="M5" i="12"/>
  <c r="M37" i="12" s="1"/>
  <c r="L5" i="12"/>
  <c r="I5" i="12" a="1"/>
  <c r="I5" i="12" s="1"/>
  <c r="G5" i="12"/>
  <c r="AQ4" i="12"/>
  <c r="AP4" i="12"/>
  <c r="AO4" i="12"/>
  <c r="AN4" i="12"/>
  <c r="AM4" i="12"/>
  <c r="A1" i="12"/>
  <c r="DO37" i="11"/>
  <c r="DN37" i="11"/>
  <c r="DM37" i="11"/>
  <c r="DL37" i="11"/>
  <c r="DK37" i="11"/>
  <c r="DJ37" i="11"/>
  <c r="DI37" i="11"/>
  <c r="DH37" i="11"/>
  <c r="DG37" i="11"/>
  <c r="DF37" i="11"/>
  <c r="DA37" i="11"/>
  <c r="CZ37" i="11"/>
  <c r="CY37" i="11"/>
  <c r="CX37" i="11"/>
  <c r="CV37" i="11"/>
  <c r="CU37" i="11"/>
  <c r="CS37" i="11"/>
  <c r="CQ37" i="11"/>
  <c r="CO37" i="11"/>
  <c r="CM37" i="11"/>
  <c r="CK37" i="11"/>
  <c r="CI37" i="11"/>
  <c r="CG37" i="11"/>
  <c r="CE37" i="11"/>
  <c r="CC37" i="11"/>
  <c r="CA37" i="11"/>
  <c r="BY37" i="11"/>
  <c r="BW37" i="11"/>
  <c r="BU37" i="11"/>
  <c r="BS37" i="11"/>
  <c r="BQ37" i="11"/>
  <c r="BO37" i="11"/>
  <c r="BM37" i="11"/>
  <c r="BK37" i="11"/>
  <c r="BI37" i="11"/>
  <c r="BG37" i="11"/>
  <c r="BE37" i="11"/>
  <c r="BC37" i="11"/>
  <c r="BA37" i="11"/>
  <c r="AY37" i="11"/>
  <c r="AW37" i="11"/>
  <c r="AQ37" i="11"/>
  <c r="AP37" i="11"/>
  <c r="AO37" i="11"/>
  <c r="AN37" i="11"/>
  <c r="AM37" i="11"/>
  <c r="AL37" i="11"/>
  <c r="AK37" i="11"/>
  <c r="AJ37" i="11"/>
  <c r="AI37" i="11"/>
  <c r="AH37" i="11"/>
  <c r="AG37" i="11"/>
  <c r="AF37" i="11"/>
  <c r="AE37" i="11"/>
  <c r="AD37" i="11"/>
  <c r="Y37" i="11"/>
  <c r="W37" i="11"/>
  <c r="U37" i="11"/>
  <c r="L37" i="11"/>
  <c r="K37" i="11"/>
  <c r="F37" i="11"/>
  <c r="DO36" i="11"/>
  <c r="DN36" i="11"/>
  <c r="DM36" i="11"/>
  <c r="DL36" i="11"/>
  <c r="DK36" i="11"/>
  <c r="DJ36" i="11"/>
  <c r="DI36" i="11"/>
  <c r="DH36" i="11"/>
  <c r="DG36" i="11"/>
  <c r="DF36" i="11"/>
  <c r="DA36" i="11"/>
  <c r="CZ36" i="11"/>
  <c r="CY36" i="11"/>
  <c r="CX36" i="11"/>
  <c r="CV36" i="11"/>
  <c r="CU36" i="11"/>
  <c r="CS36" i="11"/>
  <c r="CQ36" i="11"/>
  <c r="CO36" i="11"/>
  <c r="CM36" i="11"/>
  <c r="CK36" i="11"/>
  <c r="CI36" i="11"/>
  <c r="CG36" i="11"/>
  <c r="CE36" i="11"/>
  <c r="CC36" i="11"/>
  <c r="CA36" i="11"/>
  <c r="BY36" i="11"/>
  <c r="BW36" i="11"/>
  <c r="BU36" i="11"/>
  <c r="BS36" i="11"/>
  <c r="BQ36" i="11"/>
  <c r="BO36" i="11"/>
  <c r="BM36" i="11"/>
  <c r="BK36" i="11"/>
  <c r="BI36" i="11"/>
  <c r="BG36" i="11"/>
  <c r="BE36" i="11"/>
  <c r="BC36" i="11"/>
  <c r="BA36" i="11"/>
  <c r="AY36" i="11"/>
  <c r="AW36" i="11"/>
  <c r="AQ36" i="11"/>
  <c r="AP36" i="11"/>
  <c r="AO36" i="11"/>
  <c r="AN36" i="11"/>
  <c r="AM36" i="11"/>
  <c r="AL36" i="11"/>
  <c r="AK36" i="11"/>
  <c r="AJ36" i="11"/>
  <c r="AI36" i="11"/>
  <c r="AH36" i="11"/>
  <c r="AG36" i="11"/>
  <c r="AF36" i="11"/>
  <c r="AE36" i="11"/>
  <c r="AD36" i="11"/>
  <c r="Y36" i="11"/>
  <c r="W36" i="11"/>
  <c r="U36" i="11"/>
  <c r="N36" i="11"/>
  <c r="K36" i="11"/>
  <c r="L36" i="11" s="1"/>
  <c r="F36" i="11"/>
  <c r="DP35" i="11"/>
  <c r="DQ35" i="11" s="1"/>
  <c r="DC35" i="11"/>
  <c r="CT35" i="11"/>
  <c r="CR35" i="11"/>
  <c r="CP35" i="11"/>
  <c r="CN35" i="11"/>
  <c r="CL35" i="11"/>
  <c r="CJ35" i="11"/>
  <c r="CH35" i="11"/>
  <c r="CF35" i="11"/>
  <c r="CD35" i="11"/>
  <c r="CB35" i="11"/>
  <c r="BZ35" i="11"/>
  <c r="BX35" i="11"/>
  <c r="BV35" i="11"/>
  <c r="BT35" i="11"/>
  <c r="BR35" i="11"/>
  <c r="BP35" i="11"/>
  <c r="BN35" i="11"/>
  <c r="BL35" i="11"/>
  <c r="BJ35" i="11"/>
  <c r="BH35" i="11"/>
  <c r="BF35" i="11"/>
  <c r="BD35" i="11"/>
  <c r="BB35" i="11"/>
  <c r="AZ35" i="11"/>
  <c r="AX35" i="11"/>
  <c r="AV35" i="11"/>
  <c r="AT35" i="11"/>
  <c r="AS35" i="11"/>
  <c r="AR35" i="11"/>
  <c r="X35" i="11"/>
  <c r="Q35" i="11"/>
  <c r="O35" i="11"/>
  <c r="M35" i="11"/>
  <c r="N35" i="11" s="1"/>
  <c r="L35" i="11"/>
  <c r="G35" i="11"/>
  <c r="F40" i="12" s="1"/>
  <c r="DQ34" i="11"/>
  <c r="DP34" i="11"/>
  <c r="DC34" i="11"/>
  <c r="CT34" i="11"/>
  <c r="CR34" i="11"/>
  <c r="CP34" i="11"/>
  <c r="CN34" i="11"/>
  <c r="CL34" i="11"/>
  <c r="CJ34" i="11"/>
  <c r="CH34" i="11"/>
  <c r="CF34" i="11"/>
  <c r="CD34" i="11"/>
  <c r="CB34" i="11"/>
  <c r="BZ34" i="11"/>
  <c r="BX34" i="11"/>
  <c r="BV34" i="11"/>
  <c r="BT34" i="11"/>
  <c r="BR34" i="11"/>
  <c r="BP34" i="11"/>
  <c r="BN34" i="11"/>
  <c r="BL34" i="11"/>
  <c r="BJ34" i="11"/>
  <c r="BH34" i="11"/>
  <c r="BF34" i="11"/>
  <c r="BD34" i="11"/>
  <c r="BB34" i="11"/>
  <c r="AZ34" i="11"/>
  <c r="AX34" i="11"/>
  <c r="AV34" i="11"/>
  <c r="AT34" i="11"/>
  <c r="AS34" i="11"/>
  <c r="AR34" i="11"/>
  <c r="X34" i="11"/>
  <c r="Q34" i="11"/>
  <c r="O34" i="11"/>
  <c r="M34" i="11"/>
  <c r="N34" i="11" s="1"/>
  <c r="L34" i="11"/>
  <c r="G34" i="11"/>
  <c r="DQ33" i="11"/>
  <c r="DP33" i="11"/>
  <c r="DC33" i="11"/>
  <c r="CT33" i="11"/>
  <c r="CR33" i="11"/>
  <c r="CP33" i="11"/>
  <c r="CN33" i="11"/>
  <c r="CL33" i="11"/>
  <c r="CJ33" i="11"/>
  <c r="CH33" i="11"/>
  <c r="CF33" i="11"/>
  <c r="CD33" i="11"/>
  <c r="CB33" i="11"/>
  <c r="BZ33" i="11"/>
  <c r="BX33" i="11"/>
  <c r="BV33" i="11"/>
  <c r="BT33" i="11"/>
  <c r="BR33" i="11"/>
  <c r="BP33" i="11"/>
  <c r="BN33" i="11"/>
  <c r="BL33" i="11"/>
  <c r="BJ33" i="11"/>
  <c r="BH33" i="11"/>
  <c r="BF33" i="11"/>
  <c r="BD33" i="11"/>
  <c r="BB33" i="11"/>
  <c r="AZ33" i="11"/>
  <c r="AX33" i="11"/>
  <c r="AV33" i="11"/>
  <c r="AT33" i="11"/>
  <c r="AS33" i="11"/>
  <c r="AR33" i="11"/>
  <c r="X33" i="11"/>
  <c r="Q33" i="11"/>
  <c r="O33" i="11"/>
  <c r="N33" i="11"/>
  <c r="M33" i="11"/>
  <c r="L33" i="11"/>
  <c r="G33" i="11"/>
  <c r="DP32" i="11"/>
  <c r="DQ32" i="11" s="1"/>
  <c r="DC32" i="11"/>
  <c r="CT32" i="11"/>
  <c r="CR32" i="11"/>
  <c r="CP32" i="11"/>
  <c r="CN32" i="11"/>
  <c r="CL32" i="11"/>
  <c r="CJ32" i="11"/>
  <c r="CH32" i="11"/>
  <c r="CF32" i="11"/>
  <c r="CD32" i="11"/>
  <c r="CB32" i="11"/>
  <c r="BZ32" i="11"/>
  <c r="BX32" i="11"/>
  <c r="BV32" i="11"/>
  <c r="BT32" i="11"/>
  <c r="BR32" i="11"/>
  <c r="BP32" i="11"/>
  <c r="BN32" i="11"/>
  <c r="BL32" i="11"/>
  <c r="BJ32" i="11"/>
  <c r="BH32" i="11"/>
  <c r="BF32" i="11"/>
  <c r="BD32" i="11"/>
  <c r="BB32" i="11"/>
  <c r="AZ32" i="11"/>
  <c r="AX32" i="11"/>
  <c r="AV32" i="11"/>
  <c r="AT32" i="11"/>
  <c r="AS32" i="11"/>
  <c r="AR32" i="11"/>
  <c r="X32" i="11"/>
  <c r="Q32" i="11"/>
  <c r="O32" i="11"/>
  <c r="N32" i="11"/>
  <c r="M32" i="11"/>
  <c r="L32" i="11"/>
  <c r="G32" i="11"/>
  <c r="DP31" i="11"/>
  <c r="DQ31" i="11" s="1"/>
  <c r="DC31" i="11"/>
  <c r="CT31" i="11"/>
  <c r="CR31" i="11"/>
  <c r="CP31" i="11"/>
  <c r="CN31" i="11"/>
  <c r="CL31" i="11"/>
  <c r="CJ31" i="11"/>
  <c r="CH31" i="11"/>
  <c r="CF31" i="11"/>
  <c r="CD31" i="11"/>
  <c r="CB31" i="11"/>
  <c r="BZ31" i="11"/>
  <c r="BX31" i="11"/>
  <c r="BV31" i="11"/>
  <c r="BT31" i="11"/>
  <c r="BR31" i="11"/>
  <c r="BP31" i="11"/>
  <c r="BN31" i="11"/>
  <c r="BL31" i="11"/>
  <c r="BJ31" i="11"/>
  <c r="BH31" i="11"/>
  <c r="BF31" i="11"/>
  <c r="BD31" i="11"/>
  <c r="BB31" i="11"/>
  <c r="AZ31" i="11"/>
  <c r="AX31" i="11"/>
  <c r="AV31" i="11"/>
  <c r="AT31" i="11"/>
  <c r="AS31" i="11"/>
  <c r="AR31" i="11"/>
  <c r="X31" i="11"/>
  <c r="Q31" i="11"/>
  <c r="O31" i="11"/>
  <c r="M31" i="11"/>
  <c r="N31" i="11" s="1"/>
  <c r="L31" i="11"/>
  <c r="G31" i="11"/>
  <c r="DQ30" i="11"/>
  <c r="DP30" i="11"/>
  <c r="DC30" i="11"/>
  <c r="CT30" i="11"/>
  <c r="CR30" i="11"/>
  <c r="CP30" i="11"/>
  <c r="CN30" i="11"/>
  <c r="CL30" i="11"/>
  <c r="CJ30" i="11"/>
  <c r="CH30" i="11"/>
  <c r="CF30" i="11"/>
  <c r="CD30" i="11"/>
  <c r="CB30" i="11"/>
  <c r="BZ30" i="11"/>
  <c r="BX30" i="11"/>
  <c r="BV30" i="11"/>
  <c r="BT30" i="11"/>
  <c r="BR30" i="11"/>
  <c r="BP30" i="11"/>
  <c r="BN30" i="11"/>
  <c r="BL30" i="11"/>
  <c r="BJ30" i="11"/>
  <c r="BH30" i="11"/>
  <c r="BF30" i="11"/>
  <c r="BD30" i="11"/>
  <c r="BB30" i="11"/>
  <c r="AZ30" i="11"/>
  <c r="AX30" i="11"/>
  <c r="AV30" i="11"/>
  <c r="AT30" i="11"/>
  <c r="AS30" i="11"/>
  <c r="AR30" i="11"/>
  <c r="X30" i="11"/>
  <c r="Q30" i="11"/>
  <c r="O30" i="11"/>
  <c r="M30" i="11"/>
  <c r="N30" i="11" s="1"/>
  <c r="L30" i="11"/>
  <c r="G30" i="11"/>
  <c r="DQ29" i="11"/>
  <c r="DP29" i="11"/>
  <c r="DC29" i="11"/>
  <c r="CT29" i="11"/>
  <c r="CR29" i="11"/>
  <c r="CP29" i="11"/>
  <c r="CN29" i="11"/>
  <c r="CL29" i="11"/>
  <c r="CJ29" i="11"/>
  <c r="CH29" i="11"/>
  <c r="CF29" i="11"/>
  <c r="CD29" i="11"/>
  <c r="CB29" i="11"/>
  <c r="BZ29" i="11"/>
  <c r="BX29" i="11"/>
  <c r="BV29" i="11"/>
  <c r="BT29" i="11"/>
  <c r="BR29" i="11"/>
  <c r="BP29" i="11"/>
  <c r="BN29" i="11"/>
  <c r="BL29" i="11"/>
  <c r="BJ29" i="11"/>
  <c r="BH29" i="11"/>
  <c r="BF29" i="11"/>
  <c r="BD29" i="11"/>
  <c r="BB29" i="11"/>
  <c r="AZ29" i="11"/>
  <c r="AX29" i="11"/>
  <c r="AV29" i="11"/>
  <c r="AT29" i="11"/>
  <c r="AS29" i="11"/>
  <c r="AR29" i="11"/>
  <c r="X29" i="11"/>
  <c r="Q29" i="11"/>
  <c r="O29" i="11"/>
  <c r="M29" i="11"/>
  <c r="N29" i="11" s="1"/>
  <c r="L29" i="11"/>
  <c r="G29" i="11"/>
  <c r="DQ28" i="11"/>
  <c r="DP28" i="11"/>
  <c r="DC28" i="11"/>
  <c r="CT28" i="11"/>
  <c r="CR28" i="11"/>
  <c r="CP28" i="11"/>
  <c r="CN28" i="11"/>
  <c r="CL28" i="11"/>
  <c r="CJ28" i="11"/>
  <c r="CH28" i="11"/>
  <c r="CF28" i="11"/>
  <c r="CD28" i="11"/>
  <c r="CB28" i="11"/>
  <c r="BZ28" i="11"/>
  <c r="BX28" i="11"/>
  <c r="BV28" i="11"/>
  <c r="BT28" i="11"/>
  <c r="BR28" i="11"/>
  <c r="BP28" i="11"/>
  <c r="BN28" i="11"/>
  <c r="BL28" i="11"/>
  <c r="BJ28" i="11"/>
  <c r="BH28" i="11"/>
  <c r="BF28" i="11"/>
  <c r="BD28" i="11"/>
  <c r="BB28" i="11"/>
  <c r="AZ28" i="11"/>
  <c r="AX28" i="11"/>
  <c r="AV28" i="11"/>
  <c r="AT28" i="11"/>
  <c r="AS28" i="11"/>
  <c r="AR28" i="11"/>
  <c r="X28" i="11"/>
  <c r="Q28" i="11"/>
  <c r="O28" i="11"/>
  <c r="M28" i="11"/>
  <c r="N28" i="11" s="1"/>
  <c r="L28" i="11"/>
  <c r="G28" i="11"/>
  <c r="DQ27" i="11"/>
  <c r="DP27" i="11"/>
  <c r="DC27" i="11"/>
  <c r="CT27" i="11"/>
  <c r="CR27" i="11"/>
  <c r="CP27" i="11"/>
  <c r="CN27" i="11"/>
  <c r="CL27" i="11"/>
  <c r="CJ27" i="11"/>
  <c r="CH27" i="11"/>
  <c r="CF27" i="11"/>
  <c r="CD27" i="11"/>
  <c r="CB27" i="11"/>
  <c r="BZ27" i="11"/>
  <c r="BX27" i="11"/>
  <c r="BV27" i="11"/>
  <c r="BT27" i="11"/>
  <c r="BR27" i="11"/>
  <c r="BP27" i="11"/>
  <c r="BN27" i="11"/>
  <c r="BL27" i="11"/>
  <c r="BJ27" i="11"/>
  <c r="BH27" i="11"/>
  <c r="BF27" i="11"/>
  <c r="BD27" i="11"/>
  <c r="BB27" i="11"/>
  <c r="AZ27" i="11"/>
  <c r="AX27" i="11"/>
  <c r="AV27" i="11"/>
  <c r="AT27" i="11"/>
  <c r="AS27" i="11"/>
  <c r="AR27" i="11"/>
  <c r="X27" i="11"/>
  <c r="Q27" i="11"/>
  <c r="O27" i="11"/>
  <c r="M27" i="11"/>
  <c r="N27" i="11" s="1"/>
  <c r="L27" i="11"/>
  <c r="G27" i="11"/>
  <c r="DQ26" i="11"/>
  <c r="DP26" i="11"/>
  <c r="DC26" i="11"/>
  <c r="CT26" i="11"/>
  <c r="CR26" i="11"/>
  <c r="CP26" i="11"/>
  <c r="CN26" i="11"/>
  <c r="CL26" i="11"/>
  <c r="CJ26" i="11"/>
  <c r="CH26" i="11"/>
  <c r="CF26" i="11"/>
  <c r="CD26" i="11"/>
  <c r="CB26" i="11"/>
  <c r="BZ26" i="11"/>
  <c r="BX26" i="11"/>
  <c r="BV26" i="11"/>
  <c r="BT26" i="11"/>
  <c r="BR26" i="11"/>
  <c r="BP26" i="11"/>
  <c r="BN26" i="11"/>
  <c r="BL26" i="11"/>
  <c r="BJ26" i="11"/>
  <c r="BH26" i="11"/>
  <c r="BF26" i="11"/>
  <c r="BD26" i="11"/>
  <c r="BB26" i="11"/>
  <c r="AZ26" i="11"/>
  <c r="AX26" i="11"/>
  <c r="AV26" i="11"/>
  <c r="AT26" i="11"/>
  <c r="AS26" i="11"/>
  <c r="AR26" i="11"/>
  <c r="X26" i="11"/>
  <c r="Q26" i="11"/>
  <c r="O26" i="11"/>
  <c r="M26" i="11"/>
  <c r="N26" i="11" s="1"/>
  <c r="L26" i="11"/>
  <c r="G26" i="11"/>
  <c r="DQ25" i="11"/>
  <c r="DP25" i="11"/>
  <c r="DC25" i="11"/>
  <c r="CT25" i="11"/>
  <c r="CR25" i="11"/>
  <c r="CP25" i="11"/>
  <c r="CN25" i="11"/>
  <c r="CL25" i="11"/>
  <c r="CJ25" i="11"/>
  <c r="CH25" i="11"/>
  <c r="CF25" i="11"/>
  <c r="CD25" i="11"/>
  <c r="CB25" i="11"/>
  <c r="BZ25" i="11"/>
  <c r="BX25" i="11"/>
  <c r="BV25" i="11"/>
  <c r="BT25" i="11"/>
  <c r="BR25" i="11"/>
  <c r="BP25" i="11"/>
  <c r="BN25" i="11"/>
  <c r="BL25" i="11"/>
  <c r="BJ25" i="11"/>
  <c r="BH25" i="11"/>
  <c r="BF25" i="11"/>
  <c r="BD25" i="11"/>
  <c r="BB25" i="11"/>
  <c r="AZ25" i="11"/>
  <c r="AX25" i="11"/>
  <c r="AV25" i="11"/>
  <c r="AT25" i="11"/>
  <c r="AS25" i="11"/>
  <c r="AR25" i="11"/>
  <c r="X25" i="11"/>
  <c r="Q25" i="11"/>
  <c r="O25" i="11"/>
  <c r="M25" i="11"/>
  <c r="N25" i="11" s="1"/>
  <c r="L25" i="11"/>
  <c r="G25" i="11"/>
  <c r="DQ24" i="11"/>
  <c r="DP24" i="11"/>
  <c r="DC24" i="11"/>
  <c r="CT24" i="11"/>
  <c r="CR24" i="11"/>
  <c r="CP24" i="11"/>
  <c r="CN24" i="11"/>
  <c r="CL24" i="11"/>
  <c r="CJ24" i="11"/>
  <c r="CH24" i="11"/>
  <c r="CF24" i="11"/>
  <c r="CD24" i="11"/>
  <c r="CB24" i="11"/>
  <c r="BZ24" i="11"/>
  <c r="BX24" i="11"/>
  <c r="BV24" i="11"/>
  <c r="BT24" i="11"/>
  <c r="BR24" i="11"/>
  <c r="BP24" i="11"/>
  <c r="BN24" i="11"/>
  <c r="BL24" i="11"/>
  <c r="BJ24" i="11"/>
  <c r="BH24" i="11"/>
  <c r="BF24" i="11"/>
  <c r="BD24" i="11"/>
  <c r="BB24" i="11"/>
  <c r="AZ24" i="11"/>
  <c r="AX24" i="11"/>
  <c r="AV24" i="11"/>
  <c r="AS24" i="11"/>
  <c r="AR24" i="11"/>
  <c r="AT24" i="11" s="1"/>
  <c r="X24" i="11"/>
  <c r="Q24" i="11"/>
  <c r="O24" i="11"/>
  <c r="M24" i="11"/>
  <c r="N24" i="11" s="1"/>
  <c r="L24" i="11"/>
  <c r="G24" i="11"/>
  <c r="DQ23" i="11"/>
  <c r="DP23" i="11"/>
  <c r="DC23" i="11"/>
  <c r="CT23" i="11"/>
  <c r="CR23" i="11"/>
  <c r="CP23" i="11"/>
  <c r="CN23" i="11"/>
  <c r="CL23" i="11"/>
  <c r="CJ23" i="11"/>
  <c r="CH23" i="11"/>
  <c r="CF23" i="11"/>
  <c r="CD23" i="11"/>
  <c r="CB23" i="11"/>
  <c r="BZ23" i="11"/>
  <c r="BX23" i="11"/>
  <c r="BV23" i="11"/>
  <c r="BT23" i="11"/>
  <c r="BR23" i="11"/>
  <c r="BP23" i="11"/>
  <c r="BN23" i="11"/>
  <c r="BL23" i="11"/>
  <c r="BJ23" i="11"/>
  <c r="BH23" i="11"/>
  <c r="BF23" i="11"/>
  <c r="BD23" i="11"/>
  <c r="BB23" i="11"/>
  <c r="AZ23" i="11"/>
  <c r="AX23" i="11"/>
  <c r="AV23" i="11"/>
  <c r="AS23" i="11"/>
  <c r="AR23" i="11"/>
  <c r="AT23" i="11" s="1"/>
  <c r="X23" i="11"/>
  <c r="Q23" i="11"/>
  <c r="O23" i="11"/>
  <c r="N23" i="11"/>
  <c r="M23" i="11"/>
  <c r="L23" i="11"/>
  <c r="G23" i="11"/>
  <c r="DP22" i="11"/>
  <c r="DQ22" i="11" s="1"/>
  <c r="DC22" i="11"/>
  <c r="CT22" i="11"/>
  <c r="CR22" i="11"/>
  <c r="CP22" i="11"/>
  <c r="CN22" i="11"/>
  <c r="CL22" i="11"/>
  <c r="CJ22" i="11"/>
  <c r="CH22" i="11"/>
  <c r="CF22" i="11"/>
  <c r="CD22" i="11"/>
  <c r="CB22" i="11"/>
  <c r="BZ22" i="11"/>
  <c r="BX22" i="11"/>
  <c r="BV22" i="11"/>
  <c r="BT22" i="11"/>
  <c r="BR22" i="11"/>
  <c r="BP22" i="11"/>
  <c r="BN22" i="11"/>
  <c r="BL22" i="11"/>
  <c r="BJ22" i="11"/>
  <c r="BH22" i="11"/>
  <c r="BF22" i="11"/>
  <c r="BD22" i="11"/>
  <c r="BB22" i="11"/>
  <c r="AZ22" i="11"/>
  <c r="AX22" i="11"/>
  <c r="AV22" i="11"/>
  <c r="AS22" i="11"/>
  <c r="AR22" i="11"/>
  <c r="AT22" i="11" s="1"/>
  <c r="X22" i="11"/>
  <c r="Q22" i="11"/>
  <c r="O22" i="11"/>
  <c r="N22" i="11"/>
  <c r="M22" i="11"/>
  <c r="L22" i="11"/>
  <c r="G22" i="11"/>
  <c r="DP21" i="11"/>
  <c r="DQ21" i="11" s="1"/>
  <c r="DC21" i="11"/>
  <c r="CT21" i="11"/>
  <c r="CR21" i="11"/>
  <c r="CP21" i="11"/>
  <c r="CN21" i="11"/>
  <c r="CL21" i="11"/>
  <c r="CJ21" i="11"/>
  <c r="CH21" i="11"/>
  <c r="CF21" i="11"/>
  <c r="CD21" i="11"/>
  <c r="CB21" i="11"/>
  <c r="BZ21" i="11"/>
  <c r="BX21" i="11"/>
  <c r="BV21" i="11"/>
  <c r="BT21" i="11"/>
  <c r="BR21" i="11"/>
  <c r="BP21" i="11"/>
  <c r="BN21" i="11"/>
  <c r="BL21" i="11"/>
  <c r="BJ21" i="11"/>
  <c r="BH21" i="11"/>
  <c r="BF21" i="11"/>
  <c r="BD21" i="11"/>
  <c r="BB21" i="11"/>
  <c r="AZ21" i="11"/>
  <c r="AX21" i="11"/>
  <c r="AV21" i="11"/>
  <c r="AS21" i="11"/>
  <c r="AR21" i="11"/>
  <c r="AT21" i="11" s="1"/>
  <c r="X21" i="11"/>
  <c r="Q21" i="11"/>
  <c r="O21" i="11"/>
  <c r="M21" i="11"/>
  <c r="N21" i="11" s="1"/>
  <c r="L21" i="11"/>
  <c r="G21" i="11"/>
  <c r="DQ20" i="11"/>
  <c r="DP20" i="11"/>
  <c r="DC20" i="11"/>
  <c r="CT20" i="11"/>
  <c r="CR20" i="11"/>
  <c r="CP20" i="11"/>
  <c r="CN20" i="11"/>
  <c r="CL20" i="11"/>
  <c r="CJ20" i="11"/>
  <c r="CH20" i="11"/>
  <c r="CF20" i="11"/>
  <c r="CD20" i="11"/>
  <c r="CB20" i="11"/>
  <c r="BZ20" i="11"/>
  <c r="BX20" i="11"/>
  <c r="BV20" i="11"/>
  <c r="BT20" i="11"/>
  <c r="BR20" i="11"/>
  <c r="BP20" i="11"/>
  <c r="BN20" i="11"/>
  <c r="BL20" i="11"/>
  <c r="BJ20" i="11"/>
  <c r="BH20" i="11"/>
  <c r="BF20" i="11"/>
  <c r="BD20" i="11"/>
  <c r="BB20" i="11"/>
  <c r="AZ20" i="11"/>
  <c r="AX20" i="11"/>
  <c r="AV20" i="11"/>
  <c r="AS20" i="11"/>
  <c r="AR20" i="11"/>
  <c r="AT20" i="11" s="1"/>
  <c r="X20" i="11"/>
  <c r="Q20" i="11"/>
  <c r="O20" i="11"/>
  <c r="M20" i="11"/>
  <c r="N20" i="11" s="1"/>
  <c r="L20" i="11"/>
  <c r="G20" i="11"/>
  <c r="DP19" i="11"/>
  <c r="DQ19" i="11" s="1"/>
  <c r="DC19" i="11"/>
  <c r="CT19" i="11"/>
  <c r="CR19" i="11"/>
  <c r="CP19" i="11"/>
  <c r="CN19" i="11"/>
  <c r="CL19" i="11"/>
  <c r="CJ19" i="11"/>
  <c r="CH19" i="11"/>
  <c r="CF19" i="11"/>
  <c r="CD19" i="11"/>
  <c r="CB19" i="11"/>
  <c r="BZ19" i="11"/>
  <c r="BX19" i="11"/>
  <c r="BV19" i="11"/>
  <c r="BT19" i="11"/>
  <c r="BR19" i="11"/>
  <c r="BP19" i="11"/>
  <c r="BN19" i="11"/>
  <c r="BL19" i="11"/>
  <c r="BJ19" i="11"/>
  <c r="BH19" i="11"/>
  <c r="BF19" i="11"/>
  <c r="BD19" i="11"/>
  <c r="BB19" i="11"/>
  <c r="AZ19" i="11"/>
  <c r="AX19" i="11"/>
  <c r="AV19" i="11"/>
  <c r="AS19" i="11"/>
  <c r="AR19" i="11"/>
  <c r="AT19" i="11" s="1"/>
  <c r="X19" i="11"/>
  <c r="Q19" i="11"/>
  <c r="O19" i="11"/>
  <c r="N19" i="11"/>
  <c r="M19" i="11"/>
  <c r="L19" i="11"/>
  <c r="G19" i="11"/>
  <c r="DP18" i="11"/>
  <c r="DQ18" i="11" s="1"/>
  <c r="DC18" i="11"/>
  <c r="CT18" i="11"/>
  <c r="CR18" i="11"/>
  <c r="CP18" i="11"/>
  <c r="CN18" i="11"/>
  <c r="CL18" i="11"/>
  <c r="CJ18" i="11"/>
  <c r="CH18" i="11"/>
  <c r="CF18" i="11"/>
  <c r="CD18" i="11"/>
  <c r="CB18" i="11"/>
  <c r="BZ18" i="11"/>
  <c r="BX18" i="11"/>
  <c r="BV18" i="11"/>
  <c r="BT18" i="11"/>
  <c r="BR18" i="11"/>
  <c r="BP18" i="11"/>
  <c r="BN18" i="11"/>
  <c r="BL18" i="11"/>
  <c r="BJ18" i="11"/>
  <c r="BH18" i="11"/>
  <c r="BF18" i="11"/>
  <c r="BD18" i="11"/>
  <c r="BB18" i="11"/>
  <c r="AZ18" i="11"/>
  <c r="AX18" i="11"/>
  <c r="AV18" i="11"/>
  <c r="AR18" i="11"/>
  <c r="AT18" i="11" s="1"/>
  <c r="X18" i="11"/>
  <c r="Q18" i="11"/>
  <c r="O18" i="11"/>
  <c r="M18" i="11"/>
  <c r="N18" i="11" s="1"/>
  <c r="L18" i="11"/>
  <c r="G18" i="11"/>
  <c r="DP17" i="11"/>
  <c r="DQ17" i="11" s="1"/>
  <c r="DC17" i="11"/>
  <c r="CT17" i="11"/>
  <c r="CR17" i="11"/>
  <c r="CP17" i="11"/>
  <c r="CN17" i="11"/>
  <c r="CL17" i="11"/>
  <c r="CJ17" i="11"/>
  <c r="CH17" i="11"/>
  <c r="CF17" i="11"/>
  <c r="CD17" i="11"/>
  <c r="CB17" i="11"/>
  <c r="BZ17" i="11"/>
  <c r="BX17" i="11"/>
  <c r="BV17" i="11"/>
  <c r="BT17" i="11"/>
  <c r="BR17" i="11"/>
  <c r="BP17" i="11"/>
  <c r="BN17" i="11"/>
  <c r="BL17" i="11"/>
  <c r="BJ17" i="11"/>
  <c r="BH17" i="11"/>
  <c r="BF17" i="11"/>
  <c r="BD17" i="11"/>
  <c r="BB17" i="11"/>
  <c r="AZ17" i="11"/>
  <c r="AX17" i="11"/>
  <c r="AV17" i="11"/>
  <c r="AR17" i="11"/>
  <c r="AT17" i="11" s="1"/>
  <c r="X17" i="11"/>
  <c r="Q17" i="11"/>
  <c r="O17" i="11"/>
  <c r="N17" i="11"/>
  <c r="M17" i="11"/>
  <c r="L17" i="11"/>
  <c r="G17" i="11"/>
  <c r="DP16" i="11"/>
  <c r="DQ16" i="11" s="1"/>
  <c r="DC16" i="11"/>
  <c r="CT16" i="11"/>
  <c r="CR16" i="11"/>
  <c r="CP16" i="11"/>
  <c r="CN16" i="11"/>
  <c r="CL16" i="11"/>
  <c r="CJ16" i="11"/>
  <c r="CH16" i="11"/>
  <c r="CF16" i="11"/>
  <c r="CD16" i="11"/>
  <c r="CB16" i="11"/>
  <c r="BZ16" i="11"/>
  <c r="BX16" i="11"/>
  <c r="BV16" i="11"/>
  <c r="BT16" i="11"/>
  <c r="BR16" i="11"/>
  <c r="BP16" i="11"/>
  <c r="BN16" i="11"/>
  <c r="BL16" i="11"/>
  <c r="BJ16" i="11"/>
  <c r="BH16" i="11"/>
  <c r="BF16" i="11"/>
  <c r="BD16" i="11"/>
  <c r="BB16" i="11"/>
  <c r="AZ16" i="11"/>
  <c r="AX16" i="11"/>
  <c r="AV16" i="11"/>
  <c r="AR16" i="11"/>
  <c r="AT16" i="11" s="1"/>
  <c r="X16" i="11"/>
  <c r="Q16" i="11"/>
  <c r="O16" i="11"/>
  <c r="N16" i="11"/>
  <c r="M16" i="11"/>
  <c r="L16" i="11"/>
  <c r="G16" i="11"/>
  <c r="DP15" i="11"/>
  <c r="DQ15" i="11" s="1"/>
  <c r="DC15" i="11"/>
  <c r="CT15" i="11"/>
  <c r="CR15" i="11"/>
  <c r="CP15" i="11"/>
  <c r="CN15" i="11"/>
  <c r="CL15" i="11"/>
  <c r="CJ15" i="11"/>
  <c r="CH15" i="11"/>
  <c r="CF15" i="11"/>
  <c r="CD15" i="11"/>
  <c r="CB15" i="11"/>
  <c r="BZ15" i="11"/>
  <c r="BX15" i="11"/>
  <c r="BV15" i="11"/>
  <c r="BT15" i="11"/>
  <c r="BR15" i="11"/>
  <c r="BP15" i="11"/>
  <c r="BN15" i="11"/>
  <c r="BL15" i="11"/>
  <c r="BJ15" i="11"/>
  <c r="BH15" i="11"/>
  <c r="BF15" i="11"/>
  <c r="BD15" i="11"/>
  <c r="BB15" i="11"/>
  <c r="AZ15" i="11"/>
  <c r="AX15" i="11"/>
  <c r="AV15" i="11"/>
  <c r="AS15" i="11"/>
  <c r="AR15" i="11"/>
  <c r="AT15" i="11" s="1"/>
  <c r="X15" i="11"/>
  <c r="Q15" i="11"/>
  <c r="O15" i="11"/>
  <c r="M15" i="11"/>
  <c r="N15" i="11" s="1"/>
  <c r="L15" i="11"/>
  <c r="G15" i="11"/>
  <c r="DQ14" i="11"/>
  <c r="DP14" i="11"/>
  <c r="DC14" i="11"/>
  <c r="CT14" i="11"/>
  <c r="CR14" i="11"/>
  <c r="CP14" i="11"/>
  <c r="CN14" i="11"/>
  <c r="CL14" i="11"/>
  <c r="CJ14" i="11"/>
  <c r="CH14" i="11"/>
  <c r="CF14" i="11"/>
  <c r="CD14" i="11"/>
  <c r="CB14" i="11"/>
  <c r="BZ14" i="11"/>
  <c r="BX14" i="11"/>
  <c r="BV14" i="11"/>
  <c r="BT14" i="11"/>
  <c r="BR14" i="11"/>
  <c r="BP14" i="11"/>
  <c r="BN14" i="11"/>
  <c r="BL14" i="11"/>
  <c r="BJ14" i="11"/>
  <c r="BH14" i="11"/>
  <c r="BF14" i="11"/>
  <c r="BD14" i="11"/>
  <c r="BB14" i="11"/>
  <c r="AZ14" i="11"/>
  <c r="AX14" i="11"/>
  <c r="AV14" i="11"/>
  <c r="AR14" i="11"/>
  <c r="AT14" i="11" s="1"/>
  <c r="X14" i="11"/>
  <c r="N14" i="11" s="1"/>
  <c r="Q14" i="11"/>
  <c r="O14" i="11"/>
  <c r="M14" i="11"/>
  <c r="L14" i="11"/>
  <c r="G14" i="11"/>
  <c r="DQ13" i="11"/>
  <c r="DP13" i="11"/>
  <c r="DC13" i="11"/>
  <c r="CT13" i="11"/>
  <c r="CR13" i="11"/>
  <c r="CP13" i="11"/>
  <c r="CN13" i="11"/>
  <c r="CL13" i="11"/>
  <c r="CJ13" i="11"/>
  <c r="CH13" i="11"/>
  <c r="CF13" i="11"/>
  <c r="CD13" i="11"/>
  <c r="CB13" i="11"/>
  <c r="BZ13" i="11"/>
  <c r="BX13" i="11"/>
  <c r="BV13" i="11"/>
  <c r="BT13" i="11"/>
  <c r="BR13" i="11"/>
  <c r="BP13" i="11"/>
  <c r="BN13" i="11"/>
  <c r="BL13" i="11"/>
  <c r="BJ13" i="11"/>
  <c r="BH13" i="11"/>
  <c r="BF13" i="11"/>
  <c r="BD13" i="11"/>
  <c r="BB13" i="11"/>
  <c r="AZ13" i="11"/>
  <c r="AX13" i="11"/>
  <c r="AV13" i="11"/>
  <c r="AR13" i="11"/>
  <c r="AT13" i="11" s="1"/>
  <c r="X13" i="11"/>
  <c r="N13" i="11" s="1"/>
  <c r="Q13" i="11"/>
  <c r="O13" i="11"/>
  <c r="M13" i="11"/>
  <c r="L13" i="11"/>
  <c r="G13" i="11"/>
  <c r="DQ12" i="11"/>
  <c r="DP12" i="11"/>
  <c r="DC12" i="11"/>
  <c r="CT12" i="11"/>
  <c r="CR12" i="11"/>
  <c r="CP12" i="11"/>
  <c r="CN12" i="11"/>
  <c r="CL12" i="11"/>
  <c r="CJ12" i="11"/>
  <c r="CH12" i="11"/>
  <c r="CF12" i="11"/>
  <c r="CD12" i="11"/>
  <c r="CB12" i="11"/>
  <c r="BZ12" i="11"/>
  <c r="BX12" i="11"/>
  <c r="BV12" i="11"/>
  <c r="BT12" i="11"/>
  <c r="BR12" i="11"/>
  <c r="BP12" i="11"/>
  <c r="BN12" i="11"/>
  <c r="BL12" i="11"/>
  <c r="BJ12" i="11"/>
  <c r="BH12" i="11"/>
  <c r="BF12" i="11"/>
  <c r="BD12" i="11"/>
  <c r="BB12" i="11"/>
  <c r="AZ12" i="11"/>
  <c r="AX12" i="11"/>
  <c r="AV12" i="11"/>
  <c r="AR12" i="11"/>
  <c r="AT12" i="11" s="1"/>
  <c r="X12" i="11"/>
  <c r="N12" i="11" s="1"/>
  <c r="Q12" i="11"/>
  <c r="O12" i="11"/>
  <c r="M12" i="11"/>
  <c r="L12" i="11"/>
  <c r="G12" i="11"/>
  <c r="DQ11" i="11"/>
  <c r="DP11" i="11"/>
  <c r="DC11" i="11"/>
  <c r="CT11" i="11"/>
  <c r="CR11" i="11"/>
  <c r="CP11" i="11"/>
  <c r="CN11" i="11"/>
  <c r="CL11" i="11"/>
  <c r="CJ11" i="11"/>
  <c r="CH11" i="11"/>
  <c r="CF11" i="11"/>
  <c r="CD11" i="11"/>
  <c r="CB11" i="11"/>
  <c r="BZ11" i="11"/>
  <c r="BX11" i="11"/>
  <c r="BV11" i="11"/>
  <c r="BT11" i="11"/>
  <c r="BR11" i="11"/>
  <c r="BP11" i="11"/>
  <c r="BN11" i="11"/>
  <c r="BL11" i="11"/>
  <c r="BJ11" i="11"/>
  <c r="BH11" i="11"/>
  <c r="BF11" i="11"/>
  <c r="BD11" i="11"/>
  <c r="BB11" i="11"/>
  <c r="AZ11" i="11"/>
  <c r="AX11" i="11"/>
  <c r="AV11" i="11"/>
  <c r="AR11" i="11"/>
  <c r="AT11" i="11" s="1"/>
  <c r="X11" i="11"/>
  <c r="N11" i="11" s="1"/>
  <c r="Q11" i="11"/>
  <c r="O11" i="11"/>
  <c r="M11" i="11"/>
  <c r="L11" i="11"/>
  <c r="G11" i="11"/>
  <c r="DQ10" i="11"/>
  <c r="DP10" i="11"/>
  <c r="DC10" i="11"/>
  <c r="CT10" i="11"/>
  <c r="CR10" i="11"/>
  <c r="CP10" i="11"/>
  <c r="CN10" i="11"/>
  <c r="CL10" i="11"/>
  <c r="CJ10" i="11"/>
  <c r="CH10" i="11"/>
  <c r="CF10" i="11"/>
  <c r="CD10" i="11"/>
  <c r="CB10" i="11"/>
  <c r="BZ10" i="11"/>
  <c r="BX10" i="11"/>
  <c r="BV10" i="11"/>
  <c r="BT10" i="11"/>
  <c r="BR10" i="11"/>
  <c r="BP10" i="11"/>
  <c r="BN10" i="11"/>
  <c r="BL10" i="11"/>
  <c r="BJ10" i="11"/>
  <c r="BH10" i="11"/>
  <c r="BF10" i="11"/>
  <c r="BD10" i="11"/>
  <c r="BB10" i="11"/>
  <c r="AZ10" i="11"/>
  <c r="AX10" i="11"/>
  <c r="AV10" i="11"/>
  <c r="AR10" i="11"/>
  <c r="AT10" i="11" s="1"/>
  <c r="X10" i="11"/>
  <c r="Q10" i="11"/>
  <c r="O10" i="11"/>
  <c r="N10" i="11"/>
  <c r="M10" i="11"/>
  <c r="L10" i="11"/>
  <c r="G10" i="11"/>
  <c r="DQ9" i="11"/>
  <c r="DP9" i="11"/>
  <c r="DC9" i="11"/>
  <c r="CT9" i="11"/>
  <c r="CR9" i="11"/>
  <c r="CP9" i="11"/>
  <c r="CN9" i="11"/>
  <c r="CL9" i="11"/>
  <c r="CJ9" i="11"/>
  <c r="CH9" i="11"/>
  <c r="CF9" i="11"/>
  <c r="CD9" i="11"/>
  <c r="CB9" i="11"/>
  <c r="BZ9" i="11"/>
  <c r="BX9" i="11"/>
  <c r="BV9" i="11"/>
  <c r="BT9" i="11"/>
  <c r="BR9" i="11"/>
  <c r="BP9" i="11"/>
  <c r="BN9" i="11"/>
  <c r="BL9" i="11"/>
  <c r="BJ9" i="11"/>
  <c r="BH9" i="11"/>
  <c r="BF9" i="11"/>
  <c r="BD9" i="11"/>
  <c r="BB9" i="11"/>
  <c r="AZ9" i="11"/>
  <c r="AX9" i="11"/>
  <c r="AV9" i="11"/>
  <c r="AR9" i="11"/>
  <c r="AT9" i="11" s="1"/>
  <c r="X9" i="11"/>
  <c r="Q9" i="11"/>
  <c r="O9" i="11"/>
  <c r="N9" i="11"/>
  <c r="M9" i="11"/>
  <c r="L9" i="11"/>
  <c r="G9" i="11"/>
  <c r="DQ8" i="11"/>
  <c r="DP8" i="11"/>
  <c r="DC8" i="11"/>
  <c r="CT8" i="11"/>
  <c r="CR8" i="11"/>
  <c r="CP8" i="11"/>
  <c r="CN8" i="11"/>
  <c r="CL8" i="11"/>
  <c r="CJ8" i="11"/>
  <c r="CH8" i="11"/>
  <c r="CF8" i="11"/>
  <c r="CD8" i="11"/>
  <c r="CB8" i="11"/>
  <c r="BZ8" i="11"/>
  <c r="BX8" i="11"/>
  <c r="BV8" i="11"/>
  <c r="BT8" i="11"/>
  <c r="BR8" i="11"/>
  <c r="BP8" i="11"/>
  <c r="BN8" i="11"/>
  <c r="BL8" i="11"/>
  <c r="BJ8" i="11"/>
  <c r="BH8" i="11"/>
  <c r="BF8" i="11"/>
  <c r="BD8" i="11"/>
  <c r="BB8" i="11"/>
  <c r="AZ8" i="11"/>
  <c r="AX8" i="11"/>
  <c r="AV8" i="11"/>
  <c r="AR8" i="11"/>
  <c r="AT8" i="11" s="1"/>
  <c r="X8" i="11"/>
  <c r="Q8" i="11"/>
  <c r="O8" i="11"/>
  <c r="N8" i="11"/>
  <c r="M8" i="11"/>
  <c r="L8" i="11"/>
  <c r="G8" i="11"/>
  <c r="DQ7" i="11"/>
  <c r="DP7" i="11"/>
  <c r="DC7" i="11"/>
  <c r="CT7" i="11"/>
  <c r="CR7" i="11"/>
  <c r="CP7" i="11"/>
  <c r="CN7" i="11"/>
  <c r="CL7" i="11"/>
  <c r="CJ7" i="11"/>
  <c r="CH7" i="11"/>
  <c r="CF7" i="11"/>
  <c r="CD7" i="11"/>
  <c r="CB7" i="11"/>
  <c r="BZ7" i="11"/>
  <c r="BX7" i="11"/>
  <c r="BV7" i="11"/>
  <c r="BT7" i="11"/>
  <c r="BR7" i="11"/>
  <c r="BP7" i="11"/>
  <c r="BN7" i="11"/>
  <c r="BL7" i="11"/>
  <c r="BJ7" i="11"/>
  <c r="BH7" i="11"/>
  <c r="BF7" i="11"/>
  <c r="BD7" i="11"/>
  <c r="BB7" i="11"/>
  <c r="AZ7" i="11"/>
  <c r="AX7" i="11"/>
  <c r="AV7" i="11"/>
  <c r="AR7" i="11"/>
  <c r="AT7" i="11" s="1"/>
  <c r="X7" i="11"/>
  <c r="Q7" i="11"/>
  <c r="O7" i="11"/>
  <c r="N7" i="11"/>
  <c r="M7" i="11"/>
  <c r="L7" i="11"/>
  <c r="G7" i="11"/>
  <c r="DQ6" i="11"/>
  <c r="DP6" i="11"/>
  <c r="DC6" i="11"/>
  <c r="CT6" i="11"/>
  <c r="CR6" i="11"/>
  <c r="CP6" i="11"/>
  <c r="CN6" i="11"/>
  <c r="CL6" i="11"/>
  <c r="CJ6" i="11"/>
  <c r="CH6" i="11"/>
  <c r="CF6" i="11"/>
  <c r="CD6" i="11"/>
  <c r="CB6" i="11"/>
  <c r="BZ6" i="11"/>
  <c r="BX6" i="11"/>
  <c r="BV6" i="11"/>
  <c r="BT6" i="11"/>
  <c r="BR6" i="11"/>
  <c r="BP6" i="11"/>
  <c r="BN6" i="11"/>
  <c r="BL6" i="11"/>
  <c r="BJ6" i="11"/>
  <c r="BH6" i="11"/>
  <c r="BF6" i="11"/>
  <c r="BD6" i="11"/>
  <c r="BB6" i="11"/>
  <c r="AZ6" i="11"/>
  <c r="AX6" i="11"/>
  <c r="AV6" i="11"/>
  <c r="AR6" i="11"/>
  <c r="AT6" i="11" s="1"/>
  <c r="X6" i="11"/>
  <c r="Q6" i="11"/>
  <c r="O6" i="11"/>
  <c r="N6" i="11"/>
  <c r="M6" i="11"/>
  <c r="L6" i="11"/>
  <c r="G6" i="11"/>
  <c r="H6" i="11" s="1"/>
  <c r="DQ5" i="11"/>
  <c r="DP5" i="11"/>
  <c r="DC5" i="11"/>
  <c r="CT5" i="11"/>
  <c r="CT37" i="11" s="1"/>
  <c r="CR5" i="11"/>
  <c r="CR37" i="11" s="1"/>
  <c r="CP5" i="11"/>
  <c r="CP37" i="11" s="1"/>
  <c r="CN5" i="11"/>
  <c r="CN37" i="11" s="1"/>
  <c r="CL5" i="11"/>
  <c r="CL37" i="11" s="1"/>
  <c r="CJ5" i="11"/>
  <c r="CJ37" i="11" s="1"/>
  <c r="CH5" i="11"/>
  <c r="CH37" i="11" s="1"/>
  <c r="CF5" i="11"/>
  <c r="CF37" i="11" s="1"/>
  <c r="CD5" i="11"/>
  <c r="CD37" i="11" s="1"/>
  <c r="CB5" i="11"/>
  <c r="CB37" i="11" s="1"/>
  <c r="BZ5" i="11"/>
  <c r="BZ37" i="11" s="1"/>
  <c r="BX5" i="11"/>
  <c r="BX37" i="11" s="1"/>
  <c r="BV5" i="11"/>
  <c r="BV37" i="11" s="1"/>
  <c r="BT5" i="11"/>
  <c r="BT37" i="11" s="1"/>
  <c r="BR5" i="11"/>
  <c r="BR37" i="11" s="1"/>
  <c r="BP5" i="11"/>
  <c r="BP37" i="11" s="1"/>
  <c r="BN5" i="11"/>
  <c r="BN37" i="11" s="1"/>
  <c r="BL5" i="11"/>
  <c r="BL37" i="11" s="1"/>
  <c r="BJ5" i="11"/>
  <c r="BJ37" i="11" s="1"/>
  <c r="BH5" i="11"/>
  <c r="BH37" i="11" s="1"/>
  <c r="BF5" i="11"/>
  <c r="BF37" i="11" s="1"/>
  <c r="BD5" i="11"/>
  <c r="BD37" i="11" s="1"/>
  <c r="BB5" i="11"/>
  <c r="BB37" i="11" s="1"/>
  <c r="AZ5" i="11"/>
  <c r="AZ37" i="11" s="1"/>
  <c r="AX5" i="11"/>
  <c r="AX37" i="11" s="1"/>
  <c r="AV5" i="11"/>
  <c r="AR5" i="11"/>
  <c r="AR36" i="11" s="1"/>
  <c r="AS36" i="11" s="1"/>
  <c r="AC5" i="11"/>
  <c r="AC6" i="11" s="1"/>
  <c r="AC7" i="11" s="1"/>
  <c r="AC8" i="11" s="1"/>
  <c r="AC9" i="11" s="1"/>
  <c r="AC10" i="11" s="1"/>
  <c r="AC11" i="11" s="1"/>
  <c r="AC12" i="11" s="1"/>
  <c r="AC13" i="11" s="1"/>
  <c r="AC14" i="11" s="1"/>
  <c r="AA5" i="11"/>
  <c r="Z5" i="11"/>
  <c r="Z6" i="11" s="1"/>
  <c r="Z7" i="11" s="1"/>
  <c r="Z8" i="11" s="1"/>
  <c r="Z9" i="11" s="1"/>
  <c r="Z10" i="11" s="1"/>
  <c r="Z11" i="11" s="1"/>
  <c r="Z12" i="11" s="1"/>
  <c r="Z13" i="11" s="1"/>
  <c r="Z14" i="11" s="1"/>
  <c r="Z15" i="11" s="1"/>
  <c r="Z16" i="11" s="1"/>
  <c r="Z17" i="11" s="1"/>
  <c r="Z18" i="11" s="1"/>
  <c r="Z19" i="11" s="1"/>
  <c r="Z20" i="11" s="1"/>
  <c r="Z21" i="11" s="1"/>
  <c r="Z22" i="11" s="1"/>
  <c r="Z23" i="11" s="1"/>
  <c r="Z24" i="11" s="1"/>
  <c r="Z25" i="11" s="1"/>
  <c r="Z26" i="11" s="1"/>
  <c r="Z27" i="11" s="1"/>
  <c r="Z28" i="11" s="1"/>
  <c r="Z29" i="11" s="1"/>
  <c r="Z30" i="11" s="1"/>
  <c r="Z31" i="11" s="1"/>
  <c r="Z32" i="11" s="1"/>
  <c r="Z33" i="11" s="1"/>
  <c r="Z34" i="11" s="1"/>
  <c r="Z35" i="11" s="1"/>
  <c r="X5" i="11"/>
  <c r="X37" i="11" s="1"/>
  <c r="V5" i="11"/>
  <c r="V6" i="11" s="1"/>
  <c r="Q5" i="11"/>
  <c r="Q37" i="11" s="1"/>
  <c r="O5" i="11"/>
  <c r="O37" i="11" s="1"/>
  <c r="N5" i="11"/>
  <c r="M5" i="11"/>
  <c r="M37" i="11" s="1"/>
  <c r="N37" i="11" s="1"/>
  <c r="L5" i="11"/>
  <c r="G5" i="11"/>
  <c r="H5" i="11" s="1"/>
  <c r="AQ4" i="11"/>
  <c r="AP4" i="11"/>
  <c r="AO4" i="11"/>
  <c r="AN4" i="11"/>
  <c r="AM4" i="11"/>
  <c r="A1" i="11"/>
  <c r="DO37" i="10"/>
  <c r="DN37" i="10"/>
  <c r="DM37" i="10"/>
  <c r="DL37" i="10"/>
  <c r="DK37" i="10"/>
  <c r="DJ37" i="10"/>
  <c r="DI37" i="10"/>
  <c r="DH37" i="10"/>
  <c r="DG37" i="10"/>
  <c r="DF37" i="10"/>
  <c r="DA37" i="10"/>
  <c r="CZ37" i="10"/>
  <c r="CY37" i="10"/>
  <c r="CX37" i="10"/>
  <c r="CV37" i="10"/>
  <c r="CU37" i="10"/>
  <c r="CS37" i="10"/>
  <c r="CQ37" i="10"/>
  <c r="CO37" i="10"/>
  <c r="CM37" i="10"/>
  <c r="CK37" i="10"/>
  <c r="CI37" i="10"/>
  <c r="CG37" i="10"/>
  <c r="CE37" i="10"/>
  <c r="CC37" i="10"/>
  <c r="CA37" i="10"/>
  <c r="BY37" i="10"/>
  <c r="BW37" i="10"/>
  <c r="BU37" i="10"/>
  <c r="BS37" i="10"/>
  <c r="BQ37" i="10"/>
  <c r="BO37" i="10"/>
  <c r="BM37" i="10"/>
  <c r="BK37" i="10"/>
  <c r="BI37" i="10"/>
  <c r="BG37" i="10"/>
  <c r="BE37" i="10"/>
  <c r="BC37" i="10"/>
  <c r="BA37" i="10"/>
  <c r="AY37" i="10"/>
  <c r="AW37" i="10"/>
  <c r="AQ37" i="10"/>
  <c r="AP37" i="10"/>
  <c r="AO37" i="10"/>
  <c r="AN37" i="10"/>
  <c r="AM37" i="10"/>
  <c r="AL37" i="10"/>
  <c r="AK37" i="10"/>
  <c r="AJ37" i="10"/>
  <c r="AI37" i="10"/>
  <c r="AH37" i="10"/>
  <c r="AG37" i="10"/>
  <c r="AF37" i="10"/>
  <c r="AE37" i="10"/>
  <c r="AD37" i="10"/>
  <c r="Y37" i="10"/>
  <c r="W37" i="10"/>
  <c r="U37" i="10"/>
  <c r="L37" i="10"/>
  <c r="K37" i="10"/>
  <c r="H37" i="10"/>
  <c r="F37" i="10"/>
  <c r="DO36" i="10"/>
  <c r="DN36" i="10"/>
  <c r="DM36" i="10"/>
  <c r="DL36" i="10"/>
  <c r="DK36" i="10"/>
  <c r="DJ36" i="10"/>
  <c r="DI36" i="10"/>
  <c r="DH36" i="10"/>
  <c r="DG36" i="10"/>
  <c r="DF36" i="10"/>
  <c r="DA36" i="10"/>
  <c r="CZ36" i="10"/>
  <c r="CY36" i="10"/>
  <c r="CX36" i="10"/>
  <c r="CV36" i="10"/>
  <c r="CU36" i="10"/>
  <c r="CS36" i="10"/>
  <c r="CQ36" i="10"/>
  <c r="CO36" i="10"/>
  <c r="CM36" i="10"/>
  <c r="CK36" i="10"/>
  <c r="CI36" i="10"/>
  <c r="CG36" i="10"/>
  <c r="CE36" i="10"/>
  <c r="CC36" i="10"/>
  <c r="CA36" i="10"/>
  <c r="BY36" i="10"/>
  <c r="BW36" i="10"/>
  <c r="BU36" i="10"/>
  <c r="BS36" i="10"/>
  <c r="BQ36" i="10"/>
  <c r="BO36" i="10"/>
  <c r="BM36" i="10"/>
  <c r="BK36" i="10"/>
  <c r="BI36" i="10"/>
  <c r="BG36" i="10"/>
  <c r="BE36" i="10"/>
  <c r="BC36" i="10"/>
  <c r="BA36" i="10"/>
  <c r="AY36" i="10"/>
  <c r="AW36" i="10"/>
  <c r="AQ36" i="10"/>
  <c r="AP36" i="10"/>
  <c r="AO36" i="10"/>
  <c r="AN36" i="10"/>
  <c r="AM36" i="10"/>
  <c r="AL36" i="10"/>
  <c r="AK36" i="10"/>
  <c r="AJ36" i="10"/>
  <c r="AI36" i="10"/>
  <c r="AH36" i="10"/>
  <c r="AG36" i="10"/>
  <c r="AF36" i="10"/>
  <c r="AE36" i="10"/>
  <c r="AD36" i="10"/>
  <c r="Y36" i="10"/>
  <c r="W36" i="10"/>
  <c r="U36" i="10"/>
  <c r="N36" i="10"/>
  <c r="K36" i="10"/>
  <c r="L36" i="10" s="1"/>
  <c r="F36" i="10"/>
  <c r="DQ35" i="10"/>
  <c r="DP35" i="10"/>
  <c r="DC35" i="10"/>
  <c r="CT35" i="10"/>
  <c r="CR35" i="10"/>
  <c r="CP35" i="10"/>
  <c r="CN35" i="10"/>
  <c r="CL35" i="10"/>
  <c r="CJ35" i="10"/>
  <c r="CH35" i="10"/>
  <c r="CF35" i="10"/>
  <c r="CD35" i="10"/>
  <c r="CB35" i="10"/>
  <c r="BZ35" i="10"/>
  <c r="BX35" i="10"/>
  <c r="BV35" i="10"/>
  <c r="BT35" i="10"/>
  <c r="BR35" i="10"/>
  <c r="BP35" i="10"/>
  <c r="BN35" i="10"/>
  <c r="BL35" i="10"/>
  <c r="BJ35" i="10"/>
  <c r="BH35" i="10"/>
  <c r="BF35" i="10"/>
  <c r="BD35" i="10"/>
  <c r="BB35" i="10"/>
  <c r="AZ35" i="10"/>
  <c r="AX35" i="10"/>
  <c r="AV35" i="10"/>
  <c r="AS35" i="10"/>
  <c r="AR35" i="10"/>
  <c r="AT35" i="10" s="1"/>
  <c r="X35" i="10"/>
  <c r="N35" i="10" s="1"/>
  <c r="Q35" i="10"/>
  <c r="O35" i="10"/>
  <c r="M35" i="10"/>
  <c r="L35" i="10"/>
  <c r="G35" i="10"/>
  <c r="DQ34" i="10"/>
  <c r="DP34" i="10"/>
  <c r="DC34" i="10"/>
  <c r="CT34" i="10"/>
  <c r="CR34" i="10"/>
  <c r="CP34" i="10"/>
  <c r="CN34" i="10"/>
  <c r="CL34" i="10"/>
  <c r="CJ34" i="10"/>
  <c r="CH34" i="10"/>
  <c r="CF34" i="10"/>
  <c r="CD34" i="10"/>
  <c r="CB34" i="10"/>
  <c r="BZ34" i="10"/>
  <c r="BX34" i="10"/>
  <c r="BV34" i="10"/>
  <c r="BT34" i="10"/>
  <c r="BR34" i="10"/>
  <c r="BP34" i="10"/>
  <c r="BN34" i="10"/>
  <c r="BL34" i="10"/>
  <c r="BJ34" i="10"/>
  <c r="BH34" i="10"/>
  <c r="BF34" i="10"/>
  <c r="BD34" i="10"/>
  <c r="BB34" i="10"/>
  <c r="AZ34" i="10"/>
  <c r="AX34" i="10"/>
  <c r="AV34" i="10"/>
  <c r="AS34" i="10"/>
  <c r="AR34" i="10"/>
  <c r="AT34" i="10" s="1"/>
  <c r="X34" i="10"/>
  <c r="N34" i="10" s="1"/>
  <c r="Q34" i="10"/>
  <c r="O34" i="10"/>
  <c r="M34" i="10"/>
  <c r="L34" i="10"/>
  <c r="G34" i="10"/>
  <c r="F40" i="11" s="1"/>
  <c r="DQ33" i="10"/>
  <c r="DP33" i="10"/>
  <c r="DC33" i="10"/>
  <c r="CT33" i="10"/>
  <c r="CR33" i="10"/>
  <c r="CP33" i="10"/>
  <c r="CN33" i="10"/>
  <c r="CL33" i="10"/>
  <c r="CJ33" i="10"/>
  <c r="CH33" i="10"/>
  <c r="CF33" i="10"/>
  <c r="CD33" i="10"/>
  <c r="CB33" i="10"/>
  <c r="BZ33" i="10"/>
  <c r="BX33" i="10"/>
  <c r="BV33" i="10"/>
  <c r="BT33" i="10"/>
  <c r="BR33" i="10"/>
  <c r="BP33" i="10"/>
  <c r="BN33" i="10"/>
  <c r="BL33" i="10"/>
  <c r="BJ33" i="10"/>
  <c r="BH33" i="10"/>
  <c r="BF33" i="10"/>
  <c r="BD33" i="10"/>
  <c r="BB33" i="10"/>
  <c r="AZ33" i="10"/>
  <c r="AX33" i="10"/>
  <c r="AV33" i="10"/>
  <c r="AS33" i="10"/>
  <c r="AR33" i="10"/>
  <c r="AT33" i="10" s="1"/>
  <c r="X33" i="10"/>
  <c r="N33" i="10" s="1"/>
  <c r="Q33" i="10"/>
  <c r="O33" i="10"/>
  <c r="M33" i="10"/>
  <c r="L33" i="10"/>
  <c r="G33" i="10"/>
  <c r="DQ32" i="10"/>
  <c r="DP32" i="10"/>
  <c r="DC32" i="10"/>
  <c r="CT32" i="10"/>
  <c r="CR32" i="10"/>
  <c r="CP32" i="10"/>
  <c r="CN32" i="10"/>
  <c r="CL32" i="10"/>
  <c r="CJ32" i="10"/>
  <c r="CH32" i="10"/>
  <c r="CF32" i="10"/>
  <c r="CD32" i="10"/>
  <c r="CB32" i="10"/>
  <c r="BZ32" i="10"/>
  <c r="BX32" i="10"/>
  <c r="BV32" i="10"/>
  <c r="BT32" i="10"/>
  <c r="BR32" i="10"/>
  <c r="BP32" i="10"/>
  <c r="BN32" i="10"/>
  <c r="BL32" i="10"/>
  <c r="BJ32" i="10"/>
  <c r="BH32" i="10"/>
  <c r="BF32" i="10"/>
  <c r="BD32" i="10"/>
  <c r="BB32" i="10"/>
  <c r="AZ32" i="10"/>
  <c r="AX32" i="10"/>
  <c r="AV32" i="10"/>
  <c r="AS32" i="10"/>
  <c r="AR32" i="10"/>
  <c r="AT32" i="10" s="1"/>
  <c r="X32" i="10"/>
  <c r="N32" i="10" s="1"/>
  <c r="Q32" i="10"/>
  <c r="O32" i="10"/>
  <c r="M32" i="10"/>
  <c r="L32" i="10"/>
  <c r="G32" i="10"/>
  <c r="DQ31" i="10"/>
  <c r="DP31" i="10"/>
  <c r="DC31" i="10"/>
  <c r="CT31" i="10"/>
  <c r="CR31" i="10"/>
  <c r="CP31" i="10"/>
  <c r="CN31" i="10"/>
  <c r="CL31" i="10"/>
  <c r="CJ31" i="10"/>
  <c r="CH31" i="10"/>
  <c r="CF31" i="10"/>
  <c r="CD31" i="10"/>
  <c r="CB31" i="10"/>
  <c r="BZ31" i="10"/>
  <c r="BX31" i="10"/>
  <c r="BV31" i="10"/>
  <c r="BT31" i="10"/>
  <c r="BR31" i="10"/>
  <c r="BP31" i="10"/>
  <c r="BN31" i="10"/>
  <c r="BL31" i="10"/>
  <c r="BJ31" i="10"/>
  <c r="BH31" i="10"/>
  <c r="BF31" i="10"/>
  <c r="BD31" i="10"/>
  <c r="BB31" i="10"/>
  <c r="AZ31" i="10"/>
  <c r="AX31" i="10"/>
  <c r="AV31" i="10"/>
  <c r="AS31" i="10"/>
  <c r="AR31" i="10"/>
  <c r="AT31" i="10" s="1"/>
  <c r="X31" i="10"/>
  <c r="N31" i="10" s="1"/>
  <c r="Q31" i="10"/>
  <c r="O31" i="10"/>
  <c r="M31" i="10"/>
  <c r="L31" i="10"/>
  <c r="G31" i="10"/>
  <c r="DQ30" i="10"/>
  <c r="DP30" i="10"/>
  <c r="DC30" i="10"/>
  <c r="CT30" i="10"/>
  <c r="CR30" i="10"/>
  <c r="CP30" i="10"/>
  <c r="CN30" i="10"/>
  <c r="CL30" i="10"/>
  <c r="CJ30" i="10"/>
  <c r="CH30" i="10"/>
  <c r="CF30" i="10"/>
  <c r="CD30" i="10"/>
  <c r="CB30" i="10"/>
  <c r="BZ30" i="10"/>
  <c r="BX30" i="10"/>
  <c r="BV30" i="10"/>
  <c r="BT30" i="10"/>
  <c r="BR30" i="10"/>
  <c r="BP30" i="10"/>
  <c r="BN30" i="10"/>
  <c r="BL30" i="10"/>
  <c r="BJ30" i="10"/>
  <c r="BH30" i="10"/>
  <c r="BF30" i="10"/>
  <c r="BD30" i="10"/>
  <c r="BB30" i="10"/>
  <c r="AZ30" i="10"/>
  <c r="AX30" i="10"/>
  <c r="AV30" i="10"/>
  <c r="AS30" i="10"/>
  <c r="AR30" i="10"/>
  <c r="AT30" i="10" s="1"/>
  <c r="X30" i="10"/>
  <c r="N30" i="10" s="1"/>
  <c r="Q30" i="10"/>
  <c r="O30" i="10"/>
  <c r="M30" i="10"/>
  <c r="L30" i="10"/>
  <c r="G30" i="10"/>
  <c r="DQ29" i="10"/>
  <c r="DP29" i="10"/>
  <c r="DC29" i="10"/>
  <c r="CT29" i="10"/>
  <c r="CR29" i="10"/>
  <c r="CP29" i="10"/>
  <c r="CN29" i="10"/>
  <c r="CL29" i="10"/>
  <c r="CJ29" i="10"/>
  <c r="CH29" i="10"/>
  <c r="CF29" i="10"/>
  <c r="CD29" i="10"/>
  <c r="CB29" i="10"/>
  <c r="BZ29" i="10"/>
  <c r="BX29" i="10"/>
  <c r="BV29" i="10"/>
  <c r="BT29" i="10"/>
  <c r="BR29" i="10"/>
  <c r="BP29" i="10"/>
  <c r="BN29" i="10"/>
  <c r="BL29" i="10"/>
  <c r="BJ29" i="10"/>
  <c r="BH29" i="10"/>
  <c r="BF29" i="10"/>
  <c r="BD29" i="10"/>
  <c r="BB29" i="10"/>
  <c r="AZ29" i="10"/>
  <c r="AX29" i="10"/>
  <c r="AV29" i="10"/>
  <c r="AS29" i="10"/>
  <c r="AR29" i="10"/>
  <c r="AT29" i="10" s="1"/>
  <c r="X29" i="10"/>
  <c r="N29" i="10" s="1"/>
  <c r="Q29" i="10"/>
  <c r="O29" i="10"/>
  <c r="M29" i="10"/>
  <c r="L29" i="10"/>
  <c r="G29" i="10"/>
  <c r="DQ28" i="10"/>
  <c r="DP28" i="10"/>
  <c r="DC28" i="10"/>
  <c r="CT28" i="10"/>
  <c r="CR28" i="10"/>
  <c r="CP28" i="10"/>
  <c r="CN28" i="10"/>
  <c r="CL28" i="10"/>
  <c r="CJ28" i="10"/>
  <c r="CH28" i="10"/>
  <c r="CF28" i="10"/>
  <c r="CD28" i="10"/>
  <c r="CB28" i="10"/>
  <c r="BZ28" i="10"/>
  <c r="BX28" i="10"/>
  <c r="BV28" i="10"/>
  <c r="BT28" i="10"/>
  <c r="BR28" i="10"/>
  <c r="BP28" i="10"/>
  <c r="BN28" i="10"/>
  <c r="BL28" i="10"/>
  <c r="BJ28" i="10"/>
  <c r="BH28" i="10"/>
  <c r="BF28" i="10"/>
  <c r="BD28" i="10"/>
  <c r="BB28" i="10"/>
  <c r="AZ28" i="10"/>
  <c r="AX28" i="10"/>
  <c r="AV28" i="10"/>
  <c r="AS28" i="10"/>
  <c r="AR28" i="10"/>
  <c r="AT28" i="10" s="1"/>
  <c r="X28" i="10"/>
  <c r="N28" i="10" s="1"/>
  <c r="Q28" i="10"/>
  <c r="O28" i="10"/>
  <c r="M28" i="10"/>
  <c r="L28" i="10"/>
  <c r="G28" i="10"/>
  <c r="DQ27" i="10"/>
  <c r="DP27" i="10"/>
  <c r="DC27" i="10"/>
  <c r="CT27" i="10"/>
  <c r="CR27" i="10"/>
  <c r="CP27" i="10"/>
  <c r="CN27" i="10"/>
  <c r="CL27" i="10"/>
  <c r="CJ27" i="10"/>
  <c r="CH27" i="10"/>
  <c r="CF27" i="10"/>
  <c r="CD27" i="10"/>
  <c r="CB27" i="10"/>
  <c r="BZ27" i="10"/>
  <c r="BX27" i="10"/>
  <c r="BV27" i="10"/>
  <c r="BT27" i="10"/>
  <c r="BR27" i="10"/>
  <c r="BP27" i="10"/>
  <c r="BN27" i="10"/>
  <c r="BL27" i="10"/>
  <c r="BJ27" i="10"/>
  <c r="BH27" i="10"/>
  <c r="BF27" i="10"/>
  <c r="BD27" i="10"/>
  <c r="BB27" i="10"/>
  <c r="AZ27" i="10"/>
  <c r="AX27" i="10"/>
  <c r="AV27" i="10"/>
  <c r="AS27" i="10"/>
  <c r="AR27" i="10"/>
  <c r="AT27" i="10" s="1"/>
  <c r="X27" i="10"/>
  <c r="N27" i="10" s="1"/>
  <c r="Q27" i="10"/>
  <c r="O27" i="10"/>
  <c r="M27" i="10"/>
  <c r="L27" i="10"/>
  <c r="G27" i="10"/>
  <c r="DQ26" i="10"/>
  <c r="DP26" i="10"/>
  <c r="DC26" i="10"/>
  <c r="CT26" i="10"/>
  <c r="CR26" i="10"/>
  <c r="CP26" i="10"/>
  <c r="CN26" i="10"/>
  <c r="CL26" i="10"/>
  <c r="CJ26" i="10"/>
  <c r="CH26" i="10"/>
  <c r="CF26" i="10"/>
  <c r="CD26" i="10"/>
  <c r="CB26" i="10"/>
  <c r="BZ26" i="10"/>
  <c r="BX26" i="10"/>
  <c r="BV26" i="10"/>
  <c r="BT26" i="10"/>
  <c r="BR26" i="10"/>
  <c r="BP26" i="10"/>
  <c r="BN26" i="10"/>
  <c r="BL26" i="10"/>
  <c r="BJ26" i="10"/>
  <c r="BH26" i="10"/>
  <c r="BF26" i="10"/>
  <c r="BD26" i="10"/>
  <c r="BB26" i="10"/>
  <c r="AZ26" i="10"/>
  <c r="AX26" i="10"/>
  <c r="AV26" i="10"/>
  <c r="AS26" i="10"/>
  <c r="AR26" i="10"/>
  <c r="AT26" i="10" s="1"/>
  <c r="X26" i="10"/>
  <c r="N26" i="10" s="1"/>
  <c r="Q26" i="10"/>
  <c r="O26" i="10"/>
  <c r="M26" i="10"/>
  <c r="L26" i="10"/>
  <c r="G26" i="10"/>
  <c r="DQ25" i="10"/>
  <c r="DP25" i="10"/>
  <c r="DC25" i="10"/>
  <c r="CT25" i="10"/>
  <c r="CR25" i="10"/>
  <c r="CP25" i="10"/>
  <c r="CN25" i="10"/>
  <c r="CL25" i="10"/>
  <c r="CJ25" i="10"/>
  <c r="CH25" i="10"/>
  <c r="CF25" i="10"/>
  <c r="CD25" i="10"/>
  <c r="CB25" i="10"/>
  <c r="BZ25" i="10"/>
  <c r="BX25" i="10"/>
  <c r="BV25" i="10"/>
  <c r="BT25" i="10"/>
  <c r="BR25" i="10"/>
  <c r="BP25" i="10"/>
  <c r="BN25" i="10"/>
  <c r="BL25" i="10"/>
  <c r="BJ25" i="10"/>
  <c r="BH25" i="10"/>
  <c r="BF25" i="10"/>
  <c r="BD25" i="10"/>
  <c r="BB25" i="10"/>
  <c r="AZ25" i="10"/>
  <c r="AX25" i="10"/>
  <c r="AV25" i="10"/>
  <c r="AR25" i="10"/>
  <c r="AT25" i="10" s="1"/>
  <c r="X25" i="10"/>
  <c r="N25" i="10" s="1"/>
  <c r="Q25" i="10"/>
  <c r="O25" i="10"/>
  <c r="M25" i="10"/>
  <c r="L25" i="10"/>
  <c r="G25" i="10"/>
  <c r="DQ24" i="10"/>
  <c r="DP24" i="10"/>
  <c r="DC24" i="10"/>
  <c r="CT24" i="10"/>
  <c r="CR24" i="10"/>
  <c r="CP24" i="10"/>
  <c r="CN24" i="10"/>
  <c r="CL24" i="10"/>
  <c r="CJ24" i="10"/>
  <c r="CH24" i="10"/>
  <c r="CF24" i="10"/>
  <c r="CD24" i="10"/>
  <c r="CB24" i="10"/>
  <c r="BZ24" i="10"/>
  <c r="BX24" i="10"/>
  <c r="BV24" i="10"/>
  <c r="BT24" i="10"/>
  <c r="BR24" i="10"/>
  <c r="BP24" i="10"/>
  <c r="BN24" i="10"/>
  <c r="BL24" i="10"/>
  <c r="BJ24" i="10"/>
  <c r="BH24" i="10"/>
  <c r="BF24" i="10"/>
  <c r="BD24" i="10"/>
  <c r="BB24" i="10"/>
  <c r="AZ24" i="10"/>
  <c r="AX24" i="10"/>
  <c r="AV24" i="10"/>
  <c r="AR24" i="10"/>
  <c r="AT24" i="10" s="1"/>
  <c r="X24" i="10"/>
  <c r="N24" i="10" s="1"/>
  <c r="Q24" i="10"/>
  <c r="O24" i="10"/>
  <c r="M24" i="10"/>
  <c r="L24" i="10"/>
  <c r="G24" i="10"/>
  <c r="DQ23" i="10"/>
  <c r="DP23" i="10"/>
  <c r="DC23" i="10"/>
  <c r="CT23" i="10"/>
  <c r="CR23" i="10"/>
  <c r="CP23" i="10"/>
  <c r="CN23" i="10"/>
  <c r="CL23" i="10"/>
  <c r="CJ23" i="10"/>
  <c r="CH23" i="10"/>
  <c r="CF23" i="10"/>
  <c r="CD23" i="10"/>
  <c r="CB23" i="10"/>
  <c r="BZ23" i="10"/>
  <c r="BX23" i="10"/>
  <c r="BV23" i="10"/>
  <c r="BT23" i="10"/>
  <c r="BR23" i="10"/>
  <c r="BP23" i="10"/>
  <c r="BN23" i="10"/>
  <c r="BL23" i="10"/>
  <c r="BJ23" i="10"/>
  <c r="BH23" i="10"/>
  <c r="BF23" i="10"/>
  <c r="BD23" i="10"/>
  <c r="BB23" i="10"/>
  <c r="AZ23" i="10"/>
  <c r="AX23" i="10"/>
  <c r="AV23" i="10"/>
  <c r="AR23" i="10"/>
  <c r="AT23" i="10" s="1"/>
  <c r="X23" i="10"/>
  <c r="N23" i="10" s="1"/>
  <c r="Q23" i="10"/>
  <c r="O23" i="10"/>
  <c r="M23" i="10"/>
  <c r="L23" i="10"/>
  <c r="G23" i="10"/>
  <c r="DQ22" i="10"/>
  <c r="DP22" i="10"/>
  <c r="DC22" i="10"/>
  <c r="CT22" i="10"/>
  <c r="CR22" i="10"/>
  <c r="CP22" i="10"/>
  <c r="CN22" i="10"/>
  <c r="CL22" i="10"/>
  <c r="CJ22" i="10"/>
  <c r="CH22" i="10"/>
  <c r="CF22" i="10"/>
  <c r="CD22" i="10"/>
  <c r="CB22" i="10"/>
  <c r="BZ22" i="10"/>
  <c r="BX22" i="10"/>
  <c r="BV22" i="10"/>
  <c r="BT22" i="10"/>
  <c r="BR22" i="10"/>
  <c r="BP22" i="10"/>
  <c r="BN22" i="10"/>
  <c r="BL22" i="10"/>
  <c r="BJ22" i="10"/>
  <c r="BH22" i="10"/>
  <c r="BF22" i="10"/>
  <c r="BD22" i="10"/>
  <c r="BB22" i="10"/>
  <c r="AZ22" i="10"/>
  <c r="AX22" i="10"/>
  <c r="AV22" i="10"/>
  <c r="AR22" i="10"/>
  <c r="AT22" i="10" s="1"/>
  <c r="X22" i="10"/>
  <c r="N22" i="10" s="1"/>
  <c r="Q22" i="10"/>
  <c r="O22" i="10"/>
  <c r="M22" i="10"/>
  <c r="L22" i="10"/>
  <c r="G22" i="10"/>
  <c r="DQ21" i="10"/>
  <c r="DP21" i="10"/>
  <c r="DC21" i="10"/>
  <c r="CT21" i="10"/>
  <c r="CR21" i="10"/>
  <c r="CP21" i="10"/>
  <c r="CN21" i="10"/>
  <c r="CL21" i="10"/>
  <c r="CJ21" i="10"/>
  <c r="CH21" i="10"/>
  <c r="CF21" i="10"/>
  <c r="CD21" i="10"/>
  <c r="CB21" i="10"/>
  <c r="BZ21" i="10"/>
  <c r="BX21" i="10"/>
  <c r="BV21" i="10"/>
  <c r="BT21" i="10"/>
  <c r="BR21" i="10"/>
  <c r="BP21" i="10"/>
  <c r="BN21" i="10"/>
  <c r="BL21" i="10"/>
  <c r="BJ21" i="10"/>
  <c r="BH21" i="10"/>
  <c r="BF21" i="10"/>
  <c r="BD21" i="10"/>
  <c r="BB21" i="10"/>
  <c r="AZ21" i="10"/>
  <c r="AX21" i="10"/>
  <c r="AV21" i="10"/>
  <c r="AR21" i="10"/>
  <c r="AT21" i="10" s="1"/>
  <c r="X21" i="10"/>
  <c r="N21" i="10" s="1"/>
  <c r="Q21" i="10"/>
  <c r="O21" i="10"/>
  <c r="M21" i="10"/>
  <c r="L21" i="10"/>
  <c r="G21" i="10"/>
  <c r="DQ20" i="10"/>
  <c r="DP20" i="10"/>
  <c r="DC20" i="10"/>
  <c r="CT20" i="10"/>
  <c r="CR20" i="10"/>
  <c r="CP20" i="10"/>
  <c r="CN20" i="10"/>
  <c r="CL20" i="10"/>
  <c r="CJ20" i="10"/>
  <c r="CH20" i="10"/>
  <c r="CF20" i="10"/>
  <c r="CD20" i="10"/>
  <c r="CB20" i="10"/>
  <c r="BZ20" i="10"/>
  <c r="BX20" i="10"/>
  <c r="BV20" i="10"/>
  <c r="BT20" i="10"/>
  <c r="BR20" i="10"/>
  <c r="BP20" i="10"/>
  <c r="BN20" i="10"/>
  <c r="BL20" i="10"/>
  <c r="BJ20" i="10"/>
  <c r="BH20" i="10"/>
  <c r="BF20" i="10"/>
  <c r="BD20" i="10"/>
  <c r="BB20" i="10"/>
  <c r="AZ20" i="10"/>
  <c r="AX20" i="10"/>
  <c r="AV20" i="10"/>
  <c r="AR20" i="10"/>
  <c r="AT20" i="10" s="1"/>
  <c r="X20" i="10"/>
  <c r="N20" i="10" s="1"/>
  <c r="Q20" i="10"/>
  <c r="O20" i="10"/>
  <c r="M20" i="10"/>
  <c r="L20" i="10"/>
  <c r="G20" i="10"/>
  <c r="DQ19" i="10"/>
  <c r="DP19" i="10"/>
  <c r="DC19" i="10"/>
  <c r="CT19" i="10"/>
  <c r="CR19" i="10"/>
  <c r="CP19" i="10"/>
  <c r="CN19" i="10"/>
  <c r="CL19" i="10"/>
  <c r="CJ19" i="10"/>
  <c r="CH19" i="10"/>
  <c r="CF19" i="10"/>
  <c r="CD19" i="10"/>
  <c r="CB19" i="10"/>
  <c r="BZ19" i="10"/>
  <c r="BX19" i="10"/>
  <c r="BV19" i="10"/>
  <c r="BT19" i="10"/>
  <c r="BR19" i="10"/>
  <c r="BP19" i="10"/>
  <c r="BN19" i="10"/>
  <c r="BL19" i="10"/>
  <c r="BJ19" i="10"/>
  <c r="BH19" i="10"/>
  <c r="BF19" i="10"/>
  <c r="BD19" i="10"/>
  <c r="BB19" i="10"/>
  <c r="AZ19" i="10"/>
  <c r="AX19" i="10"/>
  <c r="AV19" i="10"/>
  <c r="AR19" i="10"/>
  <c r="AT19" i="10" s="1"/>
  <c r="X19" i="10"/>
  <c r="N19" i="10" s="1"/>
  <c r="Q19" i="10"/>
  <c r="O19" i="10"/>
  <c r="M19" i="10"/>
  <c r="L19" i="10"/>
  <c r="G19" i="10"/>
  <c r="DQ18" i="10"/>
  <c r="DP18" i="10"/>
  <c r="DC18" i="10"/>
  <c r="CT18" i="10"/>
  <c r="CR18" i="10"/>
  <c r="CP18" i="10"/>
  <c r="CN18" i="10"/>
  <c r="CL18" i="10"/>
  <c r="CJ18" i="10"/>
  <c r="CH18" i="10"/>
  <c r="CF18" i="10"/>
  <c r="CD18" i="10"/>
  <c r="CB18" i="10"/>
  <c r="BZ18" i="10"/>
  <c r="BX18" i="10"/>
  <c r="BV18" i="10"/>
  <c r="BT18" i="10"/>
  <c r="BR18" i="10"/>
  <c r="BP18" i="10"/>
  <c r="BN18" i="10"/>
  <c r="BL18" i="10"/>
  <c r="BJ18" i="10"/>
  <c r="BH18" i="10"/>
  <c r="BF18" i="10"/>
  <c r="BD18" i="10"/>
  <c r="BB18" i="10"/>
  <c r="AZ18" i="10"/>
  <c r="AX18" i="10"/>
  <c r="AV18" i="10"/>
  <c r="AR18" i="10"/>
  <c r="X18" i="10"/>
  <c r="N18" i="10" s="1"/>
  <c r="Q18" i="10"/>
  <c r="O18" i="10"/>
  <c r="M18" i="10"/>
  <c r="L18" i="10"/>
  <c r="G18" i="10"/>
  <c r="DQ17" i="10"/>
  <c r="DP17" i="10"/>
  <c r="DC17" i="10"/>
  <c r="CT17" i="10"/>
  <c r="CR17" i="10"/>
  <c r="CP17" i="10"/>
  <c r="CN17" i="10"/>
  <c r="CL17" i="10"/>
  <c r="CJ17" i="10"/>
  <c r="CH17" i="10"/>
  <c r="CF17" i="10"/>
  <c r="CD17" i="10"/>
  <c r="CB17" i="10"/>
  <c r="BZ17" i="10"/>
  <c r="BX17" i="10"/>
  <c r="BV17" i="10"/>
  <c r="BT17" i="10"/>
  <c r="BR17" i="10"/>
  <c r="BP17" i="10"/>
  <c r="BN17" i="10"/>
  <c r="BL17" i="10"/>
  <c r="BJ17" i="10"/>
  <c r="BH17" i="10"/>
  <c r="BF17" i="10"/>
  <c r="BD17" i="10"/>
  <c r="BB17" i="10"/>
  <c r="AZ17" i="10"/>
  <c r="AX17" i="10"/>
  <c r="AV17" i="10"/>
  <c r="AR17" i="10"/>
  <c r="X17" i="10"/>
  <c r="Q17" i="10"/>
  <c r="O17" i="10"/>
  <c r="N17" i="10"/>
  <c r="M17" i="10"/>
  <c r="L17" i="10"/>
  <c r="G17" i="10"/>
  <c r="DQ16" i="10"/>
  <c r="DP16" i="10"/>
  <c r="DC16" i="10"/>
  <c r="CT16" i="10"/>
  <c r="CR16" i="10"/>
  <c r="CP16" i="10"/>
  <c r="CN16" i="10"/>
  <c r="CL16" i="10"/>
  <c r="CJ16" i="10"/>
  <c r="CH16" i="10"/>
  <c r="CF16" i="10"/>
  <c r="CD16" i="10"/>
  <c r="CB16" i="10"/>
  <c r="BZ16" i="10"/>
  <c r="BX16" i="10"/>
  <c r="BV16" i="10"/>
  <c r="BT16" i="10"/>
  <c r="BR16" i="10"/>
  <c r="BP16" i="10"/>
  <c r="BN16" i="10"/>
  <c r="BL16" i="10"/>
  <c r="BJ16" i="10"/>
  <c r="BH16" i="10"/>
  <c r="BF16" i="10"/>
  <c r="BD16" i="10"/>
  <c r="BB16" i="10"/>
  <c r="AZ16" i="10"/>
  <c r="AX16" i="10"/>
  <c r="AV16" i="10"/>
  <c r="AR16" i="10"/>
  <c r="X16" i="10"/>
  <c r="N16" i="10" s="1"/>
  <c r="Q16" i="10"/>
  <c r="O16" i="10"/>
  <c r="M16" i="10"/>
  <c r="L16" i="10"/>
  <c r="G16" i="10"/>
  <c r="DQ15" i="10"/>
  <c r="DP15" i="10"/>
  <c r="DC15" i="10"/>
  <c r="CT15" i="10"/>
  <c r="CR15" i="10"/>
  <c r="CP15" i="10"/>
  <c r="CN15" i="10"/>
  <c r="CL15" i="10"/>
  <c r="CJ15" i="10"/>
  <c r="CH15" i="10"/>
  <c r="CF15" i="10"/>
  <c r="CD15" i="10"/>
  <c r="CB15" i="10"/>
  <c r="BZ15" i="10"/>
  <c r="BX15" i="10"/>
  <c r="BV15" i="10"/>
  <c r="BT15" i="10"/>
  <c r="BR15" i="10"/>
  <c r="BP15" i="10"/>
  <c r="BN15" i="10"/>
  <c r="BL15" i="10"/>
  <c r="BJ15" i="10"/>
  <c r="BH15" i="10"/>
  <c r="BF15" i="10"/>
  <c r="BD15" i="10"/>
  <c r="BB15" i="10"/>
  <c r="AZ15" i="10"/>
  <c r="AX15" i="10"/>
  <c r="AV15" i="10"/>
  <c r="AR15" i="10"/>
  <c r="AT15" i="10" s="1"/>
  <c r="X15" i="10"/>
  <c r="N15" i="10" s="1"/>
  <c r="Q15" i="10"/>
  <c r="O15" i="10"/>
  <c r="M15" i="10"/>
  <c r="L15" i="10"/>
  <c r="G15" i="10"/>
  <c r="DQ14" i="10"/>
  <c r="DP14" i="10"/>
  <c r="DC14" i="10"/>
  <c r="CT14" i="10"/>
  <c r="CR14" i="10"/>
  <c r="CP14" i="10"/>
  <c r="CN14" i="10"/>
  <c r="CL14" i="10"/>
  <c r="CJ14" i="10"/>
  <c r="CH14" i="10"/>
  <c r="CF14" i="10"/>
  <c r="CD14" i="10"/>
  <c r="CB14" i="10"/>
  <c r="BZ14" i="10"/>
  <c r="BX14" i="10"/>
  <c r="BV14" i="10"/>
  <c r="BT14" i="10"/>
  <c r="BR14" i="10"/>
  <c r="BP14" i="10"/>
  <c r="BN14" i="10"/>
  <c r="BL14" i="10"/>
  <c r="BJ14" i="10"/>
  <c r="BH14" i="10"/>
  <c r="BF14" i="10"/>
  <c r="BD14" i="10"/>
  <c r="BB14" i="10"/>
  <c r="AZ14" i="10"/>
  <c r="AX14" i="10"/>
  <c r="AV14" i="10"/>
  <c r="AR14" i="10"/>
  <c r="AT14" i="10" s="1"/>
  <c r="X14" i="10"/>
  <c r="N14" i="10" s="1"/>
  <c r="Q14" i="10"/>
  <c r="O14" i="10"/>
  <c r="M14" i="10"/>
  <c r="L14" i="10"/>
  <c r="G14" i="10"/>
  <c r="DQ13" i="10"/>
  <c r="DP13" i="10"/>
  <c r="DC13" i="10"/>
  <c r="CT13" i="10"/>
  <c r="CR13" i="10"/>
  <c r="CP13" i="10"/>
  <c r="CN13" i="10"/>
  <c r="CL13" i="10"/>
  <c r="CJ13" i="10"/>
  <c r="CH13" i="10"/>
  <c r="CF13" i="10"/>
  <c r="CD13" i="10"/>
  <c r="CB13" i="10"/>
  <c r="BZ13" i="10"/>
  <c r="BX13" i="10"/>
  <c r="BV13" i="10"/>
  <c r="BT13" i="10"/>
  <c r="BR13" i="10"/>
  <c r="BP13" i="10"/>
  <c r="BN13" i="10"/>
  <c r="BL13" i="10"/>
  <c r="BJ13" i="10"/>
  <c r="BH13" i="10"/>
  <c r="BF13" i="10"/>
  <c r="BD13" i="10"/>
  <c r="BB13" i="10"/>
  <c r="AZ13" i="10"/>
  <c r="AX13" i="10"/>
  <c r="AV13" i="10"/>
  <c r="AR13" i="10"/>
  <c r="AT13" i="10" s="1"/>
  <c r="X13" i="10"/>
  <c r="N13" i="10" s="1"/>
  <c r="Q13" i="10"/>
  <c r="O13" i="10"/>
  <c r="M13" i="10"/>
  <c r="L13" i="10"/>
  <c r="G13" i="10"/>
  <c r="DQ12" i="10"/>
  <c r="DP12" i="10"/>
  <c r="DC12" i="10"/>
  <c r="CT12" i="10"/>
  <c r="CR12" i="10"/>
  <c r="CP12" i="10"/>
  <c r="CN12" i="10"/>
  <c r="CL12" i="10"/>
  <c r="CJ12" i="10"/>
  <c r="CH12" i="10"/>
  <c r="CF12" i="10"/>
  <c r="CD12" i="10"/>
  <c r="CB12" i="10"/>
  <c r="BZ12" i="10"/>
  <c r="BX12" i="10"/>
  <c r="BV12" i="10"/>
  <c r="BT12" i="10"/>
  <c r="BR12" i="10"/>
  <c r="BP12" i="10"/>
  <c r="BN12" i="10"/>
  <c r="BL12" i="10"/>
  <c r="BJ12" i="10"/>
  <c r="BH12" i="10"/>
  <c r="BF12" i="10"/>
  <c r="BD12" i="10"/>
  <c r="BB12" i="10"/>
  <c r="AZ12" i="10"/>
  <c r="AX12" i="10"/>
  <c r="AV12" i="10"/>
  <c r="AR12" i="10"/>
  <c r="AT12" i="10" s="1"/>
  <c r="X12" i="10"/>
  <c r="N12" i="10" s="1"/>
  <c r="Q12" i="10"/>
  <c r="O12" i="10"/>
  <c r="M12" i="10"/>
  <c r="L12" i="10"/>
  <c r="G12" i="10"/>
  <c r="DQ11" i="10"/>
  <c r="DP11" i="10"/>
  <c r="DC11" i="10"/>
  <c r="CT11" i="10"/>
  <c r="CR11" i="10"/>
  <c r="CP11" i="10"/>
  <c r="CN11" i="10"/>
  <c r="CL11" i="10"/>
  <c r="CJ11" i="10"/>
  <c r="CH11" i="10"/>
  <c r="CF11" i="10"/>
  <c r="CD11" i="10"/>
  <c r="CB11" i="10"/>
  <c r="BZ11" i="10"/>
  <c r="BX11" i="10"/>
  <c r="BV11" i="10"/>
  <c r="BT11" i="10"/>
  <c r="BR11" i="10"/>
  <c r="BP11" i="10"/>
  <c r="BN11" i="10"/>
  <c r="BL11" i="10"/>
  <c r="BJ11" i="10"/>
  <c r="BH11" i="10"/>
  <c r="BF11" i="10"/>
  <c r="BD11" i="10"/>
  <c r="BB11" i="10"/>
  <c r="AZ11" i="10"/>
  <c r="AX11" i="10"/>
  <c r="AV11" i="10"/>
  <c r="AR11" i="10"/>
  <c r="AT11" i="10" s="1"/>
  <c r="X11" i="10"/>
  <c r="N11" i="10" s="1"/>
  <c r="Q11" i="10"/>
  <c r="O11" i="10"/>
  <c r="M11" i="10"/>
  <c r="L11" i="10"/>
  <c r="G11" i="10"/>
  <c r="DP10" i="10"/>
  <c r="DQ10" i="10" s="1"/>
  <c r="DC10" i="10"/>
  <c r="CT10" i="10"/>
  <c r="CR10" i="10"/>
  <c r="CP10" i="10"/>
  <c r="CN10" i="10"/>
  <c r="CL10" i="10"/>
  <c r="CJ10" i="10"/>
  <c r="CH10" i="10"/>
  <c r="CF10" i="10"/>
  <c r="CD10" i="10"/>
  <c r="CB10" i="10"/>
  <c r="BZ10" i="10"/>
  <c r="BX10" i="10"/>
  <c r="BV10" i="10"/>
  <c r="BT10" i="10"/>
  <c r="BR10" i="10"/>
  <c r="BP10" i="10"/>
  <c r="BN10" i="10"/>
  <c r="BL10" i="10"/>
  <c r="BJ10" i="10"/>
  <c r="BH10" i="10"/>
  <c r="BF10" i="10"/>
  <c r="BD10" i="10"/>
  <c r="BB10" i="10"/>
  <c r="AZ10" i="10"/>
  <c r="AX10" i="10"/>
  <c r="AV10" i="10"/>
  <c r="AR10" i="10"/>
  <c r="AT10" i="10" s="1"/>
  <c r="X10" i="10"/>
  <c r="Q10" i="10"/>
  <c r="O10" i="10"/>
  <c r="N10" i="10"/>
  <c r="M10" i="10"/>
  <c r="L10" i="10"/>
  <c r="G10" i="10"/>
  <c r="DP9" i="10"/>
  <c r="DQ9" i="10" s="1"/>
  <c r="DC9" i="10"/>
  <c r="CT9" i="10"/>
  <c r="CR9" i="10"/>
  <c r="CP9" i="10"/>
  <c r="CN9" i="10"/>
  <c r="CL9" i="10"/>
  <c r="CJ9" i="10"/>
  <c r="CH9" i="10"/>
  <c r="CF9" i="10"/>
  <c r="CD9" i="10"/>
  <c r="CB9" i="10"/>
  <c r="BZ9" i="10"/>
  <c r="BX9" i="10"/>
  <c r="BV9" i="10"/>
  <c r="BT9" i="10"/>
  <c r="BR9" i="10"/>
  <c r="BP9" i="10"/>
  <c r="BN9" i="10"/>
  <c r="BL9" i="10"/>
  <c r="BJ9" i="10"/>
  <c r="BH9" i="10"/>
  <c r="BF9" i="10"/>
  <c r="BD9" i="10"/>
  <c r="BB9" i="10"/>
  <c r="AZ9" i="10"/>
  <c r="AX9" i="10"/>
  <c r="AV9" i="10"/>
  <c r="AS9" i="10"/>
  <c r="AR9" i="10"/>
  <c r="AT9" i="10" s="1"/>
  <c r="X9" i="10"/>
  <c r="Q9" i="10"/>
  <c r="O9" i="10"/>
  <c r="M9" i="10"/>
  <c r="N9" i="10" s="1"/>
  <c r="L9" i="10"/>
  <c r="G9" i="10"/>
  <c r="DQ8" i="10"/>
  <c r="DP8" i="10"/>
  <c r="DC8" i="10"/>
  <c r="CT8" i="10"/>
  <c r="CR8" i="10"/>
  <c r="CP8" i="10"/>
  <c r="CN8" i="10"/>
  <c r="CL8" i="10"/>
  <c r="CJ8" i="10"/>
  <c r="CH8" i="10"/>
  <c r="CF8" i="10"/>
  <c r="CD8" i="10"/>
  <c r="CB8" i="10"/>
  <c r="BZ8" i="10"/>
  <c r="BX8" i="10"/>
  <c r="BV8" i="10"/>
  <c r="BT8" i="10"/>
  <c r="BR8" i="10"/>
  <c r="BP8" i="10"/>
  <c r="BN8" i="10"/>
  <c r="BL8" i="10"/>
  <c r="BJ8" i="10"/>
  <c r="BH8" i="10"/>
  <c r="BF8" i="10"/>
  <c r="BD8" i="10"/>
  <c r="BB8" i="10"/>
  <c r="AZ8" i="10"/>
  <c r="AX8" i="10"/>
  <c r="AV8" i="10"/>
  <c r="AR8" i="10"/>
  <c r="AT8" i="10" s="1"/>
  <c r="X8" i="10"/>
  <c r="Q8" i="10"/>
  <c r="O8" i="10"/>
  <c r="M8" i="10"/>
  <c r="N8" i="10" s="1"/>
  <c r="L8" i="10"/>
  <c r="G8" i="10"/>
  <c r="DP7" i="10"/>
  <c r="DQ7" i="10" s="1"/>
  <c r="DC7" i="10"/>
  <c r="CT7" i="10"/>
  <c r="CR7" i="10"/>
  <c r="CP7" i="10"/>
  <c r="CN7" i="10"/>
  <c r="CL7" i="10"/>
  <c r="CJ7" i="10"/>
  <c r="CH7" i="10"/>
  <c r="CF7" i="10"/>
  <c r="CD7" i="10"/>
  <c r="CB7" i="10"/>
  <c r="BZ7" i="10"/>
  <c r="BX7" i="10"/>
  <c r="BV7" i="10"/>
  <c r="BT7" i="10"/>
  <c r="BR7" i="10"/>
  <c r="BP7" i="10"/>
  <c r="BN7" i="10"/>
  <c r="BL7" i="10"/>
  <c r="BJ7" i="10"/>
  <c r="BH7" i="10"/>
  <c r="BF7" i="10"/>
  <c r="BD7" i="10"/>
  <c r="BB7" i="10"/>
  <c r="AZ7" i="10"/>
  <c r="AX7" i="10"/>
  <c r="AV7" i="10"/>
  <c r="AR7" i="10"/>
  <c r="AT7" i="10" s="1"/>
  <c r="X7" i="10"/>
  <c r="Q7" i="10"/>
  <c r="O7" i="10"/>
  <c r="M7" i="10"/>
  <c r="N7" i="10" s="1"/>
  <c r="L7" i="10"/>
  <c r="G7" i="10"/>
  <c r="DP6" i="10"/>
  <c r="DQ6" i="10" s="1"/>
  <c r="DC6" i="10"/>
  <c r="CT6" i="10"/>
  <c r="CR6" i="10"/>
  <c r="CP6" i="10"/>
  <c r="CN6" i="10"/>
  <c r="CL6" i="10"/>
  <c r="CJ6" i="10"/>
  <c r="CH6" i="10"/>
  <c r="CF6" i="10"/>
  <c r="CD6" i="10"/>
  <c r="CB6" i="10"/>
  <c r="BZ6" i="10"/>
  <c r="BX6" i="10"/>
  <c r="BV6" i="10"/>
  <c r="BT6" i="10"/>
  <c r="BR6" i="10"/>
  <c r="BP6" i="10"/>
  <c r="BN6" i="10"/>
  <c r="BL6" i="10"/>
  <c r="BJ6" i="10"/>
  <c r="BH6" i="10"/>
  <c r="BF6" i="10"/>
  <c r="BD6" i="10"/>
  <c r="BB6" i="10"/>
  <c r="AZ6" i="10"/>
  <c r="AX6" i="10"/>
  <c r="AV6" i="10"/>
  <c r="AR6" i="10"/>
  <c r="AT6" i="10" s="1"/>
  <c r="X6" i="10"/>
  <c r="Q6" i="10"/>
  <c r="O6" i="10"/>
  <c r="M6" i="10"/>
  <c r="N6" i="10" s="1"/>
  <c r="L6" i="10"/>
  <c r="G6" i="10"/>
  <c r="DP5" i="10"/>
  <c r="DC5" i="10"/>
  <c r="CT5" i="10"/>
  <c r="CR5" i="10"/>
  <c r="CP5" i="10"/>
  <c r="CP37" i="10" s="1"/>
  <c r="CN5" i="10"/>
  <c r="CL5" i="10"/>
  <c r="CL37" i="10" s="1"/>
  <c r="CJ5" i="10"/>
  <c r="CH5" i="10"/>
  <c r="CF5" i="10"/>
  <c r="CF37" i="10" s="1"/>
  <c r="CD5" i="10"/>
  <c r="CB5" i="10"/>
  <c r="BZ5" i="10"/>
  <c r="BZ37" i="10" s="1"/>
  <c r="BX5" i="10"/>
  <c r="BV5" i="10"/>
  <c r="BV37" i="10" s="1"/>
  <c r="BT5" i="10"/>
  <c r="BR5" i="10"/>
  <c r="BP5" i="10"/>
  <c r="BP37" i="10" s="1"/>
  <c r="BN5" i="10"/>
  <c r="BL5" i="10"/>
  <c r="BJ5" i="10"/>
  <c r="BJ37" i="10" s="1"/>
  <c r="BH5" i="10"/>
  <c r="BF5" i="10"/>
  <c r="BF37" i="10" s="1"/>
  <c r="BD5" i="10"/>
  <c r="BB5" i="10"/>
  <c r="AZ5" i="10"/>
  <c r="AZ37" i="10" s="1"/>
  <c r="AX5" i="10"/>
  <c r="AV5" i="10"/>
  <c r="AR5" i="10"/>
  <c r="AR36" i="10" s="1"/>
  <c r="AS36" i="10" s="1"/>
  <c r="AC5" i="10"/>
  <c r="AA5" i="10"/>
  <c r="Z5" i="10"/>
  <c r="Z6" i="10" s="1"/>
  <c r="Z7" i="10" s="1"/>
  <c r="Z8" i="10" s="1"/>
  <c r="Z9" i="10" s="1"/>
  <c r="Z10" i="10" s="1"/>
  <c r="Z11" i="10" s="1"/>
  <c r="Z12" i="10" s="1"/>
  <c r="Z13" i="10" s="1"/>
  <c r="Z14" i="10" s="1"/>
  <c r="Z15" i="10" s="1"/>
  <c r="Z16" i="10" s="1"/>
  <c r="Z17" i="10" s="1"/>
  <c r="Z18" i="10" s="1"/>
  <c r="Z19" i="10" s="1"/>
  <c r="Z20" i="10" s="1"/>
  <c r="Z21" i="10" s="1"/>
  <c r="Z22" i="10" s="1"/>
  <c r="Z23" i="10" s="1"/>
  <c r="Z24" i="10" s="1"/>
  <c r="Z25" i="10" s="1"/>
  <c r="Z26" i="10" s="1"/>
  <c r="Z27" i="10" s="1"/>
  <c r="Z28" i="10" s="1"/>
  <c r="Z29" i="10" s="1"/>
  <c r="Z30" i="10" s="1"/>
  <c r="Z31" i="10" s="1"/>
  <c r="Z32" i="10" s="1"/>
  <c r="Z33" i="10" s="1"/>
  <c r="Z34" i="10" s="1"/>
  <c r="Z35" i="10" s="1"/>
  <c r="X5" i="10"/>
  <c r="V5" i="10"/>
  <c r="V6" i="10" s="1"/>
  <c r="Q5" i="10"/>
  <c r="O5" i="10"/>
  <c r="O37" i="10" s="1"/>
  <c r="M5" i="10"/>
  <c r="M37" i="10" s="1"/>
  <c r="L5" i="10"/>
  <c r="G5" i="10"/>
  <c r="AQ4" i="10"/>
  <c r="AP4" i="10"/>
  <c r="AO4" i="10"/>
  <c r="AN4" i="10"/>
  <c r="AM4" i="10"/>
  <c r="A1" i="10"/>
  <c r="DO37" i="9"/>
  <c r="DN37" i="9"/>
  <c r="DM37" i="9"/>
  <c r="DL37" i="9"/>
  <c r="DK37" i="9"/>
  <c r="DJ37" i="9"/>
  <c r="DI37" i="9"/>
  <c r="DH37" i="9"/>
  <c r="DG37" i="9"/>
  <c r="DF37" i="9"/>
  <c r="DA37" i="9"/>
  <c r="CZ37" i="9"/>
  <c r="CY37" i="9"/>
  <c r="CX37" i="9"/>
  <c r="CV37" i="9"/>
  <c r="CU37" i="9"/>
  <c r="CS37" i="9"/>
  <c r="CQ37" i="9"/>
  <c r="CO37" i="9"/>
  <c r="CM37" i="9"/>
  <c r="CK37" i="9"/>
  <c r="CI37" i="9"/>
  <c r="CG37" i="9"/>
  <c r="CE37" i="9"/>
  <c r="CC37" i="9"/>
  <c r="CA37" i="9"/>
  <c r="BY37" i="9"/>
  <c r="BW37" i="9"/>
  <c r="BU37" i="9"/>
  <c r="BS37" i="9"/>
  <c r="BQ37" i="9"/>
  <c r="BO37" i="9"/>
  <c r="BM37" i="9"/>
  <c r="BK37" i="9"/>
  <c r="BI37" i="9"/>
  <c r="BG37" i="9"/>
  <c r="BE37" i="9"/>
  <c r="BC37" i="9"/>
  <c r="BA37" i="9"/>
  <c r="AY37" i="9"/>
  <c r="AW37" i="9"/>
  <c r="AQ37" i="9"/>
  <c r="AP37" i="9"/>
  <c r="AO37" i="9"/>
  <c r="AN37" i="9"/>
  <c r="AM37" i="9"/>
  <c r="AL37" i="9"/>
  <c r="AK37" i="9"/>
  <c r="AJ37" i="9"/>
  <c r="AI37" i="9"/>
  <c r="AH37" i="9"/>
  <c r="AG37" i="9"/>
  <c r="AF37" i="9"/>
  <c r="AE37" i="9"/>
  <c r="AD37" i="9"/>
  <c r="Y37" i="9"/>
  <c r="W37" i="9"/>
  <c r="U37" i="9"/>
  <c r="K37" i="9"/>
  <c r="L37" i="9" s="1"/>
  <c r="H37" i="9"/>
  <c r="F37" i="9"/>
  <c r="DO36" i="9"/>
  <c r="DN36" i="9"/>
  <c r="DM36" i="9"/>
  <c r="DL36" i="9"/>
  <c r="DK36" i="9"/>
  <c r="DJ36" i="9"/>
  <c r="DI36" i="9"/>
  <c r="DH36" i="9"/>
  <c r="DG36" i="9"/>
  <c r="DF36" i="9"/>
  <c r="DA36" i="9"/>
  <c r="CZ36" i="9"/>
  <c r="CY36" i="9"/>
  <c r="CX36" i="9"/>
  <c r="CV36" i="9"/>
  <c r="CU36" i="9"/>
  <c r="CS36" i="9"/>
  <c r="CQ36" i="9"/>
  <c r="CO36" i="9"/>
  <c r="CM36" i="9"/>
  <c r="CK36" i="9"/>
  <c r="CI36" i="9"/>
  <c r="CG36" i="9"/>
  <c r="CE36" i="9"/>
  <c r="CC36" i="9"/>
  <c r="CA36" i="9"/>
  <c r="BY36" i="9"/>
  <c r="BW36" i="9"/>
  <c r="BU36" i="9"/>
  <c r="BS36" i="9"/>
  <c r="BQ36" i="9"/>
  <c r="BO36" i="9"/>
  <c r="BM36" i="9"/>
  <c r="BK36" i="9"/>
  <c r="BI36" i="9"/>
  <c r="BG36" i="9"/>
  <c r="BE36" i="9"/>
  <c r="BC36" i="9"/>
  <c r="BA36" i="9"/>
  <c r="AY36" i="9"/>
  <c r="AW36" i="9"/>
  <c r="AQ36" i="9"/>
  <c r="AP36" i="9"/>
  <c r="AO36" i="9"/>
  <c r="AN36" i="9"/>
  <c r="AM36" i="9"/>
  <c r="AL36" i="9"/>
  <c r="AK36" i="9"/>
  <c r="AJ36" i="9"/>
  <c r="AI36" i="9"/>
  <c r="AH36" i="9"/>
  <c r="AG36" i="9"/>
  <c r="AF36" i="9"/>
  <c r="AE36" i="9"/>
  <c r="AD36" i="9"/>
  <c r="Y36" i="9"/>
  <c r="W36" i="9"/>
  <c r="U36" i="9"/>
  <c r="N36" i="9"/>
  <c r="K36" i="9"/>
  <c r="L36" i="9" s="1"/>
  <c r="F36" i="9"/>
  <c r="DP35" i="9"/>
  <c r="DQ35" i="9" s="1"/>
  <c r="DC35" i="9"/>
  <c r="CT35" i="9"/>
  <c r="CR35" i="9"/>
  <c r="CP35" i="9"/>
  <c r="CN35" i="9"/>
  <c r="CL35" i="9"/>
  <c r="CJ35" i="9"/>
  <c r="CH35" i="9"/>
  <c r="CF35" i="9"/>
  <c r="CD35" i="9"/>
  <c r="CB35" i="9"/>
  <c r="BZ35" i="9"/>
  <c r="BX35" i="9"/>
  <c r="BV35" i="9"/>
  <c r="BT35" i="9"/>
  <c r="BR35" i="9"/>
  <c r="BP35" i="9"/>
  <c r="BN35" i="9"/>
  <c r="BL35" i="9"/>
  <c r="BJ35" i="9"/>
  <c r="BH35" i="9"/>
  <c r="BF35" i="9"/>
  <c r="BD35" i="9"/>
  <c r="BB35" i="9"/>
  <c r="AZ35" i="9"/>
  <c r="AX35" i="9"/>
  <c r="AV35" i="9"/>
  <c r="AS35" i="9"/>
  <c r="AR35" i="9"/>
  <c r="AT35" i="9" s="1"/>
  <c r="X35" i="9"/>
  <c r="Q35" i="9"/>
  <c r="O35" i="9"/>
  <c r="M35" i="9"/>
  <c r="N35" i="9" s="1"/>
  <c r="L35" i="9"/>
  <c r="G35" i="9"/>
  <c r="DP34" i="9"/>
  <c r="DQ34" i="9" s="1"/>
  <c r="DC34" i="9"/>
  <c r="CT34" i="9"/>
  <c r="CR34" i="9"/>
  <c r="CP34" i="9"/>
  <c r="CN34" i="9"/>
  <c r="CL34" i="9"/>
  <c r="CJ34" i="9"/>
  <c r="CH34" i="9"/>
  <c r="CF34" i="9"/>
  <c r="CD34" i="9"/>
  <c r="CB34" i="9"/>
  <c r="BZ34" i="9"/>
  <c r="BX34" i="9"/>
  <c r="BV34" i="9"/>
  <c r="BT34" i="9"/>
  <c r="BR34" i="9"/>
  <c r="BP34" i="9"/>
  <c r="BN34" i="9"/>
  <c r="BL34" i="9"/>
  <c r="BJ34" i="9"/>
  <c r="BH34" i="9"/>
  <c r="BF34" i="9"/>
  <c r="BD34" i="9"/>
  <c r="BB34" i="9"/>
  <c r="AZ34" i="9"/>
  <c r="AX34" i="9"/>
  <c r="AV34" i="9"/>
  <c r="AS34" i="9"/>
  <c r="AR34" i="9"/>
  <c r="AT34" i="9" s="1"/>
  <c r="X34" i="9"/>
  <c r="Q34" i="9"/>
  <c r="O34" i="9"/>
  <c r="M34" i="9"/>
  <c r="N34" i="9" s="1"/>
  <c r="L34" i="9"/>
  <c r="G34" i="9"/>
  <c r="DP33" i="9"/>
  <c r="DQ33" i="9" s="1"/>
  <c r="DC33" i="9"/>
  <c r="CT33" i="9"/>
  <c r="CR33" i="9"/>
  <c r="CP33" i="9"/>
  <c r="CN33" i="9"/>
  <c r="CL33" i="9"/>
  <c r="CJ33" i="9"/>
  <c r="CH33" i="9"/>
  <c r="CF33" i="9"/>
  <c r="CD33" i="9"/>
  <c r="CB33" i="9"/>
  <c r="BZ33" i="9"/>
  <c r="BX33" i="9"/>
  <c r="BV33" i="9"/>
  <c r="BT33" i="9"/>
  <c r="BR33" i="9"/>
  <c r="BP33" i="9"/>
  <c r="BN33" i="9"/>
  <c r="BL33" i="9"/>
  <c r="BJ33" i="9"/>
  <c r="BH33" i="9"/>
  <c r="BF33" i="9"/>
  <c r="BD33" i="9"/>
  <c r="BB33" i="9"/>
  <c r="AZ33" i="9"/>
  <c r="AX33" i="9"/>
  <c r="AV33" i="9"/>
  <c r="AS33" i="9"/>
  <c r="AR33" i="9"/>
  <c r="AT33" i="9" s="1"/>
  <c r="X33" i="9"/>
  <c r="Q33" i="9"/>
  <c r="O33" i="9"/>
  <c r="M33" i="9"/>
  <c r="N33" i="9" s="1"/>
  <c r="L33" i="9"/>
  <c r="G33" i="9"/>
  <c r="DP32" i="9"/>
  <c r="DQ32" i="9" s="1"/>
  <c r="DC32" i="9"/>
  <c r="CT32" i="9"/>
  <c r="CR32" i="9"/>
  <c r="CP32" i="9"/>
  <c r="CN32" i="9"/>
  <c r="CL32" i="9"/>
  <c r="CJ32" i="9"/>
  <c r="CH32" i="9"/>
  <c r="CF32" i="9"/>
  <c r="CD32" i="9"/>
  <c r="CB32" i="9"/>
  <c r="BZ32" i="9"/>
  <c r="BX32" i="9"/>
  <c r="BV32" i="9"/>
  <c r="BT32" i="9"/>
  <c r="BR32" i="9"/>
  <c r="BP32" i="9"/>
  <c r="BN32" i="9"/>
  <c r="BL32" i="9"/>
  <c r="BJ32" i="9"/>
  <c r="BH32" i="9"/>
  <c r="BF32" i="9"/>
  <c r="BD32" i="9"/>
  <c r="BB32" i="9"/>
  <c r="AZ32" i="9"/>
  <c r="AX32" i="9"/>
  <c r="AV32" i="9"/>
  <c r="AR32" i="9"/>
  <c r="AT32" i="9" s="1"/>
  <c r="X32" i="9"/>
  <c r="Q32" i="9"/>
  <c r="O32" i="9"/>
  <c r="M32" i="9"/>
  <c r="N32" i="9" s="1"/>
  <c r="L32" i="9"/>
  <c r="G32" i="9"/>
  <c r="DP31" i="9"/>
  <c r="DQ31" i="9" s="1"/>
  <c r="DC31" i="9"/>
  <c r="CT31" i="9"/>
  <c r="CR31" i="9"/>
  <c r="CP31" i="9"/>
  <c r="CN31" i="9"/>
  <c r="CL31" i="9"/>
  <c r="CJ31" i="9"/>
  <c r="CH31" i="9"/>
  <c r="CF31" i="9"/>
  <c r="CD31" i="9"/>
  <c r="CB31" i="9"/>
  <c r="BZ31" i="9"/>
  <c r="BX31" i="9"/>
  <c r="BV31" i="9"/>
  <c r="BT31" i="9"/>
  <c r="BR31" i="9"/>
  <c r="BP31" i="9"/>
  <c r="BN31" i="9"/>
  <c r="BL31" i="9"/>
  <c r="BJ31" i="9"/>
  <c r="BH31" i="9"/>
  <c r="BF31" i="9"/>
  <c r="BD31" i="9"/>
  <c r="BB31" i="9"/>
  <c r="AZ31" i="9"/>
  <c r="AX31" i="9"/>
  <c r="AV31" i="9"/>
  <c r="AR31" i="9"/>
  <c r="AT31" i="9" s="1"/>
  <c r="X31" i="9"/>
  <c r="Q31" i="9"/>
  <c r="O31" i="9"/>
  <c r="M31" i="9"/>
  <c r="N31" i="9" s="1"/>
  <c r="L31" i="9"/>
  <c r="G31" i="9"/>
  <c r="DP30" i="9"/>
  <c r="DQ30" i="9" s="1"/>
  <c r="DC30" i="9"/>
  <c r="CT30" i="9"/>
  <c r="CR30" i="9"/>
  <c r="CP30" i="9"/>
  <c r="CN30" i="9"/>
  <c r="CL30" i="9"/>
  <c r="CJ30" i="9"/>
  <c r="CH30" i="9"/>
  <c r="CF30" i="9"/>
  <c r="CD30" i="9"/>
  <c r="CB30" i="9"/>
  <c r="BZ30" i="9"/>
  <c r="BX30" i="9"/>
  <c r="BV30" i="9"/>
  <c r="BT30" i="9"/>
  <c r="BR30" i="9"/>
  <c r="BP30" i="9"/>
  <c r="BN30" i="9"/>
  <c r="BL30" i="9"/>
  <c r="BJ30" i="9"/>
  <c r="BH30" i="9"/>
  <c r="BF30" i="9"/>
  <c r="BD30" i="9"/>
  <c r="BB30" i="9"/>
  <c r="AZ30" i="9"/>
  <c r="AX30" i="9"/>
  <c r="AV30" i="9"/>
  <c r="AR30" i="9"/>
  <c r="AT30" i="9" s="1"/>
  <c r="X30" i="9"/>
  <c r="Q30" i="9"/>
  <c r="O30" i="9"/>
  <c r="M30" i="9"/>
  <c r="N30" i="9" s="1"/>
  <c r="L30" i="9"/>
  <c r="G30" i="9"/>
  <c r="DP29" i="9"/>
  <c r="DQ29" i="9" s="1"/>
  <c r="DC29" i="9"/>
  <c r="CT29" i="9"/>
  <c r="CR29" i="9"/>
  <c r="CP29" i="9"/>
  <c r="CN29" i="9"/>
  <c r="CL29" i="9"/>
  <c r="CJ29" i="9"/>
  <c r="CH29" i="9"/>
  <c r="CF29" i="9"/>
  <c r="CD29" i="9"/>
  <c r="CB29" i="9"/>
  <c r="BZ29" i="9"/>
  <c r="BX29" i="9"/>
  <c r="BV29" i="9"/>
  <c r="BT29" i="9"/>
  <c r="BR29" i="9"/>
  <c r="BP29" i="9"/>
  <c r="BN29" i="9"/>
  <c r="BL29" i="9"/>
  <c r="BJ29" i="9"/>
  <c r="BH29" i="9"/>
  <c r="BF29" i="9"/>
  <c r="BD29" i="9"/>
  <c r="BB29" i="9"/>
  <c r="AZ29" i="9"/>
  <c r="AX29" i="9"/>
  <c r="AV29" i="9"/>
  <c r="AR29" i="9"/>
  <c r="AT29" i="9" s="1"/>
  <c r="X29" i="9"/>
  <c r="Q29" i="9"/>
  <c r="O29" i="9"/>
  <c r="M29" i="9"/>
  <c r="N29" i="9" s="1"/>
  <c r="L29" i="9"/>
  <c r="G29" i="9"/>
  <c r="DP28" i="9"/>
  <c r="DQ28" i="9" s="1"/>
  <c r="DC28" i="9"/>
  <c r="CT28" i="9"/>
  <c r="CR28" i="9"/>
  <c r="CP28" i="9"/>
  <c r="CN28" i="9"/>
  <c r="CL28" i="9"/>
  <c r="CJ28" i="9"/>
  <c r="CH28" i="9"/>
  <c r="CF28" i="9"/>
  <c r="CD28" i="9"/>
  <c r="CB28" i="9"/>
  <c r="BZ28" i="9"/>
  <c r="BX28" i="9"/>
  <c r="BV28" i="9"/>
  <c r="BT28" i="9"/>
  <c r="BR28" i="9"/>
  <c r="BP28" i="9"/>
  <c r="BN28" i="9"/>
  <c r="BL28" i="9"/>
  <c r="BJ28" i="9"/>
  <c r="BH28" i="9"/>
  <c r="BF28" i="9"/>
  <c r="BD28" i="9"/>
  <c r="BB28" i="9"/>
  <c r="AZ28" i="9"/>
  <c r="AX28" i="9"/>
  <c r="AV28" i="9"/>
  <c r="AR28" i="9"/>
  <c r="AT28" i="9" s="1"/>
  <c r="X28" i="9"/>
  <c r="Q28" i="9"/>
  <c r="O28" i="9"/>
  <c r="M28" i="9"/>
  <c r="N28" i="9" s="1"/>
  <c r="L28" i="9"/>
  <c r="G28" i="9"/>
  <c r="DP27" i="9"/>
  <c r="DQ27" i="9" s="1"/>
  <c r="DC27" i="9"/>
  <c r="CT27" i="9"/>
  <c r="CR27" i="9"/>
  <c r="CP27" i="9"/>
  <c r="CN27" i="9"/>
  <c r="CL27" i="9"/>
  <c r="CJ27" i="9"/>
  <c r="CH27" i="9"/>
  <c r="CF27" i="9"/>
  <c r="CD27" i="9"/>
  <c r="CB27" i="9"/>
  <c r="BZ27" i="9"/>
  <c r="BX27" i="9"/>
  <c r="BV27" i="9"/>
  <c r="BT27" i="9"/>
  <c r="BR27" i="9"/>
  <c r="BP27" i="9"/>
  <c r="BN27" i="9"/>
  <c r="BL27" i="9"/>
  <c r="BJ27" i="9"/>
  <c r="BH27" i="9"/>
  <c r="BF27" i="9"/>
  <c r="BD27" i="9"/>
  <c r="BB27" i="9"/>
  <c r="AZ27" i="9"/>
  <c r="AX27" i="9"/>
  <c r="AV27" i="9"/>
  <c r="AR27" i="9"/>
  <c r="AT27" i="9" s="1"/>
  <c r="X27" i="9"/>
  <c r="Q27" i="9"/>
  <c r="O27" i="9"/>
  <c r="M27" i="9"/>
  <c r="N27" i="9" s="1"/>
  <c r="L27" i="9"/>
  <c r="G27" i="9"/>
  <c r="DP26" i="9"/>
  <c r="DQ26" i="9" s="1"/>
  <c r="DC26" i="9"/>
  <c r="CT26" i="9"/>
  <c r="CR26" i="9"/>
  <c r="CP26" i="9"/>
  <c r="CN26" i="9"/>
  <c r="CL26" i="9"/>
  <c r="CJ26" i="9"/>
  <c r="CH26" i="9"/>
  <c r="CF26" i="9"/>
  <c r="CD26" i="9"/>
  <c r="CB26" i="9"/>
  <c r="BZ26" i="9"/>
  <c r="BX26" i="9"/>
  <c r="BV26" i="9"/>
  <c r="BT26" i="9"/>
  <c r="BR26" i="9"/>
  <c r="BP26" i="9"/>
  <c r="BN26" i="9"/>
  <c r="BL26" i="9"/>
  <c r="BJ26" i="9"/>
  <c r="BH26" i="9"/>
  <c r="BF26" i="9"/>
  <c r="BD26" i="9"/>
  <c r="BB26" i="9"/>
  <c r="AZ26" i="9"/>
  <c r="AX26" i="9"/>
  <c r="AV26" i="9"/>
  <c r="AR26" i="9"/>
  <c r="AT26" i="9" s="1"/>
  <c r="X26" i="9"/>
  <c r="Q26" i="9"/>
  <c r="O26" i="9"/>
  <c r="M26" i="9"/>
  <c r="N26" i="9" s="1"/>
  <c r="L26" i="9"/>
  <c r="G26" i="9"/>
  <c r="DP25" i="9"/>
  <c r="DQ25" i="9" s="1"/>
  <c r="DC25" i="9"/>
  <c r="CT25" i="9"/>
  <c r="CR25" i="9"/>
  <c r="CP25" i="9"/>
  <c r="CN25" i="9"/>
  <c r="CL25" i="9"/>
  <c r="CJ25" i="9"/>
  <c r="CH25" i="9"/>
  <c r="CF25" i="9"/>
  <c r="CD25" i="9"/>
  <c r="CB25" i="9"/>
  <c r="BZ25" i="9"/>
  <c r="BX25" i="9"/>
  <c r="BV25" i="9"/>
  <c r="BT25" i="9"/>
  <c r="BR25" i="9"/>
  <c r="BP25" i="9"/>
  <c r="BN25" i="9"/>
  <c r="BL25" i="9"/>
  <c r="BJ25" i="9"/>
  <c r="BH25" i="9"/>
  <c r="BF25" i="9"/>
  <c r="BD25" i="9"/>
  <c r="BB25" i="9"/>
  <c r="AZ25" i="9"/>
  <c r="AX25" i="9"/>
  <c r="AV25" i="9"/>
  <c r="AR25" i="9"/>
  <c r="AT25" i="9" s="1"/>
  <c r="X25" i="9"/>
  <c r="Q25" i="9"/>
  <c r="O25" i="9"/>
  <c r="M25" i="9"/>
  <c r="N25" i="9" s="1"/>
  <c r="L25" i="9"/>
  <c r="G25" i="9"/>
  <c r="DP24" i="9"/>
  <c r="DQ24" i="9" s="1"/>
  <c r="DC24" i="9"/>
  <c r="CT24" i="9"/>
  <c r="CR24" i="9"/>
  <c r="CP24" i="9"/>
  <c r="CN24" i="9"/>
  <c r="CL24" i="9"/>
  <c r="CJ24" i="9"/>
  <c r="CH24" i="9"/>
  <c r="CF24" i="9"/>
  <c r="CD24" i="9"/>
  <c r="CB24" i="9"/>
  <c r="BZ24" i="9"/>
  <c r="BX24" i="9"/>
  <c r="BV24" i="9"/>
  <c r="BT24" i="9"/>
  <c r="BR24" i="9"/>
  <c r="BP24" i="9"/>
  <c r="BN24" i="9"/>
  <c r="BL24" i="9"/>
  <c r="BJ24" i="9"/>
  <c r="BH24" i="9"/>
  <c r="BF24" i="9"/>
  <c r="BD24" i="9"/>
  <c r="BB24" i="9"/>
  <c r="AZ24" i="9"/>
  <c r="AX24" i="9"/>
  <c r="AV24" i="9"/>
  <c r="AR24" i="9"/>
  <c r="AT24" i="9" s="1"/>
  <c r="X24" i="9"/>
  <c r="Q24" i="9"/>
  <c r="O24" i="9"/>
  <c r="M24" i="9"/>
  <c r="N24" i="9" s="1"/>
  <c r="L24" i="9"/>
  <c r="G24" i="9"/>
  <c r="DP23" i="9"/>
  <c r="DQ23" i="9" s="1"/>
  <c r="DC23" i="9"/>
  <c r="CT23" i="9"/>
  <c r="CR23" i="9"/>
  <c r="CP23" i="9"/>
  <c r="CN23" i="9"/>
  <c r="CL23" i="9"/>
  <c r="CJ23" i="9"/>
  <c r="CH23" i="9"/>
  <c r="CF23" i="9"/>
  <c r="CD23" i="9"/>
  <c r="CB23" i="9"/>
  <c r="BZ23" i="9"/>
  <c r="BX23" i="9"/>
  <c r="BV23" i="9"/>
  <c r="BT23" i="9"/>
  <c r="BR23" i="9"/>
  <c r="BP23" i="9"/>
  <c r="BN23" i="9"/>
  <c r="BL23" i="9"/>
  <c r="BJ23" i="9"/>
  <c r="BH23" i="9"/>
  <c r="BF23" i="9"/>
  <c r="BD23" i="9"/>
  <c r="BB23" i="9"/>
  <c r="AZ23" i="9"/>
  <c r="AX23" i="9"/>
  <c r="AV23" i="9"/>
  <c r="AR23" i="9"/>
  <c r="AT23" i="9" s="1"/>
  <c r="X23" i="9"/>
  <c r="Q23" i="9"/>
  <c r="O23" i="9"/>
  <c r="M23" i="9"/>
  <c r="N23" i="9" s="1"/>
  <c r="L23" i="9"/>
  <c r="G23" i="9"/>
  <c r="DP22" i="9"/>
  <c r="DQ22" i="9" s="1"/>
  <c r="DC22" i="9"/>
  <c r="CT22" i="9"/>
  <c r="CR22" i="9"/>
  <c r="CP22" i="9"/>
  <c r="CN22" i="9"/>
  <c r="CL22" i="9"/>
  <c r="CJ22" i="9"/>
  <c r="CH22" i="9"/>
  <c r="CF22" i="9"/>
  <c r="CD22" i="9"/>
  <c r="CB22" i="9"/>
  <c r="BZ22" i="9"/>
  <c r="BX22" i="9"/>
  <c r="BV22" i="9"/>
  <c r="BT22" i="9"/>
  <c r="BR22" i="9"/>
  <c r="BP22" i="9"/>
  <c r="BN22" i="9"/>
  <c r="BL22" i="9"/>
  <c r="BJ22" i="9"/>
  <c r="BH22" i="9"/>
  <c r="BF22" i="9"/>
  <c r="BD22" i="9"/>
  <c r="BB22" i="9"/>
  <c r="AZ22" i="9"/>
  <c r="AX22" i="9"/>
  <c r="AV22" i="9"/>
  <c r="AR22" i="9"/>
  <c r="AT22" i="9" s="1"/>
  <c r="X22" i="9"/>
  <c r="Q22" i="9"/>
  <c r="O22" i="9"/>
  <c r="M22" i="9"/>
  <c r="N22" i="9" s="1"/>
  <c r="L22" i="9"/>
  <c r="G22" i="9"/>
  <c r="DP21" i="9"/>
  <c r="DQ21" i="9" s="1"/>
  <c r="DC21" i="9"/>
  <c r="CT21" i="9"/>
  <c r="CR21" i="9"/>
  <c r="CP21" i="9"/>
  <c r="CN21" i="9"/>
  <c r="CL21" i="9"/>
  <c r="CJ21" i="9"/>
  <c r="CH21" i="9"/>
  <c r="CF21" i="9"/>
  <c r="CD21" i="9"/>
  <c r="CB21" i="9"/>
  <c r="BZ21" i="9"/>
  <c r="BX21" i="9"/>
  <c r="BV21" i="9"/>
  <c r="BT21" i="9"/>
  <c r="BR21" i="9"/>
  <c r="BP21" i="9"/>
  <c r="BN21" i="9"/>
  <c r="BL21" i="9"/>
  <c r="BJ21" i="9"/>
  <c r="BH21" i="9"/>
  <c r="BF21" i="9"/>
  <c r="BD21" i="9"/>
  <c r="BB21" i="9"/>
  <c r="AZ21" i="9"/>
  <c r="AX21" i="9"/>
  <c r="AV21" i="9"/>
  <c r="AS21" i="9"/>
  <c r="AR21" i="9"/>
  <c r="AT21" i="9" s="1"/>
  <c r="X21" i="9"/>
  <c r="Q21" i="9"/>
  <c r="O21" i="9"/>
  <c r="M21" i="9"/>
  <c r="N21" i="9" s="1"/>
  <c r="L21" i="9"/>
  <c r="G21" i="9"/>
  <c r="DP20" i="9"/>
  <c r="DQ20" i="9" s="1"/>
  <c r="DC20" i="9"/>
  <c r="CT20" i="9"/>
  <c r="CR20" i="9"/>
  <c r="CP20" i="9"/>
  <c r="CN20" i="9"/>
  <c r="CL20" i="9"/>
  <c r="CJ20" i="9"/>
  <c r="CH20" i="9"/>
  <c r="CF20" i="9"/>
  <c r="CD20" i="9"/>
  <c r="CB20" i="9"/>
  <c r="BZ20" i="9"/>
  <c r="BX20" i="9"/>
  <c r="BV20" i="9"/>
  <c r="BT20" i="9"/>
  <c r="BR20" i="9"/>
  <c r="BP20" i="9"/>
  <c r="BN20" i="9"/>
  <c r="BL20" i="9"/>
  <c r="BJ20" i="9"/>
  <c r="BH20" i="9"/>
  <c r="BF20" i="9"/>
  <c r="BD20" i="9"/>
  <c r="BB20" i="9"/>
  <c r="AZ20" i="9"/>
  <c r="AX20" i="9"/>
  <c r="AV20" i="9"/>
  <c r="AS20" i="9"/>
  <c r="AR20" i="9"/>
  <c r="AT20" i="9" s="1"/>
  <c r="X20" i="9"/>
  <c r="Q20" i="9"/>
  <c r="O20" i="9"/>
  <c r="M20" i="9"/>
  <c r="N20" i="9" s="1"/>
  <c r="L20" i="9"/>
  <c r="G20" i="9"/>
  <c r="DP19" i="9"/>
  <c r="DQ19" i="9" s="1"/>
  <c r="DC19" i="9"/>
  <c r="CT19" i="9"/>
  <c r="CR19" i="9"/>
  <c r="CP19" i="9"/>
  <c r="CN19" i="9"/>
  <c r="CL19" i="9"/>
  <c r="CJ19" i="9"/>
  <c r="CH19" i="9"/>
  <c r="CF19" i="9"/>
  <c r="CD19" i="9"/>
  <c r="CB19" i="9"/>
  <c r="BZ19" i="9"/>
  <c r="BX19" i="9"/>
  <c r="BV19" i="9"/>
  <c r="BT19" i="9"/>
  <c r="BR19" i="9"/>
  <c r="BP19" i="9"/>
  <c r="BN19" i="9"/>
  <c r="BL19" i="9"/>
  <c r="BJ19" i="9"/>
  <c r="BH19" i="9"/>
  <c r="BF19" i="9"/>
  <c r="BD19" i="9"/>
  <c r="BB19" i="9"/>
  <c r="AZ19" i="9"/>
  <c r="AX19" i="9"/>
  <c r="AV19" i="9"/>
  <c r="AS19" i="9"/>
  <c r="AR19" i="9"/>
  <c r="AT19" i="9" s="1"/>
  <c r="X19" i="9"/>
  <c r="Q19" i="9"/>
  <c r="O19" i="9"/>
  <c r="M19" i="9"/>
  <c r="N19" i="9" s="1"/>
  <c r="L19" i="9"/>
  <c r="G19" i="9"/>
  <c r="DP18" i="9"/>
  <c r="DQ18" i="9" s="1"/>
  <c r="DC18" i="9"/>
  <c r="CT18" i="9"/>
  <c r="CR18" i="9"/>
  <c r="CP18" i="9"/>
  <c r="CN18" i="9"/>
  <c r="CL18" i="9"/>
  <c r="CJ18" i="9"/>
  <c r="CH18" i="9"/>
  <c r="CF18" i="9"/>
  <c r="CD18" i="9"/>
  <c r="CB18" i="9"/>
  <c r="BZ18" i="9"/>
  <c r="BX18" i="9"/>
  <c r="BV18" i="9"/>
  <c r="BT18" i="9"/>
  <c r="BR18" i="9"/>
  <c r="BP18" i="9"/>
  <c r="BN18" i="9"/>
  <c r="BL18" i="9"/>
  <c r="BJ18" i="9"/>
  <c r="BH18" i="9"/>
  <c r="BF18" i="9"/>
  <c r="BD18" i="9"/>
  <c r="BB18" i="9"/>
  <c r="AZ18" i="9"/>
  <c r="AX18" i="9"/>
  <c r="AV18" i="9"/>
  <c r="AS18" i="9"/>
  <c r="AR18" i="9"/>
  <c r="AT18" i="9" s="1"/>
  <c r="X18" i="9"/>
  <c r="Q18" i="9"/>
  <c r="O18" i="9"/>
  <c r="M18" i="9"/>
  <c r="N18" i="9" s="1"/>
  <c r="L18" i="9"/>
  <c r="G18" i="9"/>
  <c r="DP17" i="9"/>
  <c r="DQ17" i="9" s="1"/>
  <c r="DC17" i="9"/>
  <c r="CT17" i="9"/>
  <c r="CR17" i="9"/>
  <c r="CP17" i="9"/>
  <c r="CN17" i="9"/>
  <c r="CL17" i="9"/>
  <c r="CJ17" i="9"/>
  <c r="CH17" i="9"/>
  <c r="CF17" i="9"/>
  <c r="CD17" i="9"/>
  <c r="CB17" i="9"/>
  <c r="BZ17" i="9"/>
  <c r="BX17" i="9"/>
  <c r="BV17" i="9"/>
  <c r="BT17" i="9"/>
  <c r="BR17" i="9"/>
  <c r="BP17" i="9"/>
  <c r="BN17" i="9"/>
  <c r="BL17" i="9"/>
  <c r="BJ17" i="9"/>
  <c r="BH17" i="9"/>
  <c r="BF17" i="9"/>
  <c r="BD17" i="9"/>
  <c r="BB17" i="9"/>
  <c r="AZ17" i="9"/>
  <c r="AX17" i="9"/>
  <c r="AV17" i="9"/>
  <c r="AS17" i="9"/>
  <c r="AR17" i="9"/>
  <c r="AT17" i="9" s="1"/>
  <c r="X17" i="9"/>
  <c r="Q17" i="9"/>
  <c r="O17" i="9"/>
  <c r="M17" i="9"/>
  <c r="N17" i="9" s="1"/>
  <c r="L17" i="9"/>
  <c r="G17" i="9"/>
  <c r="DP16" i="9"/>
  <c r="DQ16" i="9" s="1"/>
  <c r="DC16" i="9"/>
  <c r="CT16" i="9"/>
  <c r="CR16" i="9"/>
  <c r="CP16" i="9"/>
  <c r="CN16" i="9"/>
  <c r="CL16" i="9"/>
  <c r="CJ16" i="9"/>
  <c r="CH16" i="9"/>
  <c r="CF16" i="9"/>
  <c r="CD16" i="9"/>
  <c r="CB16" i="9"/>
  <c r="BZ16" i="9"/>
  <c r="BX16" i="9"/>
  <c r="BV16" i="9"/>
  <c r="BT16" i="9"/>
  <c r="BR16" i="9"/>
  <c r="BP16" i="9"/>
  <c r="BN16" i="9"/>
  <c r="BL16" i="9"/>
  <c r="BJ16" i="9"/>
  <c r="BH16" i="9"/>
  <c r="BF16" i="9"/>
  <c r="BD16" i="9"/>
  <c r="BB16" i="9"/>
  <c r="AZ16" i="9"/>
  <c r="AX16" i="9"/>
  <c r="AV16" i="9"/>
  <c r="AS16" i="9"/>
  <c r="AR16" i="9"/>
  <c r="AT16" i="9" s="1"/>
  <c r="X16" i="9"/>
  <c r="Q16" i="9"/>
  <c r="O16" i="9"/>
  <c r="M16" i="9"/>
  <c r="N16" i="9" s="1"/>
  <c r="L16" i="9"/>
  <c r="G16" i="9"/>
  <c r="DP15" i="9"/>
  <c r="DQ15" i="9" s="1"/>
  <c r="DC15" i="9"/>
  <c r="CT15" i="9"/>
  <c r="CR15" i="9"/>
  <c r="CP15" i="9"/>
  <c r="CN15" i="9"/>
  <c r="CL15" i="9"/>
  <c r="CJ15" i="9"/>
  <c r="CH15" i="9"/>
  <c r="CF15" i="9"/>
  <c r="CD15" i="9"/>
  <c r="CB15" i="9"/>
  <c r="BZ15" i="9"/>
  <c r="BX15" i="9"/>
  <c r="BV15" i="9"/>
  <c r="BT15" i="9"/>
  <c r="BR15" i="9"/>
  <c r="BP15" i="9"/>
  <c r="BN15" i="9"/>
  <c r="BL15" i="9"/>
  <c r="BJ15" i="9"/>
  <c r="BH15" i="9"/>
  <c r="BF15" i="9"/>
  <c r="BD15" i="9"/>
  <c r="BB15" i="9"/>
  <c r="AZ15" i="9"/>
  <c r="AX15" i="9"/>
  <c r="AV15" i="9"/>
  <c r="AS15" i="9"/>
  <c r="AR15" i="9"/>
  <c r="AT15" i="9" s="1"/>
  <c r="X15" i="9"/>
  <c r="Q15" i="9"/>
  <c r="O15" i="9"/>
  <c r="M15" i="9"/>
  <c r="N15" i="9" s="1"/>
  <c r="L15" i="9"/>
  <c r="G15" i="9"/>
  <c r="DP14" i="9"/>
  <c r="DQ14" i="9" s="1"/>
  <c r="DC14" i="9"/>
  <c r="CT14" i="9"/>
  <c r="CR14" i="9"/>
  <c r="CP14" i="9"/>
  <c r="CN14" i="9"/>
  <c r="CL14" i="9"/>
  <c r="CJ14" i="9"/>
  <c r="CH14" i="9"/>
  <c r="CF14" i="9"/>
  <c r="CD14" i="9"/>
  <c r="CB14" i="9"/>
  <c r="BZ14" i="9"/>
  <c r="BX14" i="9"/>
  <c r="BV14" i="9"/>
  <c r="BT14" i="9"/>
  <c r="BR14" i="9"/>
  <c r="BP14" i="9"/>
  <c r="BN14" i="9"/>
  <c r="BL14" i="9"/>
  <c r="BJ14" i="9"/>
  <c r="BH14" i="9"/>
  <c r="BF14" i="9"/>
  <c r="BD14" i="9"/>
  <c r="BB14" i="9"/>
  <c r="AZ14" i="9"/>
  <c r="AX14" i="9"/>
  <c r="AV14" i="9"/>
  <c r="AS14" i="9"/>
  <c r="AR14" i="9"/>
  <c r="AT14" i="9" s="1"/>
  <c r="X14" i="9"/>
  <c r="Q14" i="9"/>
  <c r="O14" i="9"/>
  <c r="M14" i="9"/>
  <c r="N14" i="9" s="1"/>
  <c r="L14" i="9"/>
  <c r="G14" i="9"/>
  <c r="DP13" i="9"/>
  <c r="DQ13" i="9" s="1"/>
  <c r="DC13" i="9"/>
  <c r="CT13" i="9"/>
  <c r="CR13" i="9"/>
  <c r="CP13" i="9"/>
  <c r="CN13" i="9"/>
  <c r="CL13" i="9"/>
  <c r="CJ13" i="9"/>
  <c r="CH13" i="9"/>
  <c r="CF13" i="9"/>
  <c r="CD13" i="9"/>
  <c r="CB13" i="9"/>
  <c r="BZ13" i="9"/>
  <c r="BX13" i="9"/>
  <c r="BV13" i="9"/>
  <c r="BT13" i="9"/>
  <c r="BR13" i="9"/>
  <c r="BP13" i="9"/>
  <c r="BN13" i="9"/>
  <c r="BL13" i="9"/>
  <c r="BJ13" i="9"/>
  <c r="BH13" i="9"/>
  <c r="BF13" i="9"/>
  <c r="BD13" i="9"/>
  <c r="BB13" i="9"/>
  <c r="AZ13" i="9"/>
  <c r="AX13" i="9"/>
  <c r="AV13" i="9"/>
  <c r="AS13" i="9"/>
  <c r="AR13" i="9"/>
  <c r="AT13" i="9" s="1"/>
  <c r="X13" i="9"/>
  <c r="Q13" i="9"/>
  <c r="O13" i="9"/>
  <c r="M13" i="9"/>
  <c r="N13" i="9" s="1"/>
  <c r="L13" i="9"/>
  <c r="G13" i="9"/>
  <c r="DP12" i="9"/>
  <c r="DQ12" i="9" s="1"/>
  <c r="DC12" i="9"/>
  <c r="CT12" i="9"/>
  <c r="CR12" i="9"/>
  <c r="CP12" i="9"/>
  <c r="CN12" i="9"/>
  <c r="CL12" i="9"/>
  <c r="CJ12" i="9"/>
  <c r="CH12" i="9"/>
  <c r="CF12" i="9"/>
  <c r="CD12" i="9"/>
  <c r="CB12" i="9"/>
  <c r="BZ12" i="9"/>
  <c r="BX12" i="9"/>
  <c r="BV12" i="9"/>
  <c r="BT12" i="9"/>
  <c r="BR12" i="9"/>
  <c r="BP12" i="9"/>
  <c r="BN12" i="9"/>
  <c r="BL12" i="9"/>
  <c r="BJ12" i="9"/>
  <c r="BH12" i="9"/>
  <c r="BF12" i="9"/>
  <c r="BD12" i="9"/>
  <c r="BB12" i="9"/>
  <c r="AZ12" i="9"/>
  <c r="AX12" i="9"/>
  <c r="AV12" i="9"/>
  <c r="AS12" i="9"/>
  <c r="AR12" i="9"/>
  <c r="AT12" i="9" s="1"/>
  <c r="X12" i="9"/>
  <c r="Q12" i="9"/>
  <c r="O12" i="9"/>
  <c r="M12" i="9"/>
  <c r="N12" i="9" s="1"/>
  <c r="L12" i="9"/>
  <c r="G12" i="9"/>
  <c r="DP11" i="9"/>
  <c r="DQ11" i="9" s="1"/>
  <c r="DC11" i="9"/>
  <c r="CT11" i="9"/>
  <c r="CR11" i="9"/>
  <c r="CP11" i="9"/>
  <c r="CN11" i="9"/>
  <c r="CL11" i="9"/>
  <c r="CJ11" i="9"/>
  <c r="CH11" i="9"/>
  <c r="CF11" i="9"/>
  <c r="CD11" i="9"/>
  <c r="CB11" i="9"/>
  <c r="BZ11" i="9"/>
  <c r="BX11" i="9"/>
  <c r="BV11" i="9"/>
  <c r="BT11" i="9"/>
  <c r="BR11" i="9"/>
  <c r="BP11" i="9"/>
  <c r="BN11" i="9"/>
  <c r="BL11" i="9"/>
  <c r="BJ11" i="9"/>
  <c r="BH11" i="9"/>
  <c r="BF11" i="9"/>
  <c r="BD11" i="9"/>
  <c r="BB11" i="9"/>
  <c r="AZ11" i="9"/>
  <c r="AX11" i="9"/>
  <c r="AV11" i="9"/>
  <c r="AS11" i="9"/>
  <c r="AR11" i="9"/>
  <c r="AT11" i="9" s="1"/>
  <c r="X11" i="9"/>
  <c r="Q11" i="9"/>
  <c r="O11" i="9"/>
  <c r="M11" i="9"/>
  <c r="N11" i="9" s="1"/>
  <c r="L11" i="9"/>
  <c r="G11" i="9"/>
  <c r="DP10" i="9"/>
  <c r="DQ10" i="9" s="1"/>
  <c r="DC10" i="9"/>
  <c r="CT10" i="9"/>
  <c r="CR10" i="9"/>
  <c r="CP10" i="9"/>
  <c r="CN10" i="9"/>
  <c r="CL10" i="9"/>
  <c r="CJ10" i="9"/>
  <c r="CH10" i="9"/>
  <c r="CF10" i="9"/>
  <c r="CD10" i="9"/>
  <c r="CB10" i="9"/>
  <c r="BZ10" i="9"/>
  <c r="BX10" i="9"/>
  <c r="BV10" i="9"/>
  <c r="BT10" i="9"/>
  <c r="BR10" i="9"/>
  <c r="BP10" i="9"/>
  <c r="BN10" i="9"/>
  <c r="BL10" i="9"/>
  <c r="BJ10" i="9"/>
  <c r="BH10" i="9"/>
  <c r="BF10" i="9"/>
  <c r="BD10" i="9"/>
  <c r="BB10" i="9"/>
  <c r="AZ10" i="9"/>
  <c r="AX10" i="9"/>
  <c r="AV10" i="9"/>
  <c r="AS10" i="9"/>
  <c r="AR10" i="9"/>
  <c r="AT10" i="9" s="1"/>
  <c r="X10" i="9"/>
  <c r="Q10" i="9"/>
  <c r="O10" i="9"/>
  <c r="M10" i="9"/>
  <c r="N10" i="9" s="1"/>
  <c r="L10" i="9"/>
  <c r="G10" i="9"/>
  <c r="DP9" i="9"/>
  <c r="DQ9" i="9" s="1"/>
  <c r="DC9" i="9"/>
  <c r="CT9" i="9"/>
  <c r="CR9" i="9"/>
  <c r="CP9" i="9"/>
  <c r="CN9" i="9"/>
  <c r="CL9" i="9"/>
  <c r="CJ9" i="9"/>
  <c r="CH9" i="9"/>
  <c r="CF9" i="9"/>
  <c r="CD9" i="9"/>
  <c r="CB9" i="9"/>
  <c r="BZ9" i="9"/>
  <c r="BX9" i="9"/>
  <c r="BV9" i="9"/>
  <c r="BT9" i="9"/>
  <c r="BR9" i="9"/>
  <c r="BP9" i="9"/>
  <c r="BN9" i="9"/>
  <c r="BL9" i="9"/>
  <c r="BJ9" i="9"/>
  <c r="BH9" i="9"/>
  <c r="BF9" i="9"/>
  <c r="BD9" i="9"/>
  <c r="BB9" i="9"/>
  <c r="AZ9" i="9"/>
  <c r="AX9" i="9"/>
  <c r="AV9" i="9"/>
  <c r="AS9" i="9"/>
  <c r="AR9" i="9"/>
  <c r="AT9" i="9" s="1"/>
  <c r="X9" i="9"/>
  <c r="Q9" i="9"/>
  <c r="O9" i="9"/>
  <c r="M9" i="9"/>
  <c r="N9" i="9" s="1"/>
  <c r="L9" i="9"/>
  <c r="G9" i="9"/>
  <c r="DP8" i="9"/>
  <c r="DQ8" i="9" s="1"/>
  <c r="DC8" i="9"/>
  <c r="CT8" i="9"/>
  <c r="CR8" i="9"/>
  <c r="CP8" i="9"/>
  <c r="CN8" i="9"/>
  <c r="CL8" i="9"/>
  <c r="CJ8" i="9"/>
  <c r="CH8" i="9"/>
  <c r="CF8" i="9"/>
  <c r="CD8" i="9"/>
  <c r="CB8" i="9"/>
  <c r="BZ8" i="9"/>
  <c r="BX8" i="9"/>
  <c r="BV8" i="9"/>
  <c r="BT8" i="9"/>
  <c r="BR8" i="9"/>
  <c r="BP8" i="9"/>
  <c r="BN8" i="9"/>
  <c r="BL8" i="9"/>
  <c r="BJ8" i="9"/>
  <c r="BH8" i="9"/>
  <c r="BF8" i="9"/>
  <c r="BD8" i="9"/>
  <c r="BB8" i="9"/>
  <c r="AZ8" i="9"/>
  <c r="AX8" i="9"/>
  <c r="AV8" i="9"/>
  <c r="AS8" i="9"/>
  <c r="AR8" i="9"/>
  <c r="AT8" i="9" s="1"/>
  <c r="X8" i="9"/>
  <c r="Q8" i="9"/>
  <c r="O8" i="9"/>
  <c r="M8" i="9"/>
  <c r="N8" i="9" s="1"/>
  <c r="L8" i="9"/>
  <c r="G8" i="9"/>
  <c r="DP7" i="9"/>
  <c r="DQ7" i="9" s="1"/>
  <c r="DC7" i="9"/>
  <c r="CT7" i="9"/>
  <c r="CR7" i="9"/>
  <c r="CP7" i="9"/>
  <c r="CN7" i="9"/>
  <c r="CL7" i="9"/>
  <c r="CJ7" i="9"/>
  <c r="CH7" i="9"/>
  <c r="CF7" i="9"/>
  <c r="CD7" i="9"/>
  <c r="CB7" i="9"/>
  <c r="BZ7" i="9"/>
  <c r="BX7" i="9"/>
  <c r="BV7" i="9"/>
  <c r="BT7" i="9"/>
  <c r="BR7" i="9"/>
  <c r="BP7" i="9"/>
  <c r="BN7" i="9"/>
  <c r="BL7" i="9"/>
  <c r="BJ7" i="9"/>
  <c r="BH7" i="9"/>
  <c r="BF7" i="9"/>
  <c r="BD7" i="9"/>
  <c r="BB7" i="9"/>
  <c r="AZ7" i="9"/>
  <c r="AX7" i="9"/>
  <c r="AV7" i="9"/>
  <c r="AS7" i="9"/>
  <c r="AR7" i="9"/>
  <c r="AT7" i="9" s="1"/>
  <c r="X7" i="9"/>
  <c r="Q7" i="9"/>
  <c r="O7" i="9"/>
  <c r="M7" i="9"/>
  <c r="N7" i="9" s="1"/>
  <c r="L7" i="9"/>
  <c r="G7" i="9"/>
  <c r="DP6" i="9"/>
  <c r="DQ6" i="9" s="1"/>
  <c r="DC6" i="9"/>
  <c r="CT6" i="9"/>
  <c r="CR6" i="9"/>
  <c r="CP6" i="9"/>
  <c r="CN6" i="9"/>
  <c r="CL6" i="9"/>
  <c r="CJ6" i="9"/>
  <c r="CH6" i="9"/>
  <c r="CF6" i="9"/>
  <c r="CD6" i="9"/>
  <c r="CB6" i="9"/>
  <c r="BZ6" i="9"/>
  <c r="BX6" i="9"/>
  <c r="BV6" i="9"/>
  <c r="BT6" i="9"/>
  <c r="BR6" i="9"/>
  <c r="BP6" i="9"/>
  <c r="BN6" i="9"/>
  <c r="BL6" i="9"/>
  <c r="BJ6" i="9"/>
  <c r="BH6" i="9"/>
  <c r="BF6" i="9"/>
  <c r="BD6" i="9"/>
  <c r="BB6" i="9"/>
  <c r="AZ6" i="9"/>
  <c r="AX6" i="9"/>
  <c r="AV6" i="9"/>
  <c r="AS6" i="9"/>
  <c r="AR6" i="9"/>
  <c r="AT6" i="9" s="1"/>
  <c r="X6" i="9"/>
  <c r="Q6" i="9"/>
  <c r="O6" i="9"/>
  <c r="M6" i="9"/>
  <c r="N6" i="9" s="1"/>
  <c r="L6" i="9"/>
  <c r="G6" i="9"/>
  <c r="DP5" i="9"/>
  <c r="DP37" i="9" s="1"/>
  <c r="DC5" i="9"/>
  <c r="CT5" i="9"/>
  <c r="CT37" i="9" s="1"/>
  <c r="CR5" i="9"/>
  <c r="CR37" i="9" s="1"/>
  <c r="CP5" i="9"/>
  <c r="CP37" i="9" s="1"/>
  <c r="CN5" i="9"/>
  <c r="CN37" i="9" s="1"/>
  <c r="CL5" i="9"/>
  <c r="CL37" i="9" s="1"/>
  <c r="CJ5" i="9"/>
  <c r="CJ37" i="9" s="1"/>
  <c r="CH5" i="9"/>
  <c r="CH37" i="9" s="1"/>
  <c r="CF5" i="9"/>
  <c r="CF37" i="9" s="1"/>
  <c r="CD5" i="9"/>
  <c r="CD37" i="9" s="1"/>
  <c r="CB5" i="9"/>
  <c r="CB37" i="9" s="1"/>
  <c r="BZ5" i="9"/>
  <c r="BZ37" i="9" s="1"/>
  <c r="BX5" i="9"/>
  <c r="BX37" i="9" s="1"/>
  <c r="BV5" i="9"/>
  <c r="BV37" i="9" s="1"/>
  <c r="BT5" i="9"/>
  <c r="BT37" i="9" s="1"/>
  <c r="BR5" i="9"/>
  <c r="BR37" i="9" s="1"/>
  <c r="BP5" i="9"/>
  <c r="BP37" i="9" s="1"/>
  <c r="BN5" i="9"/>
  <c r="BN37" i="9" s="1"/>
  <c r="BL5" i="9"/>
  <c r="BL37" i="9" s="1"/>
  <c r="BJ5" i="9"/>
  <c r="BJ37" i="9" s="1"/>
  <c r="BH5" i="9"/>
  <c r="BH37" i="9" s="1"/>
  <c r="BF5" i="9"/>
  <c r="BF37" i="9" s="1"/>
  <c r="BD5" i="9"/>
  <c r="BD37" i="9" s="1"/>
  <c r="BB5" i="9"/>
  <c r="BB37" i="9" s="1"/>
  <c r="AZ5" i="9"/>
  <c r="AZ37" i="9" s="1"/>
  <c r="AX5" i="9"/>
  <c r="AX37" i="9" s="1"/>
  <c r="AV5" i="9"/>
  <c r="AS5" i="9"/>
  <c r="AR5" i="9"/>
  <c r="AR36" i="9" s="1"/>
  <c r="AS36" i="9" s="1"/>
  <c r="AC5" i="9"/>
  <c r="AC6" i="9" s="1"/>
  <c r="J6" i="9" s="1"/>
  <c r="Z5" i="9"/>
  <c r="Z6" i="9" s="1"/>
  <c r="Z7" i="9" s="1"/>
  <c r="Z8" i="9" s="1"/>
  <c r="Z9" i="9" s="1"/>
  <c r="Z10" i="9" s="1"/>
  <c r="Z11" i="9" s="1"/>
  <c r="Z12" i="9" s="1"/>
  <c r="Z13" i="9" s="1"/>
  <c r="Z14" i="9" s="1"/>
  <c r="Z15" i="9" s="1"/>
  <c r="Z16" i="9" s="1"/>
  <c r="Z17" i="9" s="1"/>
  <c r="Z18" i="9" s="1"/>
  <c r="Z19" i="9" s="1"/>
  <c r="Z20" i="9" s="1"/>
  <c r="Z21" i="9" s="1"/>
  <c r="Z22" i="9" s="1"/>
  <c r="Z23" i="9" s="1"/>
  <c r="Z24" i="9" s="1"/>
  <c r="Z25" i="9" s="1"/>
  <c r="Z26" i="9" s="1"/>
  <c r="Z27" i="9" s="1"/>
  <c r="Z28" i="9" s="1"/>
  <c r="Z29" i="9" s="1"/>
  <c r="Z30" i="9" s="1"/>
  <c r="Z31" i="9" s="1"/>
  <c r="Z32" i="9" s="1"/>
  <c r="Z33" i="9" s="1"/>
  <c r="Z34" i="9" s="1"/>
  <c r="Z35" i="9" s="1"/>
  <c r="X5" i="9"/>
  <c r="X37" i="9" s="1"/>
  <c r="V5" i="9"/>
  <c r="AA5" i="9" s="1"/>
  <c r="Q5" i="9"/>
  <c r="Q37" i="9" s="1"/>
  <c r="O5" i="9"/>
  <c r="O37" i="9" s="1"/>
  <c r="M5" i="9"/>
  <c r="M37" i="9" s="1"/>
  <c r="N37" i="9" s="1"/>
  <c r="L5" i="9"/>
  <c r="H5" i="9"/>
  <c r="G5" i="9"/>
  <c r="AQ4" i="9"/>
  <c r="AP4" i="9"/>
  <c r="AO4" i="9"/>
  <c r="AN4" i="9"/>
  <c r="AM4" i="9"/>
  <c r="A1" i="9"/>
  <c r="DO37" i="8"/>
  <c r="DN37" i="8"/>
  <c r="DM37" i="8"/>
  <c r="DL37" i="8"/>
  <c r="DK37" i="8"/>
  <c r="DJ37" i="8"/>
  <c r="DI37" i="8"/>
  <c r="DH37" i="8"/>
  <c r="DG37" i="8"/>
  <c r="DF37" i="8"/>
  <c r="DA37" i="8"/>
  <c r="CZ37" i="8"/>
  <c r="CY37" i="8"/>
  <c r="CX37" i="8"/>
  <c r="CV37" i="8"/>
  <c r="CU37" i="8"/>
  <c r="CS37" i="8"/>
  <c r="CQ37" i="8"/>
  <c r="CO37" i="8"/>
  <c r="CM37" i="8"/>
  <c r="CK37" i="8"/>
  <c r="CI37" i="8"/>
  <c r="CG37" i="8"/>
  <c r="CE37" i="8"/>
  <c r="CC37" i="8"/>
  <c r="CA37" i="8"/>
  <c r="BY37" i="8"/>
  <c r="BW37" i="8"/>
  <c r="BU37" i="8"/>
  <c r="BS37" i="8"/>
  <c r="BQ37" i="8"/>
  <c r="BO37" i="8"/>
  <c r="BM37" i="8"/>
  <c r="BK37" i="8"/>
  <c r="BI37" i="8"/>
  <c r="BG37" i="8"/>
  <c r="BE37" i="8"/>
  <c r="BC37" i="8"/>
  <c r="BA37" i="8"/>
  <c r="AY37" i="8"/>
  <c r="AW37" i="8"/>
  <c r="AQ37" i="8"/>
  <c r="AP37" i="8"/>
  <c r="AO37" i="8"/>
  <c r="AN37" i="8"/>
  <c r="AM37" i="8"/>
  <c r="AL37" i="8"/>
  <c r="AK37" i="8"/>
  <c r="AJ37" i="8"/>
  <c r="AI37" i="8"/>
  <c r="AH37" i="8"/>
  <c r="AG37" i="8"/>
  <c r="AF37" i="8"/>
  <c r="AE37" i="8"/>
  <c r="AD37" i="8"/>
  <c r="Y37" i="8"/>
  <c r="W37" i="8"/>
  <c r="L37" i="8" s="1"/>
  <c r="U37" i="8"/>
  <c r="K37" i="8"/>
  <c r="H37" i="8"/>
  <c r="F37" i="8"/>
  <c r="DO36" i="8"/>
  <c r="DN36" i="8"/>
  <c r="DM36" i="8"/>
  <c r="DL36" i="8"/>
  <c r="DK36" i="8"/>
  <c r="DJ36" i="8"/>
  <c r="DI36" i="8"/>
  <c r="DH36" i="8"/>
  <c r="DG36" i="8"/>
  <c r="DF36" i="8"/>
  <c r="DA36" i="8"/>
  <c r="CZ36" i="8"/>
  <c r="CY36" i="8"/>
  <c r="CX36" i="8"/>
  <c r="CV36" i="8"/>
  <c r="CU36" i="8"/>
  <c r="CS36" i="8"/>
  <c r="CQ36" i="8"/>
  <c r="CO36" i="8"/>
  <c r="CM36" i="8"/>
  <c r="CK36" i="8"/>
  <c r="CI36" i="8"/>
  <c r="CG36" i="8"/>
  <c r="CE36" i="8"/>
  <c r="CC36" i="8"/>
  <c r="CA36" i="8"/>
  <c r="BY36" i="8"/>
  <c r="BW36" i="8"/>
  <c r="BU36" i="8"/>
  <c r="BS36" i="8"/>
  <c r="BQ36" i="8"/>
  <c r="BO36" i="8"/>
  <c r="BM36" i="8"/>
  <c r="BK36" i="8"/>
  <c r="BI36" i="8"/>
  <c r="BG36" i="8"/>
  <c r="BE36" i="8"/>
  <c r="BC36" i="8"/>
  <c r="BA36" i="8"/>
  <c r="AY36" i="8"/>
  <c r="AW36" i="8"/>
  <c r="AQ36" i="8"/>
  <c r="AP36" i="8"/>
  <c r="AO36" i="8"/>
  <c r="AN36" i="8"/>
  <c r="AM36" i="8"/>
  <c r="AL36" i="8"/>
  <c r="AK36" i="8"/>
  <c r="AJ36" i="8"/>
  <c r="AI36" i="8"/>
  <c r="AH36" i="8"/>
  <c r="AG36" i="8"/>
  <c r="AF36" i="8"/>
  <c r="AE36" i="8"/>
  <c r="AD36" i="8"/>
  <c r="Y36" i="8"/>
  <c r="W36" i="8"/>
  <c r="L36" i="8" s="1"/>
  <c r="U36" i="8"/>
  <c r="N36" i="8"/>
  <c r="K36" i="8"/>
  <c r="F36" i="8"/>
  <c r="DQ35" i="8"/>
  <c r="DP35" i="8"/>
  <c r="DC35" i="8"/>
  <c r="CT35" i="8"/>
  <c r="CR35" i="8"/>
  <c r="CP35" i="8"/>
  <c r="CN35" i="8"/>
  <c r="CL35" i="8"/>
  <c r="CJ35" i="8"/>
  <c r="CH35" i="8"/>
  <c r="CF35" i="8"/>
  <c r="CD35" i="8"/>
  <c r="CB35" i="8"/>
  <c r="BZ35" i="8"/>
  <c r="BX35" i="8"/>
  <c r="BV35" i="8"/>
  <c r="BT35" i="8"/>
  <c r="BR35" i="8"/>
  <c r="BP35" i="8"/>
  <c r="BN35" i="8"/>
  <c r="BL35" i="8"/>
  <c r="BJ35" i="8"/>
  <c r="BH35" i="8"/>
  <c r="BF35" i="8"/>
  <c r="BD35" i="8"/>
  <c r="BB35" i="8"/>
  <c r="AZ35" i="8"/>
  <c r="AX35" i="8"/>
  <c r="AV35" i="8"/>
  <c r="AT35" i="8"/>
  <c r="AR35" i="8"/>
  <c r="AS35" i="8" s="1"/>
  <c r="AB35" i="8"/>
  <c r="X35" i="8"/>
  <c r="Q35" i="8"/>
  <c r="O35" i="8"/>
  <c r="N35" i="8"/>
  <c r="M35" i="8"/>
  <c r="L35" i="8"/>
  <c r="G35" i="8"/>
  <c r="DQ34" i="8"/>
  <c r="DP34" i="8"/>
  <c r="DC34" i="8"/>
  <c r="CT34" i="8"/>
  <c r="CR34" i="8"/>
  <c r="CP34" i="8"/>
  <c r="CN34" i="8"/>
  <c r="CL34" i="8"/>
  <c r="CJ34" i="8"/>
  <c r="CH34" i="8"/>
  <c r="CF34" i="8"/>
  <c r="CD34" i="8"/>
  <c r="CB34" i="8"/>
  <c r="BZ34" i="8"/>
  <c r="BX34" i="8"/>
  <c r="BV34" i="8"/>
  <c r="BT34" i="8"/>
  <c r="BR34" i="8"/>
  <c r="BP34" i="8"/>
  <c r="BN34" i="8"/>
  <c r="BL34" i="8"/>
  <c r="BJ34" i="8"/>
  <c r="BH34" i="8"/>
  <c r="BF34" i="8"/>
  <c r="BD34" i="8"/>
  <c r="BB34" i="8"/>
  <c r="AZ34" i="8"/>
  <c r="AX34" i="8"/>
  <c r="AV34" i="8"/>
  <c r="AT34" i="8"/>
  <c r="AR34" i="8"/>
  <c r="AS34" i="8" s="1"/>
  <c r="AB34" i="8"/>
  <c r="X34" i="8"/>
  <c r="Q34" i="8"/>
  <c r="O34" i="8"/>
  <c r="N34" i="8"/>
  <c r="M34" i="8"/>
  <c r="L34" i="8"/>
  <c r="G34" i="8"/>
  <c r="DQ33" i="8"/>
  <c r="DP33" i="8"/>
  <c r="DC33" i="8"/>
  <c r="CT33" i="8"/>
  <c r="CR33" i="8"/>
  <c r="CP33" i="8"/>
  <c r="CN33" i="8"/>
  <c r="CL33" i="8"/>
  <c r="CJ33" i="8"/>
  <c r="CH33" i="8"/>
  <c r="CF33" i="8"/>
  <c r="CD33" i="8"/>
  <c r="CB33" i="8"/>
  <c r="BZ33" i="8"/>
  <c r="BX33" i="8"/>
  <c r="BV33" i="8"/>
  <c r="BT33" i="8"/>
  <c r="BR33" i="8"/>
  <c r="BP33" i="8"/>
  <c r="BN33" i="8"/>
  <c r="BL33" i="8"/>
  <c r="BJ33" i="8"/>
  <c r="BH33" i="8"/>
  <c r="BF33" i="8"/>
  <c r="BD33" i="8"/>
  <c r="BB33" i="8"/>
  <c r="AZ33" i="8"/>
  <c r="AX33" i="8"/>
  <c r="AV33" i="8"/>
  <c r="AT33" i="8"/>
  <c r="AR33" i="8"/>
  <c r="AS33" i="8" s="1"/>
  <c r="AB33" i="8"/>
  <c r="X33" i="8"/>
  <c r="Q33" i="8"/>
  <c r="O33" i="8"/>
  <c r="N33" i="8"/>
  <c r="M33" i="8"/>
  <c r="L33" i="8"/>
  <c r="G33" i="8"/>
  <c r="DQ32" i="8"/>
  <c r="DP32" i="8"/>
  <c r="DC32" i="8"/>
  <c r="CT32" i="8"/>
  <c r="CR32" i="8"/>
  <c r="CP32" i="8"/>
  <c r="CN32" i="8"/>
  <c r="CL32" i="8"/>
  <c r="CJ32" i="8"/>
  <c r="CH32" i="8"/>
  <c r="CF32" i="8"/>
  <c r="CD32" i="8"/>
  <c r="CB32" i="8"/>
  <c r="BZ32" i="8"/>
  <c r="BX32" i="8"/>
  <c r="BV32" i="8"/>
  <c r="BT32" i="8"/>
  <c r="BR32" i="8"/>
  <c r="BP32" i="8"/>
  <c r="BN32" i="8"/>
  <c r="BL32" i="8"/>
  <c r="BJ32" i="8"/>
  <c r="BH32" i="8"/>
  <c r="BF32" i="8"/>
  <c r="BD32" i="8"/>
  <c r="BB32" i="8"/>
  <c r="AZ32" i="8"/>
  <c r="AX32" i="8"/>
  <c r="AV32" i="8"/>
  <c r="AT32" i="8"/>
  <c r="AR32" i="8"/>
  <c r="AS32" i="8" s="1"/>
  <c r="X32" i="8"/>
  <c r="Q32" i="8"/>
  <c r="O32" i="8"/>
  <c r="N32" i="8"/>
  <c r="M32" i="8"/>
  <c r="L32" i="8"/>
  <c r="G32" i="8"/>
  <c r="DQ31" i="8"/>
  <c r="DP31" i="8"/>
  <c r="DC31" i="8"/>
  <c r="CT31" i="8"/>
  <c r="CR31" i="8"/>
  <c r="CP31" i="8"/>
  <c r="CN31" i="8"/>
  <c r="CL31" i="8"/>
  <c r="CJ31" i="8"/>
  <c r="CH31" i="8"/>
  <c r="CF31" i="8"/>
  <c r="CD31" i="8"/>
  <c r="CB31" i="8"/>
  <c r="BZ31" i="8"/>
  <c r="BX31" i="8"/>
  <c r="BV31" i="8"/>
  <c r="BT31" i="8"/>
  <c r="BR31" i="8"/>
  <c r="BP31" i="8"/>
  <c r="BN31" i="8"/>
  <c r="BL31" i="8"/>
  <c r="BJ31" i="8"/>
  <c r="BH31" i="8"/>
  <c r="BF31" i="8"/>
  <c r="BD31" i="8"/>
  <c r="BB31" i="8"/>
  <c r="AZ31" i="8"/>
  <c r="AX31" i="8"/>
  <c r="AV31" i="8"/>
  <c r="AR31" i="8"/>
  <c r="X31" i="8"/>
  <c r="Q31" i="8"/>
  <c r="O31" i="8"/>
  <c r="N31" i="8"/>
  <c r="M31" i="8"/>
  <c r="L31" i="8"/>
  <c r="G31" i="8"/>
  <c r="DQ30" i="8"/>
  <c r="DP30" i="8"/>
  <c r="DC30" i="8"/>
  <c r="CT30" i="8"/>
  <c r="CR30" i="8"/>
  <c r="CP30" i="8"/>
  <c r="CN30" i="8"/>
  <c r="CL30" i="8"/>
  <c r="CJ30" i="8"/>
  <c r="CH30" i="8"/>
  <c r="CF30" i="8"/>
  <c r="CD30" i="8"/>
  <c r="CB30" i="8"/>
  <c r="BZ30" i="8"/>
  <c r="BX30" i="8"/>
  <c r="BV30" i="8"/>
  <c r="BT30" i="8"/>
  <c r="BR30" i="8"/>
  <c r="BP30" i="8"/>
  <c r="BN30" i="8"/>
  <c r="BL30" i="8"/>
  <c r="BJ30" i="8"/>
  <c r="BH30" i="8"/>
  <c r="BF30" i="8"/>
  <c r="BD30" i="8"/>
  <c r="BB30" i="8"/>
  <c r="AZ30" i="8"/>
  <c r="AX30" i="8"/>
  <c r="AV30" i="8"/>
  <c r="AT30" i="8"/>
  <c r="AR30" i="8"/>
  <c r="AS30" i="8" s="1"/>
  <c r="X30" i="8"/>
  <c r="Q30" i="8"/>
  <c r="O30" i="8"/>
  <c r="N30" i="8"/>
  <c r="M30" i="8"/>
  <c r="L30" i="8"/>
  <c r="G30" i="8"/>
  <c r="DQ29" i="8"/>
  <c r="DP29" i="8"/>
  <c r="DC29" i="8"/>
  <c r="CT29" i="8"/>
  <c r="CR29" i="8"/>
  <c r="CP29" i="8"/>
  <c r="CN29" i="8"/>
  <c r="CL29" i="8"/>
  <c r="CJ29" i="8"/>
  <c r="CH29" i="8"/>
  <c r="CF29" i="8"/>
  <c r="CD29" i="8"/>
  <c r="CB29" i="8"/>
  <c r="BZ29" i="8"/>
  <c r="BX29" i="8"/>
  <c r="BV29" i="8"/>
  <c r="BT29" i="8"/>
  <c r="BR29" i="8"/>
  <c r="BP29" i="8"/>
  <c r="BN29" i="8"/>
  <c r="BL29" i="8"/>
  <c r="BJ29" i="8"/>
  <c r="BH29" i="8"/>
  <c r="BF29" i="8"/>
  <c r="BD29" i="8"/>
  <c r="BB29" i="8"/>
  <c r="AZ29" i="8"/>
  <c r="AX29" i="8"/>
  <c r="AV29" i="8"/>
  <c r="AT29" i="8"/>
  <c r="AR29" i="8"/>
  <c r="AS29" i="8" s="1"/>
  <c r="X29" i="8"/>
  <c r="Q29" i="8"/>
  <c r="O29" i="8"/>
  <c r="N29" i="8"/>
  <c r="M29" i="8"/>
  <c r="L29" i="8"/>
  <c r="G29" i="8"/>
  <c r="DQ28" i="8"/>
  <c r="DP28" i="8"/>
  <c r="DC28" i="8"/>
  <c r="CT28" i="8"/>
  <c r="CR28" i="8"/>
  <c r="CP28" i="8"/>
  <c r="CN28" i="8"/>
  <c r="CL28" i="8"/>
  <c r="CJ28" i="8"/>
  <c r="CH28" i="8"/>
  <c r="CF28" i="8"/>
  <c r="CD28" i="8"/>
  <c r="CB28" i="8"/>
  <c r="BZ28" i="8"/>
  <c r="BX28" i="8"/>
  <c r="BV28" i="8"/>
  <c r="BT28" i="8"/>
  <c r="BR28" i="8"/>
  <c r="BP28" i="8"/>
  <c r="BN28" i="8"/>
  <c r="BL28" i="8"/>
  <c r="BJ28" i="8"/>
  <c r="BH28" i="8"/>
  <c r="BF28" i="8"/>
  <c r="BD28" i="8"/>
  <c r="BB28" i="8"/>
  <c r="AZ28" i="8"/>
  <c r="AX28" i="8"/>
  <c r="AV28" i="8"/>
  <c r="AT28" i="8"/>
  <c r="AR28" i="8"/>
  <c r="AS28" i="8" s="1"/>
  <c r="X28" i="8"/>
  <c r="Q28" i="8"/>
  <c r="O28" i="8"/>
  <c r="N28" i="8"/>
  <c r="M28" i="8"/>
  <c r="L28" i="8"/>
  <c r="G28" i="8"/>
  <c r="DQ27" i="8"/>
  <c r="DP27" i="8"/>
  <c r="DC27" i="8"/>
  <c r="CT27" i="8"/>
  <c r="CR27" i="8"/>
  <c r="CP27" i="8"/>
  <c r="CN27" i="8"/>
  <c r="CL27" i="8"/>
  <c r="CJ27" i="8"/>
  <c r="CH27" i="8"/>
  <c r="CF27" i="8"/>
  <c r="CD27" i="8"/>
  <c r="CB27" i="8"/>
  <c r="BZ27" i="8"/>
  <c r="BX27" i="8"/>
  <c r="BV27" i="8"/>
  <c r="BT27" i="8"/>
  <c r="BR27" i="8"/>
  <c r="BP27" i="8"/>
  <c r="BN27" i="8"/>
  <c r="BL27" i="8"/>
  <c r="BJ27" i="8"/>
  <c r="BH27" i="8"/>
  <c r="BF27" i="8"/>
  <c r="BD27" i="8"/>
  <c r="BB27" i="8"/>
  <c r="AZ27" i="8"/>
  <c r="AX27" i="8"/>
  <c r="AV27" i="8"/>
  <c r="AT27" i="8"/>
  <c r="AR27" i="8"/>
  <c r="AS27" i="8" s="1"/>
  <c r="X27" i="8"/>
  <c r="Q27" i="8"/>
  <c r="O27" i="8"/>
  <c r="N27" i="8"/>
  <c r="M27" i="8"/>
  <c r="L27" i="8"/>
  <c r="G27" i="8"/>
  <c r="DQ26" i="8"/>
  <c r="DP26" i="8"/>
  <c r="DC26" i="8"/>
  <c r="CT26" i="8"/>
  <c r="CR26" i="8"/>
  <c r="CP26" i="8"/>
  <c r="CN26" i="8"/>
  <c r="CL26" i="8"/>
  <c r="CJ26" i="8"/>
  <c r="CH26" i="8"/>
  <c r="CF26" i="8"/>
  <c r="CD26" i="8"/>
  <c r="CB26" i="8"/>
  <c r="BZ26" i="8"/>
  <c r="BX26" i="8"/>
  <c r="BV26" i="8"/>
  <c r="BT26" i="8"/>
  <c r="BR26" i="8"/>
  <c r="BP26" i="8"/>
  <c r="BN26" i="8"/>
  <c r="BL26" i="8"/>
  <c r="BJ26" i="8"/>
  <c r="BH26" i="8"/>
  <c r="BF26" i="8"/>
  <c r="BD26" i="8"/>
  <c r="BB26" i="8"/>
  <c r="AZ26" i="8"/>
  <c r="AX26" i="8"/>
  <c r="AV26" i="8"/>
  <c r="AR26" i="8"/>
  <c r="AS26" i="8" s="1"/>
  <c r="X26" i="8"/>
  <c r="Q26" i="8"/>
  <c r="O26" i="8"/>
  <c r="N26" i="8"/>
  <c r="M26" i="8"/>
  <c r="L26" i="8"/>
  <c r="G26" i="8"/>
  <c r="DQ25" i="8"/>
  <c r="DP25" i="8"/>
  <c r="DC25" i="8"/>
  <c r="CT25" i="8"/>
  <c r="CR25" i="8"/>
  <c r="CP25" i="8"/>
  <c r="CN25" i="8"/>
  <c r="CL25" i="8"/>
  <c r="CJ25" i="8"/>
  <c r="CH25" i="8"/>
  <c r="CF25" i="8"/>
  <c r="CD25" i="8"/>
  <c r="CB25" i="8"/>
  <c r="BZ25" i="8"/>
  <c r="BX25" i="8"/>
  <c r="BV25" i="8"/>
  <c r="BT25" i="8"/>
  <c r="BR25" i="8"/>
  <c r="BP25" i="8"/>
  <c r="BN25" i="8"/>
  <c r="BL25" i="8"/>
  <c r="BJ25" i="8"/>
  <c r="BH25" i="8"/>
  <c r="BF25" i="8"/>
  <c r="BD25" i="8"/>
  <c r="BB25" i="8"/>
  <c r="AZ25" i="8"/>
  <c r="AX25" i="8"/>
  <c r="AV25" i="8"/>
  <c r="AR25" i="8"/>
  <c r="X25" i="8"/>
  <c r="Q25" i="8"/>
  <c r="O25" i="8"/>
  <c r="N25" i="8"/>
  <c r="M25" i="8"/>
  <c r="L25" i="8"/>
  <c r="G25" i="8"/>
  <c r="DP24" i="8"/>
  <c r="DQ24" i="8" s="1"/>
  <c r="DC24" i="8"/>
  <c r="CT24" i="8"/>
  <c r="CR24" i="8"/>
  <c r="CP24" i="8"/>
  <c r="CN24" i="8"/>
  <c r="CL24" i="8"/>
  <c r="CJ24" i="8"/>
  <c r="CH24" i="8"/>
  <c r="CF24" i="8"/>
  <c r="CD24" i="8"/>
  <c r="CB24" i="8"/>
  <c r="BZ24" i="8"/>
  <c r="BX24" i="8"/>
  <c r="BV24" i="8"/>
  <c r="BT24" i="8"/>
  <c r="BR24" i="8"/>
  <c r="BP24" i="8"/>
  <c r="BN24" i="8"/>
  <c r="BL24" i="8"/>
  <c r="BJ24" i="8"/>
  <c r="BH24" i="8"/>
  <c r="BF24" i="8"/>
  <c r="BD24" i="8"/>
  <c r="BB24" i="8"/>
  <c r="AZ24" i="8"/>
  <c r="AX24" i="8"/>
  <c r="AV24" i="8"/>
  <c r="AR24" i="8"/>
  <c r="X24" i="8"/>
  <c r="Q24" i="8"/>
  <c r="O24" i="8"/>
  <c r="N24" i="8"/>
  <c r="M24" i="8"/>
  <c r="L24" i="8"/>
  <c r="G24" i="8"/>
  <c r="DP23" i="8"/>
  <c r="DQ23" i="8" s="1"/>
  <c r="DC23" i="8"/>
  <c r="CT23" i="8"/>
  <c r="CR23" i="8"/>
  <c r="CP23" i="8"/>
  <c r="CN23" i="8"/>
  <c r="CL23" i="8"/>
  <c r="CJ23" i="8"/>
  <c r="CH23" i="8"/>
  <c r="CF23" i="8"/>
  <c r="CD23" i="8"/>
  <c r="CB23" i="8"/>
  <c r="BZ23" i="8"/>
  <c r="BX23" i="8"/>
  <c r="BV23" i="8"/>
  <c r="BT23" i="8"/>
  <c r="BR23" i="8"/>
  <c r="BP23" i="8"/>
  <c r="BN23" i="8"/>
  <c r="BL23" i="8"/>
  <c r="BJ23" i="8"/>
  <c r="BH23" i="8"/>
  <c r="BF23" i="8"/>
  <c r="BD23" i="8"/>
  <c r="BB23" i="8"/>
  <c r="AZ23" i="8"/>
  <c r="AX23" i="8"/>
  <c r="AV23" i="8"/>
  <c r="AT23" i="8"/>
  <c r="AR23" i="8"/>
  <c r="AS23" i="8" s="1"/>
  <c r="X23" i="8"/>
  <c r="Q23" i="8"/>
  <c r="O23" i="8"/>
  <c r="N23" i="8"/>
  <c r="M23" i="8"/>
  <c r="L23" i="8"/>
  <c r="G23" i="8"/>
  <c r="DQ22" i="8"/>
  <c r="DP22" i="8"/>
  <c r="DC22" i="8"/>
  <c r="CT22" i="8"/>
  <c r="CR22" i="8"/>
  <c r="CP22" i="8"/>
  <c r="CN22" i="8"/>
  <c r="CL22" i="8"/>
  <c r="CJ22" i="8"/>
  <c r="CH22" i="8"/>
  <c r="CF22" i="8"/>
  <c r="CD22" i="8"/>
  <c r="CB22" i="8"/>
  <c r="BZ22" i="8"/>
  <c r="BX22" i="8"/>
  <c r="BV22" i="8"/>
  <c r="BT22" i="8"/>
  <c r="BR22" i="8"/>
  <c r="BP22" i="8"/>
  <c r="BN22" i="8"/>
  <c r="BL22" i="8"/>
  <c r="BJ22" i="8"/>
  <c r="BH22" i="8"/>
  <c r="BF22" i="8"/>
  <c r="BD22" i="8"/>
  <c r="BB22" i="8"/>
  <c r="AZ22" i="8"/>
  <c r="AX22" i="8"/>
  <c r="AV22" i="8"/>
  <c r="AT22" i="8"/>
  <c r="AR22" i="8"/>
  <c r="AS22" i="8" s="1"/>
  <c r="X22" i="8"/>
  <c r="Q22" i="8"/>
  <c r="O22" i="8"/>
  <c r="N22" i="8"/>
  <c r="M22" i="8"/>
  <c r="L22" i="8"/>
  <c r="G22" i="8"/>
  <c r="DQ21" i="8"/>
  <c r="DP21" i="8"/>
  <c r="DC21" i="8"/>
  <c r="CT21" i="8"/>
  <c r="CR21" i="8"/>
  <c r="CP21" i="8"/>
  <c r="CN21" i="8"/>
  <c r="CL21" i="8"/>
  <c r="CJ21" i="8"/>
  <c r="CH21" i="8"/>
  <c r="CF21" i="8"/>
  <c r="CD21" i="8"/>
  <c r="CB21" i="8"/>
  <c r="BZ21" i="8"/>
  <c r="BX21" i="8"/>
  <c r="BV21" i="8"/>
  <c r="BT21" i="8"/>
  <c r="BR21" i="8"/>
  <c r="BP21" i="8"/>
  <c r="BN21" i="8"/>
  <c r="BL21" i="8"/>
  <c r="BJ21" i="8"/>
  <c r="BH21" i="8"/>
  <c r="BF21" i="8"/>
  <c r="BD21" i="8"/>
  <c r="BB21" i="8"/>
  <c r="AZ21" i="8"/>
  <c r="AX21" i="8"/>
  <c r="AV21" i="8"/>
  <c r="AT21" i="8"/>
  <c r="AR21" i="8"/>
  <c r="AS21" i="8" s="1"/>
  <c r="X21" i="8"/>
  <c r="Q21" i="8"/>
  <c r="O21" i="8"/>
  <c r="N21" i="8"/>
  <c r="M21" i="8"/>
  <c r="L21" i="8"/>
  <c r="G21" i="8"/>
  <c r="DQ20" i="8"/>
  <c r="DP20" i="8"/>
  <c r="DC20" i="8"/>
  <c r="CT20" i="8"/>
  <c r="CR20" i="8"/>
  <c r="CP20" i="8"/>
  <c r="CN20" i="8"/>
  <c r="CL20" i="8"/>
  <c r="CJ20" i="8"/>
  <c r="CH20" i="8"/>
  <c r="CF20" i="8"/>
  <c r="CD20" i="8"/>
  <c r="CB20" i="8"/>
  <c r="BZ20" i="8"/>
  <c r="BX20" i="8"/>
  <c r="BV20" i="8"/>
  <c r="BT20" i="8"/>
  <c r="BR20" i="8"/>
  <c r="BP20" i="8"/>
  <c r="BN20" i="8"/>
  <c r="BL20" i="8"/>
  <c r="BJ20" i="8"/>
  <c r="BH20" i="8"/>
  <c r="BF20" i="8"/>
  <c r="BD20" i="8"/>
  <c r="BB20" i="8"/>
  <c r="AZ20" i="8"/>
  <c r="AX20" i="8"/>
  <c r="AV20" i="8"/>
  <c r="AT20" i="8"/>
  <c r="AR20" i="8"/>
  <c r="AS20" i="8" s="1"/>
  <c r="X20" i="8"/>
  <c r="Q20" i="8"/>
  <c r="O20" i="8"/>
  <c r="M20" i="8"/>
  <c r="N20" i="8" s="1"/>
  <c r="L20" i="8"/>
  <c r="G20" i="8"/>
  <c r="DQ19" i="8"/>
  <c r="DP19" i="8"/>
  <c r="DC19" i="8"/>
  <c r="CT19" i="8"/>
  <c r="CR19" i="8"/>
  <c r="CP19" i="8"/>
  <c r="CN19" i="8"/>
  <c r="CL19" i="8"/>
  <c r="CJ19" i="8"/>
  <c r="CH19" i="8"/>
  <c r="CF19" i="8"/>
  <c r="CD19" i="8"/>
  <c r="CB19" i="8"/>
  <c r="BZ19" i="8"/>
  <c r="BX19" i="8"/>
  <c r="BV19" i="8"/>
  <c r="BT19" i="8"/>
  <c r="BR19" i="8"/>
  <c r="BP19" i="8"/>
  <c r="BN19" i="8"/>
  <c r="BL19" i="8"/>
  <c r="BJ19" i="8"/>
  <c r="BH19" i="8"/>
  <c r="BF19" i="8"/>
  <c r="BD19" i="8"/>
  <c r="BB19" i="8"/>
  <c r="AZ19" i="8"/>
  <c r="AX19" i="8"/>
  <c r="AV19" i="8"/>
  <c r="AR19" i="8"/>
  <c r="X19" i="8"/>
  <c r="Q19" i="8"/>
  <c r="O19" i="8"/>
  <c r="N19" i="8"/>
  <c r="M19" i="8"/>
  <c r="L19" i="8"/>
  <c r="G19" i="8"/>
  <c r="DQ18" i="8"/>
  <c r="DP18" i="8"/>
  <c r="DC18" i="8"/>
  <c r="CT18" i="8"/>
  <c r="CR18" i="8"/>
  <c r="CP18" i="8"/>
  <c r="CN18" i="8"/>
  <c r="CL18" i="8"/>
  <c r="CJ18" i="8"/>
  <c r="CH18" i="8"/>
  <c r="CF18" i="8"/>
  <c r="CD18" i="8"/>
  <c r="CB18" i="8"/>
  <c r="BZ18" i="8"/>
  <c r="BX18" i="8"/>
  <c r="BV18" i="8"/>
  <c r="BT18" i="8"/>
  <c r="BR18" i="8"/>
  <c r="BP18" i="8"/>
  <c r="BN18" i="8"/>
  <c r="BL18" i="8"/>
  <c r="BJ18" i="8"/>
  <c r="BH18" i="8"/>
  <c r="BF18" i="8"/>
  <c r="BD18" i="8"/>
  <c r="BB18" i="8"/>
  <c r="AZ18" i="8"/>
  <c r="AX18" i="8"/>
  <c r="AV18" i="8"/>
  <c r="AT18" i="8"/>
  <c r="AS18" i="8"/>
  <c r="AR18" i="8"/>
  <c r="X18" i="8"/>
  <c r="Q18" i="8"/>
  <c r="O18" i="8"/>
  <c r="N18" i="8"/>
  <c r="M18" i="8"/>
  <c r="L18" i="8"/>
  <c r="G18" i="8"/>
  <c r="DP17" i="8"/>
  <c r="DQ17" i="8" s="1"/>
  <c r="DC17" i="8"/>
  <c r="CT17" i="8"/>
  <c r="CR17" i="8"/>
  <c r="CP17" i="8"/>
  <c r="CN17" i="8"/>
  <c r="CL17" i="8"/>
  <c r="CJ17" i="8"/>
  <c r="CH17" i="8"/>
  <c r="CF17" i="8"/>
  <c r="CD17" i="8"/>
  <c r="CB17" i="8"/>
  <c r="BZ17" i="8"/>
  <c r="BX17" i="8"/>
  <c r="BV17" i="8"/>
  <c r="BT17" i="8"/>
  <c r="BR17" i="8"/>
  <c r="BP17" i="8"/>
  <c r="BN17" i="8"/>
  <c r="BL17" i="8"/>
  <c r="BJ17" i="8"/>
  <c r="BH17" i="8"/>
  <c r="BF17" i="8"/>
  <c r="BD17" i="8"/>
  <c r="BB17" i="8"/>
  <c r="AZ17" i="8"/>
  <c r="AX17" i="8"/>
  <c r="AV17" i="8"/>
  <c r="AS17" i="8"/>
  <c r="AR17" i="8"/>
  <c r="AT17" i="8" s="1"/>
  <c r="X17" i="8"/>
  <c r="Q17" i="8"/>
  <c r="O17" i="8"/>
  <c r="M17" i="8"/>
  <c r="N17" i="8" s="1"/>
  <c r="L17" i="8"/>
  <c r="G17" i="8"/>
  <c r="DQ16" i="8"/>
  <c r="DP16" i="8"/>
  <c r="DC16" i="8"/>
  <c r="CT16" i="8"/>
  <c r="CR16" i="8"/>
  <c r="CP16" i="8"/>
  <c r="CN16" i="8"/>
  <c r="CL16" i="8"/>
  <c r="CJ16" i="8"/>
  <c r="CH16" i="8"/>
  <c r="CF16" i="8"/>
  <c r="CD16" i="8"/>
  <c r="CB16" i="8"/>
  <c r="BZ16" i="8"/>
  <c r="BX16" i="8"/>
  <c r="BV16" i="8"/>
  <c r="BT16" i="8"/>
  <c r="BR16" i="8"/>
  <c r="BP16" i="8"/>
  <c r="BN16" i="8"/>
  <c r="BL16" i="8"/>
  <c r="BJ16" i="8"/>
  <c r="BH16" i="8"/>
  <c r="BF16" i="8"/>
  <c r="BD16" i="8"/>
  <c r="BB16" i="8"/>
  <c r="AZ16" i="8"/>
  <c r="AX16" i="8"/>
  <c r="AV16" i="8"/>
  <c r="AR16" i="8"/>
  <c r="X16" i="8"/>
  <c r="Q16" i="8"/>
  <c r="O16" i="8"/>
  <c r="N16" i="8"/>
  <c r="M16" i="8"/>
  <c r="L16" i="8"/>
  <c r="G16" i="8"/>
  <c r="DQ15" i="8"/>
  <c r="DP15" i="8"/>
  <c r="DC15" i="8"/>
  <c r="CT15" i="8"/>
  <c r="CR15" i="8"/>
  <c r="CP15" i="8"/>
  <c r="CN15" i="8"/>
  <c r="CL15" i="8"/>
  <c r="CJ15" i="8"/>
  <c r="CH15" i="8"/>
  <c r="CF15" i="8"/>
  <c r="CD15" i="8"/>
  <c r="CB15" i="8"/>
  <c r="BZ15" i="8"/>
  <c r="BX15" i="8"/>
  <c r="BV15" i="8"/>
  <c r="BT15" i="8"/>
  <c r="BR15" i="8"/>
  <c r="BP15" i="8"/>
  <c r="BN15" i="8"/>
  <c r="BL15" i="8"/>
  <c r="BJ15" i="8"/>
  <c r="BH15" i="8"/>
  <c r="BF15" i="8"/>
  <c r="BD15" i="8"/>
  <c r="BB15" i="8"/>
  <c r="AZ15" i="8"/>
  <c r="AX15" i="8"/>
  <c r="AV15" i="8"/>
  <c r="AT15" i="8"/>
  <c r="AS15" i="8"/>
  <c r="AR15" i="8"/>
  <c r="X15" i="8"/>
  <c r="Q15" i="8"/>
  <c r="O15" i="8"/>
  <c r="N15" i="8"/>
  <c r="M15" i="8"/>
  <c r="L15" i="8"/>
  <c r="G15" i="8"/>
  <c r="DP14" i="8"/>
  <c r="DQ14" i="8" s="1"/>
  <c r="DC14" i="8"/>
  <c r="CT14" i="8"/>
  <c r="CR14" i="8"/>
  <c r="CP14" i="8"/>
  <c r="CN14" i="8"/>
  <c r="CL14" i="8"/>
  <c r="CJ14" i="8"/>
  <c r="CH14" i="8"/>
  <c r="CF14" i="8"/>
  <c r="CD14" i="8"/>
  <c r="CB14" i="8"/>
  <c r="BZ14" i="8"/>
  <c r="BX14" i="8"/>
  <c r="BV14" i="8"/>
  <c r="BT14" i="8"/>
  <c r="BR14" i="8"/>
  <c r="BP14" i="8"/>
  <c r="BN14" i="8"/>
  <c r="BL14" i="8"/>
  <c r="BJ14" i="8"/>
  <c r="BH14" i="8"/>
  <c r="BF14" i="8"/>
  <c r="BD14" i="8"/>
  <c r="BB14" i="8"/>
  <c r="AZ14" i="8"/>
  <c r="AX14" i="8"/>
  <c r="AV14" i="8"/>
  <c r="AR14" i="8"/>
  <c r="AT14" i="8" s="1"/>
  <c r="X14" i="8"/>
  <c r="Q14" i="8"/>
  <c r="O14" i="8"/>
  <c r="M14" i="8"/>
  <c r="N14" i="8" s="1"/>
  <c r="L14" i="8"/>
  <c r="G14" i="8"/>
  <c r="DQ13" i="8"/>
  <c r="DP13" i="8"/>
  <c r="DC13" i="8"/>
  <c r="CT13" i="8"/>
  <c r="CR13" i="8"/>
  <c r="CP13" i="8"/>
  <c r="CN13" i="8"/>
  <c r="CL13" i="8"/>
  <c r="CJ13" i="8"/>
  <c r="CH13" i="8"/>
  <c r="CF13" i="8"/>
  <c r="CD13" i="8"/>
  <c r="CB13" i="8"/>
  <c r="BZ13" i="8"/>
  <c r="BX13" i="8"/>
  <c r="BV13" i="8"/>
  <c r="BT13" i="8"/>
  <c r="BR13" i="8"/>
  <c r="BP13" i="8"/>
  <c r="BN13" i="8"/>
  <c r="BL13" i="8"/>
  <c r="BJ13" i="8"/>
  <c r="BH13" i="8"/>
  <c r="BF13" i="8"/>
  <c r="BD13" i="8"/>
  <c r="BB13" i="8"/>
  <c r="AZ13" i="8"/>
  <c r="AX13" i="8"/>
  <c r="AV13" i="8"/>
  <c r="AT13" i="8"/>
  <c r="AS13" i="8"/>
  <c r="AR13" i="8"/>
  <c r="X13" i="8"/>
  <c r="Q13" i="8"/>
  <c r="O13" i="8"/>
  <c r="N13" i="8"/>
  <c r="M13" i="8"/>
  <c r="L13" i="8"/>
  <c r="G13" i="8"/>
  <c r="DP12" i="8"/>
  <c r="DQ12" i="8" s="1"/>
  <c r="DC12" i="8"/>
  <c r="CT12" i="8"/>
  <c r="CR12" i="8"/>
  <c r="CP12" i="8"/>
  <c r="CN12" i="8"/>
  <c r="CL12" i="8"/>
  <c r="CJ12" i="8"/>
  <c r="CH12" i="8"/>
  <c r="CF12" i="8"/>
  <c r="CD12" i="8"/>
  <c r="CB12" i="8"/>
  <c r="BZ12" i="8"/>
  <c r="BX12" i="8"/>
  <c r="BV12" i="8"/>
  <c r="BT12" i="8"/>
  <c r="BR12" i="8"/>
  <c r="BP12" i="8"/>
  <c r="BN12" i="8"/>
  <c r="BL12" i="8"/>
  <c r="BJ12" i="8"/>
  <c r="BH12" i="8"/>
  <c r="BF12" i="8"/>
  <c r="BD12" i="8"/>
  <c r="BB12" i="8"/>
  <c r="AZ12" i="8"/>
  <c r="AX12" i="8"/>
  <c r="AV12" i="8"/>
  <c r="AS12" i="8"/>
  <c r="AR12" i="8"/>
  <c r="AT12" i="8" s="1"/>
  <c r="X12" i="8"/>
  <c r="Q12" i="8"/>
  <c r="O12" i="8"/>
  <c r="M12" i="8"/>
  <c r="N12" i="8" s="1"/>
  <c r="L12" i="8"/>
  <c r="G12" i="8"/>
  <c r="DP11" i="8"/>
  <c r="DQ11" i="8" s="1"/>
  <c r="DC11" i="8"/>
  <c r="CT11" i="8"/>
  <c r="CR11" i="8"/>
  <c r="CP11" i="8"/>
  <c r="CN11" i="8"/>
  <c r="CL11" i="8"/>
  <c r="CJ11" i="8"/>
  <c r="CH11" i="8"/>
  <c r="CF11" i="8"/>
  <c r="CD11" i="8"/>
  <c r="CB11" i="8"/>
  <c r="BZ11" i="8"/>
  <c r="BX11" i="8"/>
  <c r="BV11" i="8"/>
  <c r="BT11" i="8"/>
  <c r="BR11" i="8"/>
  <c r="BP11" i="8"/>
  <c r="BN11" i="8"/>
  <c r="BL11" i="8"/>
  <c r="BJ11" i="8"/>
  <c r="BH11" i="8"/>
  <c r="BF11" i="8"/>
  <c r="BD11" i="8"/>
  <c r="BB11" i="8"/>
  <c r="AZ11" i="8"/>
  <c r="AX11" i="8"/>
  <c r="AV11" i="8"/>
  <c r="AS11" i="8"/>
  <c r="AR11" i="8"/>
  <c r="AT11" i="8" s="1"/>
  <c r="X11" i="8"/>
  <c r="Q11" i="8"/>
  <c r="O11" i="8"/>
  <c r="M11" i="8"/>
  <c r="N11" i="8" s="1"/>
  <c r="L11" i="8"/>
  <c r="G11" i="8"/>
  <c r="DP10" i="8"/>
  <c r="DQ10" i="8" s="1"/>
  <c r="DC10" i="8"/>
  <c r="CT10" i="8"/>
  <c r="CR10" i="8"/>
  <c r="CP10" i="8"/>
  <c r="CN10" i="8"/>
  <c r="CL10" i="8"/>
  <c r="CJ10" i="8"/>
  <c r="CH10" i="8"/>
  <c r="CF10" i="8"/>
  <c r="CD10" i="8"/>
  <c r="CB10" i="8"/>
  <c r="BZ10" i="8"/>
  <c r="BX10" i="8"/>
  <c r="BV10" i="8"/>
  <c r="BT10" i="8"/>
  <c r="BR10" i="8"/>
  <c r="BP10" i="8"/>
  <c r="BN10" i="8"/>
  <c r="BL10" i="8"/>
  <c r="BJ10" i="8"/>
  <c r="BH10" i="8"/>
  <c r="BF10" i="8"/>
  <c r="BD10" i="8"/>
  <c r="BB10" i="8"/>
  <c r="AZ10" i="8"/>
  <c r="AX10" i="8"/>
  <c r="AV10" i="8"/>
  <c r="AS10" i="8"/>
  <c r="AR10" i="8"/>
  <c r="AT10" i="8" s="1"/>
  <c r="X10" i="8"/>
  <c r="Q10" i="8"/>
  <c r="O10" i="8"/>
  <c r="M10" i="8"/>
  <c r="N10" i="8" s="1"/>
  <c r="L10" i="8"/>
  <c r="G10" i="8"/>
  <c r="DP9" i="8"/>
  <c r="DQ9" i="8" s="1"/>
  <c r="DC9" i="8"/>
  <c r="CT9" i="8"/>
  <c r="CR9" i="8"/>
  <c r="CP9" i="8"/>
  <c r="CN9" i="8"/>
  <c r="CL9" i="8"/>
  <c r="CJ9" i="8"/>
  <c r="CH9" i="8"/>
  <c r="CF9" i="8"/>
  <c r="CD9" i="8"/>
  <c r="CB9" i="8"/>
  <c r="BZ9" i="8"/>
  <c r="BX9" i="8"/>
  <c r="BV9" i="8"/>
  <c r="BT9" i="8"/>
  <c r="BR9" i="8"/>
  <c r="BP9" i="8"/>
  <c r="BN9" i="8"/>
  <c r="BL9" i="8"/>
  <c r="BJ9" i="8"/>
  <c r="BH9" i="8"/>
  <c r="BF9" i="8"/>
  <c r="BD9" i="8"/>
  <c r="BB9" i="8"/>
  <c r="AZ9" i="8"/>
  <c r="AX9" i="8"/>
  <c r="AV9" i="8"/>
  <c r="AS9" i="8"/>
  <c r="AR9" i="8"/>
  <c r="AT9" i="8" s="1"/>
  <c r="X9" i="8"/>
  <c r="Q9" i="8"/>
  <c r="O9" i="8"/>
  <c r="M9" i="8"/>
  <c r="N9" i="8" s="1"/>
  <c r="L9" i="8"/>
  <c r="G9" i="8"/>
  <c r="DP8" i="8"/>
  <c r="DQ8" i="8" s="1"/>
  <c r="DC8" i="8"/>
  <c r="CT8" i="8"/>
  <c r="CR8" i="8"/>
  <c r="CP8" i="8"/>
  <c r="CN8" i="8"/>
  <c r="CL8" i="8"/>
  <c r="CJ8" i="8"/>
  <c r="CH8" i="8"/>
  <c r="CF8" i="8"/>
  <c r="CD8" i="8"/>
  <c r="CB8" i="8"/>
  <c r="BZ8" i="8"/>
  <c r="BX8" i="8"/>
  <c r="BV8" i="8"/>
  <c r="BT8" i="8"/>
  <c r="BR8" i="8"/>
  <c r="BP8" i="8"/>
  <c r="BN8" i="8"/>
  <c r="BL8" i="8"/>
  <c r="BJ8" i="8"/>
  <c r="BH8" i="8"/>
  <c r="BF8" i="8"/>
  <c r="BD8" i="8"/>
  <c r="BB8" i="8"/>
  <c r="AZ8" i="8"/>
  <c r="AX8" i="8"/>
  <c r="AV8" i="8"/>
  <c r="AS8" i="8"/>
  <c r="AR8" i="8"/>
  <c r="AT8" i="8" s="1"/>
  <c r="X8" i="8"/>
  <c r="Q8" i="8"/>
  <c r="O8" i="8"/>
  <c r="M8" i="8"/>
  <c r="N8" i="8" s="1"/>
  <c r="L8" i="8"/>
  <c r="G8" i="8"/>
  <c r="DP7" i="8"/>
  <c r="DQ7" i="8" s="1"/>
  <c r="DC7" i="8"/>
  <c r="CT7" i="8"/>
  <c r="CR7" i="8"/>
  <c r="CP7" i="8"/>
  <c r="CN7" i="8"/>
  <c r="CL7" i="8"/>
  <c r="CJ7" i="8"/>
  <c r="CH7" i="8"/>
  <c r="CF7" i="8"/>
  <c r="CD7" i="8"/>
  <c r="CB7" i="8"/>
  <c r="BZ7" i="8"/>
  <c r="BX7" i="8"/>
  <c r="BV7" i="8"/>
  <c r="BT7" i="8"/>
  <c r="BR7" i="8"/>
  <c r="BP7" i="8"/>
  <c r="BN7" i="8"/>
  <c r="BL7" i="8"/>
  <c r="BJ7" i="8"/>
  <c r="BH7" i="8"/>
  <c r="BF7" i="8"/>
  <c r="BD7" i="8"/>
  <c r="BB7" i="8"/>
  <c r="AZ7" i="8"/>
  <c r="AX7" i="8"/>
  <c r="AV7" i="8"/>
  <c r="AS7" i="8"/>
  <c r="AR7" i="8"/>
  <c r="AT7" i="8" s="1"/>
  <c r="X7" i="8"/>
  <c r="Q7" i="8"/>
  <c r="O7" i="8"/>
  <c r="M7" i="8"/>
  <c r="N7" i="8" s="1"/>
  <c r="L7" i="8"/>
  <c r="G7" i="8"/>
  <c r="DP6" i="8"/>
  <c r="DQ6" i="8" s="1"/>
  <c r="DC6" i="8"/>
  <c r="CT6" i="8"/>
  <c r="CR6" i="8"/>
  <c r="CP6" i="8"/>
  <c r="CN6" i="8"/>
  <c r="CL6" i="8"/>
  <c r="CJ6" i="8"/>
  <c r="CH6" i="8"/>
  <c r="CF6" i="8"/>
  <c r="CD6" i="8"/>
  <c r="CB6" i="8"/>
  <c r="BZ6" i="8"/>
  <c r="BX6" i="8"/>
  <c r="BV6" i="8"/>
  <c r="BT6" i="8"/>
  <c r="BR6" i="8"/>
  <c r="BP6" i="8"/>
  <c r="BN6" i="8"/>
  <c r="BL6" i="8"/>
  <c r="BJ6" i="8"/>
  <c r="BH6" i="8"/>
  <c r="BF6" i="8"/>
  <c r="BD6" i="8"/>
  <c r="BB6" i="8"/>
  <c r="AZ6" i="8"/>
  <c r="AX6" i="8"/>
  <c r="AV6" i="8"/>
  <c r="AS6" i="8"/>
  <c r="AR6" i="8"/>
  <c r="AT6" i="8" s="1"/>
  <c r="X6" i="8"/>
  <c r="Q6" i="8"/>
  <c r="O6" i="8"/>
  <c r="M6" i="8"/>
  <c r="N6" i="8" s="1"/>
  <c r="L6" i="8"/>
  <c r="G6" i="8"/>
  <c r="DP5" i="8"/>
  <c r="DQ5" i="8" s="1"/>
  <c r="DC5" i="8"/>
  <c r="CT5" i="8"/>
  <c r="CT37" i="8" s="1"/>
  <c r="CR5" i="8"/>
  <c r="CR37" i="8" s="1"/>
  <c r="CP5" i="8"/>
  <c r="CN5" i="8"/>
  <c r="CN37" i="8" s="1"/>
  <c r="CL5" i="8"/>
  <c r="CJ5" i="8"/>
  <c r="CH5" i="8"/>
  <c r="CF5" i="8"/>
  <c r="CD5" i="8"/>
  <c r="CD37" i="8" s="1"/>
  <c r="CB5" i="8"/>
  <c r="CB37" i="8" s="1"/>
  <c r="BZ5" i="8"/>
  <c r="BX5" i="8"/>
  <c r="BX37" i="8" s="1"/>
  <c r="BV5" i="8"/>
  <c r="BT5" i="8"/>
  <c r="BR5" i="8"/>
  <c r="BP5" i="8"/>
  <c r="BN5" i="8"/>
  <c r="BN37" i="8" s="1"/>
  <c r="BL5" i="8"/>
  <c r="BL37" i="8" s="1"/>
  <c r="BJ5" i="8"/>
  <c r="BH5" i="8"/>
  <c r="BH37" i="8" s="1"/>
  <c r="BF5" i="8"/>
  <c r="BD5" i="8"/>
  <c r="BB5" i="8"/>
  <c r="AZ5" i="8"/>
  <c r="AX5" i="8"/>
  <c r="AX37" i="8" s="1"/>
  <c r="AV5" i="8"/>
  <c r="AS5" i="8"/>
  <c r="AR5" i="8"/>
  <c r="AC5" i="8"/>
  <c r="J37" i="8" s="1"/>
  <c r="Z5" i="8"/>
  <c r="AA5" i="8" s="1"/>
  <c r="X5" i="8"/>
  <c r="X37" i="8" s="1"/>
  <c r="V5" i="8"/>
  <c r="V6" i="8" s="1"/>
  <c r="Q5" i="8"/>
  <c r="O5" i="8"/>
  <c r="M5" i="8"/>
  <c r="N5" i="8" s="1"/>
  <c r="L5" i="8"/>
  <c r="J5" i="8"/>
  <c r="H5" i="8"/>
  <c r="G5" i="8"/>
  <c r="AQ4" i="8"/>
  <c r="AP4" i="8"/>
  <c r="AO4" i="8"/>
  <c r="AN4" i="8"/>
  <c r="AM4" i="8"/>
  <c r="A1" i="8"/>
  <c r="DO37" i="7"/>
  <c r="DN37" i="7"/>
  <c r="DM37" i="7"/>
  <c r="DL37" i="7"/>
  <c r="DK37" i="7"/>
  <c r="DJ37" i="7"/>
  <c r="DI37" i="7"/>
  <c r="DH37" i="7"/>
  <c r="DG37" i="7"/>
  <c r="DF37" i="7"/>
  <c r="DA37" i="7"/>
  <c r="CZ37" i="7"/>
  <c r="CY37" i="7"/>
  <c r="CX37" i="7"/>
  <c r="CV37" i="7"/>
  <c r="CU37" i="7"/>
  <c r="CS37" i="7"/>
  <c r="CQ37" i="7"/>
  <c r="CO37" i="7"/>
  <c r="CM37" i="7"/>
  <c r="CK37" i="7"/>
  <c r="CI37" i="7"/>
  <c r="CG37" i="7"/>
  <c r="CE37" i="7"/>
  <c r="CC37" i="7"/>
  <c r="CA37" i="7"/>
  <c r="BY37" i="7"/>
  <c r="BW37" i="7"/>
  <c r="BU37" i="7"/>
  <c r="BS37" i="7"/>
  <c r="BQ37" i="7"/>
  <c r="BO37" i="7"/>
  <c r="BM37" i="7"/>
  <c r="BK37" i="7"/>
  <c r="BI37" i="7"/>
  <c r="BG37" i="7"/>
  <c r="BE37" i="7"/>
  <c r="BC37" i="7"/>
  <c r="BA37" i="7"/>
  <c r="AY37" i="7"/>
  <c r="AW37" i="7"/>
  <c r="AQ37" i="7"/>
  <c r="AP37" i="7"/>
  <c r="AO37" i="7"/>
  <c r="AN37" i="7"/>
  <c r="AM37" i="7"/>
  <c r="AL37" i="7"/>
  <c r="AK37" i="7"/>
  <c r="AJ37" i="7"/>
  <c r="AI37" i="7"/>
  <c r="AH37" i="7"/>
  <c r="AG37" i="7"/>
  <c r="AF37" i="7"/>
  <c r="AE37" i="7"/>
  <c r="AD37" i="7"/>
  <c r="Y37" i="7"/>
  <c r="W37" i="7"/>
  <c r="L37" i="7" s="1"/>
  <c r="U37" i="7"/>
  <c r="K37" i="7"/>
  <c r="H37" i="7"/>
  <c r="F37" i="7"/>
  <c r="DO36" i="7"/>
  <c r="DN36" i="7"/>
  <c r="DM36" i="7"/>
  <c r="DL36" i="7"/>
  <c r="DK36" i="7"/>
  <c r="DJ36" i="7"/>
  <c r="DI36" i="7"/>
  <c r="DH36" i="7"/>
  <c r="DG36" i="7"/>
  <c r="DF36" i="7"/>
  <c r="DA36" i="7"/>
  <c r="CZ36" i="7"/>
  <c r="CY36" i="7"/>
  <c r="CX36" i="7"/>
  <c r="CV36" i="7"/>
  <c r="CU36" i="7"/>
  <c r="CS36" i="7"/>
  <c r="CQ36" i="7"/>
  <c r="CO36" i="7"/>
  <c r="CM36" i="7"/>
  <c r="CK36" i="7"/>
  <c r="CI36" i="7"/>
  <c r="CG36" i="7"/>
  <c r="CE36" i="7"/>
  <c r="CC36" i="7"/>
  <c r="CA36" i="7"/>
  <c r="BY36" i="7"/>
  <c r="BW36" i="7"/>
  <c r="BU36" i="7"/>
  <c r="BS36" i="7"/>
  <c r="BQ36" i="7"/>
  <c r="BO36" i="7"/>
  <c r="BM36" i="7"/>
  <c r="BK36" i="7"/>
  <c r="BI36" i="7"/>
  <c r="BG36" i="7"/>
  <c r="BE36" i="7"/>
  <c r="BC36" i="7"/>
  <c r="BA36" i="7"/>
  <c r="AY36" i="7"/>
  <c r="AW36" i="7"/>
  <c r="AQ36" i="7"/>
  <c r="AP36" i="7"/>
  <c r="AO36" i="7"/>
  <c r="AN36" i="7"/>
  <c r="AM36" i="7"/>
  <c r="AL36" i="7"/>
  <c r="AK36" i="7"/>
  <c r="AJ36" i="7"/>
  <c r="AI36" i="7"/>
  <c r="AH36" i="7"/>
  <c r="AG36" i="7"/>
  <c r="AF36" i="7"/>
  <c r="AE36" i="7"/>
  <c r="AD36" i="7"/>
  <c r="Y36" i="7"/>
  <c r="W36" i="7"/>
  <c r="L36" i="7" s="1"/>
  <c r="U36" i="7"/>
  <c r="N36" i="7"/>
  <c r="K36" i="7"/>
  <c r="F36" i="7"/>
  <c r="DQ35" i="7"/>
  <c r="DP35" i="7"/>
  <c r="DC35" i="7"/>
  <c r="CT35" i="7"/>
  <c r="CR35" i="7"/>
  <c r="CP35" i="7"/>
  <c r="CN35" i="7"/>
  <c r="CL35" i="7"/>
  <c r="CJ35" i="7"/>
  <c r="CH35" i="7"/>
  <c r="CF35" i="7"/>
  <c r="CD35" i="7"/>
  <c r="CB35" i="7"/>
  <c r="BZ35" i="7"/>
  <c r="BX35" i="7"/>
  <c r="BV35" i="7"/>
  <c r="BT35" i="7"/>
  <c r="BR35" i="7"/>
  <c r="BP35" i="7"/>
  <c r="BN35" i="7"/>
  <c r="BL35" i="7"/>
  <c r="BJ35" i="7"/>
  <c r="BH35" i="7"/>
  <c r="BF35" i="7"/>
  <c r="BD35" i="7"/>
  <c r="BB35" i="7"/>
  <c r="AZ35" i="7"/>
  <c r="AX35" i="7"/>
  <c r="AV35" i="7"/>
  <c r="AR35" i="7"/>
  <c r="X35" i="7"/>
  <c r="Q35" i="7"/>
  <c r="O35" i="7"/>
  <c r="N35" i="7"/>
  <c r="M35" i="7"/>
  <c r="L35" i="7"/>
  <c r="G35" i="7"/>
  <c r="DQ34" i="7"/>
  <c r="DP34" i="7"/>
  <c r="DC34" i="7"/>
  <c r="CT34" i="7"/>
  <c r="CR34" i="7"/>
  <c r="CP34" i="7"/>
  <c r="CN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R34" i="7"/>
  <c r="X34" i="7"/>
  <c r="Q34" i="7"/>
  <c r="O34" i="7"/>
  <c r="N34" i="7"/>
  <c r="M34" i="7"/>
  <c r="L34" i="7"/>
  <c r="G34" i="7"/>
  <c r="DQ33" i="7"/>
  <c r="DP33" i="7"/>
  <c r="DC33" i="7"/>
  <c r="CT33" i="7"/>
  <c r="CR33" i="7"/>
  <c r="CP33" i="7"/>
  <c r="CN33" i="7"/>
  <c r="CL33" i="7"/>
  <c r="CJ33" i="7"/>
  <c r="CH33" i="7"/>
  <c r="CF33" i="7"/>
  <c r="CD33" i="7"/>
  <c r="CB33" i="7"/>
  <c r="BZ33" i="7"/>
  <c r="BX33" i="7"/>
  <c r="BV33" i="7"/>
  <c r="BT33" i="7"/>
  <c r="BR33" i="7"/>
  <c r="BP33" i="7"/>
  <c r="BN33" i="7"/>
  <c r="BL33" i="7"/>
  <c r="BJ33" i="7"/>
  <c r="BH33" i="7"/>
  <c r="BF33" i="7"/>
  <c r="BD33" i="7"/>
  <c r="BB33" i="7"/>
  <c r="AZ33" i="7"/>
  <c r="AX33" i="7"/>
  <c r="AV33" i="7"/>
  <c r="AR33" i="7"/>
  <c r="X33" i="7"/>
  <c r="Q33" i="7"/>
  <c r="O33" i="7"/>
  <c r="N33" i="7"/>
  <c r="M33" i="7"/>
  <c r="L33" i="7"/>
  <c r="G33" i="7"/>
  <c r="DQ32" i="7"/>
  <c r="DP32" i="7"/>
  <c r="DC32" i="7"/>
  <c r="CT32" i="7"/>
  <c r="CR32" i="7"/>
  <c r="CP32" i="7"/>
  <c r="CN32" i="7"/>
  <c r="CL32" i="7"/>
  <c r="CJ32" i="7"/>
  <c r="CH32" i="7"/>
  <c r="CF32" i="7"/>
  <c r="CD32" i="7"/>
  <c r="CB32" i="7"/>
  <c r="BZ32" i="7"/>
  <c r="BX32" i="7"/>
  <c r="BV32" i="7"/>
  <c r="BT32" i="7"/>
  <c r="BR32" i="7"/>
  <c r="BP32" i="7"/>
  <c r="BN32" i="7"/>
  <c r="BL32" i="7"/>
  <c r="BJ32" i="7"/>
  <c r="BH32" i="7"/>
  <c r="BF32" i="7"/>
  <c r="BD32" i="7"/>
  <c r="BB32" i="7"/>
  <c r="AZ32" i="7"/>
  <c r="AX32" i="7"/>
  <c r="AV32" i="7"/>
  <c r="AR32" i="7"/>
  <c r="X32" i="7"/>
  <c r="Q32" i="7"/>
  <c r="O32" i="7"/>
  <c r="N32" i="7"/>
  <c r="M32" i="7"/>
  <c r="L32" i="7"/>
  <c r="G32" i="7"/>
  <c r="DQ31" i="7"/>
  <c r="DP31" i="7"/>
  <c r="DC31" i="7"/>
  <c r="CT31" i="7"/>
  <c r="CR31" i="7"/>
  <c r="CP31" i="7"/>
  <c r="CN31" i="7"/>
  <c r="CL31" i="7"/>
  <c r="CJ31" i="7"/>
  <c r="CH31" i="7"/>
  <c r="CF31" i="7"/>
  <c r="CD31" i="7"/>
  <c r="CB31" i="7"/>
  <c r="BZ31" i="7"/>
  <c r="BX31" i="7"/>
  <c r="BV31" i="7"/>
  <c r="BT31" i="7"/>
  <c r="BR31" i="7"/>
  <c r="BP31" i="7"/>
  <c r="BN31" i="7"/>
  <c r="BL31" i="7"/>
  <c r="BJ31" i="7"/>
  <c r="BH31" i="7"/>
  <c r="BF31" i="7"/>
  <c r="BD31" i="7"/>
  <c r="BB31" i="7"/>
  <c r="AZ31" i="7"/>
  <c r="AX31" i="7"/>
  <c r="AV31" i="7"/>
  <c r="AR31" i="7"/>
  <c r="X31" i="7"/>
  <c r="Q31" i="7"/>
  <c r="O31" i="7"/>
  <c r="N31" i="7"/>
  <c r="M31" i="7"/>
  <c r="L31" i="7"/>
  <c r="G31" i="7"/>
  <c r="DQ30" i="7"/>
  <c r="DP30" i="7"/>
  <c r="DC30" i="7"/>
  <c r="CT30" i="7"/>
  <c r="CR30" i="7"/>
  <c r="CP30" i="7"/>
  <c r="CN30" i="7"/>
  <c r="CL30" i="7"/>
  <c r="CJ30" i="7"/>
  <c r="CH30" i="7"/>
  <c r="CF30" i="7"/>
  <c r="CD30" i="7"/>
  <c r="CB30" i="7"/>
  <c r="BZ30" i="7"/>
  <c r="BX30" i="7"/>
  <c r="BV30" i="7"/>
  <c r="BT30" i="7"/>
  <c r="BR30" i="7"/>
  <c r="BP30" i="7"/>
  <c r="BN30" i="7"/>
  <c r="BL30" i="7"/>
  <c r="BJ30" i="7"/>
  <c r="BH30" i="7"/>
  <c r="BF30" i="7"/>
  <c r="BD30" i="7"/>
  <c r="BB30" i="7"/>
  <c r="AZ30" i="7"/>
  <c r="AX30" i="7"/>
  <c r="AV30" i="7"/>
  <c r="AR30" i="7"/>
  <c r="X30" i="7"/>
  <c r="Q30" i="7"/>
  <c r="O30" i="7"/>
  <c r="N30" i="7"/>
  <c r="M30" i="7"/>
  <c r="L30" i="7"/>
  <c r="G30" i="7"/>
  <c r="DQ29" i="7"/>
  <c r="DP29" i="7"/>
  <c r="DC29" i="7"/>
  <c r="CT29" i="7"/>
  <c r="CR29" i="7"/>
  <c r="CP29" i="7"/>
  <c r="CN29" i="7"/>
  <c r="CL29" i="7"/>
  <c r="CJ29" i="7"/>
  <c r="CH29" i="7"/>
  <c r="CF29" i="7"/>
  <c r="CD29" i="7"/>
  <c r="CB29" i="7"/>
  <c r="BZ29" i="7"/>
  <c r="BX29" i="7"/>
  <c r="BV29" i="7"/>
  <c r="BT29" i="7"/>
  <c r="BR29" i="7"/>
  <c r="BP29" i="7"/>
  <c r="BN29" i="7"/>
  <c r="BL29" i="7"/>
  <c r="BJ29" i="7"/>
  <c r="BH29" i="7"/>
  <c r="BF29" i="7"/>
  <c r="BD29" i="7"/>
  <c r="BB29" i="7"/>
  <c r="AZ29" i="7"/>
  <c r="AX29" i="7"/>
  <c r="AV29" i="7"/>
  <c r="AR29" i="7"/>
  <c r="X29" i="7"/>
  <c r="Q29" i="7"/>
  <c r="O29" i="7"/>
  <c r="N29" i="7"/>
  <c r="M29" i="7"/>
  <c r="L29" i="7"/>
  <c r="G29" i="7"/>
  <c r="DQ28" i="7"/>
  <c r="DP28" i="7"/>
  <c r="DC28" i="7"/>
  <c r="CT28" i="7"/>
  <c r="CR28" i="7"/>
  <c r="CP28" i="7"/>
  <c r="CN28" i="7"/>
  <c r="CL28" i="7"/>
  <c r="CJ28" i="7"/>
  <c r="CH28" i="7"/>
  <c r="CF28" i="7"/>
  <c r="CD28" i="7"/>
  <c r="CB28" i="7"/>
  <c r="BZ28" i="7"/>
  <c r="BX28" i="7"/>
  <c r="BV28" i="7"/>
  <c r="BT28" i="7"/>
  <c r="BR28" i="7"/>
  <c r="BP28" i="7"/>
  <c r="BN28" i="7"/>
  <c r="BL28" i="7"/>
  <c r="BJ28" i="7"/>
  <c r="BH28" i="7"/>
  <c r="BF28" i="7"/>
  <c r="BD28" i="7"/>
  <c r="BB28" i="7"/>
  <c r="AZ28" i="7"/>
  <c r="AX28" i="7"/>
  <c r="AV28" i="7"/>
  <c r="AR28" i="7"/>
  <c r="X28" i="7"/>
  <c r="Q28" i="7"/>
  <c r="O28" i="7"/>
  <c r="N28" i="7"/>
  <c r="M28" i="7"/>
  <c r="L28" i="7"/>
  <c r="G28" i="7"/>
  <c r="DQ27" i="7"/>
  <c r="DP27" i="7"/>
  <c r="DC27" i="7"/>
  <c r="CT27" i="7"/>
  <c r="CR27" i="7"/>
  <c r="CP27" i="7"/>
  <c r="CN27" i="7"/>
  <c r="CL27" i="7"/>
  <c r="CJ27" i="7"/>
  <c r="CH27" i="7"/>
  <c r="CF27" i="7"/>
  <c r="CD27" i="7"/>
  <c r="CB27" i="7"/>
  <c r="BZ27" i="7"/>
  <c r="BX27" i="7"/>
  <c r="BV27" i="7"/>
  <c r="BT27" i="7"/>
  <c r="BR27" i="7"/>
  <c r="BP27" i="7"/>
  <c r="BN27" i="7"/>
  <c r="BL27" i="7"/>
  <c r="BJ27" i="7"/>
  <c r="BH27" i="7"/>
  <c r="BF27" i="7"/>
  <c r="BD27" i="7"/>
  <c r="BB27" i="7"/>
  <c r="AZ27" i="7"/>
  <c r="AX27" i="7"/>
  <c r="AV27" i="7"/>
  <c r="AR27" i="7"/>
  <c r="X27" i="7"/>
  <c r="Q27" i="7"/>
  <c r="O27" i="7"/>
  <c r="N27" i="7"/>
  <c r="M27" i="7"/>
  <c r="L27" i="7"/>
  <c r="G27" i="7"/>
  <c r="DQ26" i="7"/>
  <c r="DP26" i="7"/>
  <c r="DC26" i="7"/>
  <c r="CT26" i="7"/>
  <c r="CR26" i="7"/>
  <c r="CP26" i="7"/>
  <c r="CN26" i="7"/>
  <c r="CL26" i="7"/>
  <c r="CJ26" i="7"/>
  <c r="CH26" i="7"/>
  <c r="CF26" i="7"/>
  <c r="CD26" i="7"/>
  <c r="CB26" i="7"/>
  <c r="BZ26" i="7"/>
  <c r="BX26" i="7"/>
  <c r="BV26" i="7"/>
  <c r="BT26" i="7"/>
  <c r="BR26" i="7"/>
  <c r="BP26" i="7"/>
  <c r="BN26" i="7"/>
  <c r="BL26" i="7"/>
  <c r="BJ26" i="7"/>
  <c r="BH26" i="7"/>
  <c r="BF26" i="7"/>
  <c r="BD26" i="7"/>
  <c r="BB26" i="7"/>
  <c r="AZ26" i="7"/>
  <c r="AX26" i="7"/>
  <c r="AV26" i="7"/>
  <c r="AR26" i="7"/>
  <c r="X26" i="7"/>
  <c r="Q26" i="7"/>
  <c r="O26" i="7"/>
  <c r="N26" i="7"/>
  <c r="M26" i="7"/>
  <c r="L26" i="7"/>
  <c r="G26" i="7"/>
  <c r="DQ25" i="7"/>
  <c r="DP25" i="7"/>
  <c r="DC25" i="7"/>
  <c r="CT25" i="7"/>
  <c r="CR25" i="7"/>
  <c r="CP25" i="7"/>
  <c r="CN25" i="7"/>
  <c r="CL25" i="7"/>
  <c r="CJ25" i="7"/>
  <c r="CH25" i="7"/>
  <c r="CF25" i="7"/>
  <c r="CD25" i="7"/>
  <c r="CB25" i="7"/>
  <c r="BZ25" i="7"/>
  <c r="BX25" i="7"/>
  <c r="BV25" i="7"/>
  <c r="BT25" i="7"/>
  <c r="BR25" i="7"/>
  <c r="BP25" i="7"/>
  <c r="BN25" i="7"/>
  <c r="BL25" i="7"/>
  <c r="BJ25" i="7"/>
  <c r="BH25" i="7"/>
  <c r="BF25" i="7"/>
  <c r="BD25" i="7"/>
  <c r="BB25" i="7"/>
  <c r="AZ25" i="7"/>
  <c r="AX25" i="7"/>
  <c r="AV25" i="7"/>
  <c r="AR25" i="7"/>
  <c r="X25" i="7"/>
  <c r="Q25" i="7"/>
  <c r="O25" i="7"/>
  <c r="N25" i="7"/>
  <c r="M25" i="7"/>
  <c r="L25" i="7"/>
  <c r="G25" i="7"/>
  <c r="DQ24" i="7"/>
  <c r="DP24" i="7"/>
  <c r="DC24" i="7"/>
  <c r="CT24" i="7"/>
  <c r="CR24" i="7"/>
  <c r="CP24" i="7"/>
  <c r="CN24" i="7"/>
  <c r="CL24" i="7"/>
  <c r="CJ24" i="7"/>
  <c r="CH24" i="7"/>
  <c r="CF24" i="7"/>
  <c r="CD24" i="7"/>
  <c r="CB24" i="7"/>
  <c r="BZ24" i="7"/>
  <c r="BX24" i="7"/>
  <c r="BV24" i="7"/>
  <c r="BT24" i="7"/>
  <c r="BR24" i="7"/>
  <c r="BP24" i="7"/>
  <c r="BN24" i="7"/>
  <c r="BL24" i="7"/>
  <c r="BJ24" i="7"/>
  <c r="BH24" i="7"/>
  <c r="BF24" i="7"/>
  <c r="BD24" i="7"/>
  <c r="BB24" i="7"/>
  <c r="AZ24" i="7"/>
  <c r="AX24" i="7"/>
  <c r="AV24" i="7"/>
  <c r="AR24" i="7"/>
  <c r="X24" i="7"/>
  <c r="Q24" i="7"/>
  <c r="O24" i="7"/>
  <c r="N24" i="7"/>
  <c r="M24" i="7"/>
  <c r="L24" i="7"/>
  <c r="G24" i="7"/>
  <c r="DQ23" i="7"/>
  <c r="DP23" i="7"/>
  <c r="DC23" i="7"/>
  <c r="CT23" i="7"/>
  <c r="CR23" i="7"/>
  <c r="CP23" i="7"/>
  <c r="CN23" i="7"/>
  <c r="CL23" i="7"/>
  <c r="CJ23" i="7"/>
  <c r="CH23" i="7"/>
  <c r="CF23" i="7"/>
  <c r="CD23" i="7"/>
  <c r="CB23" i="7"/>
  <c r="BZ23" i="7"/>
  <c r="BX23" i="7"/>
  <c r="BV23" i="7"/>
  <c r="BT23" i="7"/>
  <c r="BR23" i="7"/>
  <c r="BP23" i="7"/>
  <c r="BN23" i="7"/>
  <c r="BL23" i="7"/>
  <c r="BJ23" i="7"/>
  <c r="BH23" i="7"/>
  <c r="BF23" i="7"/>
  <c r="BD23" i="7"/>
  <c r="BB23" i="7"/>
  <c r="AZ23" i="7"/>
  <c r="AX23" i="7"/>
  <c r="AV23" i="7"/>
  <c r="AR23" i="7"/>
  <c r="X23" i="7"/>
  <c r="Q23" i="7"/>
  <c r="O23" i="7"/>
  <c r="N23" i="7"/>
  <c r="M23" i="7"/>
  <c r="L23" i="7"/>
  <c r="G23" i="7"/>
  <c r="DQ22" i="7"/>
  <c r="DP22" i="7"/>
  <c r="DC22" i="7"/>
  <c r="CT22" i="7"/>
  <c r="CR22" i="7"/>
  <c r="CP22" i="7"/>
  <c r="CN22" i="7"/>
  <c r="CL22" i="7"/>
  <c r="CJ22" i="7"/>
  <c r="CH22" i="7"/>
  <c r="CF22" i="7"/>
  <c r="CD22" i="7"/>
  <c r="CB22" i="7"/>
  <c r="BZ22" i="7"/>
  <c r="BX22" i="7"/>
  <c r="BV22" i="7"/>
  <c r="BT22" i="7"/>
  <c r="BR22" i="7"/>
  <c r="BP22" i="7"/>
  <c r="BN22" i="7"/>
  <c r="BL22" i="7"/>
  <c r="BJ22" i="7"/>
  <c r="BH22" i="7"/>
  <c r="BF22" i="7"/>
  <c r="BD22" i="7"/>
  <c r="BB22" i="7"/>
  <c r="AZ22" i="7"/>
  <c r="AX22" i="7"/>
  <c r="AV22" i="7"/>
  <c r="AR22" i="7"/>
  <c r="X22" i="7"/>
  <c r="Q22" i="7"/>
  <c r="O22" i="7"/>
  <c r="N22" i="7"/>
  <c r="M22" i="7"/>
  <c r="L22" i="7"/>
  <c r="G22" i="7"/>
  <c r="DQ21" i="7"/>
  <c r="DP21" i="7"/>
  <c r="DC21" i="7"/>
  <c r="CT21" i="7"/>
  <c r="CR21" i="7"/>
  <c r="CP21" i="7"/>
  <c r="CN21" i="7"/>
  <c r="CL21" i="7"/>
  <c r="CJ21" i="7"/>
  <c r="CH21" i="7"/>
  <c r="CF21" i="7"/>
  <c r="CD21" i="7"/>
  <c r="CB21" i="7"/>
  <c r="BZ21" i="7"/>
  <c r="BX21" i="7"/>
  <c r="BV21" i="7"/>
  <c r="BT21" i="7"/>
  <c r="BR21" i="7"/>
  <c r="BP21" i="7"/>
  <c r="BN21" i="7"/>
  <c r="BL21" i="7"/>
  <c r="BJ21" i="7"/>
  <c r="BH21" i="7"/>
  <c r="BF21" i="7"/>
  <c r="BD21" i="7"/>
  <c r="BB21" i="7"/>
  <c r="AZ21" i="7"/>
  <c r="AX21" i="7"/>
  <c r="AV21" i="7"/>
  <c r="AR21" i="7"/>
  <c r="X21" i="7"/>
  <c r="Q21" i="7"/>
  <c r="O21" i="7"/>
  <c r="N21" i="7"/>
  <c r="M21" i="7"/>
  <c r="L21" i="7"/>
  <c r="G21" i="7"/>
  <c r="DQ20" i="7"/>
  <c r="DP20" i="7"/>
  <c r="DC20" i="7"/>
  <c r="CT20" i="7"/>
  <c r="CR20" i="7"/>
  <c r="CP20" i="7"/>
  <c r="CN20" i="7"/>
  <c r="CL20" i="7"/>
  <c r="CJ20" i="7"/>
  <c r="CH20" i="7"/>
  <c r="CF20" i="7"/>
  <c r="CD20" i="7"/>
  <c r="CB20" i="7"/>
  <c r="BZ20" i="7"/>
  <c r="BX20" i="7"/>
  <c r="BV20" i="7"/>
  <c r="BT20" i="7"/>
  <c r="BR20" i="7"/>
  <c r="BP20" i="7"/>
  <c r="BN20" i="7"/>
  <c r="BL20" i="7"/>
  <c r="BJ20" i="7"/>
  <c r="BH20" i="7"/>
  <c r="BF20" i="7"/>
  <c r="BD20" i="7"/>
  <c r="BB20" i="7"/>
  <c r="AZ20" i="7"/>
  <c r="AX20" i="7"/>
  <c r="AV20" i="7"/>
  <c r="AR20" i="7"/>
  <c r="X20" i="7"/>
  <c r="Q20" i="7"/>
  <c r="O20" i="7"/>
  <c r="N20" i="7"/>
  <c r="M20" i="7"/>
  <c r="L20" i="7"/>
  <c r="G20" i="7"/>
  <c r="DQ19" i="7"/>
  <c r="DP19" i="7"/>
  <c r="DC19" i="7"/>
  <c r="CT19" i="7"/>
  <c r="CR19" i="7"/>
  <c r="CP19" i="7"/>
  <c r="CN19" i="7"/>
  <c r="CL19" i="7"/>
  <c r="CJ19" i="7"/>
  <c r="CH19" i="7"/>
  <c r="CF19" i="7"/>
  <c r="CD19" i="7"/>
  <c r="CB19" i="7"/>
  <c r="BZ19" i="7"/>
  <c r="BX19" i="7"/>
  <c r="BV19" i="7"/>
  <c r="BT19" i="7"/>
  <c r="BR19" i="7"/>
  <c r="BP19" i="7"/>
  <c r="BN19" i="7"/>
  <c r="BL19" i="7"/>
  <c r="BJ19" i="7"/>
  <c r="BH19" i="7"/>
  <c r="BF19" i="7"/>
  <c r="BD19" i="7"/>
  <c r="BB19" i="7"/>
  <c r="AZ19" i="7"/>
  <c r="AX19" i="7"/>
  <c r="AV19" i="7"/>
  <c r="AR19" i="7"/>
  <c r="AS19" i="7" s="1"/>
  <c r="X19" i="7"/>
  <c r="Q19" i="7"/>
  <c r="O19" i="7"/>
  <c r="N19" i="7"/>
  <c r="M19" i="7"/>
  <c r="L19" i="7"/>
  <c r="G19" i="7"/>
  <c r="DQ18" i="7"/>
  <c r="DP18" i="7"/>
  <c r="DC18" i="7"/>
  <c r="CT18" i="7"/>
  <c r="CR18" i="7"/>
  <c r="CP18" i="7"/>
  <c r="CN18" i="7"/>
  <c r="CL18" i="7"/>
  <c r="CJ18" i="7"/>
  <c r="CH18" i="7"/>
  <c r="CF18" i="7"/>
  <c r="CD18" i="7"/>
  <c r="CB18" i="7"/>
  <c r="BZ18" i="7"/>
  <c r="BX18" i="7"/>
  <c r="BV18" i="7"/>
  <c r="BT18" i="7"/>
  <c r="BR18" i="7"/>
  <c r="BP18" i="7"/>
  <c r="BN18" i="7"/>
  <c r="BL18" i="7"/>
  <c r="BJ18" i="7"/>
  <c r="BH18" i="7"/>
  <c r="BF18" i="7"/>
  <c r="BD18" i="7"/>
  <c r="BB18" i="7"/>
  <c r="AZ18" i="7"/>
  <c r="AX18" i="7"/>
  <c r="AV18" i="7"/>
  <c r="AT18" i="7"/>
  <c r="AR18" i="7"/>
  <c r="AS18" i="7" s="1"/>
  <c r="X18" i="7"/>
  <c r="Q18" i="7"/>
  <c r="O18" i="7"/>
  <c r="N18" i="7"/>
  <c r="M18" i="7"/>
  <c r="L18" i="7"/>
  <c r="G18" i="7"/>
  <c r="DQ17" i="7"/>
  <c r="DP17" i="7"/>
  <c r="DC17" i="7"/>
  <c r="CT17" i="7"/>
  <c r="CR17" i="7"/>
  <c r="CP17" i="7"/>
  <c r="CN17" i="7"/>
  <c r="CL17" i="7"/>
  <c r="CJ17" i="7"/>
  <c r="CH17" i="7"/>
  <c r="CF17" i="7"/>
  <c r="CD17" i="7"/>
  <c r="CB17" i="7"/>
  <c r="BZ17" i="7"/>
  <c r="BX17" i="7"/>
  <c r="BV17" i="7"/>
  <c r="BT17" i="7"/>
  <c r="BR17" i="7"/>
  <c r="BP17" i="7"/>
  <c r="BN17" i="7"/>
  <c r="BL17" i="7"/>
  <c r="BJ17" i="7"/>
  <c r="BH17" i="7"/>
  <c r="BF17" i="7"/>
  <c r="BD17" i="7"/>
  <c r="BB17" i="7"/>
  <c r="AZ17" i="7"/>
  <c r="AX17" i="7"/>
  <c r="AV17" i="7"/>
  <c r="AT17" i="7"/>
  <c r="AR17" i="7"/>
  <c r="AS17" i="7" s="1"/>
  <c r="X17" i="7"/>
  <c r="Q17" i="7"/>
  <c r="O17" i="7"/>
  <c r="N17" i="7"/>
  <c r="M17" i="7"/>
  <c r="L17" i="7"/>
  <c r="G17" i="7"/>
  <c r="DQ16" i="7"/>
  <c r="DP16" i="7"/>
  <c r="DC16" i="7"/>
  <c r="CT16" i="7"/>
  <c r="CR16" i="7"/>
  <c r="CP16" i="7"/>
  <c r="CN16" i="7"/>
  <c r="CL16" i="7"/>
  <c r="CJ16" i="7"/>
  <c r="CH16" i="7"/>
  <c r="CF16" i="7"/>
  <c r="CD16" i="7"/>
  <c r="CB16" i="7"/>
  <c r="BZ16" i="7"/>
  <c r="BX16" i="7"/>
  <c r="BV16" i="7"/>
  <c r="BT16" i="7"/>
  <c r="BR16" i="7"/>
  <c r="BP16" i="7"/>
  <c r="BN16" i="7"/>
  <c r="BL16" i="7"/>
  <c r="BJ16" i="7"/>
  <c r="BH16" i="7"/>
  <c r="BF16" i="7"/>
  <c r="BD16" i="7"/>
  <c r="BB16" i="7"/>
  <c r="AZ16" i="7"/>
  <c r="AX16" i="7"/>
  <c r="AV16" i="7"/>
  <c r="AT16" i="7"/>
  <c r="AR16" i="7"/>
  <c r="AS16" i="7" s="1"/>
  <c r="X16" i="7"/>
  <c r="N16" i="7" s="1"/>
  <c r="Q16" i="7"/>
  <c r="O16" i="7"/>
  <c r="M16" i="7"/>
  <c r="L16" i="7"/>
  <c r="G16" i="7"/>
  <c r="DQ15" i="7"/>
  <c r="DP15" i="7"/>
  <c r="DC15" i="7"/>
  <c r="CT15" i="7"/>
  <c r="CR15" i="7"/>
  <c r="CP15" i="7"/>
  <c r="CN15" i="7"/>
  <c r="CL15" i="7"/>
  <c r="CJ15" i="7"/>
  <c r="CH15" i="7"/>
  <c r="CF15" i="7"/>
  <c r="CD15" i="7"/>
  <c r="CB15" i="7"/>
  <c r="BZ15" i="7"/>
  <c r="BX15" i="7"/>
  <c r="BV15" i="7"/>
  <c r="BT15" i="7"/>
  <c r="BR15" i="7"/>
  <c r="BP15" i="7"/>
  <c r="BN15" i="7"/>
  <c r="BL15" i="7"/>
  <c r="BJ15" i="7"/>
  <c r="BH15" i="7"/>
  <c r="BF15" i="7"/>
  <c r="BD15" i="7"/>
  <c r="BB15" i="7"/>
  <c r="AZ15" i="7"/>
  <c r="AX15" i="7"/>
  <c r="AV15" i="7"/>
  <c r="AT15" i="7"/>
  <c r="AS15" i="7"/>
  <c r="AR15" i="7"/>
  <c r="X15" i="7"/>
  <c r="N15" i="7" s="1"/>
  <c r="Q15" i="7"/>
  <c r="O15" i="7"/>
  <c r="M15" i="7"/>
  <c r="L15" i="7"/>
  <c r="G15" i="7"/>
  <c r="DQ14" i="7"/>
  <c r="DP14" i="7"/>
  <c r="DC14" i="7"/>
  <c r="CT14" i="7"/>
  <c r="CR14" i="7"/>
  <c r="CP14" i="7"/>
  <c r="CN14" i="7"/>
  <c r="CL14" i="7"/>
  <c r="CJ14" i="7"/>
  <c r="CH14" i="7"/>
  <c r="CF14" i="7"/>
  <c r="CD14" i="7"/>
  <c r="CB14" i="7"/>
  <c r="BZ14" i="7"/>
  <c r="BX14" i="7"/>
  <c r="BV14" i="7"/>
  <c r="BT14" i="7"/>
  <c r="BR14" i="7"/>
  <c r="BP14" i="7"/>
  <c r="BN14" i="7"/>
  <c r="BL14" i="7"/>
  <c r="BJ14" i="7"/>
  <c r="BH14" i="7"/>
  <c r="BF14" i="7"/>
  <c r="BD14" i="7"/>
  <c r="BB14" i="7"/>
  <c r="AZ14" i="7"/>
  <c r="AX14" i="7"/>
  <c r="AV14" i="7"/>
  <c r="AT14" i="7"/>
  <c r="AS14" i="7"/>
  <c r="AR14" i="7"/>
  <c r="X14" i="7"/>
  <c r="N14" i="7" s="1"/>
  <c r="Q14" i="7"/>
  <c r="O14" i="7"/>
  <c r="M14" i="7"/>
  <c r="L14" i="7"/>
  <c r="G14" i="7"/>
  <c r="DQ13" i="7"/>
  <c r="DP13" i="7"/>
  <c r="DC13" i="7"/>
  <c r="CT13" i="7"/>
  <c r="CR13" i="7"/>
  <c r="CP13" i="7"/>
  <c r="CN13" i="7"/>
  <c r="CL13" i="7"/>
  <c r="CJ13" i="7"/>
  <c r="CH13" i="7"/>
  <c r="CF13" i="7"/>
  <c r="CD13" i="7"/>
  <c r="CB13" i="7"/>
  <c r="BZ13" i="7"/>
  <c r="BX13" i="7"/>
  <c r="BV13" i="7"/>
  <c r="BT13" i="7"/>
  <c r="BR13" i="7"/>
  <c r="BP13" i="7"/>
  <c r="BN13" i="7"/>
  <c r="BL13" i="7"/>
  <c r="BJ13" i="7"/>
  <c r="BH13" i="7"/>
  <c r="BF13" i="7"/>
  <c r="BD13" i="7"/>
  <c r="BB13" i="7"/>
  <c r="AZ13" i="7"/>
  <c r="AX13" i="7"/>
  <c r="AV13" i="7"/>
  <c r="AT13" i="7"/>
  <c r="AS13" i="7"/>
  <c r="AR13" i="7"/>
  <c r="X13" i="7"/>
  <c r="N13" i="7" s="1"/>
  <c r="Q13" i="7"/>
  <c r="O13" i="7"/>
  <c r="M13" i="7"/>
  <c r="L13" i="7"/>
  <c r="G13" i="7"/>
  <c r="DQ12" i="7"/>
  <c r="DP12" i="7"/>
  <c r="DC12" i="7"/>
  <c r="CT12" i="7"/>
  <c r="CR12" i="7"/>
  <c r="CP12" i="7"/>
  <c r="CN12" i="7"/>
  <c r="CL12" i="7"/>
  <c r="CJ12" i="7"/>
  <c r="CH12" i="7"/>
  <c r="CF12" i="7"/>
  <c r="CD12" i="7"/>
  <c r="CB12" i="7"/>
  <c r="BZ12" i="7"/>
  <c r="BX12" i="7"/>
  <c r="BV12" i="7"/>
  <c r="BT12" i="7"/>
  <c r="BR12" i="7"/>
  <c r="BP12" i="7"/>
  <c r="BN12" i="7"/>
  <c r="BL12" i="7"/>
  <c r="BJ12" i="7"/>
  <c r="BH12" i="7"/>
  <c r="BF12" i="7"/>
  <c r="BD12" i="7"/>
  <c r="BB12" i="7"/>
  <c r="AZ12" i="7"/>
  <c r="AX12" i="7"/>
  <c r="AV12" i="7"/>
  <c r="AT12" i="7"/>
  <c r="AS12" i="7"/>
  <c r="AR12" i="7"/>
  <c r="X12" i="7"/>
  <c r="N12" i="7" s="1"/>
  <c r="Q12" i="7"/>
  <c r="O12" i="7"/>
  <c r="M12" i="7"/>
  <c r="L12" i="7"/>
  <c r="G12" i="7"/>
  <c r="DQ11" i="7"/>
  <c r="DP11" i="7"/>
  <c r="DC11" i="7"/>
  <c r="CT11" i="7"/>
  <c r="CR11" i="7"/>
  <c r="CP11" i="7"/>
  <c r="CN11" i="7"/>
  <c r="CL11" i="7"/>
  <c r="CJ11" i="7"/>
  <c r="CH11" i="7"/>
  <c r="CF11" i="7"/>
  <c r="CD11" i="7"/>
  <c r="CB11" i="7"/>
  <c r="BZ11" i="7"/>
  <c r="BX11" i="7"/>
  <c r="BV11" i="7"/>
  <c r="BT11" i="7"/>
  <c r="BR11" i="7"/>
  <c r="BP11" i="7"/>
  <c r="BN11" i="7"/>
  <c r="BL11" i="7"/>
  <c r="BJ11" i="7"/>
  <c r="BH11" i="7"/>
  <c r="BF11" i="7"/>
  <c r="BD11" i="7"/>
  <c r="BB11" i="7"/>
  <c r="AZ11" i="7"/>
  <c r="AX11" i="7"/>
  <c r="AV11" i="7"/>
  <c r="AT11" i="7"/>
  <c r="AS11" i="7"/>
  <c r="AR11" i="7"/>
  <c r="X11" i="7"/>
  <c r="N11" i="7" s="1"/>
  <c r="Q11" i="7"/>
  <c r="O11" i="7"/>
  <c r="M11" i="7"/>
  <c r="L11" i="7"/>
  <c r="G11" i="7"/>
  <c r="DQ10" i="7"/>
  <c r="DP10" i="7"/>
  <c r="DC10" i="7"/>
  <c r="CT10" i="7"/>
  <c r="CR10" i="7"/>
  <c r="CP10" i="7"/>
  <c r="CN10" i="7"/>
  <c r="CL10" i="7"/>
  <c r="CJ10" i="7"/>
  <c r="CH10" i="7"/>
  <c r="CF10" i="7"/>
  <c r="CD10" i="7"/>
  <c r="CB10" i="7"/>
  <c r="BZ10" i="7"/>
  <c r="BX10" i="7"/>
  <c r="BV10" i="7"/>
  <c r="BT10" i="7"/>
  <c r="BR10" i="7"/>
  <c r="BP10" i="7"/>
  <c r="BN10" i="7"/>
  <c r="BL10" i="7"/>
  <c r="BJ10" i="7"/>
  <c r="BH10" i="7"/>
  <c r="BF10" i="7"/>
  <c r="BD10" i="7"/>
  <c r="BB10" i="7"/>
  <c r="AZ10" i="7"/>
  <c r="AX10" i="7"/>
  <c r="AV10" i="7"/>
  <c r="AT10" i="7"/>
  <c r="AS10" i="7"/>
  <c r="AR10" i="7"/>
  <c r="X10" i="7"/>
  <c r="N10" i="7" s="1"/>
  <c r="Q10" i="7"/>
  <c r="O10" i="7"/>
  <c r="M10" i="7"/>
  <c r="L10" i="7"/>
  <c r="G10" i="7"/>
  <c r="DQ9" i="7"/>
  <c r="DP9" i="7"/>
  <c r="DC9" i="7"/>
  <c r="CT9" i="7"/>
  <c r="CR9" i="7"/>
  <c r="CP9" i="7"/>
  <c r="CN9" i="7"/>
  <c r="CL9" i="7"/>
  <c r="CJ9" i="7"/>
  <c r="CH9" i="7"/>
  <c r="CF9" i="7"/>
  <c r="CD9" i="7"/>
  <c r="CB9" i="7"/>
  <c r="BZ9" i="7"/>
  <c r="BX9" i="7"/>
  <c r="BV9" i="7"/>
  <c r="BT9" i="7"/>
  <c r="BR9" i="7"/>
  <c r="BP9" i="7"/>
  <c r="BN9" i="7"/>
  <c r="BL9" i="7"/>
  <c r="BJ9" i="7"/>
  <c r="BH9" i="7"/>
  <c r="BF9" i="7"/>
  <c r="BD9" i="7"/>
  <c r="BB9" i="7"/>
  <c r="AZ9" i="7"/>
  <c r="AX9" i="7"/>
  <c r="AV9" i="7"/>
  <c r="AS9" i="7"/>
  <c r="AR9" i="7"/>
  <c r="AT9" i="7" s="1"/>
  <c r="X9" i="7"/>
  <c r="N9" i="7" s="1"/>
  <c r="Q9" i="7"/>
  <c r="O9" i="7"/>
  <c r="M9" i="7"/>
  <c r="L9" i="7"/>
  <c r="G9" i="7"/>
  <c r="DQ8" i="7"/>
  <c r="DP8" i="7"/>
  <c r="DC8" i="7"/>
  <c r="CT8" i="7"/>
  <c r="CR8" i="7"/>
  <c r="CP8" i="7"/>
  <c r="CN8" i="7"/>
  <c r="CL8" i="7"/>
  <c r="CJ8" i="7"/>
  <c r="CH8" i="7"/>
  <c r="CF8" i="7"/>
  <c r="CD8" i="7"/>
  <c r="CB8" i="7"/>
  <c r="BZ8" i="7"/>
  <c r="BX8" i="7"/>
  <c r="BV8" i="7"/>
  <c r="BT8" i="7"/>
  <c r="BR8" i="7"/>
  <c r="BP8" i="7"/>
  <c r="BN8" i="7"/>
  <c r="BL8" i="7"/>
  <c r="BJ8" i="7"/>
  <c r="BH8" i="7"/>
  <c r="BF8" i="7"/>
  <c r="BD8" i="7"/>
  <c r="BB8" i="7"/>
  <c r="AZ8" i="7"/>
  <c r="AX8" i="7"/>
  <c r="AV8" i="7"/>
  <c r="AS8" i="7"/>
  <c r="AR8" i="7"/>
  <c r="AT8" i="7" s="1"/>
  <c r="X8" i="7"/>
  <c r="N8" i="7" s="1"/>
  <c r="Q8" i="7"/>
  <c r="O8" i="7"/>
  <c r="M8" i="7"/>
  <c r="L8" i="7"/>
  <c r="G8" i="7"/>
  <c r="DQ7" i="7"/>
  <c r="DP7" i="7"/>
  <c r="DC7" i="7"/>
  <c r="CT7" i="7"/>
  <c r="CR7" i="7"/>
  <c r="CP7" i="7"/>
  <c r="CN7" i="7"/>
  <c r="CL7" i="7"/>
  <c r="CJ7" i="7"/>
  <c r="CH7" i="7"/>
  <c r="CF7" i="7"/>
  <c r="CD7" i="7"/>
  <c r="CB7" i="7"/>
  <c r="BZ7" i="7"/>
  <c r="BX7" i="7"/>
  <c r="BV7" i="7"/>
  <c r="BT7" i="7"/>
  <c r="BR7" i="7"/>
  <c r="BP7" i="7"/>
  <c r="BN7" i="7"/>
  <c r="BL7" i="7"/>
  <c r="BJ7" i="7"/>
  <c r="BH7" i="7"/>
  <c r="BF7" i="7"/>
  <c r="BD7" i="7"/>
  <c r="BB7" i="7"/>
  <c r="AZ7" i="7"/>
  <c r="AX7" i="7"/>
  <c r="AV7" i="7"/>
  <c r="AS7" i="7"/>
  <c r="AR7" i="7"/>
  <c r="AT7" i="7" s="1"/>
  <c r="X7" i="7"/>
  <c r="V7" i="7"/>
  <c r="V8" i="7" s="1"/>
  <c r="Q7" i="7"/>
  <c r="O7" i="7"/>
  <c r="M7" i="7"/>
  <c r="N7" i="7" s="1"/>
  <c r="L7" i="7"/>
  <c r="G7" i="7"/>
  <c r="H7" i="7" s="1"/>
  <c r="DP6" i="7"/>
  <c r="DQ6" i="7" s="1"/>
  <c r="DC6" i="7"/>
  <c r="CT6" i="7"/>
  <c r="CR6" i="7"/>
  <c r="CP6" i="7"/>
  <c r="CN6" i="7"/>
  <c r="CL6" i="7"/>
  <c r="CJ6" i="7"/>
  <c r="CH6" i="7"/>
  <c r="CF6" i="7"/>
  <c r="CD6" i="7"/>
  <c r="CB6" i="7"/>
  <c r="BZ6" i="7"/>
  <c r="BX6" i="7"/>
  <c r="BV6" i="7"/>
  <c r="BT6" i="7"/>
  <c r="BR6" i="7"/>
  <c r="BP6" i="7"/>
  <c r="BN6" i="7"/>
  <c r="BL6" i="7"/>
  <c r="BJ6" i="7"/>
  <c r="BH6" i="7"/>
  <c r="BF6" i="7"/>
  <c r="BD6" i="7"/>
  <c r="BB6" i="7"/>
  <c r="AZ6" i="7"/>
  <c r="AX6" i="7"/>
  <c r="AV6" i="7"/>
  <c r="AT6" i="7"/>
  <c r="AR6" i="7"/>
  <c r="AS6" i="7" s="1"/>
  <c r="X6" i="7"/>
  <c r="V6" i="7"/>
  <c r="Q6" i="7"/>
  <c r="O6" i="7"/>
  <c r="N6" i="7"/>
  <c r="M6" i="7"/>
  <c r="L6" i="7"/>
  <c r="H6" i="7"/>
  <c r="G6" i="7"/>
  <c r="DQ5" i="7"/>
  <c r="DP5" i="7"/>
  <c r="DC5" i="7"/>
  <c r="CT5" i="7"/>
  <c r="CR5" i="7"/>
  <c r="CR37" i="7" s="1"/>
  <c r="CP5" i="7"/>
  <c r="CN5" i="7"/>
  <c r="CN37" i="7" s="1"/>
  <c r="CL5" i="7"/>
  <c r="CJ5" i="7"/>
  <c r="CJ37" i="7" s="1"/>
  <c r="CH5" i="7"/>
  <c r="CF5" i="7"/>
  <c r="CF37" i="7" s="1"/>
  <c r="CD5" i="7"/>
  <c r="CD37" i="7" s="1"/>
  <c r="CB5" i="7"/>
  <c r="CB37" i="7" s="1"/>
  <c r="BZ5" i="7"/>
  <c r="BX5" i="7"/>
  <c r="BX37" i="7" s="1"/>
  <c r="BV5" i="7"/>
  <c r="BT5" i="7"/>
  <c r="BT37" i="7" s="1"/>
  <c r="BR5" i="7"/>
  <c r="BP5" i="7"/>
  <c r="BP37" i="7" s="1"/>
  <c r="BN5" i="7"/>
  <c r="BN37" i="7" s="1"/>
  <c r="BL5" i="7"/>
  <c r="BL37" i="7" s="1"/>
  <c r="BJ5" i="7"/>
  <c r="BH5" i="7"/>
  <c r="BH37" i="7" s="1"/>
  <c r="BF5" i="7"/>
  <c r="BD5" i="7"/>
  <c r="BD37" i="7" s="1"/>
  <c r="BB5" i="7"/>
  <c r="AZ5" i="7"/>
  <c r="AZ37" i="7" s="1"/>
  <c r="AX5" i="7"/>
  <c r="AX37" i="7" s="1"/>
  <c r="AV5" i="7"/>
  <c r="AT5" i="7"/>
  <c r="AS5" i="7"/>
  <c r="AR5" i="7"/>
  <c r="AR36" i="7" s="1"/>
  <c r="AS36" i="7" s="1"/>
  <c r="AC5" i="7"/>
  <c r="AC6" i="7" s="1"/>
  <c r="Z5" i="7"/>
  <c r="Z6" i="7" s="1"/>
  <c r="X5" i="7"/>
  <c r="V5" i="7"/>
  <c r="AA5" i="7" s="1"/>
  <c r="Q5" i="7"/>
  <c r="O5" i="7"/>
  <c r="O37" i="7" s="1"/>
  <c r="M5" i="7"/>
  <c r="N5" i="7" s="1"/>
  <c r="L5" i="7"/>
  <c r="G5" i="7"/>
  <c r="H5" i="7" s="1"/>
  <c r="AQ4" i="7"/>
  <c r="AP4" i="7"/>
  <c r="AO4" i="7"/>
  <c r="AN4" i="7"/>
  <c r="AM4" i="7"/>
  <c r="A1" i="7"/>
  <c r="DO37" i="6"/>
  <c r="DN37" i="6"/>
  <c r="DM37" i="6"/>
  <c r="DL37" i="6"/>
  <c r="DK37" i="6"/>
  <c r="DJ37" i="6"/>
  <c r="DI37" i="6"/>
  <c r="DH37" i="6"/>
  <c r="DG37" i="6"/>
  <c r="DF37" i="6"/>
  <c r="DA37" i="6"/>
  <c r="CZ37" i="6"/>
  <c r="CY37" i="6"/>
  <c r="CX37" i="6"/>
  <c r="CV37" i="6"/>
  <c r="CU37" i="6"/>
  <c r="CS37" i="6"/>
  <c r="CQ37" i="6"/>
  <c r="CO37" i="6"/>
  <c r="CM37" i="6"/>
  <c r="CK37" i="6"/>
  <c r="CI37" i="6"/>
  <c r="CG37" i="6"/>
  <c r="CE37" i="6"/>
  <c r="CC37" i="6"/>
  <c r="CA37" i="6"/>
  <c r="BY37" i="6"/>
  <c r="BW37" i="6"/>
  <c r="BU37" i="6"/>
  <c r="BS37" i="6"/>
  <c r="BQ37" i="6"/>
  <c r="BO37" i="6"/>
  <c r="BM37" i="6"/>
  <c r="BK37" i="6"/>
  <c r="BI37" i="6"/>
  <c r="BG37" i="6"/>
  <c r="BE37" i="6"/>
  <c r="BC37" i="6"/>
  <c r="BA37" i="6"/>
  <c r="AY37" i="6"/>
  <c r="AW37" i="6"/>
  <c r="AQ37" i="6"/>
  <c r="AP37" i="6"/>
  <c r="AO37" i="6"/>
  <c r="AN37" i="6"/>
  <c r="AM37" i="6"/>
  <c r="AL37" i="6"/>
  <c r="AK37" i="6"/>
  <c r="AJ37" i="6"/>
  <c r="AI37" i="6"/>
  <c r="AH37" i="6"/>
  <c r="AG37" i="6"/>
  <c r="AF37" i="6"/>
  <c r="AE37" i="6"/>
  <c r="AD37" i="6"/>
  <c r="Y37" i="6"/>
  <c r="W37" i="6"/>
  <c r="L37" i="6" s="1"/>
  <c r="U37" i="6"/>
  <c r="K37" i="6"/>
  <c r="H37" i="6"/>
  <c r="F37" i="6"/>
  <c r="DO36" i="6"/>
  <c r="DN36" i="6"/>
  <c r="DM36" i="6"/>
  <c r="DL36" i="6"/>
  <c r="DK36" i="6"/>
  <c r="DJ36" i="6"/>
  <c r="DI36" i="6"/>
  <c r="DH36" i="6"/>
  <c r="DG36" i="6"/>
  <c r="DF36" i="6"/>
  <c r="DA36" i="6"/>
  <c r="CZ36" i="6"/>
  <c r="CY36" i="6"/>
  <c r="CX36" i="6"/>
  <c r="CV36" i="6"/>
  <c r="CU36" i="6"/>
  <c r="CS36" i="6"/>
  <c r="CQ36" i="6"/>
  <c r="CO36" i="6"/>
  <c r="CM36" i="6"/>
  <c r="CK36" i="6"/>
  <c r="CI36" i="6"/>
  <c r="CG36" i="6"/>
  <c r="CE36" i="6"/>
  <c r="CC36" i="6"/>
  <c r="CA36" i="6"/>
  <c r="BY36" i="6"/>
  <c r="BW36" i="6"/>
  <c r="BU36" i="6"/>
  <c r="BS36" i="6"/>
  <c r="BQ36" i="6"/>
  <c r="BO36" i="6"/>
  <c r="BM36" i="6"/>
  <c r="BK36" i="6"/>
  <c r="BI36" i="6"/>
  <c r="BG36" i="6"/>
  <c r="BE36" i="6"/>
  <c r="BC36" i="6"/>
  <c r="BA36" i="6"/>
  <c r="AY36" i="6"/>
  <c r="AW36" i="6"/>
  <c r="AQ36" i="6"/>
  <c r="AP36" i="6"/>
  <c r="AO36" i="6"/>
  <c r="AN36" i="6"/>
  <c r="AM36" i="6"/>
  <c r="AL36" i="6"/>
  <c r="AK36" i="6"/>
  <c r="AJ36" i="6"/>
  <c r="AI36" i="6"/>
  <c r="AH36" i="6"/>
  <c r="AG36" i="6"/>
  <c r="AF36" i="6"/>
  <c r="AE36" i="6"/>
  <c r="AD36" i="6"/>
  <c r="Y36" i="6"/>
  <c r="W36" i="6"/>
  <c r="L36" i="6" s="1"/>
  <c r="U36" i="6"/>
  <c r="N36" i="6"/>
  <c r="K36" i="6"/>
  <c r="F36" i="6"/>
  <c r="DQ35" i="6"/>
  <c r="DP35" i="6"/>
  <c r="DC35" i="6"/>
  <c r="CT35" i="6"/>
  <c r="CR35" i="6"/>
  <c r="CP35" i="6"/>
  <c r="CN35" i="6"/>
  <c r="CL35" i="6"/>
  <c r="CJ35" i="6"/>
  <c r="CH35" i="6"/>
  <c r="CF35" i="6"/>
  <c r="CD35" i="6"/>
  <c r="CB35" i="6"/>
  <c r="BZ35" i="6"/>
  <c r="BX35" i="6"/>
  <c r="BV35" i="6"/>
  <c r="BT35" i="6"/>
  <c r="BR35" i="6"/>
  <c r="BP35" i="6"/>
  <c r="BN35" i="6"/>
  <c r="BL35" i="6"/>
  <c r="BJ35" i="6"/>
  <c r="BH35" i="6"/>
  <c r="BF35" i="6"/>
  <c r="BD35" i="6"/>
  <c r="BB35" i="6"/>
  <c r="AZ35" i="6"/>
  <c r="AX35" i="6"/>
  <c r="AV35" i="6"/>
  <c r="AR35" i="6"/>
  <c r="AT35" i="6" s="1"/>
  <c r="X35" i="6"/>
  <c r="Q35" i="6"/>
  <c r="O35" i="6"/>
  <c r="N35" i="6"/>
  <c r="M35" i="6"/>
  <c r="L35" i="6"/>
  <c r="G35" i="6"/>
  <c r="DQ34" i="6"/>
  <c r="DP34" i="6"/>
  <c r="DC34" i="6"/>
  <c r="CT34" i="6"/>
  <c r="CR34" i="6"/>
  <c r="CP34" i="6"/>
  <c r="CN34" i="6"/>
  <c r="CL34" i="6"/>
  <c r="CJ34" i="6"/>
  <c r="CH34" i="6"/>
  <c r="CF34" i="6"/>
  <c r="CD34" i="6"/>
  <c r="CB34" i="6"/>
  <c r="BZ34" i="6"/>
  <c r="BX34" i="6"/>
  <c r="BV34" i="6"/>
  <c r="BT34" i="6"/>
  <c r="BR34" i="6"/>
  <c r="BP34" i="6"/>
  <c r="BN34" i="6"/>
  <c r="BL34" i="6"/>
  <c r="BJ34" i="6"/>
  <c r="BH34" i="6"/>
  <c r="BF34" i="6"/>
  <c r="BD34" i="6"/>
  <c r="BB34" i="6"/>
  <c r="AZ34" i="6"/>
  <c r="AX34" i="6"/>
  <c r="AV34" i="6"/>
  <c r="AR34" i="6"/>
  <c r="AT34" i="6" s="1"/>
  <c r="X34" i="6"/>
  <c r="Q34" i="6"/>
  <c r="O34" i="6"/>
  <c r="N34" i="6"/>
  <c r="M34" i="6"/>
  <c r="L34" i="6"/>
  <c r="G34" i="6"/>
  <c r="DQ33" i="6"/>
  <c r="DP33" i="6"/>
  <c r="DC33" i="6"/>
  <c r="CT33" i="6"/>
  <c r="CR33" i="6"/>
  <c r="CP33" i="6"/>
  <c r="CN33" i="6"/>
  <c r="CL33" i="6"/>
  <c r="CJ33" i="6"/>
  <c r="CH33" i="6"/>
  <c r="CF33" i="6"/>
  <c r="CD33" i="6"/>
  <c r="CB33" i="6"/>
  <c r="BZ33" i="6"/>
  <c r="BX33" i="6"/>
  <c r="BV33" i="6"/>
  <c r="BT33" i="6"/>
  <c r="BR33" i="6"/>
  <c r="BP33" i="6"/>
  <c r="BN33" i="6"/>
  <c r="BL33" i="6"/>
  <c r="BJ33" i="6"/>
  <c r="BH33" i="6"/>
  <c r="BF33" i="6"/>
  <c r="BD33" i="6"/>
  <c r="BB33" i="6"/>
  <c r="AZ33" i="6"/>
  <c r="AX33" i="6"/>
  <c r="AV33" i="6"/>
  <c r="AR33" i="6"/>
  <c r="AT33" i="6" s="1"/>
  <c r="X33" i="6"/>
  <c r="Q33" i="6"/>
  <c r="O33" i="6"/>
  <c r="N33" i="6"/>
  <c r="M33" i="6"/>
  <c r="L33" i="6"/>
  <c r="G33" i="6"/>
  <c r="DQ32" i="6"/>
  <c r="DP32" i="6"/>
  <c r="DC32" i="6"/>
  <c r="CT32" i="6"/>
  <c r="CR32" i="6"/>
  <c r="CP32" i="6"/>
  <c r="CN32" i="6"/>
  <c r="CL32" i="6"/>
  <c r="CJ32" i="6"/>
  <c r="CH32" i="6"/>
  <c r="CF32" i="6"/>
  <c r="CD32" i="6"/>
  <c r="CB32" i="6"/>
  <c r="BZ32" i="6"/>
  <c r="BX32" i="6"/>
  <c r="BV32" i="6"/>
  <c r="BT32" i="6"/>
  <c r="BR32" i="6"/>
  <c r="BP32" i="6"/>
  <c r="BN32" i="6"/>
  <c r="BL32" i="6"/>
  <c r="BJ32" i="6"/>
  <c r="BH32" i="6"/>
  <c r="BF32" i="6"/>
  <c r="BD32" i="6"/>
  <c r="BB32" i="6"/>
  <c r="AZ32" i="6"/>
  <c r="AX32" i="6"/>
  <c r="AV32" i="6"/>
  <c r="AR32" i="6"/>
  <c r="AT32" i="6" s="1"/>
  <c r="X32" i="6"/>
  <c r="Q32" i="6"/>
  <c r="O32" i="6"/>
  <c r="N32" i="6"/>
  <c r="M32" i="6"/>
  <c r="L32" i="6"/>
  <c r="G32" i="6"/>
  <c r="DQ31" i="6"/>
  <c r="DP31" i="6"/>
  <c r="DC31" i="6"/>
  <c r="CT31" i="6"/>
  <c r="CR31" i="6"/>
  <c r="CP31" i="6"/>
  <c r="CN31" i="6"/>
  <c r="CL31" i="6"/>
  <c r="CJ31" i="6"/>
  <c r="CH31" i="6"/>
  <c r="CF31" i="6"/>
  <c r="CD31" i="6"/>
  <c r="CB31" i="6"/>
  <c r="BZ31" i="6"/>
  <c r="BX31" i="6"/>
  <c r="BV31" i="6"/>
  <c r="BT31" i="6"/>
  <c r="BR31" i="6"/>
  <c r="BP31" i="6"/>
  <c r="BN31" i="6"/>
  <c r="BL31" i="6"/>
  <c r="BJ31" i="6"/>
  <c r="BH31" i="6"/>
  <c r="BF31" i="6"/>
  <c r="BD31" i="6"/>
  <c r="BB31" i="6"/>
  <c r="AZ31" i="6"/>
  <c r="AX31" i="6"/>
  <c r="AV31" i="6"/>
  <c r="AR31" i="6"/>
  <c r="AT31" i="6" s="1"/>
  <c r="X31" i="6"/>
  <c r="Q31" i="6"/>
  <c r="O31" i="6"/>
  <c r="N31" i="6"/>
  <c r="M31" i="6"/>
  <c r="L31" i="6"/>
  <c r="G31" i="6"/>
  <c r="DQ30" i="6"/>
  <c r="DP30" i="6"/>
  <c r="DC30" i="6"/>
  <c r="CT30" i="6"/>
  <c r="CR30" i="6"/>
  <c r="CP30" i="6"/>
  <c r="CN30" i="6"/>
  <c r="CL30" i="6"/>
  <c r="CJ30" i="6"/>
  <c r="CH30" i="6"/>
  <c r="CF30" i="6"/>
  <c r="CD30" i="6"/>
  <c r="CB30" i="6"/>
  <c r="BZ30" i="6"/>
  <c r="BX30" i="6"/>
  <c r="BV30" i="6"/>
  <c r="BT30" i="6"/>
  <c r="BR30" i="6"/>
  <c r="BP30" i="6"/>
  <c r="BN30" i="6"/>
  <c r="BL30" i="6"/>
  <c r="BJ30" i="6"/>
  <c r="BH30" i="6"/>
  <c r="BF30" i="6"/>
  <c r="BD30" i="6"/>
  <c r="BB30" i="6"/>
  <c r="AZ30" i="6"/>
  <c r="AX30" i="6"/>
  <c r="AV30" i="6"/>
  <c r="AR30" i="6"/>
  <c r="AT30" i="6" s="1"/>
  <c r="X30" i="6"/>
  <c r="Q30" i="6"/>
  <c r="O30" i="6"/>
  <c r="N30" i="6"/>
  <c r="M30" i="6"/>
  <c r="L30" i="6"/>
  <c r="G30" i="6"/>
  <c r="DQ29" i="6"/>
  <c r="DP29" i="6"/>
  <c r="DC29" i="6"/>
  <c r="CT29" i="6"/>
  <c r="CR29" i="6"/>
  <c r="CP29" i="6"/>
  <c r="CN29" i="6"/>
  <c r="CL29" i="6"/>
  <c r="CJ29" i="6"/>
  <c r="CH29" i="6"/>
  <c r="CF29" i="6"/>
  <c r="CD29" i="6"/>
  <c r="CB29" i="6"/>
  <c r="BZ29" i="6"/>
  <c r="BX29" i="6"/>
  <c r="BV29" i="6"/>
  <c r="BT29" i="6"/>
  <c r="BR29" i="6"/>
  <c r="BP29" i="6"/>
  <c r="BN29" i="6"/>
  <c r="BL29" i="6"/>
  <c r="BJ29" i="6"/>
  <c r="BH29" i="6"/>
  <c r="BF29" i="6"/>
  <c r="BD29" i="6"/>
  <c r="BB29" i="6"/>
  <c r="AZ29" i="6"/>
  <c r="AX29" i="6"/>
  <c r="AV29" i="6"/>
  <c r="AR29" i="6"/>
  <c r="AT29" i="6" s="1"/>
  <c r="X29" i="6"/>
  <c r="Q29" i="6"/>
  <c r="O29" i="6"/>
  <c r="N29" i="6"/>
  <c r="M29" i="6"/>
  <c r="L29" i="6"/>
  <c r="G29" i="6"/>
  <c r="DQ28" i="6"/>
  <c r="DP28" i="6"/>
  <c r="DC28" i="6"/>
  <c r="CT28" i="6"/>
  <c r="CR28" i="6"/>
  <c r="CP28" i="6"/>
  <c r="CN28" i="6"/>
  <c r="CL28" i="6"/>
  <c r="CJ28" i="6"/>
  <c r="CH28" i="6"/>
  <c r="CF28" i="6"/>
  <c r="CD28" i="6"/>
  <c r="CB28" i="6"/>
  <c r="BZ28" i="6"/>
  <c r="BX28" i="6"/>
  <c r="BV28" i="6"/>
  <c r="BT28" i="6"/>
  <c r="BR28" i="6"/>
  <c r="BP28" i="6"/>
  <c r="BN28" i="6"/>
  <c r="BL28" i="6"/>
  <c r="BJ28" i="6"/>
  <c r="BH28" i="6"/>
  <c r="BF28" i="6"/>
  <c r="BD28" i="6"/>
  <c r="BB28" i="6"/>
  <c r="AZ28" i="6"/>
  <c r="AX28" i="6"/>
  <c r="AV28" i="6"/>
  <c r="AR28" i="6"/>
  <c r="AT28" i="6" s="1"/>
  <c r="X28" i="6"/>
  <c r="Q28" i="6"/>
  <c r="O28" i="6"/>
  <c r="N28" i="6"/>
  <c r="M28" i="6"/>
  <c r="L28" i="6"/>
  <c r="G28" i="6"/>
  <c r="DQ27" i="6"/>
  <c r="DP27" i="6"/>
  <c r="DC27" i="6"/>
  <c r="CT27" i="6"/>
  <c r="CR27" i="6"/>
  <c r="CP27" i="6"/>
  <c r="CN27" i="6"/>
  <c r="CL27" i="6"/>
  <c r="CJ27" i="6"/>
  <c r="CH27" i="6"/>
  <c r="CF27" i="6"/>
  <c r="CD27" i="6"/>
  <c r="CB27" i="6"/>
  <c r="BZ27" i="6"/>
  <c r="BX27" i="6"/>
  <c r="BV27" i="6"/>
  <c r="BT27" i="6"/>
  <c r="BR27" i="6"/>
  <c r="BP27" i="6"/>
  <c r="BN27" i="6"/>
  <c r="BL27" i="6"/>
  <c r="BJ27" i="6"/>
  <c r="BH27" i="6"/>
  <c r="BF27" i="6"/>
  <c r="BD27" i="6"/>
  <c r="BB27" i="6"/>
  <c r="AZ27" i="6"/>
  <c r="AX27" i="6"/>
  <c r="AV27" i="6"/>
  <c r="AR27" i="6"/>
  <c r="AT27" i="6" s="1"/>
  <c r="X27" i="6"/>
  <c r="Q27" i="6"/>
  <c r="O27" i="6"/>
  <c r="N27" i="6"/>
  <c r="M27" i="6"/>
  <c r="L27" i="6"/>
  <c r="G27" i="6"/>
  <c r="DQ26" i="6"/>
  <c r="DP26" i="6"/>
  <c r="DC26" i="6"/>
  <c r="CT26" i="6"/>
  <c r="CR26" i="6"/>
  <c r="CP26" i="6"/>
  <c r="CN26" i="6"/>
  <c r="CL26" i="6"/>
  <c r="CJ26" i="6"/>
  <c r="CH26" i="6"/>
  <c r="CF26" i="6"/>
  <c r="CD26" i="6"/>
  <c r="CB26" i="6"/>
  <c r="BZ26" i="6"/>
  <c r="BX26" i="6"/>
  <c r="BV26" i="6"/>
  <c r="BT26" i="6"/>
  <c r="BR26" i="6"/>
  <c r="BP26" i="6"/>
  <c r="BN26" i="6"/>
  <c r="BL26" i="6"/>
  <c r="BJ26" i="6"/>
  <c r="BH26" i="6"/>
  <c r="BF26" i="6"/>
  <c r="BD26" i="6"/>
  <c r="BB26" i="6"/>
  <c r="AZ26" i="6"/>
  <c r="AX26" i="6"/>
  <c r="AV26" i="6"/>
  <c r="AR26" i="6"/>
  <c r="AT26" i="6" s="1"/>
  <c r="X26" i="6"/>
  <c r="Q26" i="6"/>
  <c r="O26" i="6"/>
  <c r="N26" i="6"/>
  <c r="M26" i="6"/>
  <c r="L26" i="6"/>
  <c r="G26" i="6"/>
  <c r="DQ25" i="6"/>
  <c r="DP25" i="6"/>
  <c r="DC25" i="6"/>
  <c r="CT25" i="6"/>
  <c r="CR25" i="6"/>
  <c r="CP25" i="6"/>
  <c r="CN25" i="6"/>
  <c r="CL25" i="6"/>
  <c r="CJ25" i="6"/>
  <c r="CH25" i="6"/>
  <c r="CF25" i="6"/>
  <c r="CD25" i="6"/>
  <c r="CB25" i="6"/>
  <c r="BZ25" i="6"/>
  <c r="BX25" i="6"/>
  <c r="BV25" i="6"/>
  <c r="BT25" i="6"/>
  <c r="BR25" i="6"/>
  <c r="BP25" i="6"/>
  <c r="BN25" i="6"/>
  <c r="BL25" i="6"/>
  <c r="BJ25" i="6"/>
  <c r="BH25" i="6"/>
  <c r="BF25" i="6"/>
  <c r="BD25" i="6"/>
  <c r="BB25" i="6"/>
  <c r="AZ25" i="6"/>
  <c r="AX25" i="6"/>
  <c r="AV25" i="6"/>
  <c r="AR25" i="6"/>
  <c r="AT25" i="6" s="1"/>
  <c r="X25" i="6"/>
  <c r="Q25" i="6"/>
  <c r="O25" i="6"/>
  <c r="N25" i="6"/>
  <c r="M25" i="6"/>
  <c r="L25" i="6"/>
  <c r="G25" i="6"/>
  <c r="DQ24" i="6"/>
  <c r="DP24" i="6"/>
  <c r="DC24" i="6"/>
  <c r="CT24" i="6"/>
  <c r="CR24" i="6"/>
  <c r="CP24" i="6"/>
  <c r="CN24" i="6"/>
  <c r="CL24" i="6"/>
  <c r="CJ24" i="6"/>
  <c r="CH24" i="6"/>
  <c r="CF24" i="6"/>
  <c r="CD24" i="6"/>
  <c r="CB24" i="6"/>
  <c r="BZ24" i="6"/>
  <c r="BX24" i="6"/>
  <c r="BV24" i="6"/>
  <c r="BT24" i="6"/>
  <c r="BR24" i="6"/>
  <c r="BP24" i="6"/>
  <c r="BN24" i="6"/>
  <c r="BL24" i="6"/>
  <c r="BJ24" i="6"/>
  <c r="BH24" i="6"/>
  <c r="BF24" i="6"/>
  <c r="BD24" i="6"/>
  <c r="BB24" i="6"/>
  <c r="AZ24" i="6"/>
  <c r="AX24" i="6"/>
  <c r="AV24" i="6"/>
  <c r="AR24" i="6"/>
  <c r="AT24" i="6" s="1"/>
  <c r="X24" i="6"/>
  <c r="Q24" i="6"/>
  <c r="O24" i="6"/>
  <c r="N24" i="6"/>
  <c r="M24" i="6"/>
  <c r="L24" i="6"/>
  <c r="G24" i="6"/>
  <c r="DQ23" i="6"/>
  <c r="DP23" i="6"/>
  <c r="DC23" i="6"/>
  <c r="CT23" i="6"/>
  <c r="CR23" i="6"/>
  <c r="CP23" i="6"/>
  <c r="CN23" i="6"/>
  <c r="CL23" i="6"/>
  <c r="CJ23" i="6"/>
  <c r="CH23" i="6"/>
  <c r="CF23" i="6"/>
  <c r="CD23" i="6"/>
  <c r="CB23" i="6"/>
  <c r="BZ23" i="6"/>
  <c r="BX23" i="6"/>
  <c r="BV23" i="6"/>
  <c r="BT23" i="6"/>
  <c r="BR23" i="6"/>
  <c r="BP23" i="6"/>
  <c r="BN23" i="6"/>
  <c r="BL23" i="6"/>
  <c r="BJ23" i="6"/>
  <c r="BH23" i="6"/>
  <c r="BF23" i="6"/>
  <c r="BD23" i="6"/>
  <c r="BB23" i="6"/>
  <c r="AZ23" i="6"/>
  <c r="AX23" i="6"/>
  <c r="AV23" i="6"/>
  <c r="AR23" i="6"/>
  <c r="AT23" i="6" s="1"/>
  <c r="X23" i="6"/>
  <c r="Q23" i="6"/>
  <c r="O23" i="6"/>
  <c r="N23" i="6"/>
  <c r="M23" i="6"/>
  <c r="L23" i="6"/>
  <c r="G23" i="6"/>
  <c r="DQ22" i="6"/>
  <c r="DP22" i="6"/>
  <c r="DC22" i="6"/>
  <c r="CT22" i="6"/>
  <c r="CR22" i="6"/>
  <c r="CP22" i="6"/>
  <c r="CN22" i="6"/>
  <c r="CL22" i="6"/>
  <c r="CJ22" i="6"/>
  <c r="CH22" i="6"/>
  <c r="CF22" i="6"/>
  <c r="CD22" i="6"/>
  <c r="CB22" i="6"/>
  <c r="BZ22" i="6"/>
  <c r="BX22" i="6"/>
  <c r="BV22" i="6"/>
  <c r="BT22" i="6"/>
  <c r="BR22" i="6"/>
  <c r="BP22" i="6"/>
  <c r="BN22" i="6"/>
  <c r="BL22" i="6"/>
  <c r="BJ22" i="6"/>
  <c r="BH22" i="6"/>
  <c r="BF22" i="6"/>
  <c r="BD22" i="6"/>
  <c r="BB22" i="6"/>
  <c r="AZ22" i="6"/>
  <c r="AX22" i="6"/>
  <c r="AV22" i="6"/>
  <c r="AR22" i="6"/>
  <c r="AT22" i="6" s="1"/>
  <c r="X22" i="6"/>
  <c r="Q22" i="6"/>
  <c r="O22" i="6"/>
  <c r="N22" i="6"/>
  <c r="M22" i="6"/>
  <c r="L22" i="6"/>
  <c r="G22" i="6"/>
  <c r="DQ21" i="6"/>
  <c r="DP21" i="6"/>
  <c r="DC21" i="6"/>
  <c r="CT21" i="6"/>
  <c r="CR21" i="6"/>
  <c r="CP21" i="6"/>
  <c r="CN21" i="6"/>
  <c r="CL21" i="6"/>
  <c r="CJ21" i="6"/>
  <c r="CH21" i="6"/>
  <c r="CF21" i="6"/>
  <c r="CD21" i="6"/>
  <c r="CB21" i="6"/>
  <c r="BZ21" i="6"/>
  <c r="BX21" i="6"/>
  <c r="BV21" i="6"/>
  <c r="BT21" i="6"/>
  <c r="BR21" i="6"/>
  <c r="BP21" i="6"/>
  <c r="BN21" i="6"/>
  <c r="BL21" i="6"/>
  <c r="BJ21" i="6"/>
  <c r="BH21" i="6"/>
  <c r="BF21" i="6"/>
  <c r="BD21" i="6"/>
  <c r="BB21" i="6"/>
  <c r="AZ21" i="6"/>
  <c r="AX21" i="6"/>
  <c r="AV21" i="6"/>
  <c r="AR21" i="6"/>
  <c r="X21" i="6"/>
  <c r="Q21" i="6"/>
  <c r="O21" i="6"/>
  <c r="N21" i="6"/>
  <c r="M21" i="6"/>
  <c r="L21" i="6"/>
  <c r="G21" i="6"/>
  <c r="DQ20" i="6"/>
  <c r="DP20" i="6"/>
  <c r="DC20" i="6"/>
  <c r="CT20" i="6"/>
  <c r="CR20" i="6"/>
  <c r="CP20" i="6"/>
  <c r="CN20" i="6"/>
  <c r="CL20" i="6"/>
  <c r="CJ20" i="6"/>
  <c r="CH20" i="6"/>
  <c r="CF20" i="6"/>
  <c r="CD20" i="6"/>
  <c r="CB20" i="6"/>
  <c r="BZ20" i="6"/>
  <c r="BX20" i="6"/>
  <c r="BV20" i="6"/>
  <c r="BT20" i="6"/>
  <c r="BR20" i="6"/>
  <c r="BP20" i="6"/>
  <c r="BN20" i="6"/>
  <c r="BL20" i="6"/>
  <c r="BJ20" i="6"/>
  <c r="BH20" i="6"/>
  <c r="BF20" i="6"/>
  <c r="BD20" i="6"/>
  <c r="BB20" i="6"/>
  <c r="AZ20" i="6"/>
  <c r="AX20" i="6"/>
  <c r="AV20" i="6"/>
  <c r="AR20" i="6"/>
  <c r="X20" i="6"/>
  <c r="Q20" i="6"/>
  <c r="O20" i="6"/>
  <c r="N20" i="6"/>
  <c r="M20" i="6"/>
  <c r="L20" i="6"/>
  <c r="G20" i="6"/>
  <c r="DQ19" i="6"/>
  <c r="DP19" i="6"/>
  <c r="DC19" i="6"/>
  <c r="CT19" i="6"/>
  <c r="CR19" i="6"/>
  <c r="CP19" i="6"/>
  <c r="CN19" i="6"/>
  <c r="CL19" i="6"/>
  <c r="CJ19" i="6"/>
  <c r="CH19" i="6"/>
  <c r="CF19" i="6"/>
  <c r="CD19" i="6"/>
  <c r="CB19" i="6"/>
  <c r="BZ19" i="6"/>
  <c r="BX19" i="6"/>
  <c r="BV19" i="6"/>
  <c r="BT19" i="6"/>
  <c r="BR19" i="6"/>
  <c r="BP19" i="6"/>
  <c r="BN19" i="6"/>
  <c r="BL19" i="6"/>
  <c r="BJ19" i="6"/>
  <c r="BH19" i="6"/>
  <c r="BF19" i="6"/>
  <c r="BD19" i="6"/>
  <c r="BB19" i="6"/>
  <c r="AZ19" i="6"/>
  <c r="AX19" i="6"/>
  <c r="AV19" i="6"/>
  <c r="AR19" i="6"/>
  <c r="X19" i="6"/>
  <c r="Q19" i="6"/>
  <c r="O19" i="6"/>
  <c r="N19" i="6"/>
  <c r="M19" i="6"/>
  <c r="L19" i="6"/>
  <c r="G19" i="6"/>
  <c r="DQ18" i="6"/>
  <c r="DP18" i="6"/>
  <c r="DC18" i="6"/>
  <c r="CT18" i="6"/>
  <c r="CR18" i="6"/>
  <c r="CP18" i="6"/>
  <c r="CN18" i="6"/>
  <c r="CL18" i="6"/>
  <c r="CJ18" i="6"/>
  <c r="CH18" i="6"/>
  <c r="CF18" i="6"/>
  <c r="CD18" i="6"/>
  <c r="CB18" i="6"/>
  <c r="BZ18" i="6"/>
  <c r="BX18" i="6"/>
  <c r="BV18" i="6"/>
  <c r="BT18" i="6"/>
  <c r="BR18" i="6"/>
  <c r="BP18" i="6"/>
  <c r="BN18" i="6"/>
  <c r="BL18" i="6"/>
  <c r="BJ18" i="6"/>
  <c r="BH18" i="6"/>
  <c r="BF18" i="6"/>
  <c r="BD18" i="6"/>
  <c r="BB18" i="6"/>
  <c r="AZ18" i="6"/>
  <c r="AX18" i="6"/>
  <c r="AV18" i="6"/>
  <c r="AR18" i="6"/>
  <c r="X18" i="6"/>
  <c r="Q18" i="6"/>
  <c r="O18" i="6"/>
  <c r="N18" i="6"/>
  <c r="M18" i="6"/>
  <c r="L18" i="6"/>
  <c r="G18" i="6"/>
  <c r="DQ17" i="6"/>
  <c r="DP17" i="6"/>
  <c r="DC17" i="6"/>
  <c r="CT17" i="6"/>
  <c r="CR17" i="6"/>
  <c r="CP17" i="6"/>
  <c r="CN17" i="6"/>
  <c r="CL17" i="6"/>
  <c r="CJ17" i="6"/>
  <c r="CH17" i="6"/>
  <c r="CF17" i="6"/>
  <c r="CD17" i="6"/>
  <c r="CB17" i="6"/>
  <c r="BZ17" i="6"/>
  <c r="BX17" i="6"/>
  <c r="BV17" i="6"/>
  <c r="BT17" i="6"/>
  <c r="BR17" i="6"/>
  <c r="BP17" i="6"/>
  <c r="BN17" i="6"/>
  <c r="BL17" i="6"/>
  <c r="BJ17" i="6"/>
  <c r="BH17" i="6"/>
  <c r="BF17" i="6"/>
  <c r="BD17" i="6"/>
  <c r="BB17" i="6"/>
  <c r="AZ17" i="6"/>
  <c r="AX17" i="6"/>
  <c r="AV17" i="6"/>
  <c r="AR17" i="6"/>
  <c r="X17" i="6"/>
  <c r="Q17" i="6"/>
  <c r="O17" i="6"/>
  <c r="N17" i="6"/>
  <c r="M17" i="6"/>
  <c r="L17" i="6"/>
  <c r="G17" i="6"/>
  <c r="DQ16" i="6"/>
  <c r="DP16" i="6"/>
  <c r="DC16" i="6"/>
  <c r="CT16" i="6"/>
  <c r="CR16" i="6"/>
  <c r="CP16" i="6"/>
  <c r="CN16" i="6"/>
  <c r="CL16" i="6"/>
  <c r="CJ16" i="6"/>
  <c r="CH16" i="6"/>
  <c r="CF16" i="6"/>
  <c r="CD16" i="6"/>
  <c r="CB16" i="6"/>
  <c r="BZ16" i="6"/>
  <c r="BX16" i="6"/>
  <c r="BV16" i="6"/>
  <c r="BT16" i="6"/>
  <c r="BR16" i="6"/>
  <c r="BP16" i="6"/>
  <c r="BN16" i="6"/>
  <c r="BL16" i="6"/>
  <c r="BJ16" i="6"/>
  <c r="BH16" i="6"/>
  <c r="BF16" i="6"/>
  <c r="BD16" i="6"/>
  <c r="BB16" i="6"/>
  <c r="AZ16" i="6"/>
  <c r="AX16" i="6"/>
  <c r="AV16" i="6"/>
  <c r="AT16" i="6"/>
  <c r="AR16" i="6"/>
  <c r="AS16" i="6" s="1"/>
  <c r="X16" i="6"/>
  <c r="Q16" i="6"/>
  <c r="O16" i="6"/>
  <c r="N16" i="6"/>
  <c r="M16" i="6"/>
  <c r="L16" i="6"/>
  <c r="G16" i="6"/>
  <c r="DQ15" i="6"/>
  <c r="DP15" i="6"/>
  <c r="DC15" i="6"/>
  <c r="CT15" i="6"/>
  <c r="CR15" i="6"/>
  <c r="CP15" i="6"/>
  <c r="CN15" i="6"/>
  <c r="CL15" i="6"/>
  <c r="CJ15" i="6"/>
  <c r="CH15" i="6"/>
  <c r="CF15" i="6"/>
  <c r="CD15" i="6"/>
  <c r="CB15" i="6"/>
  <c r="BZ15" i="6"/>
  <c r="BX15" i="6"/>
  <c r="BV15" i="6"/>
  <c r="BT15" i="6"/>
  <c r="BR15" i="6"/>
  <c r="BP15" i="6"/>
  <c r="BN15" i="6"/>
  <c r="BL15" i="6"/>
  <c r="BJ15" i="6"/>
  <c r="BH15" i="6"/>
  <c r="BF15" i="6"/>
  <c r="BD15" i="6"/>
  <c r="BB15" i="6"/>
  <c r="AZ15" i="6"/>
  <c r="AX15" i="6"/>
  <c r="AV15" i="6"/>
  <c r="AT15" i="6"/>
  <c r="AR15" i="6"/>
  <c r="AS15" i="6" s="1"/>
  <c r="X15" i="6"/>
  <c r="Q15" i="6"/>
  <c r="O15" i="6"/>
  <c r="M15" i="6"/>
  <c r="N15" i="6" s="1"/>
  <c r="L15" i="6"/>
  <c r="G15" i="6"/>
  <c r="DQ14" i="6"/>
  <c r="DP14" i="6"/>
  <c r="DC14" i="6"/>
  <c r="CT14" i="6"/>
  <c r="CR14" i="6"/>
  <c r="CP14" i="6"/>
  <c r="CN14" i="6"/>
  <c r="CL14" i="6"/>
  <c r="CJ14" i="6"/>
  <c r="CH14" i="6"/>
  <c r="CF14" i="6"/>
  <c r="CD14" i="6"/>
  <c r="CB14" i="6"/>
  <c r="BZ14" i="6"/>
  <c r="BX14" i="6"/>
  <c r="BV14" i="6"/>
  <c r="BT14" i="6"/>
  <c r="BR14" i="6"/>
  <c r="BP14" i="6"/>
  <c r="BN14" i="6"/>
  <c r="BL14" i="6"/>
  <c r="BJ14" i="6"/>
  <c r="BH14" i="6"/>
  <c r="BF14" i="6"/>
  <c r="BD14" i="6"/>
  <c r="BB14" i="6"/>
  <c r="AZ14" i="6"/>
  <c r="AX14" i="6"/>
  <c r="AV14" i="6"/>
  <c r="AR14" i="6"/>
  <c r="AS14" i="6" s="1"/>
  <c r="X14" i="6"/>
  <c r="Q14" i="6"/>
  <c r="O14" i="6"/>
  <c r="M14" i="6"/>
  <c r="N14" i="6" s="1"/>
  <c r="L14" i="6"/>
  <c r="G14" i="6"/>
  <c r="DP13" i="6"/>
  <c r="DQ13" i="6" s="1"/>
  <c r="DC13" i="6"/>
  <c r="CT13" i="6"/>
  <c r="CR13" i="6"/>
  <c r="CP13" i="6"/>
  <c r="CN13" i="6"/>
  <c r="CL13" i="6"/>
  <c r="CJ13" i="6"/>
  <c r="CH13" i="6"/>
  <c r="CF13" i="6"/>
  <c r="CD13" i="6"/>
  <c r="CB13" i="6"/>
  <c r="BZ13" i="6"/>
  <c r="BX13" i="6"/>
  <c r="BV13" i="6"/>
  <c r="BT13" i="6"/>
  <c r="BR13" i="6"/>
  <c r="BP13" i="6"/>
  <c r="BN13" i="6"/>
  <c r="BL13" i="6"/>
  <c r="BJ13" i="6"/>
  <c r="BH13" i="6"/>
  <c r="BF13" i="6"/>
  <c r="BD13" i="6"/>
  <c r="BB13" i="6"/>
  <c r="AZ13" i="6"/>
  <c r="AX13" i="6"/>
  <c r="AV13" i="6"/>
  <c r="AR13" i="6"/>
  <c r="X13" i="6"/>
  <c r="Q13" i="6"/>
  <c r="O13" i="6"/>
  <c r="M13" i="6"/>
  <c r="N13" i="6" s="1"/>
  <c r="L13" i="6"/>
  <c r="G13" i="6"/>
  <c r="DQ12" i="6"/>
  <c r="DP12" i="6"/>
  <c r="DC12" i="6"/>
  <c r="CT12" i="6"/>
  <c r="CR12" i="6"/>
  <c r="CP12" i="6"/>
  <c r="CN12" i="6"/>
  <c r="CL12" i="6"/>
  <c r="CJ12" i="6"/>
  <c r="CH12" i="6"/>
  <c r="CF12" i="6"/>
  <c r="CD12" i="6"/>
  <c r="CB12" i="6"/>
  <c r="BZ12" i="6"/>
  <c r="BX12" i="6"/>
  <c r="BV12" i="6"/>
  <c r="BT12" i="6"/>
  <c r="BR12" i="6"/>
  <c r="BP12" i="6"/>
  <c r="BN12" i="6"/>
  <c r="BL12" i="6"/>
  <c r="BJ12" i="6"/>
  <c r="BH12" i="6"/>
  <c r="BF12" i="6"/>
  <c r="BD12" i="6"/>
  <c r="BB12" i="6"/>
  <c r="AZ12" i="6"/>
  <c r="AX12" i="6"/>
  <c r="AV12" i="6"/>
  <c r="AT12" i="6"/>
  <c r="AR12" i="6"/>
  <c r="AS12" i="6" s="1"/>
  <c r="X12" i="6"/>
  <c r="Q12" i="6"/>
  <c r="O12" i="6"/>
  <c r="M12" i="6"/>
  <c r="N12" i="6" s="1"/>
  <c r="L12" i="6"/>
  <c r="G12" i="6"/>
  <c r="DP11" i="6"/>
  <c r="DQ11" i="6" s="1"/>
  <c r="DC11" i="6"/>
  <c r="CT11" i="6"/>
  <c r="CR11" i="6"/>
  <c r="CP11" i="6"/>
  <c r="CN11" i="6"/>
  <c r="CL11" i="6"/>
  <c r="CJ11" i="6"/>
  <c r="CH11" i="6"/>
  <c r="CF11" i="6"/>
  <c r="CD11" i="6"/>
  <c r="CB11" i="6"/>
  <c r="BZ11" i="6"/>
  <c r="BX11" i="6"/>
  <c r="BV11" i="6"/>
  <c r="BT11" i="6"/>
  <c r="BR11" i="6"/>
  <c r="BP11" i="6"/>
  <c r="BN11" i="6"/>
  <c r="BL11" i="6"/>
  <c r="BJ11" i="6"/>
  <c r="BH11" i="6"/>
  <c r="BF11" i="6"/>
  <c r="BD11" i="6"/>
  <c r="BB11" i="6"/>
  <c r="AZ11" i="6"/>
  <c r="AX11" i="6"/>
  <c r="AV11" i="6"/>
  <c r="AT11" i="6"/>
  <c r="AR11" i="6"/>
  <c r="AS11" i="6" s="1"/>
  <c r="Z11" i="6"/>
  <c r="Z12" i="6" s="1"/>
  <c r="Z13" i="6" s="1"/>
  <c r="Z14" i="6" s="1"/>
  <c r="Z15" i="6" s="1"/>
  <c r="Z16" i="6" s="1"/>
  <c r="Z17" i="6" s="1"/>
  <c r="Z18" i="6" s="1"/>
  <c r="Z19" i="6" s="1"/>
  <c r="Z20" i="6" s="1"/>
  <c r="Z21" i="6" s="1"/>
  <c r="Z22" i="6" s="1"/>
  <c r="Z23" i="6" s="1"/>
  <c r="Z24" i="6" s="1"/>
  <c r="Z25" i="6" s="1"/>
  <c r="Z26" i="6" s="1"/>
  <c r="Z27" i="6" s="1"/>
  <c r="Z28" i="6" s="1"/>
  <c r="Z29" i="6" s="1"/>
  <c r="Z30" i="6" s="1"/>
  <c r="Z31" i="6" s="1"/>
  <c r="Z32" i="6" s="1"/>
  <c r="Z33" i="6" s="1"/>
  <c r="Z34" i="6" s="1"/>
  <c r="Z35" i="6" s="1"/>
  <c r="X11" i="6"/>
  <c r="Q11" i="6"/>
  <c r="O11" i="6"/>
  <c r="N11" i="6"/>
  <c r="M11" i="6"/>
  <c r="L11" i="6"/>
  <c r="G11" i="6"/>
  <c r="DP10" i="6"/>
  <c r="DQ10" i="6" s="1"/>
  <c r="DC10" i="6"/>
  <c r="CT10" i="6"/>
  <c r="CR10" i="6"/>
  <c r="CP10" i="6"/>
  <c r="CN10" i="6"/>
  <c r="CL10" i="6"/>
  <c r="CJ10" i="6"/>
  <c r="CH10" i="6"/>
  <c r="CF10" i="6"/>
  <c r="CD10" i="6"/>
  <c r="CB10" i="6"/>
  <c r="BZ10" i="6"/>
  <c r="BX10" i="6"/>
  <c r="BV10" i="6"/>
  <c r="BT10" i="6"/>
  <c r="BR10" i="6"/>
  <c r="BP10" i="6"/>
  <c r="BN10" i="6"/>
  <c r="BL10" i="6"/>
  <c r="BJ10" i="6"/>
  <c r="BH10" i="6"/>
  <c r="BF10" i="6"/>
  <c r="BD10" i="6"/>
  <c r="BB10" i="6"/>
  <c r="AZ10" i="6"/>
  <c r="AX10" i="6"/>
  <c r="AV10" i="6"/>
  <c r="AT10" i="6"/>
  <c r="AR10" i="6"/>
  <c r="AS10" i="6" s="1"/>
  <c r="X10" i="6"/>
  <c r="N10" i="6" s="1"/>
  <c r="Q10" i="6"/>
  <c r="O10" i="6"/>
  <c r="M10" i="6"/>
  <c r="L10" i="6"/>
  <c r="G10" i="6"/>
  <c r="DQ9" i="6"/>
  <c r="DP9" i="6"/>
  <c r="DC9" i="6"/>
  <c r="CT9" i="6"/>
  <c r="CR9" i="6"/>
  <c r="CP9" i="6"/>
  <c r="CN9" i="6"/>
  <c r="CL9" i="6"/>
  <c r="CJ9" i="6"/>
  <c r="CH9" i="6"/>
  <c r="CF9" i="6"/>
  <c r="CD9" i="6"/>
  <c r="CB9" i="6"/>
  <c r="BZ9" i="6"/>
  <c r="BX9" i="6"/>
  <c r="BV9" i="6"/>
  <c r="BT9" i="6"/>
  <c r="BR9" i="6"/>
  <c r="BP9" i="6"/>
  <c r="BN9" i="6"/>
  <c r="BL9" i="6"/>
  <c r="BJ9" i="6"/>
  <c r="BH9" i="6"/>
  <c r="BF9" i="6"/>
  <c r="BD9" i="6"/>
  <c r="BB9" i="6"/>
  <c r="AZ9" i="6"/>
  <c r="AX9" i="6"/>
  <c r="AV9" i="6"/>
  <c r="AT9" i="6"/>
  <c r="AR9" i="6"/>
  <c r="AS9" i="6" s="1"/>
  <c r="X9" i="6"/>
  <c r="N9" i="6" s="1"/>
  <c r="Q9" i="6"/>
  <c r="O9" i="6"/>
  <c r="M9" i="6"/>
  <c r="L9" i="6"/>
  <c r="G9" i="6"/>
  <c r="DQ8" i="6"/>
  <c r="DP8" i="6"/>
  <c r="DC8" i="6"/>
  <c r="CT8" i="6"/>
  <c r="CR8" i="6"/>
  <c r="CP8" i="6"/>
  <c r="CN8" i="6"/>
  <c r="CL8" i="6"/>
  <c r="CJ8" i="6"/>
  <c r="CH8" i="6"/>
  <c r="CF8" i="6"/>
  <c r="CD8" i="6"/>
  <c r="CB8" i="6"/>
  <c r="BZ8" i="6"/>
  <c r="BX8" i="6"/>
  <c r="BV8" i="6"/>
  <c r="BT8" i="6"/>
  <c r="BR8" i="6"/>
  <c r="BP8" i="6"/>
  <c r="BN8" i="6"/>
  <c r="BL8" i="6"/>
  <c r="BJ8" i="6"/>
  <c r="BH8" i="6"/>
  <c r="BF8" i="6"/>
  <c r="BD8" i="6"/>
  <c r="BB8" i="6"/>
  <c r="AZ8" i="6"/>
  <c r="AX8" i="6"/>
  <c r="AV8" i="6"/>
  <c r="AT8" i="6"/>
  <c r="AR8" i="6"/>
  <c r="AS8" i="6" s="1"/>
  <c r="X8" i="6"/>
  <c r="N8" i="6" s="1"/>
  <c r="Q8" i="6"/>
  <c r="O8" i="6"/>
  <c r="M8" i="6"/>
  <c r="L8" i="6"/>
  <c r="G8" i="6"/>
  <c r="DQ7" i="6"/>
  <c r="DP7" i="6"/>
  <c r="DC7" i="6"/>
  <c r="CT7" i="6"/>
  <c r="CR7" i="6"/>
  <c r="CP7" i="6"/>
  <c r="CN7" i="6"/>
  <c r="CL7" i="6"/>
  <c r="CJ7" i="6"/>
  <c r="CH7" i="6"/>
  <c r="CF7" i="6"/>
  <c r="CD7" i="6"/>
  <c r="CB7" i="6"/>
  <c r="BZ7" i="6"/>
  <c r="BX7" i="6"/>
  <c r="BV7" i="6"/>
  <c r="BT7" i="6"/>
  <c r="BR7" i="6"/>
  <c r="BP7" i="6"/>
  <c r="BN7" i="6"/>
  <c r="BL7" i="6"/>
  <c r="BJ7" i="6"/>
  <c r="BH7" i="6"/>
  <c r="BF7" i="6"/>
  <c r="BD7" i="6"/>
  <c r="BB7" i="6"/>
  <c r="AZ7" i="6"/>
  <c r="AX7" i="6"/>
  <c r="AV7" i="6"/>
  <c r="AT7" i="6"/>
  <c r="AR7" i="6"/>
  <c r="AS7" i="6" s="1"/>
  <c r="X7" i="6"/>
  <c r="N7" i="6" s="1"/>
  <c r="Q7" i="6"/>
  <c r="O7" i="6"/>
  <c r="M7" i="6"/>
  <c r="L7" i="6"/>
  <c r="G7" i="6"/>
  <c r="DQ6" i="6"/>
  <c r="DP6" i="6"/>
  <c r="DC6" i="6"/>
  <c r="CT6" i="6"/>
  <c r="CR6" i="6"/>
  <c r="CP6" i="6"/>
  <c r="CN6" i="6"/>
  <c r="CL6" i="6"/>
  <c r="CJ6" i="6"/>
  <c r="CH6" i="6"/>
  <c r="CF6" i="6"/>
  <c r="CD6" i="6"/>
  <c r="CB6" i="6"/>
  <c r="BZ6" i="6"/>
  <c r="BX6" i="6"/>
  <c r="BV6" i="6"/>
  <c r="BT6" i="6"/>
  <c r="BR6" i="6"/>
  <c r="BP6" i="6"/>
  <c r="BN6" i="6"/>
  <c r="BL6" i="6"/>
  <c r="BJ6" i="6"/>
  <c r="BH6" i="6"/>
  <c r="BF6" i="6"/>
  <c r="BD6" i="6"/>
  <c r="BB6" i="6"/>
  <c r="AZ6" i="6"/>
  <c r="AX6" i="6"/>
  <c r="AV6" i="6"/>
  <c r="AT6" i="6"/>
  <c r="AR6" i="6"/>
  <c r="AS6" i="6" s="1"/>
  <c r="X6" i="6"/>
  <c r="N6" i="6" s="1"/>
  <c r="Q6" i="6"/>
  <c r="O6" i="6"/>
  <c r="M6" i="6"/>
  <c r="L6" i="6"/>
  <c r="G6" i="6"/>
  <c r="DQ5" i="6"/>
  <c r="DP5" i="6"/>
  <c r="DC5" i="6"/>
  <c r="CT5" i="6"/>
  <c r="CR5" i="6"/>
  <c r="CP5" i="6"/>
  <c r="CP37" i="6" s="1"/>
  <c r="CN5" i="6"/>
  <c r="CN37" i="6" s="1"/>
  <c r="CL5" i="6"/>
  <c r="CL37" i="6" s="1"/>
  <c r="CJ5" i="6"/>
  <c r="CH5" i="6"/>
  <c r="CF5" i="6"/>
  <c r="CD5" i="6"/>
  <c r="CB5" i="6"/>
  <c r="BZ5" i="6"/>
  <c r="BZ37" i="6" s="1"/>
  <c r="BX5" i="6"/>
  <c r="BX37" i="6" s="1"/>
  <c r="BV5" i="6"/>
  <c r="BV37" i="6" s="1"/>
  <c r="BT5" i="6"/>
  <c r="BR5" i="6"/>
  <c r="BP5" i="6"/>
  <c r="BN5" i="6"/>
  <c r="BL5" i="6"/>
  <c r="BJ5" i="6"/>
  <c r="BJ37" i="6" s="1"/>
  <c r="BH5" i="6"/>
  <c r="BH37" i="6" s="1"/>
  <c r="BF5" i="6"/>
  <c r="BF37" i="6" s="1"/>
  <c r="BD5" i="6"/>
  <c r="BB5" i="6"/>
  <c r="AZ5" i="6"/>
  <c r="AX5" i="6"/>
  <c r="AV5" i="6"/>
  <c r="AT5" i="6"/>
  <c r="AR5" i="6"/>
  <c r="AC5" i="6"/>
  <c r="J37" i="6" s="1"/>
  <c r="Z5" i="6"/>
  <c r="Z6" i="6" s="1"/>
  <c r="Z7" i="6" s="1"/>
  <c r="Z8" i="6" s="1"/>
  <c r="Z9" i="6" s="1"/>
  <c r="Z10" i="6" s="1"/>
  <c r="X5" i="6"/>
  <c r="X37" i="6" s="1"/>
  <c r="V5" i="6"/>
  <c r="AA5" i="6" s="1"/>
  <c r="Q5" i="6"/>
  <c r="Q37" i="6" s="1"/>
  <c r="O5" i="6"/>
  <c r="M5" i="6"/>
  <c r="L5" i="6"/>
  <c r="G5" i="6"/>
  <c r="AQ4" i="6"/>
  <c r="AP4" i="6"/>
  <c r="AO4" i="6"/>
  <c r="AN4" i="6"/>
  <c r="AM4" i="6"/>
  <c r="A1" i="6"/>
  <c r="DO37" i="5"/>
  <c r="DN37" i="5"/>
  <c r="DM37" i="5"/>
  <c r="DL37" i="5"/>
  <c r="DK37" i="5"/>
  <c r="DJ37" i="5"/>
  <c r="DI37" i="5"/>
  <c r="DH37" i="5"/>
  <c r="DG37" i="5"/>
  <c r="DF37" i="5"/>
  <c r="DA37" i="5"/>
  <c r="CZ37" i="5"/>
  <c r="CY37" i="5"/>
  <c r="CX37" i="5"/>
  <c r="CV37" i="5"/>
  <c r="CU37" i="5"/>
  <c r="CS37" i="5"/>
  <c r="CQ37" i="5"/>
  <c r="CO37" i="5"/>
  <c r="CM37" i="5"/>
  <c r="CK37" i="5"/>
  <c r="CI37" i="5"/>
  <c r="CG37" i="5"/>
  <c r="CE37" i="5"/>
  <c r="CC37" i="5"/>
  <c r="CA37" i="5"/>
  <c r="BY37" i="5"/>
  <c r="BW37" i="5"/>
  <c r="BU37" i="5"/>
  <c r="BS37" i="5"/>
  <c r="BQ37" i="5"/>
  <c r="BO37" i="5"/>
  <c r="BM37" i="5"/>
  <c r="BK37" i="5"/>
  <c r="BI37" i="5"/>
  <c r="BG37" i="5"/>
  <c r="BE37" i="5"/>
  <c r="BC37" i="5"/>
  <c r="BA37" i="5"/>
  <c r="AY37" i="5"/>
  <c r="AW37" i="5"/>
  <c r="AQ37" i="5"/>
  <c r="AP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Y37" i="5"/>
  <c r="X37" i="5"/>
  <c r="W37" i="5"/>
  <c r="U37" i="5"/>
  <c r="K37" i="5"/>
  <c r="L37" i="5" s="1"/>
  <c r="F37" i="5"/>
  <c r="DO36" i="5"/>
  <c r="DN36" i="5"/>
  <c r="DM36" i="5"/>
  <c r="DL36" i="5"/>
  <c r="DK36" i="5"/>
  <c r="DJ36" i="5"/>
  <c r="DI36" i="5"/>
  <c r="DH36" i="5"/>
  <c r="DG36" i="5"/>
  <c r="DF36" i="5"/>
  <c r="DA36" i="5"/>
  <c r="CZ36" i="5"/>
  <c r="CY36" i="5"/>
  <c r="CX36" i="5"/>
  <c r="CV36" i="5"/>
  <c r="CU36" i="5"/>
  <c r="CS36" i="5"/>
  <c r="CQ36" i="5"/>
  <c r="CO36" i="5"/>
  <c r="CM36" i="5"/>
  <c r="CK36" i="5"/>
  <c r="CI36" i="5"/>
  <c r="CG36" i="5"/>
  <c r="CE36" i="5"/>
  <c r="CC36" i="5"/>
  <c r="CA36" i="5"/>
  <c r="BY36" i="5"/>
  <c r="BW36" i="5"/>
  <c r="BU36" i="5"/>
  <c r="BS36" i="5"/>
  <c r="BQ36" i="5"/>
  <c r="BO36" i="5"/>
  <c r="BM36" i="5"/>
  <c r="BK36" i="5"/>
  <c r="BI36" i="5"/>
  <c r="BG36" i="5"/>
  <c r="BE36" i="5"/>
  <c r="BC36" i="5"/>
  <c r="BA36" i="5"/>
  <c r="AY36" i="5"/>
  <c r="AW36" i="5"/>
  <c r="AQ36" i="5"/>
  <c r="AP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Y36" i="5"/>
  <c r="W36" i="5"/>
  <c r="U36" i="5"/>
  <c r="N36" i="5"/>
  <c r="K36" i="5"/>
  <c r="L36" i="5" s="1"/>
  <c r="F36" i="5"/>
  <c r="DP35" i="5"/>
  <c r="DQ35" i="5" s="1"/>
  <c r="DC35" i="5"/>
  <c r="CT35" i="5"/>
  <c r="CR35" i="5"/>
  <c r="CP35" i="5"/>
  <c r="CN35" i="5"/>
  <c r="CL35" i="5"/>
  <c r="CJ35" i="5"/>
  <c r="CH35" i="5"/>
  <c r="CF35" i="5"/>
  <c r="CD35" i="5"/>
  <c r="CB35" i="5"/>
  <c r="BZ35" i="5"/>
  <c r="BX35" i="5"/>
  <c r="BV35" i="5"/>
  <c r="BT35" i="5"/>
  <c r="BR35" i="5"/>
  <c r="BP35" i="5"/>
  <c r="BN35" i="5"/>
  <c r="BL35" i="5"/>
  <c r="BJ35" i="5"/>
  <c r="BH35" i="5"/>
  <c r="BF35" i="5"/>
  <c r="BD35" i="5"/>
  <c r="BB35" i="5"/>
  <c r="AZ35" i="5"/>
  <c r="AX35" i="5"/>
  <c r="AV35" i="5"/>
  <c r="AR35" i="5"/>
  <c r="AT35" i="5" s="1"/>
  <c r="AB35" i="5"/>
  <c r="X35" i="5"/>
  <c r="Q35" i="5"/>
  <c r="O35" i="5"/>
  <c r="M35" i="5"/>
  <c r="N35" i="5" s="1"/>
  <c r="L35" i="5"/>
  <c r="G35" i="5"/>
  <c r="DP34" i="5"/>
  <c r="DQ34" i="5" s="1"/>
  <c r="DC34" i="5"/>
  <c r="CT34" i="5"/>
  <c r="CR34" i="5"/>
  <c r="CP34" i="5"/>
  <c r="CN34" i="5"/>
  <c r="CL34" i="5"/>
  <c r="CJ34" i="5"/>
  <c r="CH34" i="5"/>
  <c r="CF34" i="5"/>
  <c r="CD34" i="5"/>
  <c r="CB34" i="5"/>
  <c r="BZ34" i="5"/>
  <c r="BX34" i="5"/>
  <c r="BV34" i="5"/>
  <c r="BT34" i="5"/>
  <c r="BR34" i="5"/>
  <c r="BP34" i="5"/>
  <c r="BN34" i="5"/>
  <c r="BL34" i="5"/>
  <c r="BJ34" i="5"/>
  <c r="BH34" i="5"/>
  <c r="BF34" i="5"/>
  <c r="BD34" i="5"/>
  <c r="BB34" i="5"/>
  <c r="AZ34" i="5"/>
  <c r="AX34" i="5"/>
  <c r="AV34" i="5"/>
  <c r="AR34" i="5"/>
  <c r="AT34" i="5" s="1"/>
  <c r="X34" i="5"/>
  <c r="Q34" i="5"/>
  <c r="O34" i="5"/>
  <c r="M34" i="5"/>
  <c r="N34" i="5" s="1"/>
  <c r="L34" i="5"/>
  <c r="G34" i="5"/>
  <c r="DP33" i="5"/>
  <c r="DQ33" i="5" s="1"/>
  <c r="DC33" i="5"/>
  <c r="CT33" i="5"/>
  <c r="CR33" i="5"/>
  <c r="CP33" i="5"/>
  <c r="CN33" i="5"/>
  <c r="CL33" i="5"/>
  <c r="CJ33" i="5"/>
  <c r="CH33" i="5"/>
  <c r="CF33" i="5"/>
  <c r="CD33" i="5"/>
  <c r="CB33" i="5"/>
  <c r="BZ33" i="5"/>
  <c r="BX33" i="5"/>
  <c r="BV33" i="5"/>
  <c r="BT33" i="5"/>
  <c r="BR33" i="5"/>
  <c r="BP33" i="5"/>
  <c r="BN33" i="5"/>
  <c r="BL33" i="5"/>
  <c r="BJ33" i="5"/>
  <c r="BH33" i="5"/>
  <c r="BF33" i="5"/>
  <c r="BD33" i="5"/>
  <c r="BB33" i="5"/>
  <c r="AZ33" i="5"/>
  <c r="AX33" i="5"/>
  <c r="AV33" i="5"/>
  <c r="AR33" i="5"/>
  <c r="AT33" i="5" s="1"/>
  <c r="X33" i="5"/>
  <c r="Q33" i="5"/>
  <c r="O33" i="5"/>
  <c r="M33" i="5"/>
  <c r="N33" i="5" s="1"/>
  <c r="L33" i="5"/>
  <c r="G33" i="5"/>
  <c r="DP32" i="5"/>
  <c r="DQ32" i="5" s="1"/>
  <c r="DC32" i="5"/>
  <c r="CT32" i="5"/>
  <c r="CR32" i="5"/>
  <c r="CP32" i="5"/>
  <c r="CN32" i="5"/>
  <c r="CL32" i="5"/>
  <c r="CJ32" i="5"/>
  <c r="CH32" i="5"/>
  <c r="CF32" i="5"/>
  <c r="CD32" i="5"/>
  <c r="CB32" i="5"/>
  <c r="BZ32" i="5"/>
  <c r="BX32" i="5"/>
  <c r="BV32" i="5"/>
  <c r="BT32" i="5"/>
  <c r="BR32" i="5"/>
  <c r="BP32" i="5"/>
  <c r="BN32" i="5"/>
  <c r="BL32" i="5"/>
  <c r="BJ32" i="5"/>
  <c r="BH32" i="5"/>
  <c r="BF32" i="5"/>
  <c r="BD32" i="5"/>
  <c r="BB32" i="5"/>
  <c r="AZ32" i="5"/>
  <c r="AX32" i="5"/>
  <c r="AV32" i="5"/>
  <c r="AR32" i="5"/>
  <c r="AT32" i="5" s="1"/>
  <c r="X32" i="5"/>
  <c r="Q32" i="5"/>
  <c r="O32" i="5"/>
  <c r="M32" i="5"/>
  <c r="N32" i="5" s="1"/>
  <c r="L32" i="5"/>
  <c r="G32" i="5"/>
  <c r="DP31" i="5"/>
  <c r="DQ31" i="5" s="1"/>
  <c r="DC31" i="5"/>
  <c r="CT31" i="5"/>
  <c r="CR31" i="5"/>
  <c r="CP31" i="5"/>
  <c r="CN31" i="5"/>
  <c r="CL31" i="5"/>
  <c r="CJ31" i="5"/>
  <c r="CH31" i="5"/>
  <c r="CF31" i="5"/>
  <c r="CD31" i="5"/>
  <c r="CB31" i="5"/>
  <c r="BZ31" i="5"/>
  <c r="BX31" i="5"/>
  <c r="BV31" i="5"/>
  <c r="BT31" i="5"/>
  <c r="BR31" i="5"/>
  <c r="BP31" i="5"/>
  <c r="BN31" i="5"/>
  <c r="BL31" i="5"/>
  <c r="BJ31" i="5"/>
  <c r="BH31" i="5"/>
  <c r="BF31" i="5"/>
  <c r="BD31" i="5"/>
  <c r="BB31" i="5"/>
  <c r="AZ31" i="5"/>
  <c r="AX31" i="5"/>
  <c r="AV31" i="5"/>
  <c r="AR31" i="5"/>
  <c r="AT31" i="5" s="1"/>
  <c r="X31" i="5"/>
  <c r="Q31" i="5"/>
  <c r="O31" i="5"/>
  <c r="M31" i="5"/>
  <c r="N31" i="5" s="1"/>
  <c r="L31" i="5"/>
  <c r="G31" i="5"/>
  <c r="DP30" i="5"/>
  <c r="DQ30" i="5" s="1"/>
  <c r="DC30" i="5"/>
  <c r="CT30" i="5"/>
  <c r="CR30" i="5"/>
  <c r="CP30" i="5"/>
  <c r="CN30" i="5"/>
  <c r="CL30" i="5"/>
  <c r="CJ30" i="5"/>
  <c r="CH30" i="5"/>
  <c r="CF30" i="5"/>
  <c r="CD30" i="5"/>
  <c r="CB30" i="5"/>
  <c r="BZ30" i="5"/>
  <c r="BX30" i="5"/>
  <c r="BV30" i="5"/>
  <c r="BT30" i="5"/>
  <c r="BR30" i="5"/>
  <c r="BP30" i="5"/>
  <c r="BN30" i="5"/>
  <c r="BL30" i="5"/>
  <c r="BJ30" i="5"/>
  <c r="BH30" i="5"/>
  <c r="BF30" i="5"/>
  <c r="BD30" i="5"/>
  <c r="BB30" i="5"/>
  <c r="AZ30" i="5"/>
  <c r="AX30" i="5"/>
  <c r="AV30" i="5"/>
  <c r="AR30" i="5"/>
  <c r="AT30" i="5" s="1"/>
  <c r="X30" i="5"/>
  <c r="Q30" i="5"/>
  <c r="O30" i="5"/>
  <c r="M30" i="5"/>
  <c r="N30" i="5" s="1"/>
  <c r="L30" i="5"/>
  <c r="G30" i="5"/>
  <c r="DP29" i="5"/>
  <c r="DQ29" i="5" s="1"/>
  <c r="DC29" i="5"/>
  <c r="CT29" i="5"/>
  <c r="CR29" i="5"/>
  <c r="CP29" i="5"/>
  <c r="CN29" i="5"/>
  <c r="CL29" i="5"/>
  <c r="CJ29" i="5"/>
  <c r="CH29" i="5"/>
  <c r="CF29" i="5"/>
  <c r="CD29" i="5"/>
  <c r="CB29" i="5"/>
  <c r="BZ29" i="5"/>
  <c r="BX29" i="5"/>
  <c r="BV29" i="5"/>
  <c r="BT29" i="5"/>
  <c r="BR29" i="5"/>
  <c r="BP29" i="5"/>
  <c r="BN29" i="5"/>
  <c r="BL29" i="5"/>
  <c r="BJ29" i="5"/>
  <c r="BH29" i="5"/>
  <c r="BF29" i="5"/>
  <c r="BD29" i="5"/>
  <c r="BB29" i="5"/>
  <c r="AZ29" i="5"/>
  <c r="AX29" i="5"/>
  <c r="AV29" i="5"/>
  <c r="AR29" i="5"/>
  <c r="AT29" i="5" s="1"/>
  <c r="X29" i="5"/>
  <c r="Q29" i="5"/>
  <c r="O29" i="5"/>
  <c r="M29" i="5"/>
  <c r="N29" i="5" s="1"/>
  <c r="L29" i="5"/>
  <c r="G29" i="5"/>
  <c r="DP28" i="5"/>
  <c r="DQ28" i="5" s="1"/>
  <c r="DC28" i="5"/>
  <c r="CT28" i="5"/>
  <c r="CR28" i="5"/>
  <c r="CP28" i="5"/>
  <c r="CN28" i="5"/>
  <c r="CL28" i="5"/>
  <c r="CJ28" i="5"/>
  <c r="CH28" i="5"/>
  <c r="CF28" i="5"/>
  <c r="CD28" i="5"/>
  <c r="CB28" i="5"/>
  <c r="BZ28" i="5"/>
  <c r="BX28" i="5"/>
  <c r="BV28" i="5"/>
  <c r="BT28" i="5"/>
  <c r="BR28" i="5"/>
  <c r="BP28" i="5"/>
  <c r="BN28" i="5"/>
  <c r="BL28" i="5"/>
  <c r="BJ28" i="5"/>
  <c r="BH28" i="5"/>
  <c r="BF28" i="5"/>
  <c r="BD28" i="5"/>
  <c r="BB28" i="5"/>
  <c r="AZ28" i="5"/>
  <c r="AX28" i="5"/>
  <c r="AV28" i="5"/>
  <c r="AR28" i="5"/>
  <c r="AT28" i="5" s="1"/>
  <c r="X28" i="5"/>
  <c r="Q28" i="5"/>
  <c r="O28" i="5"/>
  <c r="M28" i="5"/>
  <c r="N28" i="5" s="1"/>
  <c r="L28" i="5"/>
  <c r="G28" i="5"/>
  <c r="DP27" i="5"/>
  <c r="DQ27" i="5" s="1"/>
  <c r="DC27" i="5"/>
  <c r="CT27" i="5"/>
  <c r="CR27" i="5"/>
  <c r="CP27" i="5"/>
  <c r="CN27" i="5"/>
  <c r="CL27" i="5"/>
  <c r="CJ27" i="5"/>
  <c r="CH27" i="5"/>
  <c r="CF27" i="5"/>
  <c r="CD27" i="5"/>
  <c r="CB27" i="5"/>
  <c r="BZ27" i="5"/>
  <c r="BX27" i="5"/>
  <c r="BV27" i="5"/>
  <c r="BT27" i="5"/>
  <c r="BR27" i="5"/>
  <c r="BP27" i="5"/>
  <c r="BN27" i="5"/>
  <c r="BL27" i="5"/>
  <c r="BJ27" i="5"/>
  <c r="BH27" i="5"/>
  <c r="BF27" i="5"/>
  <c r="BD27" i="5"/>
  <c r="BB27" i="5"/>
  <c r="AZ27" i="5"/>
  <c r="AX27" i="5"/>
  <c r="AV27" i="5"/>
  <c r="AR27" i="5"/>
  <c r="AT27" i="5" s="1"/>
  <c r="X27" i="5"/>
  <c r="Q27" i="5"/>
  <c r="O27" i="5"/>
  <c r="M27" i="5"/>
  <c r="N27" i="5" s="1"/>
  <c r="L27" i="5"/>
  <c r="G27" i="5"/>
  <c r="DP26" i="5"/>
  <c r="DQ26" i="5" s="1"/>
  <c r="DC26" i="5"/>
  <c r="CT26" i="5"/>
  <c r="CR26" i="5"/>
  <c r="CP26" i="5"/>
  <c r="CN26" i="5"/>
  <c r="CL26" i="5"/>
  <c r="CJ26" i="5"/>
  <c r="CH26" i="5"/>
  <c r="CF26" i="5"/>
  <c r="CD26" i="5"/>
  <c r="CB26" i="5"/>
  <c r="BZ26" i="5"/>
  <c r="BX26" i="5"/>
  <c r="BV26" i="5"/>
  <c r="BT26" i="5"/>
  <c r="BR26" i="5"/>
  <c r="BP26" i="5"/>
  <c r="BN26" i="5"/>
  <c r="BL26" i="5"/>
  <c r="BJ26" i="5"/>
  <c r="BH26" i="5"/>
  <c r="BF26" i="5"/>
  <c r="BD26" i="5"/>
  <c r="BB26" i="5"/>
  <c r="AZ26" i="5"/>
  <c r="AX26" i="5"/>
  <c r="AV26" i="5"/>
  <c r="AR26" i="5"/>
  <c r="AT26" i="5" s="1"/>
  <c r="X26" i="5"/>
  <c r="Q26" i="5"/>
  <c r="O26" i="5"/>
  <c r="M26" i="5"/>
  <c r="N26" i="5" s="1"/>
  <c r="L26" i="5"/>
  <c r="G26" i="5"/>
  <c r="DP25" i="5"/>
  <c r="DQ25" i="5" s="1"/>
  <c r="DC25" i="5"/>
  <c r="CT25" i="5"/>
  <c r="CR25" i="5"/>
  <c r="CP25" i="5"/>
  <c r="CN25" i="5"/>
  <c r="CL25" i="5"/>
  <c r="CJ25" i="5"/>
  <c r="CH25" i="5"/>
  <c r="CF25" i="5"/>
  <c r="CD25" i="5"/>
  <c r="CB25" i="5"/>
  <c r="BZ25" i="5"/>
  <c r="BX25" i="5"/>
  <c r="BV25" i="5"/>
  <c r="BT25" i="5"/>
  <c r="BR25" i="5"/>
  <c r="BP25" i="5"/>
  <c r="BN25" i="5"/>
  <c r="BL25" i="5"/>
  <c r="BJ25" i="5"/>
  <c r="BH25" i="5"/>
  <c r="BF25" i="5"/>
  <c r="BD25" i="5"/>
  <c r="BB25" i="5"/>
  <c r="AZ25" i="5"/>
  <c r="AX25" i="5"/>
  <c r="AV25" i="5"/>
  <c r="AR25" i="5"/>
  <c r="AT25" i="5" s="1"/>
  <c r="X25" i="5"/>
  <c r="Q25" i="5"/>
  <c r="O25" i="5"/>
  <c r="M25" i="5"/>
  <c r="N25" i="5" s="1"/>
  <c r="L25" i="5"/>
  <c r="G25" i="5"/>
  <c r="DP24" i="5"/>
  <c r="DQ24" i="5" s="1"/>
  <c r="DC24" i="5"/>
  <c r="CT24" i="5"/>
  <c r="CR24" i="5"/>
  <c r="CP24" i="5"/>
  <c r="CN24" i="5"/>
  <c r="CL24" i="5"/>
  <c r="CJ24" i="5"/>
  <c r="CH24" i="5"/>
  <c r="CF24" i="5"/>
  <c r="CD24" i="5"/>
  <c r="CB24" i="5"/>
  <c r="BZ24" i="5"/>
  <c r="BX24" i="5"/>
  <c r="BV24" i="5"/>
  <c r="BT24" i="5"/>
  <c r="BR24" i="5"/>
  <c r="BP24" i="5"/>
  <c r="BN24" i="5"/>
  <c r="BL24" i="5"/>
  <c r="BJ24" i="5"/>
  <c r="BH24" i="5"/>
  <c r="BF24" i="5"/>
  <c r="BD24" i="5"/>
  <c r="BB24" i="5"/>
  <c r="AZ24" i="5"/>
  <c r="AX24" i="5"/>
  <c r="AV24" i="5"/>
  <c r="AR24" i="5"/>
  <c r="AT24" i="5" s="1"/>
  <c r="X24" i="5"/>
  <c r="Q24" i="5"/>
  <c r="O24" i="5"/>
  <c r="M24" i="5"/>
  <c r="N24" i="5" s="1"/>
  <c r="L24" i="5"/>
  <c r="G24" i="5"/>
  <c r="DP23" i="5"/>
  <c r="DQ23" i="5" s="1"/>
  <c r="DC23" i="5"/>
  <c r="CT23" i="5"/>
  <c r="CR23" i="5"/>
  <c r="CP23" i="5"/>
  <c r="CN23" i="5"/>
  <c r="CL23" i="5"/>
  <c r="CJ23" i="5"/>
  <c r="CH23" i="5"/>
  <c r="CF23" i="5"/>
  <c r="CD23" i="5"/>
  <c r="CB23" i="5"/>
  <c r="BZ23" i="5"/>
  <c r="BX23" i="5"/>
  <c r="BV23" i="5"/>
  <c r="BT23" i="5"/>
  <c r="BR23" i="5"/>
  <c r="BP23" i="5"/>
  <c r="BN23" i="5"/>
  <c r="BL23" i="5"/>
  <c r="BJ23" i="5"/>
  <c r="BH23" i="5"/>
  <c r="BF23" i="5"/>
  <c r="BD23" i="5"/>
  <c r="BB23" i="5"/>
  <c r="AZ23" i="5"/>
  <c r="AX23" i="5"/>
  <c r="AV23" i="5"/>
  <c r="AR23" i="5"/>
  <c r="AT23" i="5" s="1"/>
  <c r="X23" i="5"/>
  <c r="Q23" i="5"/>
  <c r="O23" i="5"/>
  <c r="M23" i="5"/>
  <c r="N23" i="5" s="1"/>
  <c r="L23" i="5"/>
  <c r="G23" i="5"/>
  <c r="DP22" i="5"/>
  <c r="DQ22" i="5" s="1"/>
  <c r="DC22" i="5"/>
  <c r="CT22" i="5"/>
  <c r="CR22" i="5"/>
  <c r="CP22" i="5"/>
  <c r="CN22" i="5"/>
  <c r="CL22" i="5"/>
  <c r="CJ22" i="5"/>
  <c r="CH22" i="5"/>
  <c r="CF22" i="5"/>
  <c r="CD22" i="5"/>
  <c r="CB22" i="5"/>
  <c r="BZ22" i="5"/>
  <c r="BX22" i="5"/>
  <c r="BV22" i="5"/>
  <c r="BT22" i="5"/>
  <c r="BR22" i="5"/>
  <c r="BP22" i="5"/>
  <c r="BN22" i="5"/>
  <c r="BL22" i="5"/>
  <c r="BJ22" i="5"/>
  <c r="BH22" i="5"/>
  <c r="BF22" i="5"/>
  <c r="BD22" i="5"/>
  <c r="BB22" i="5"/>
  <c r="AZ22" i="5"/>
  <c r="AX22" i="5"/>
  <c r="AV22" i="5"/>
  <c r="AR22" i="5"/>
  <c r="AT22" i="5" s="1"/>
  <c r="X22" i="5"/>
  <c r="Q22" i="5"/>
  <c r="O22" i="5"/>
  <c r="M22" i="5"/>
  <c r="N22" i="5" s="1"/>
  <c r="L22" i="5"/>
  <c r="G22" i="5"/>
  <c r="DP21" i="5"/>
  <c r="DQ21" i="5" s="1"/>
  <c r="DC21" i="5"/>
  <c r="CT21" i="5"/>
  <c r="CR21" i="5"/>
  <c r="CP21" i="5"/>
  <c r="CN21" i="5"/>
  <c r="CL21" i="5"/>
  <c r="CJ21" i="5"/>
  <c r="CH21" i="5"/>
  <c r="CF21" i="5"/>
  <c r="CD21" i="5"/>
  <c r="CB21" i="5"/>
  <c r="BZ21" i="5"/>
  <c r="BX21" i="5"/>
  <c r="BV21" i="5"/>
  <c r="BT21" i="5"/>
  <c r="BR21" i="5"/>
  <c r="BP21" i="5"/>
  <c r="BN21" i="5"/>
  <c r="BL21" i="5"/>
  <c r="BJ21" i="5"/>
  <c r="BH21" i="5"/>
  <c r="BF21" i="5"/>
  <c r="BD21" i="5"/>
  <c r="BB21" i="5"/>
  <c r="AZ21" i="5"/>
  <c r="AX21" i="5"/>
  <c r="AV21" i="5"/>
  <c r="AR21" i="5"/>
  <c r="AT21" i="5" s="1"/>
  <c r="X21" i="5"/>
  <c r="Q21" i="5"/>
  <c r="O21" i="5"/>
  <c r="M21" i="5"/>
  <c r="N21" i="5" s="1"/>
  <c r="L21" i="5"/>
  <c r="G21" i="5"/>
  <c r="DP20" i="5"/>
  <c r="DQ20" i="5" s="1"/>
  <c r="DC20" i="5"/>
  <c r="CT20" i="5"/>
  <c r="CR20" i="5"/>
  <c r="CP20" i="5"/>
  <c r="CN20" i="5"/>
  <c r="CL20" i="5"/>
  <c r="CJ20" i="5"/>
  <c r="CH20" i="5"/>
  <c r="CF20" i="5"/>
  <c r="CD20" i="5"/>
  <c r="CB20" i="5"/>
  <c r="BZ20" i="5"/>
  <c r="BX20" i="5"/>
  <c r="BV20" i="5"/>
  <c r="BT20" i="5"/>
  <c r="BR20" i="5"/>
  <c r="BP20" i="5"/>
  <c r="BN20" i="5"/>
  <c r="BL20" i="5"/>
  <c r="BJ20" i="5"/>
  <c r="BH20" i="5"/>
  <c r="BF20" i="5"/>
  <c r="BD20" i="5"/>
  <c r="BB20" i="5"/>
  <c r="AZ20" i="5"/>
  <c r="AX20" i="5"/>
  <c r="AV20" i="5"/>
  <c r="AR20" i="5"/>
  <c r="AT20" i="5" s="1"/>
  <c r="X20" i="5"/>
  <c r="Q20" i="5"/>
  <c r="O20" i="5"/>
  <c r="M20" i="5"/>
  <c r="N20" i="5" s="1"/>
  <c r="L20" i="5"/>
  <c r="G20" i="5"/>
  <c r="DP19" i="5"/>
  <c r="DQ19" i="5" s="1"/>
  <c r="DC19" i="5"/>
  <c r="CT19" i="5"/>
  <c r="CR19" i="5"/>
  <c r="CP19" i="5"/>
  <c r="CN19" i="5"/>
  <c r="CL19" i="5"/>
  <c r="CJ19" i="5"/>
  <c r="CH19" i="5"/>
  <c r="CF19" i="5"/>
  <c r="CD19" i="5"/>
  <c r="CB19" i="5"/>
  <c r="BZ19" i="5"/>
  <c r="BX19" i="5"/>
  <c r="BV19" i="5"/>
  <c r="BT19" i="5"/>
  <c r="BR19" i="5"/>
  <c r="BP19" i="5"/>
  <c r="BN19" i="5"/>
  <c r="BL19" i="5"/>
  <c r="BJ19" i="5"/>
  <c r="BH19" i="5"/>
  <c r="BF19" i="5"/>
  <c r="BD19" i="5"/>
  <c r="BB19" i="5"/>
  <c r="AZ19" i="5"/>
  <c r="AX19" i="5"/>
  <c r="AV19" i="5"/>
  <c r="AR19" i="5"/>
  <c r="AT19" i="5" s="1"/>
  <c r="X19" i="5"/>
  <c r="Q19" i="5"/>
  <c r="O19" i="5"/>
  <c r="M19" i="5"/>
  <c r="N19" i="5" s="1"/>
  <c r="L19" i="5"/>
  <c r="G19" i="5"/>
  <c r="DP18" i="5"/>
  <c r="DQ18" i="5" s="1"/>
  <c r="DC18" i="5"/>
  <c r="CT18" i="5"/>
  <c r="CR18" i="5"/>
  <c r="CP18" i="5"/>
  <c r="CN18" i="5"/>
  <c r="CL18" i="5"/>
  <c r="CJ18" i="5"/>
  <c r="CH18" i="5"/>
  <c r="CF18" i="5"/>
  <c r="CD18" i="5"/>
  <c r="CB18" i="5"/>
  <c r="BZ18" i="5"/>
  <c r="BX18" i="5"/>
  <c r="BV18" i="5"/>
  <c r="BT18" i="5"/>
  <c r="BR18" i="5"/>
  <c r="BP18" i="5"/>
  <c r="BN18" i="5"/>
  <c r="BL18" i="5"/>
  <c r="BJ18" i="5"/>
  <c r="BH18" i="5"/>
  <c r="BF18" i="5"/>
  <c r="BD18" i="5"/>
  <c r="BB18" i="5"/>
  <c r="AZ18" i="5"/>
  <c r="AX18" i="5"/>
  <c r="AV18" i="5"/>
  <c r="AR18" i="5"/>
  <c r="AT18" i="5" s="1"/>
  <c r="X18" i="5"/>
  <c r="Q18" i="5"/>
  <c r="O18" i="5"/>
  <c r="M18" i="5"/>
  <c r="N18" i="5" s="1"/>
  <c r="L18" i="5"/>
  <c r="G18" i="5"/>
  <c r="DP17" i="5"/>
  <c r="DQ17" i="5" s="1"/>
  <c r="DC17" i="5"/>
  <c r="CT17" i="5"/>
  <c r="CR17" i="5"/>
  <c r="CP17" i="5"/>
  <c r="CN17" i="5"/>
  <c r="CL17" i="5"/>
  <c r="CJ17" i="5"/>
  <c r="CH17" i="5"/>
  <c r="CF17" i="5"/>
  <c r="CD17" i="5"/>
  <c r="CB17" i="5"/>
  <c r="BZ17" i="5"/>
  <c r="BX17" i="5"/>
  <c r="BV17" i="5"/>
  <c r="BT17" i="5"/>
  <c r="BR17" i="5"/>
  <c r="BP17" i="5"/>
  <c r="BN17" i="5"/>
  <c r="BL17" i="5"/>
  <c r="BJ17" i="5"/>
  <c r="BH17" i="5"/>
  <c r="BF17" i="5"/>
  <c r="BD17" i="5"/>
  <c r="BB17" i="5"/>
  <c r="AZ17" i="5"/>
  <c r="AX17" i="5"/>
  <c r="AV17" i="5"/>
  <c r="AR17" i="5"/>
  <c r="AT17" i="5" s="1"/>
  <c r="X17" i="5"/>
  <c r="Q17" i="5"/>
  <c r="O17" i="5"/>
  <c r="M17" i="5"/>
  <c r="N17" i="5" s="1"/>
  <c r="L17" i="5"/>
  <c r="G17" i="5"/>
  <c r="DP16" i="5"/>
  <c r="DQ16" i="5" s="1"/>
  <c r="DC16" i="5"/>
  <c r="CT16" i="5"/>
  <c r="CR16" i="5"/>
  <c r="CP16" i="5"/>
  <c r="CN16" i="5"/>
  <c r="CL16" i="5"/>
  <c r="CJ16" i="5"/>
  <c r="CH16" i="5"/>
  <c r="CF16" i="5"/>
  <c r="CD16" i="5"/>
  <c r="CB16" i="5"/>
  <c r="BZ16" i="5"/>
  <c r="BX16" i="5"/>
  <c r="BV16" i="5"/>
  <c r="BT16" i="5"/>
  <c r="BR16" i="5"/>
  <c r="BP16" i="5"/>
  <c r="BN16" i="5"/>
  <c r="BL16" i="5"/>
  <c r="BJ16" i="5"/>
  <c r="BH16" i="5"/>
  <c r="BF16" i="5"/>
  <c r="BD16" i="5"/>
  <c r="BB16" i="5"/>
  <c r="AZ16" i="5"/>
  <c r="AX16" i="5"/>
  <c r="AV16" i="5"/>
  <c r="AS16" i="5"/>
  <c r="AR16" i="5"/>
  <c r="AT16" i="5" s="1"/>
  <c r="X16" i="5"/>
  <c r="Q16" i="5"/>
  <c r="O16" i="5"/>
  <c r="M16" i="5"/>
  <c r="N16" i="5" s="1"/>
  <c r="L16" i="5"/>
  <c r="G16" i="5"/>
  <c r="DP15" i="5"/>
  <c r="DQ15" i="5" s="1"/>
  <c r="DC15" i="5"/>
  <c r="CT15" i="5"/>
  <c r="CR15" i="5"/>
  <c r="CP15" i="5"/>
  <c r="CN15" i="5"/>
  <c r="CL15" i="5"/>
  <c r="CJ15" i="5"/>
  <c r="CH15" i="5"/>
  <c r="CF15" i="5"/>
  <c r="CD15" i="5"/>
  <c r="CB15" i="5"/>
  <c r="BZ15" i="5"/>
  <c r="BX15" i="5"/>
  <c r="BV15" i="5"/>
  <c r="BT15" i="5"/>
  <c r="BR15" i="5"/>
  <c r="BP15" i="5"/>
  <c r="BN15" i="5"/>
  <c r="BL15" i="5"/>
  <c r="BJ15" i="5"/>
  <c r="BH15" i="5"/>
  <c r="BF15" i="5"/>
  <c r="BD15" i="5"/>
  <c r="BB15" i="5"/>
  <c r="AZ15" i="5"/>
  <c r="AX15" i="5"/>
  <c r="AV15" i="5"/>
  <c r="AS15" i="5"/>
  <c r="AR15" i="5"/>
  <c r="AT15" i="5" s="1"/>
  <c r="X15" i="5"/>
  <c r="Q15" i="5"/>
  <c r="O15" i="5"/>
  <c r="M15" i="5"/>
  <c r="N15" i="5" s="1"/>
  <c r="L15" i="5"/>
  <c r="G15" i="5"/>
  <c r="DP14" i="5"/>
  <c r="DQ14" i="5" s="1"/>
  <c r="DC14" i="5"/>
  <c r="CT14" i="5"/>
  <c r="CR14" i="5"/>
  <c r="CP14" i="5"/>
  <c r="CN14" i="5"/>
  <c r="CL14" i="5"/>
  <c r="CJ14" i="5"/>
  <c r="CH14" i="5"/>
  <c r="CF14" i="5"/>
  <c r="CD14" i="5"/>
  <c r="CB14" i="5"/>
  <c r="BZ14" i="5"/>
  <c r="BX14" i="5"/>
  <c r="BV14" i="5"/>
  <c r="BT14" i="5"/>
  <c r="BR14" i="5"/>
  <c r="BP14" i="5"/>
  <c r="BN14" i="5"/>
  <c r="BL14" i="5"/>
  <c r="BJ14" i="5"/>
  <c r="BH14" i="5"/>
  <c r="BF14" i="5"/>
  <c r="BD14" i="5"/>
  <c r="BB14" i="5"/>
  <c r="AZ14" i="5"/>
  <c r="AX14" i="5"/>
  <c r="AV14" i="5"/>
  <c r="AS14" i="5"/>
  <c r="AR14" i="5"/>
  <c r="AT14" i="5" s="1"/>
  <c r="X14" i="5"/>
  <c r="Q14" i="5"/>
  <c r="O14" i="5"/>
  <c r="M14" i="5"/>
  <c r="N14" i="5" s="1"/>
  <c r="L14" i="5"/>
  <c r="G14" i="5"/>
  <c r="DP13" i="5"/>
  <c r="DQ13" i="5" s="1"/>
  <c r="DC13" i="5"/>
  <c r="CT13" i="5"/>
  <c r="CR13" i="5"/>
  <c r="CP13" i="5"/>
  <c r="CN13" i="5"/>
  <c r="CL13" i="5"/>
  <c r="CJ13" i="5"/>
  <c r="CH13" i="5"/>
  <c r="CF13" i="5"/>
  <c r="CD13" i="5"/>
  <c r="CB13" i="5"/>
  <c r="BZ13" i="5"/>
  <c r="BX13" i="5"/>
  <c r="BV13" i="5"/>
  <c r="BT13" i="5"/>
  <c r="BR13" i="5"/>
  <c r="BP13" i="5"/>
  <c r="BN13" i="5"/>
  <c r="BL13" i="5"/>
  <c r="BJ13" i="5"/>
  <c r="BH13" i="5"/>
  <c r="BF13" i="5"/>
  <c r="BD13" i="5"/>
  <c r="BB13" i="5"/>
  <c r="AZ13" i="5"/>
  <c r="AX13" i="5"/>
  <c r="AV13" i="5"/>
  <c r="AS13" i="5"/>
  <c r="AR13" i="5"/>
  <c r="AT13" i="5" s="1"/>
  <c r="X13" i="5"/>
  <c r="Q13" i="5"/>
  <c r="O13" i="5"/>
  <c r="M13" i="5"/>
  <c r="N13" i="5" s="1"/>
  <c r="L13" i="5"/>
  <c r="G13" i="5"/>
  <c r="DP12" i="5"/>
  <c r="DQ12" i="5" s="1"/>
  <c r="DC12" i="5"/>
  <c r="CT12" i="5"/>
  <c r="CR12" i="5"/>
  <c r="CP12" i="5"/>
  <c r="CN12" i="5"/>
  <c r="CL12" i="5"/>
  <c r="CJ12" i="5"/>
  <c r="CH12" i="5"/>
  <c r="CF12" i="5"/>
  <c r="CD12" i="5"/>
  <c r="CB12" i="5"/>
  <c r="BZ12" i="5"/>
  <c r="BX12" i="5"/>
  <c r="BV12" i="5"/>
  <c r="BT12" i="5"/>
  <c r="BR12" i="5"/>
  <c r="BP12" i="5"/>
  <c r="BN12" i="5"/>
  <c r="BL12" i="5"/>
  <c r="BJ12" i="5"/>
  <c r="BH12" i="5"/>
  <c r="BF12" i="5"/>
  <c r="BD12" i="5"/>
  <c r="BB12" i="5"/>
  <c r="AZ12" i="5"/>
  <c r="AX12" i="5"/>
  <c r="AV12" i="5"/>
  <c r="AS12" i="5"/>
  <c r="AR12" i="5"/>
  <c r="AT12" i="5" s="1"/>
  <c r="X12" i="5"/>
  <c r="Q12" i="5"/>
  <c r="O12" i="5"/>
  <c r="M12" i="5"/>
  <c r="N12" i="5" s="1"/>
  <c r="L12" i="5"/>
  <c r="G12" i="5"/>
  <c r="DP11" i="5"/>
  <c r="DQ11" i="5" s="1"/>
  <c r="DC11" i="5"/>
  <c r="CT11" i="5"/>
  <c r="CR11" i="5"/>
  <c r="CP11" i="5"/>
  <c r="CN11" i="5"/>
  <c r="CL11" i="5"/>
  <c r="CJ11" i="5"/>
  <c r="CH11" i="5"/>
  <c r="CF11" i="5"/>
  <c r="CD11" i="5"/>
  <c r="CB11" i="5"/>
  <c r="BZ11" i="5"/>
  <c r="BX11" i="5"/>
  <c r="BV11" i="5"/>
  <c r="BT11" i="5"/>
  <c r="BR11" i="5"/>
  <c r="BP11" i="5"/>
  <c r="BN11" i="5"/>
  <c r="BL11" i="5"/>
  <c r="BJ11" i="5"/>
  <c r="BH11" i="5"/>
  <c r="BF11" i="5"/>
  <c r="BD11" i="5"/>
  <c r="BB11" i="5"/>
  <c r="AZ11" i="5"/>
  <c r="AX11" i="5"/>
  <c r="AV11" i="5"/>
  <c r="AS11" i="5"/>
  <c r="AR11" i="5"/>
  <c r="AT11" i="5" s="1"/>
  <c r="X11" i="5"/>
  <c r="Q11" i="5"/>
  <c r="O11" i="5"/>
  <c r="M11" i="5"/>
  <c r="N11" i="5" s="1"/>
  <c r="L11" i="5"/>
  <c r="G11" i="5"/>
  <c r="DP10" i="5"/>
  <c r="DQ10" i="5" s="1"/>
  <c r="DC10" i="5"/>
  <c r="CT10" i="5"/>
  <c r="CR10" i="5"/>
  <c r="CP10" i="5"/>
  <c r="CN10" i="5"/>
  <c r="CL10" i="5"/>
  <c r="CJ10" i="5"/>
  <c r="CH10" i="5"/>
  <c r="CF10" i="5"/>
  <c r="CD10" i="5"/>
  <c r="CB10" i="5"/>
  <c r="BZ10" i="5"/>
  <c r="BX10" i="5"/>
  <c r="BV10" i="5"/>
  <c r="BT10" i="5"/>
  <c r="BR10" i="5"/>
  <c r="BP10" i="5"/>
  <c r="BN10" i="5"/>
  <c r="BL10" i="5"/>
  <c r="BJ10" i="5"/>
  <c r="BH10" i="5"/>
  <c r="BF10" i="5"/>
  <c r="BD10" i="5"/>
  <c r="BB10" i="5"/>
  <c r="AZ10" i="5"/>
  <c r="AX10" i="5"/>
  <c r="AV10" i="5"/>
  <c r="AS10" i="5"/>
  <c r="AR10" i="5"/>
  <c r="AT10" i="5" s="1"/>
  <c r="X10" i="5"/>
  <c r="Q10" i="5"/>
  <c r="O10" i="5"/>
  <c r="M10" i="5"/>
  <c r="N10" i="5" s="1"/>
  <c r="L10" i="5"/>
  <c r="G10" i="5"/>
  <c r="DP9" i="5"/>
  <c r="DQ9" i="5" s="1"/>
  <c r="DC9" i="5"/>
  <c r="CT9" i="5"/>
  <c r="CR9" i="5"/>
  <c r="CP9" i="5"/>
  <c r="CN9" i="5"/>
  <c r="CL9" i="5"/>
  <c r="CJ9" i="5"/>
  <c r="CH9" i="5"/>
  <c r="CF9" i="5"/>
  <c r="CD9" i="5"/>
  <c r="CB9" i="5"/>
  <c r="BZ9" i="5"/>
  <c r="BX9" i="5"/>
  <c r="BV9" i="5"/>
  <c r="BT9" i="5"/>
  <c r="BR9" i="5"/>
  <c r="BP9" i="5"/>
  <c r="BN9" i="5"/>
  <c r="BL9" i="5"/>
  <c r="BJ9" i="5"/>
  <c r="BH9" i="5"/>
  <c r="BF9" i="5"/>
  <c r="BD9" i="5"/>
  <c r="BB9" i="5"/>
  <c r="AZ9" i="5"/>
  <c r="AX9" i="5"/>
  <c r="AV9" i="5"/>
  <c r="AS9" i="5"/>
  <c r="AR9" i="5"/>
  <c r="AT9" i="5" s="1"/>
  <c r="X9" i="5"/>
  <c r="Q9" i="5"/>
  <c r="O9" i="5"/>
  <c r="M9" i="5"/>
  <c r="N9" i="5" s="1"/>
  <c r="L9" i="5"/>
  <c r="G9" i="5"/>
  <c r="DP8" i="5"/>
  <c r="DQ8" i="5" s="1"/>
  <c r="DC8" i="5"/>
  <c r="CT8" i="5"/>
  <c r="CR8" i="5"/>
  <c r="CP8" i="5"/>
  <c r="CN8" i="5"/>
  <c r="CL8" i="5"/>
  <c r="CJ8" i="5"/>
  <c r="CH8" i="5"/>
  <c r="CF8" i="5"/>
  <c r="CD8" i="5"/>
  <c r="CB8" i="5"/>
  <c r="BZ8" i="5"/>
  <c r="BX8" i="5"/>
  <c r="BV8" i="5"/>
  <c r="BT8" i="5"/>
  <c r="BR8" i="5"/>
  <c r="BP8" i="5"/>
  <c r="BN8" i="5"/>
  <c r="BL8" i="5"/>
  <c r="BJ8" i="5"/>
  <c r="BH8" i="5"/>
  <c r="BF8" i="5"/>
  <c r="BD8" i="5"/>
  <c r="BB8" i="5"/>
  <c r="AZ8" i="5"/>
  <c r="AX8" i="5"/>
  <c r="AV8" i="5"/>
  <c r="AS8" i="5"/>
  <c r="AR8" i="5"/>
  <c r="AT8" i="5" s="1"/>
  <c r="X8" i="5"/>
  <c r="Q8" i="5"/>
  <c r="O8" i="5"/>
  <c r="M8" i="5"/>
  <c r="N8" i="5" s="1"/>
  <c r="L8" i="5"/>
  <c r="G8" i="5"/>
  <c r="DP7" i="5"/>
  <c r="DQ7" i="5" s="1"/>
  <c r="DC7" i="5"/>
  <c r="CT7" i="5"/>
  <c r="CR7" i="5"/>
  <c r="CP7" i="5"/>
  <c r="CN7" i="5"/>
  <c r="CL7" i="5"/>
  <c r="CJ7" i="5"/>
  <c r="CH7" i="5"/>
  <c r="CF7" i="5"/>
  <c r="CD7" i="5"/>
  <c r="CB7" i="5"/>
  <c r="BZ7" i="5"/>
  <c r="BX7" i="5"/>
  <c r="BV7" i="5"/>
  <c r="BT7" i="5"/>
  <c r="BR7" i="5"/>
  <c r="BP7" i="5"/>
  <c r="BN7" i="5"/>
  <c r="BL7" i="5"/>
  <c r="BJ7" i="5"/>
  <c r="BH7" i="5"/>
  <c r="BF7" i="5"/>
  <c r="BD7" i="5"/>
  <c r="BB7" i="5"/>
  <c r="AZ7" i="5"/>
  <c r="AX7" i="5"/>
  <c r="AV7" i="5"/>
  <c r="AS7" i="5"/>
  <c r="AR7" i="5"/>
  <c r="AT7" i="5" s="1"/>
  <c r="X7" i="5"/>
  <c r="Q7" i="5"/>
  <c r="O7" i="5"/>
  <c r="M7" i="5"/>
  <c r="N7" i="5" s="1"/>
  <c r="L7" i="5"/>
  <c r="G7" i="5"/>
  <c r="DP6" i="5"/>
  <c r="DQ6" i="5" s="1"/>
  <c r="DC6" i="5"/>
  <c r="CT6" i="5"/>
  <c r="CR6" i="5"/>
  <c r="CP6" i="5"/>
  <c r="CN6" i="5"/>
  <c r="CL6" i="5"/>
  <c r="CJ6" i="5"/>
  <c r="CH6" i="5"/>
  <c r="CF6" i="5"/>
  <c r="CD6" i="5"/>
  <c r="CB6" i="5"/>
  <c r="BZ6" i="5"/>
  <c r="BX6" i="5"/>
  <c r="BV6" i="5"/>
  <c r="BT6" i="5"/>
  <c r="BR6" i="5"/>
  <c r="BP6" i="5"/>
  <c r="BN6" i="5"/>
  <c r="BL6" i="5"/>
  <c r="BJ6" i="5"/>
  <c r="BH6" i="5"/>
  <c r="BF6" i="5"/>
  <c r="BD6" i="5"/>
  <c r="BB6" i="5"/>
  <c r="AZ6" i="5"/>
  <c r="AX6" i="5"/>
  <c r="AV6" i="5"/>
  <c r="AS6" i="5"/>
  <c r="AR6" i="5"/>
  <c r="AT6" i="5" s="1"/>
  <c r="X6" i="5"/>
  <c r="Q6" i="5"/>
  <c r="O6" i="5"/>
  <c r="M6" i="5"/>
  <c r="N6" i="5" s="1"/>
  <c r="L6" i="5"/>
  <c r="G6" i="5"/>
  <c r="DP5" i="5"/>
  <c r="DC5" i="5"/>
  <c r="CT5" i="5"/>
  <c r="CT37" i="5" s="1"/>
  <c r="CR5" i="5"/>
  <c r="CR37" i="5" s="1"/>
  <c r="CP5" i="5"/>
  <c r="CP37" i="5" s="1"/>
  <c r="CN5" i="5"/>
  <c r="CN37" i="5" s="1"/>
  <c r="CL5" i="5"/>
  <c r="CL37" i="5" s="1"/>
  <c r="CJ5" i="5"/>
  <c r="CJ37" i="5" s="1"/>
  <c r="CH5" i="5"/>
  <c r="CF5" i="5"/>
  <c r="CF37" i="5" s="1"/>
  <c r="CD5" i="5"/>
  <c r="CD37" i="5" s="1"/>
  <c r="CB5" i="5"/>
  <c r="CB37" i="5" s="1"/>
  <c r="BZ5" i="5"/>
  <c r="BZ37" i="5" s="1"/>
  <c r="BX5" i="5"/>
  <c r="BX37" i="5" s="1"/>
  <c r="BV5" i="5"/>
  <c r="BV37" i="5" s="1"/>
  <c r="BT5" i="5"/>
  <c r="BT37" i="5" s="1"/>
  <c r="BR5" i="5"/>
  <c r="BP5" i="5"/>
  <c r="BP37" i="5" s="1"/>
  <c r="BN5" i="5"/>
  <c r="BN37" i="5" s="1"/>
  <c r="BL5" i="5"/>
  <c r="BL37" i="5" s="1"/>
  <c r="BJ5" i="5"/>
  <c r="BJ37" i="5" s="1"/>
  <c r="BH5" i="5"/>
  <c r="BH37" i="5" s="1"/>
  <c r="BF5" i="5"/>
  <c r="BF37" i="5" s="1"/>
  <c r="BD5" i="5"/>
  <c r="BD37" i="5" s="1"/>
  <c r="BB5" i="5"/>
  <c r="AZ5" i="5"/>
  <c r="AZ37" i="5" s="1"/>
  <c r="AX5" i="5"/>
  <c r="AX37" i="5" s="1"/>
  <c r="AV5" i="5"/>
  <c r="AS5" i="5"/>
  <c r="AR5" i="5"/>
  <c r="AR36" i="5" s="1"/>
  <c r="AS36" i="5" s="1"/>
  <c r="AC5" i="5"/>
  <c r="J5" i="5" s="1"/>
  <c r="Z5" i="5"/>
  <c r="AA5" i="5" s="1"/>
  <c r="X5" i="5"/>
  <c r="V5" i="5"/>
  <c r="V6" i="5" s="1"/>
  <c r="Q5" i="5"/>
  <c r="Q37" i="5" s="1"/>
  <c r="O5" i="5"/>
  <c r="O37" i="5" s="1"/>
  <c r="M5" i="5"/>
  <c r="L5" i="5"/>
  <c r="H5" i="5"/>
  <c r="G5" i="5"/>
  <c r="AQ4" i="5"/>
  <c r="AP4" i="5"/>
  <c r="AO4" i="5"/>
  <c r="AN4" i="5"/>
  <c r="AM4" i="5"/>
  <c r="A1" i="5"/>
  <c r="DO37" i="4"/>
  <c r="DN37" i="4"/>
  <c r="DM37" i="4"/>
  <c r="DL37" i="4"/>
  <c r="DK37" i="4"/>
  <c r="DJ37" i="4"/>
  <c r="DI37" i="4"/>
  <c r="DH37" i="4"/>
  <c r="DG37" i="4"/>
  <c r="DF37" i="4"/>
  <c r="DA37" i="4"/>
  <c r="CZ37" i="4"/>
  <c r="CY37" i="4"/>
  <c r="CX37" i="4"/>
  <c r="CV37" i="4"/>
  <c r="CU37" i="4"/>
  <c r="CS37" i="4"/>
  <c r="CQ37" i="4"/>
  <c r="CO37" i="4"/>
  <c r="CM37" i="4"/>
  <c r="CK37" i="4"/>
  <c r="CI37" i="4"/>
  <c r="CG37" i="4"/>
  <c r="CE37" i="4"/>
  <c r="CC37" i="4"/>
  <c r="CA37" i="4"/>
  <c r="BY37" i="4"/>
  <c r="BW37" i="4"/>
  <c r="BU37" i="4"/>
  <c r="BS37" i="4"/>
  <c r="BQ37" i="4"/>
  <c r="BO37" i="4"/>
  <c r="BM37" i="4"/>
  <c r="BK37" i="4"/>
  <c r="BI37" i="4"/>
  <c r="BG37" i="4"/>
  <c r="BE37" i="4"/>
  <c r="BC37" i="4"/>
  <c r="BA37" i="4"/>
  <c r="AY37" i="4"/>
  <c r="AW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Y37" i="4"/>
  <c r="W37" i="4"/>
  <c r="L37" i="4" s="1"/>
  <c r="U37" i="4"/>
  <c r="K37" i="4"/>
  <c r="H37" i="4"/>
  <c r="F37" i="4"/>
  <c r="DO36" i="4"/>
  <c r="DN36" i="4"/>
  <c r="DM36" i="4"/>
  <c r="DL36" i="4"/>
  <c r="DK36" i="4"/>
  <c r="DJ36" i="4"/>
  <c r="DI36" i="4"/>
  <c r="DH36" i="4"/>
  <c r="DG36" i="4"/>
  <c r="DF36" i="4"/>
  <c r="DA36" i="4"/>
  <c r="CZ36" i="4"/>
  <c r="CY36" i="4"/>
  <c r="CX36" i="4"/>
  <c r="CV36" i="4"/>
  <c r="CU36" i="4"/>
  <c r="CS36" i="4"/>
  <c r="CQ36" i="4"/>
  <c r="CO36" i="4"/>
  <c r="CM36" i="4"/>
  <c r="CK36" i="4"/>
  <c r="CI36" i="4"/>
  <c r="CG36" i="4"/>
  <c r="CE36" i="4"/>
  <c r="CC36" i="4"/>
  <c r="CA36" i="4"/>
  <c r="BY36" i="4"/>
  <c r="BW36" i="4"/>
  <c r="BU36" i="4"/>
  <c r="BS36" i="4"/>
  <c r="BQ36" i="4"/>
  <c r="BO36" i="4"/>
  <c r="BM36" i="4"/>
  <c r="BK36" i="4"/>
  <c r="BI36" i="4"/>
  <c r="BG36" i="4"/>
  <c r="BE36" i="4"/>
  <c r="BC36" i="4"/>
  <c r="BA36" i="4"/>
  <c r="AY36" i="4"/>
  <c r="AW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Y36" i="4"/>
  <c r="W36" i="4"/>
  <c r="U36" i="4"/>
  <c r="N36" i="4"/>
  <c r="L36" i="4"/>
  <c r="K36" i="4"/>
  <c r="F36" i="4"/>
  <c r="DQ35" i="4"/>
  <c r="DP35" i="4"/>
  <c r="DC35" i="4"/>
  <c r="CT35" i="4"/>
  <c r="CR35" i="4"/>
  <c r="CP35" i="4"/>
  <c r="CN35" i="4"/>
  <c r="CL35" i="4"/>
  <c r="CJ35" i="4"/>
  <c r="CH35" i="4"/>
  <c r="CF35" i="4"/>
  <c r="CD35" i="4"/>
  <c r="CB35" i="4"/>
  <c r="BZ35" i="4"/>
  <c r="BX35" i="4"/>
  <c r="BV35" i="4"/>
  <c r="BT35" i="4"/>
  <c r="BR35" i="4"/>
  <c r="BP35" i="4"/>
  <c r="BN35" i="4"/>
  <c r="BL35" i="4"/>
  <c r="BJ35" i="4"/>
  <c r="BH35" i="4"/>
  <c r="BF35" i="4"/>
  <c r="BD35" i="4"/>
  <c r="BB35" i="4"/>
  <c r="AZ35" i="4"/>
  <c r="AX35" i="4"/>
  <c r="AV35" i="4"/>
  <c r="AT35" i="4"/>
  <c r="AR35" i="4"/>
  <c r="AS35" i="4" s="1"/>
  <c r="X35" i="4"/>
  <c r="Q35" i="4"/>
  <c r="O35" i="4"/>
  <c r="N35" i="4"/>
  <c r="M35" i="4"/>
  <c r="L35" i="4"/>
  <c r="G35" i="4"/>
  <c r="DQ34" i="4"/>
  <c r="DP34" i="4"/>
  <c r="DC34" i="4"/>
  <c r="CT34" i="4"/>
  <c r="CR34" i="4"/>
  <c r="CP34" i="4"/>
  <c r="CN34" i="4"/>
  <c r="CL34" i="4"/>
  <c r="CJ34" i="4"/>
  <c r="CH34" i="4"/>
  <c r="CF34" i="4"/>
  <c r="CD34" i="4"/>
  <c r="CB34" i="4"/>
  <c r="BZ34" i="4"/>
  <c r="BX34" i="4"/>
  <c r="BV34" i="4"/>
  <c r="BT34" i="4"/>
  <c r="BR34" i="4"/>
  <c r="BP34" i="4"/>
  <c r="BN34" i="4"/>
  <c r="BL34" i="4"/>
  <c r="BJ34" i="4"/>
  <c r="BH34" i="4"/>
  <c r="BF34" i="4"/>
  <c r="BD34" i="4"/>
  <c r="BB34" i="4"/>
  <c r="AZ34" i="4"/>
  <c r="AX34" i="4"/>
  <c r="AV34" i="4"/>
  <c r="AT34" i="4"/>
  <c r="AR34" i="4"/>
  <c r="AS34" i="4" s="1"/>
  <c r="X34" i="4"/>
  <c r="Q34" i="4"/>
  <c r="O34" i="4"/>
  <c r="N34" i="4"/>
  <c r="M34" i="4"/>
  <c r="L34" i="4"/>
  <c r="G34" i="4"/>
  <c r="DQ33" i="4"/>
  <c r="DP33" i="4"/>
  <c r="DC33" i="4"/>
  <c r="CT33" i="4"/>
  <c r="CR33" i="4"/>
  <c r="CP33" i="4"/>
  <c r="CN33" i="4"/>
  <c r="CL33" i="4"/>
  <c r="CJ33" i="4"/>
  <c r="CH33" i="4"/>
  <c r="CF33" i="4"/>
  <c r="CD33" i="4"/>
  <c r="CB33" i="4"/>
  <c r="BZ33" i="4"/>
  <c r="BX33" i="4"/>
  <c r="BV33" i="4"/>
  <c r="BT33" i="4"/>
  <c r="BR33" i="4"/>
  <c r="BP33" i="4"/>
  <c r="BN33" i="4"/>
  <c r="BL33" i="4"/>
  <c r="BJ33" i="4"/>
  <c r="BH33" i="4"/>
  <c r="BF33" i="4"/>
  <c r="BD33" i="4"/>
  <c r="BB33" i="4"/>
  <c r="AZ33" i="4"/>
  <c r="AX33" i="4"/>
  <c r="AV33" i="4"/>
  <c r="AT33" i="4"/>
  <c r="AR33" i="4"/>
  <c r="AS33" i="4" s="1"/>
  <c r="X33" i="4"/>
  <c r="Q33" i="4"/>
  <c r="O33" i="4"/>
  <c r="N33" i="4"/>
  <c r="M33" i="4"/>
  <c r="L33" i="4"/>
  <c r="G33" i="4"/>
  <c r="DQ32" i="4"/>
  <c r="DP32" i="4"/>
  <c r="DC32" i="4"/>
  <c r="CT32" i="4"/>
  <c r="CR32" i="4"/>
  <c r="CP32" i="4"/>
  <c r="CN32" i="4"/>
  <c r="CL32" i="4"/>
  <c r="CJ32" i="4"/>
  <c r="CH32" i="4"/>
  <c r="CF32" i="4"/>
  <c r="CD32" i="4"/>
  <c r="CB32" i="4"/>
  <c r="BZ32" i="4"/>
  <c r="BX32" i="4"/>
  <c r="BV32" i="4"/>
  <c r="BT32" i="4"/>
  <c r="BR32" i="4"/>
  <c r="BP32" i="4"/>
  <c r="BN32" i="4"/>
  <c r="BL32" i="4"/>
  <c r="BJ32" i="4"/>
  <c r="BH32" i="4"/>
  <c r="BF32" i="4"/>
  <c r="BD32" i="4"/>
  <c r="BB32" i="4"/>
  <c r="AZ32" i="4"/>
  <c r="AX32" i="4"/>
  <c r="AV32" i="4"/>
  <c r="AT32" i="4"/>
  <c r="AR32" i="4"/>
  <c r="AS32" i="4" s="1"/>
  <c r="X32" i="4"/>
  <c r="Q32" i="4"/>
  <c r="O32" i="4"/>
  <c r="N32" i="4"/>
  <c r="M32" i="4"/>
  <c r="L32" i="4"/>
  <c r="G32" i="4"/>
  <c r="DQ31" i="4"/>
  <c r="DP31" i="4"/>
  <c r="DC31" i="4"/>
  <c r="CT31" i="4"/>
  <c r="CR31" i="4"/>
  <c r="CP31" i="4"/>
  <c r="CN31" i="4"/>
  <c r="CL31" i="4"/>
  <c r="CJ31" i="4"/>
  <c r="CH31" i="4"/>
  <c r="CF31" i="4"/>
  <c r="CD31" i="4"/>
  <c r="CB31" i="4"/>
  <c r="BZ31" i="4"/>
  <c r="BX31" i="4"/>
  <c r="BV31" i="4"/>
  <c r="BT31" i="4"/>
  <c r="BR31" i="4"/>
  <c r="BP31" i="4"/>
  <c r="BN31" i="4"/>
  <c r="BL31" i="4"/>
  <c r="BJ31" i="4"/>
  <c r="BH31" i="4"/>
  <c r="BF31" i="4"/>
  <c r="BD31" i="4"/>
  <c r="BB31" i="4"/>
  <c r="AZ31" i="4"/>
  <c r="AX31" i="4"/>
  <c r="AV31" i="4"/>
  <c r="AT31" i="4"/>
  <c r="AR31" i="4"/>
  <c r="AS31" i="4" s="1"/>
  <c r="X31" i="4"/>
  <c r="Q31" i="4"/>
  <c r="O31" i="4"/>
  <c r="N31" i="4"/>
  <c r="M31" i="4"/>
  <c r="L31" i="4"/>
  <c r="G31" i="4"/>
  <c r="DQ30" i="4"/>
  <c r="DP30" i="4"/>
  <c r="DC30" i="4"/>
  <c r="CT30" i="4"/>
  <c r="CR30" i="4"/>
  <c r="CP30" i="4"/>
  <c r="CN30" i="4"/>
  <c r="CL30" i="4"/>
  <c r="CJ30" i="4"/>
  <c r="CH30" i="4"/>
  <c r="CF30" i="4"/>
  <c r="CD30" i="4"/>
  <c r="CB30" i="4"/>
  <c r="BZ30" i="4"/>
  <c r="BX30" i="4"/>
  <c r="BV30" i="4"/>
  <c r="BT30" i="4"/>
  <c r="BR30" i="4"/>
  <c r="BP30" i="4"/>
  <c r="BN30" i="4"/>
  <c r="BL30" i="4"/>
  <c r="BJ30" i="4"/>
  <c r="BH30" i="4"/>
  <c r="BF30" i="4"/>
  <c r="BD30" i="4"/>
  <c r="BB30" i="4"/>
  <c r="AZ30" i="4"/>
  <c r="AX30" i="4"/>
  <c r="AV30" i="4"/>
  <c r="AT30" i="4"/>
  <c r="AR30" i="4"/>
  <c r="AS30" i="4" s="1"/>
  <c r="X30" i="4"/>
  <c r="Q30" i="4"/>
  <c r="O30" i="4"/>
  <c r="N30" i="4"/>
  <c r="M30" i="4"/>
  <c r="L30" i="4"/>
  <c r="G30" i="4"/>
  <c r="DQ29" i="4"/>
  <c r="DP29" i="4"/>
  <c r="DC29" i="4"/>
  <c r="CT29" i="4"/>
  <c r="CR29" i="4"/>
  <c r="CP29" i="4"/>
  <c r="CN29" i="4"/>
  <c r="CL29" i="4"/>
  <c r="CJ29" i="4"/>
  <c r="CH29" i="4"/>
  <c r="CF29" i="4"/>
  <c r="CD29" i="4"/>
  <c r="CB29" i="4"/>
  <c r="BZ29" i="4"/>
  <c r="BX29" i="4"/>
  <c r="BV29" i="4"/>
  <c r="BT29" i="4"/>
  <c r="BR29" i="4"/>
  <c r="BP29" i="4"/>
  <c r="BN29" i="4"/>
  <c r="BL29" i="4"/>
  <c r="BJ29" i="4"/>
  <c r="BH29" i="4"/>
  <c r="BF29" i="4"/>
  <c r="BD29" i="4"/>
  <c r="BB29" i="4"/>
  <c r="AZ29" i="4"/>
  <c r="AX29" i="4"/>
  <c r="AV29" i="4"/>
  <c r="AT29" i="4"/>
  <c r="AR29" i="4"/>
  <c r="AS29" i="4" s="1"/>
  <c r="X29" i="4"/>
  <c r="Q29" i="4"/>
  <c r="O29" i="4"/>
  <c r="N29" i="4"/>
  <c r="M29" i="4"/>
  <c r="L29" i="4"/>
  <c r="G29" i="4"/>
  <c r="DQ28" i="4"/>
  <c r="DP28" i="4"/>
  <c r="DC28" i="4"/>
  <c r="CT28" i="4"/>
  <c r="CR28" i="4"/>
  <c r="CP28" i="4"/>
  <c r="CN28" i="4"/>
  <c r="CL28" i="4"/>
  <c r="CJ28" i="4"/>
  <c r="CH28" i="4"/>
  <c r="CF28" i="4"/>
  <c r="CD28" i="4"/>
  <c r="CB28" i="4"/>
  <c r="BZ28" i="4"/>
  <c r="BX28" i="4"/>
  <c r="BV28" i="4"/>
  <c r="BT28" i="4"/>
  <c r="BR28" i="4"/>
  <c r="BP28" i="4"/>
  <c r="BN28" i="4"/>
  <c r="BL28" i="4"/>
  <c r="BJ28" i="4"/>
  <c r="BH28" i="4"/>
  <c r="BF28" i="4"/>
  <c r="BD28" i="4"/>
  <c r="BB28" i="4"/>
  <c r="AZ28" i="4"/>
  <c r="AX28" i="4"/>
  <c r="AV28" i="4"/>
  <c r="AT28" i="4"/>
  <c r="AR28" i="4"/>
  <c r="AS28" i="4" s="1"/>
  <c r="X28" i="4"/>
  <c r="Q28" i="4"/>
  <c r="O28" i="4"/>
  <c r="N28" i="4"/>
  <c r="M28" i="4"/>
  <c r="L28" i="4"/>
  <c r="G28" i="4"/>
  <c r="DQ27" i="4"/>
  <c r="DP27" i="4"/>
  <c r="DC27" i="4"/>
  <c r="CT27" i="4"/>
  <c r="CR27" i="4"/>
  <c r="CP27" i="4"/>
  <c r="CN27" i="4"/>
  <c r="CL27" i="4"/>
  <c r="CJ27" i="4"/>
  <c r="CH27" i="4"/>
  <c r="CF27" i="4"/>
  <c r="CD27" i="4"/>
  <c r="CB27" i="4"/>
  <c r="BZ27" i="4"/>
  <c r="BX27" i="4"/>
  <c r="BV27" i="4"/>
  <c r="BT27" i="4"/>
  <c r="BR27" i="4"/>
  <c r="BP27" i="4"/>
  <c r="BN27" i="4"/>
  <c r="BL27" i="4"/>
  <c r="BJ27" i="4"/>
  <c r="BH27" i="4"/>
  <c r="BF27" i="4"/>
  <c r="BD27" i="4"/>
  <c r="BB27" i="4"/>
  <c r="AZ27" i="4"/>
  <c r="AX27" i="4"/>
  <c r="AV27" i="4"/>
  <c r="AT27" i="4"/>
  <c r="AR27" i="4"/>
  <c r="AS27" i="4" s="1"/>
  <c r="X27" i="4"/>
  <c r="Q27" i="4"/>
  <c r="O27" i="4"/>
  <c r="N27" i="4"/>
  <c r="M27" i="4"/>
  <c r="L27" i="4"/>
  <c r="G27" i="4"/>
  <c r="DQ26" i="4"/>
  <c r="DP26" i="4"/>
  <c r="DC26" i="4"/>
  <c r="CT26" i="4"/>
  <c r="CR26" i="4"/>
  <c r="CP26" i="4"/>
  <c r="CN26" i="4"/>
  <c r="CL26" i="4"/>
  <c r="CJ26" i="4"/>
  <c r="CH26" i="4"/>
  <c r="CF26" i="4"/>
  <c r="CD26" i="4"/>
  <c r="CB26" i="4"/>
  <c r="BZ26" i="4"/>
  <c r="BX26" i="4"/>
  <c r="BV26" i="4"/>
  <c r="BT26" i="4"/>
  <c r="BR26" i="4"/>
  <c r="BP26" i="4"/>
  <c r="BN26" i="4"/>
  <c r="BL26" i="4"/>
  <c r="BJ26" i="4"/>
  <c r="BH26" i="4"/>
  <c r="BF26" i="4"/>
  <c r="BD26" i="4"/>
  <c r="BB26" i="4"/>
  <c r="AZ26" i="4"/>
  <c r="AX26" i="4"/>
  <c r="AV26" i="4"/>
  <c r="AT26" i="4"/>
  <c r="AR26" i="4"/>
  <c r="AS26" i="4" s="1"/>
  <c r="X26" i="4"/>
  <c r="Q26" i="4"/>
  <c r="O26" i="4"/>
  <c r="N26" i="4"/>
  <c r="M26" i="4"/>
  <c r="L26" i="4"/>
  <c r="G26" i="4"/>
  <c r="DQ25" i="4"/>
  <c r="DP25" i="4"/>
  <c r="DC25" i="4"/>
  <c r="CT25" i="4"/>
  <c r="CR25" i="4"/>
  <c r="CP25" i="4"/>
  <c r="CN25" i="4"/>
  <c r="CL25" i="4"/>
  <c r="CJ25" i="4"/>
  <c r="CH25" i="4"/>
  <c r="CF25" i="4"/>
  <c r="CD25" i="4"/>
  <c r="CB25" i="4"/>
  <c r="BZ25" i="4"/>
  <c r="BX25" i="4"/>
  <c r="BV25" i="4"/>
  <c r="BT25" i="4"/>
  <c r="BR25" i="4"/>
  <c r="BP25" i="4"/>
  <c r="BN25" i="4"/>
  <c r="BL25" i="4"/>
  <c r="BJ25" i="4"/>
  <c r="BH25" i="4"/>
  <c r="BF25" i="4"/>
  <c r="BD25" i="4"/>
  <c r="BB25" i="4"/>
  <c r="AZ25" i="4"/>
  <c r="AX25" i="4"/>
  <c r="AV25" i="4"/>
  <c r="AT25" i="4"/>
  <c r="AR25" i="4"/>
  <c r="AS25" i="4" s="1"/>
  <c r="X25" i="4"/>
  <c r="Q25" i="4"/>
  <c r="O25" i="4"/>
  <c r="N25" i="4"/>
  <c r="M25" i="4"/>
  <c r="L25" i="4"/>
  <c r="G25" i="4"/>
  <c r="DQ24" i="4"/>
  <c r="DP24" i="4"/>
  <c r="DC24" i="4"/>
  <c r="CT24" i="4"/>
  <c r="CR24" i="4"/>
  <c r="CP24" i="4"/>
  <c r="CN24" i="4"/>
  <c r="CL24" i="4"/>
  <c r="CJ24" i="4"/>
  <c r="CH24" i="4"/>
  <c r="CF24" i="4"/>
  <c r="CD24" i="4"/>
  <c r="CB24" i="4"/>
  <c r="BZ24" i="4"/>
  <c r="BX24" i="4"/>
  <c r="BV24" i="4"/>
  <c r="BT24" i="4"/>
  <c r="BR24" i="4"/>
  <c r="BP24" i="4"/>
  <c r="BN24" i="4"/>
  <c r="BL24" i="4"/>
  <c r="BJ24" i="4"/>
  <c r="BH24" i="4"/>
  <c r="BF24" i="4"/>
  <c r="BD24" i="4"/>
  <c r="BB24" i="4"/>
  <c r="AZ24" i="4"/>
  <c r="AX24" i="4"/>
  <c r="AV24" i="4"/>
  <c r="AR24" i="4"/>
  <c r="AS24" i="4" s="1"/>
  <c r="X24" i="4"/>
  <c r="Q24" i="4"/>
  <c r="O24" i="4"/>
  <c r="N24" i="4"/>
  <c r="M24" i="4"/>
  <c r="L24" i="4"/>
  <c r="G24" i="4"/>
  <c r="DQ23" i="4"/>
  <c r="DP23" i="4"/>
  <c r="DC23" i="4"/>
  <c r="CT23" i="4"/>
  <c r="CR23" i="4"/>
  <c r="CP23" i="4"/>
  <c r="CN23" i="4"/>
  <c r="CL23" i="4"/>
  <c r="CJ23" i="4"/>
  <c r="CH23" i="4"/>
  <c r="CF23" i="4"/>
  <c r="CD23" i="4"/>
  <c r="CB23" i="4"/>
  <c r="BZ23" i="4"/>
  <c r="BX23" i="4"/>
  <c r="BV23" i="4"/>
  <c r="BT23" i="4"/>
  <c r="BR23" i="4"/>
  <c r="BP23" i="4"/>
  <c r="BN23" i="4"/>
  <c r="BL23" i="4"/>
  <c r="BJ23" i="4"/>
  <c r="BH23" i="4"/>
  <c r="BF23" i="4"/>
  <c r="BD23" i="4"/>
  <c r="BB23" i="4"/>
  <c r="AZ23" i="4"/>
  <c r="AX23" i="4"/>
  <c r="AV23" i="4"/>
  <c r="AT23" i="4"/>
  <c r="AR23" i="4"/>
  <c r="AS23" i="4" s="1"/>
  <c r="X23" i="4"/>
  <c r="Q23" i="4"/>
  <c r="O23" i="4"/>
  <c r="N23" i="4"/>
  <c r="M23" i="4"/>
  <c r="L23" i="4"/>
  <c r="G23" i="4"/>
  <c r="DQ22" i="4"/>
  <c r="DP22" i="4"/>
  <c r="DC22" i="4"/>
  <c r="CT22" i="4"/>
  <c r="CR22" i="4"/>
  <c r="CP22" i="4"/>
  <c r="CN22" i="4"/>
  <c r="CL22" i="4"/>
  <c r="CJ22" i="4"/>
  <c r="CH22" i="4"/>
  <c r="CF22" i="4"/>
  <c r="CD22" i="4"/>
  <c r="CB22" i="4"/>
  <c r="BZ22" i="4"/>
  <c r="BX22" i="4"/>
  <c r="BV22" i="4"/>
  <c r="BT22" i="4"/>
  <c r="BR22" i="4"/>
  <c r="BP22" i="4"/>
  <c r="BN22" i="4"/>
  <c r="BL22" i="4"/>
  <c r="BJ22" i="4"/>
  <c r="BH22" i="4"/>
  <c r="BF22" i="4"/>
  <c r="BD22" i="4"/>
  <c r="BB22" i="4"/>
  <c r="AZ22" i="4"/>
  <c r="AX22" i="4"/>
  <c r="AV22" i="4"/>
  <c r="AT22" i="4"/>
  <c r="AR22" i="4"/>
  <c r="AS22" i="4" s="1"/>
  <c r="X22" i="4"/>
  <c r="Q22" i="4"/>
  <c r="O22" i="4"/>
  <c r="N22" i="4"/>
  <c r="M22" i="4"/>
  <c r="L22" i="4"/>
  <c r="G22" i="4"/>
  <c r="DQ21" i="4"/>
  <c r="DP21" i="4"/>
  <c r="DC21" i="4"/>
  <c r="CT21" i="4"/>
  <c r="CR21" i="4"/>
  <c r="CP21" i="4"/>
  <c r="CN21" i="4"/>
  <c r="CL21" i="4"/>
  <c r="CJ21" i="4"/>
  <c r="CH21" i="4"/>
  <c r="CF21" i="4"/>
  <c r="CD21" i="4"/>
  <c r="CB21" i="4"/>
  <c r="BZ21" i="4"/>
  <c r="BX21" i="4"/>
  <c r="BV21" i="4"/>
  <c r="BT21" i="4"/>
  <c r="BR21" i="4"/>
  <c r="BP21" i="4"/>
  <c r="BN21" i="4"/>
  <c r="BL21" i="4"/>
  <c r="BJ21" i="4"/>
  <c r="BH21" i="4"/>
  <c r="BF21" i="4"/>
  <c r="BD21" i="4"/>
  <c r="BB21" i="4"/>
  <c r="AZ21" i="4"/>
  <c r="AX21" i="4"/>
  <c r="AV21" i="4"/>
  <c r="AT21" i="4"/>
  <c r="AR21" i="4"/>
  <c r="AS21" i="4" s="1"/>
  <c r="X21" i="4"/>
  <c r="Q21" i="4"/>
  <c r="O21" i="4"/>
  <c r="N21" i="4"/>
  <c r="M21" i="4"/>
  <c r="L21" i="4"/>
  <c r="G21" i="4"/>
  <c r="DQ20" i="4"/>
  <c r="DP20" i="4"/>
  <c r="DC20" i="4"/>
  <c r="CT20" i="4"/>
  <c r="CR20" i="4"/>
  <c r="CP20" i="4"/>
  <c r="CN20" i="4"/>
  <c r="CL20" i="4"/>
  <c r="CJ20" i="4"/>
  <c r="CH20" i="4"/>
  <c r="CF20" i="4"/>
  <c r="CD20" i="4"/>
  <c r="CB20" i="4"/>
  <c r="BZ20" i="4"/>
  <c r="BX20" i="4"/>
  <c r="BV20" i="4"/>
  <c r="BT20" i="4"/>
  <c r="BR20" i="4"/>
  <c r="BP20" i="4"/>
  <c r="BN20" i="4"/>
  <c r="BL20" i="4"/>
  <c r="BJ20" i="4"/>
  <c r="BH20" i="4"/>
  <c r="BF20" i="4"/>
  <c r="BD20" i="4"/>
  <c r="BB20" i="4"/>
  <c r="AZ20" i="4"/>
  <c r="AX20" i="4"/>
  <c r="AV20" i="4"/>
  <c r="AT20" i="4"/>
  <c r="AR20" i="4"/>
  <c r="AS20" i="4" s="1"/>
  <c r="X20" i="4"/>
  <c r="Q20" i="4"/>
  <c r="O20" i="4"/>
  <c r="N20" i="4"/>
  <c r="M20" i="4"/>
  <c r="L20" i="4"/>
  <c r="G20" i="4"/>
  <c r="DQ19" i="4"/>
  <c r="DP19" i="4"/>
  <c r="DC19" i="4"/>
  <c r="CT19" i="4"/>
  <c r="CR19" i="4"/>
  <c r="CP19" i="4"/>
  <c r="CN19" i="4"/>
  <c r="CL19" i="4"/>
  <c r="CJ19" i="4"/>
  <c r="CH19" i="4"/>
  <c r="CF19" i="4"/>
  <c r="CD19" i="4"/>
  <c r="CB19" i="4"/>
  <c r="BZ19" i="4"/>
  <c r="BX19" i="4"/>
  <c r="BV19" i="4"/>
  <c r="BT19" i="4"/>
  <c r="BR19" i="4"/>
  <c r="BP19" i="4"/>
  <c r="BN19" i="4"/>
  <c r="BL19" i="4"/>
  <c r="BJ19" i="4"/>
  <c r="BH19" i="4"/>
  <c r="BF19" i="4"/>
  <c r="BD19" i="4"/>
  <c r="BB19" i="4"/>
  <c r="AZ19" i="4"/>
  <c r="AX19" i="4"/>
  <c r="AV19" i="4"/>
  <c r="AT19" i="4"/>
  <c r="AR19" i="4"/>
  <c r="AS19" i="4" s="1"/>
  <c r="X19" i="4"/>
  <c r="Q19" i="4"/>
  <c r="O19" i="4"/>
  <c r="N19" i="4"/>
  <c r="M19" i="4"/>
  <c r="L19" i="4"/>
  <c r="G19" i="4"/>
  <c r="DQ18" i="4"/>
  <c r="DP18" i="4"/>
  <c r="DC18" i="4"/>
  <c r="CT18" i="4"/>
  <c r="CR18" i="4"/>
  <c r="CP18" i="4"/>
  <c r="CN18" i="4"/>
  <c r="CL18" i="4"/>
  <c r="CJ18" i="4"/>
  <c r="CH18" i="4"/>
  <c r="CF18" i="4"/>
  <c r="CD18" i="4"/>
  <c r="CB18" i="4"/>
  <c r="BZ18" i="4"/>
  <c r="BX18" i="4"/>
  <c r="BV18" i="4"/>
  <c r="BT18" i="4"/>
  <c r="BR18" i="4"/>
  <c r="BP18" i="4"/>
  <c r="BN18" i="4"/>
  <c r="BL18" i="4"/>
  <c r="BJ18" i="4"/>
  <c r="BH18" i="4"/>
  <c r="BF18" i="4"/>
  <c r="BD18" i="4"/>
  <c r="BB18" i="4"/>
  <c r="AZ18" i="4"/>
  <c r="AX18" i="4"/>
  <c r="AV18" i="4"/>
  <c r="AR18" i="4"/>
  <c r="AS18" i="4" s="1"/>
  <c r="X18" i="4"/>
  <c r="Q18" i="4"/>
  <c r="O18" i="4"/>
  <c r="N18" i="4"/>
  <c r="M18" i="4"/>
  <c r="L18" i="4"/>
  <c r="G18" i="4"/>
  <c r="DQ17" i="4"/>
  <c r="DP17" i="4"/>
  <c r="DC17" i="4"/>
  <c r="CT17" i="4"/>
  <c r="CR17" i="4"/>
  <c r="CP17" i="4"/>
  <c r="CN17" i="4"/>
  <c r="CL17" i="4"/>
  <c r="CJ17" i="4"/>
  <c r="CH17" i="4"/>
  <c r="CF17" i="4"/>
  <c r="CD17" i="4"/>
  <c r="CB17" i="4"/>
  <c r="BZ17" i="4"/>
  <c r="BX17" i="4"/>
  <c r="BV17" i="4"/>
  <c r="BT17" i="4"/>
  <c r="BR17" i="4"/>
  <c r="BP17" i="4"/>
  <c r="BN17" i="4"/>
  <c r="BL17" i="4"/>
  <c r="BJ17" i="4"/>
  <c r="BH17" i="4"/>
  <c r="BF17" i="4"/>
  <c r="BD17" i="4"/>
  <c r="BB17" i="4"/>
  <c r="AZ17" i="4"/>
  <c r="AX17" i="4"/>
  <c r="AV17" i="4"/>
  <c r="AT17" i="4"/>
  <c r="AR17" i="4"/>
  <c r="AS17" i="4" s="1"/>
  <c r="X17" i="4"/>
  <c r="Q17" i="4"/>
  <c r="O17" i="4"/>
  <c r="N17" i="4"/>
  <c r="M17" i="4"/>
  <c r="L17" i="4"/>
  <c r="G17" i="4"/>
  <c r="DQ16" i="4"/>
  <c r="DP16" i="4"/>
  <c r="DC16" i="4"/>
  <c r="CT16" i="4"/>
  <c r="CR16" i="4"/>
  <c r="CP16" i="4"/>
  <c r="CN16" i="4"/>
  <c r="CL16" i="4"/>
  <c r="CJ16" i="4"/>
  <c r="CH16" i="4"/>
  <c r="CF16" i="4"/>
  <c r="CD16" i="4"/>
  <c r="CB16" i="4"/>
  <c r="BZ16" i="4"/>
  <c r="BX16" i="4"/>
  <c r="BV16" i="4"/>
  <c r="BT16" i="4"/>
  <c r="BR16" i="4"/>
  <c r="BP16" i="4"/>
  <c r="BN16" i="4"/>
  <c r="BL16" i="4"/>
  <c r="BJ16" i="4"/>
  <c r="BH16" i="4"/>
  <c r="BF16" i="4"/>
  <c r="BD16" i="4"/>
  <c r="BB16" i="4"/>
  <c r="AZ16" i="4"/>
  <c r="AX16" i="4"/>
  <c r="AV16" i="4"/>
  <c r="AT16" i="4"/>
  <c r="AR16" i="4"/>
  <c r="AS16" i="4" s="1"/>
  <c r="X16" i="4"/>
  <c r="Q16" i="4"/>
  <c r="O16" i="4"/>
  <c r="N16" i="4"/>
  <c r="M16" i="4"/>
  <c r="L16" i="4"/>
  <c r="G16" i="4"/>
  <c r="DQ15" i="4"/>
  <c r="DP15" i="4"/>
  <c r="DC15" i="4"/>
  <c r="CT15" i="4"/>
  <c r="CR15" i="4"/>
  <c r="CP15" i="4"/>
  <c r="CN15" i="4"/>
  <c r="CL15" i="4"/>
  <c r="CJ15" i="4"/>
  <c r="CH15" i="4"/>
  <c r="CF15" i="4"/>
  <c r="CD15" i="4"/>
  <c r="CB15" i="4"/>
  <c r="BZ15" i="4"/>
  <c r="BX15" i="4"/>
  <c r="BV15" i="4"/>
  <c r="BT15" i="4"/>
  <c r="BR15" i="4"/>
  <c r="BP15" i="4"/>
  <c r="BN15" i="4"/>
  <c r="BL15" i="4"/>
  <c r="BJ15" i="4"/>
  <c r="BH15" i="4"/>
  <c r="BF15" i="4"/>
  <c r="BD15" i="4"/>
  <c r="BB15" i="4"/>
  <c r="AZ15" i="4"/>
  <c r="AX15" i="4"/>
  <c r="AV15" i="4"/>
  <c r="AT15" i="4"/>
  <c r="AR15" i="4"/>
  <c r="AS15" i="4" s="1"/>
  <c r="X15" i="4"/>
  <c r="Q15" i="4"/>
  <c r="O15" i="4"/>
  <c r="N15" i="4"/>
  <c r="M15" i="4"/>
  <c r="L15" i="4"/>
  <c r="G15" i="4"/>
  <c r="DQ14" i="4"/>
  <c r="DP14" i="4"/>
  <c r="DC14" i="4"/>
  <c r="CT14" i="4"/>
  <c r="CR14" i="4"/>
  <c r="CP14" i="4"/>
  <c r="CN14" i="4"/>
  <c r="CL14" i="4"/>
  <c r="CJ14" i="4"/>
  <c r="CH14" i="4"/>
  <c r="CF14" i="4"/>
  <c r="CD14" i="4"/>
  <c r="CB14" i="4"/>
  <c r="BZ14" i="4"/>
  <c r="BX14" i="4"/>
  <c r="BV14" i="4"/>
  <c r="BT14" i="4"/>
  <c r="BR14" i="4"/>
  <c r="BP14" i="4"/>
  <c r="BN14" i="4"/>
  <c r="BL14" i="4"/>
  <c r="BJ14" i="4"/>
  <c r="BH14" i="4"/>
  <c r="BF14" i="4"/>
  <c r="BD14" i="4"/>
  <c r="BB14" i="4"/>
  <c r="AZ14" i="4"/>
  <c r="AX14" i="4"/>
  <c r="AV14" i="4"/>
  <c r="AR14" i="4"/>
  <c r="AS14" i="4" s="1"/>
  <c r="X14" i="4"/>
  <c r="Q14" i="4"/>
  <c r="O14" i="4"/>
  <c r="N14" i="4"/>
  <c r="M14" i="4"/>
  <c r="L14" i="4"/>
  <c r="G14" i="4"/>
  <c r="DQ13" i="4"/>
  <c r="DP13" i="4"/>
  <c r="DC13" i="4"/>
  <c r="CT13" i="4"/>
  <c r="CR13" i="4"/>
  <c r="CP13" i="4"/>
  <c r="CN13" i="4"/>
  <c r="CL13" i="4"/>
  <c r="CJ13" i="4"/>
  <c r="CH13" i="4"/>
  <c r="CF13" i="4"/>
  <c r="CD13" i="4"/>
  <c r="CB13" i="4"/>
  <c r="BZ13" i="4"/>
  <c r="BX13" i="4"/>
  <c r="BV13" i="4"/>
  <c r="BT13" i="4"/>
  <c r="BR13" i="4"/>
  <c r="BP13" i="4"/>
  <c r="BN13" i="4"/>
  <c r="BL13" i="4"/>
  <c r="BJ13" i="4"/>
  <c r="BH13" i="4"/>
  <c r="BF13" i="4"/>
  <c r="BD13" i="4"/>
  <c r="BB13" i="4"/>
  <c r="AZ13" i="4"/>
  <c r="AX13" i="4"/>
  <c r="AV13" i="4"/>
  <c r="AT13" i="4"/>
  <c r="AR13" i="4"/>
  <c r="AS13" i="4" s="1"/>
  <c r="X13" i="4"/>
  <c r="Q13" i="4"/>
  <c r="O13" i="4"/>
  <c r="N13" i="4"/>
  <c r="M13" i="4"/>
  <c r="L13" i="4"/>
  <c r="G13" i="4"/>
  <c r="DQ12" i="4"/>
  <c r="DP12" i="4"/>
  <c r="DC12" i="4"/>
  <c r="CT12" i="4"/>
  <c r="CR12" i="4"/>
  <c r="CP12" i="4"/>
  <c r="CN12" i="4"/>
  <c r="CL12" i="4"/>
  <c r="CJ12" i="4"/>
  <c r="CH12" i="4"/>
  <c r="CF12" i="4"/>
  <c r="CD12" i="4"/>
  <c r="CB12" i="4"/>
  <c r="BZ12" i="4"/>
  <c r="BX12" i="4"/>
  <c r="BV12" i="4"/>
  <c r="BT12" i="4"/>
  <c r="BR12" i="4"/>
  <c r="BP12" i="4"/>
  <c r="BN12" i="4"/>
  <c r="BL12" i="4"/>
  <c r="BJ12" i="4"/>
  <c r="BH12" i="4"/>
  <c r="BF12" i="4"/>
  <c r="BD12" i="4"/>
  <c r="BB12" i="4"/>
  <c r="AZ12" i="4"/>
  <c r="AX12" i="4"/>
  <c r="AV12" i="4"/>
  <c r="AT12" i="4"/>
  <c r="AR12" i="4"/>
  <c r="AS12" i="4" s="1"/>
  <c r="X12" i="4"/>
  <c r="Q12" i="4"/>
  <c r="O12" i="4"/>
  <c r="N12" i="4"/>
  <c r="M12" i="4"/>
  <c r="L12" i="4"/>
  <c r="G12" i="4"/>
  <c r="DQ11" i="4"/>
  <c r="DP11" i="4"/>
  <c r="DC11" i="4"/>
  <c r="CT11" i="4"/>
  <c r="CR11" i="4"/>
  <c r="CP11" i="4"/>
  <c r="CN11" i="4"/>
  <c r="CL11" i="4"/>
  <c r="CJ11" i="4"/>
  <c r="CH11" i="4"/>
  <c r="CF11" i="4"/>
  <c r="CD11" i="4"/>
  <c r="CB11" i="4"/>
  <c r="BZ11" i="4"/>
  <c r="BX11" i="4"/>
  <c r="BV11" i="4"/>
  <c r="BT11" i="4"/>
  <c r="BR11" i="4"/>
  <c r="BP11" i="4"/>
  <c r="BN11" i="4"/>
  <c r="BL11" i="4"/>
  <c r="BJ11" i="4"/>
  <c r="BH11" i="4"/>
  <c r="BF11" i="4"/>
  <c r="BD11" i="4"/>
  <c r="BB11" i="4"/>
  <c r="AZ11" i="4"/>
  <c r="AX11" i="4"/>
  <c r="AV11" i="4"/>
  <c r="AT11" i="4"/>
  <c r="AR11" i="4"/>
  <c r="AS11" i="4" s="1"/>
  <c r="X11" i="4"/>
  <c r="Q11" i="4"/>
  <c r="O11" i="4"/>
  <c r="N11" i="4"/>
  <c r="M11" i="4"/>
  <c r="L11" i="4"/>
  <c r="G11" i="4"/>
  <c r="DQ10" i="4"/>
  <c r="DP10" i="4"/>
  <c r="DC10" i="4"/>
  <c r="CT10" i="4"/>
  <c r="CR10" i="4"/>
  <c r="CP10" i="4"/>
  <c r="CN10" i="4"/>
  <c r="CL10" i="4"/>
  <c r="CJ10" i="4"/>
  <c r="CH10" i="4"/>
  <c r="CF10" i="4"/>
  <c r="CD10" i="4"/>
  <c r="CB10" i="4"/>
  <c r="BZ10" i="4"/>
  <c r="BX10" i="4"/>
  <c r="BV10" i="4"/>
  <c r="BT10" i="4"/>
  <c r="BR10" i="4"/>
  <c r="BP10" i="4"/>
  <c r="BN10" i="4"/>
  <c r="BL10" i="4"/>
  <c r="BJ10" i="4"/>
  <c r="BH10" i="4"/>
  <c r="BF10" i="4"/>
  <c r="BD10" i="4"/>
  <c r="BB10" i="4"/>
  <c r="AZ10" i="4"/>
  <c r="AX10" i="4"/>
  <c r="AV10" i="4"/>
  <c r="AR10" i="4"/>
  <c r="X10" i="4"/>
  <c r="Q10" i="4"/>
  <c r="O10" i="4"/>
  <c r="N10" i="4"/>
  <c r="M10" i="4"/>
  <c r="L10" i="4"/>
  <c r="G10" i="4"/>
  <c r="DQ9" i="4"/>
  <c r="DP9" i="4"/>
  <c r="DC9" i="4"/>
  <c r="CT9" i="4"/>
  <c r="CR9" i="4"/>
  <c r="CP9" i="4"/>
  <c r="CN9" i="4"/>
  <c r="CL9" i="4"/>
  <c r="CJ9" i="4"/>
  <c r="CH9" i="4"/>
  <c r="CF9" i="4"/>
  <c r="CD9" i="4"/>
  <c r="CB9" i="4"/>
  <c r="BZ9" i="4"/>
  <c r="BX9" i="4"/>
  <c r="BV9" i="4"/>
  <c r="BT9" i="4"/>
  <c r="BR9" i="4"/>
  <c r="BP9" i="4"/>
  <c r="BN9" i="4"/>
  <c r="BL9" i="4"/>
  <c r="BJ9" i="4"/>
  <c r="BH9" i="4"/>
  <c r="BF9" i="4"/>
  <c r="BD9" i="4"/>
  <c r="BB9" i="4"/>
  <c r="AZ9" i="4"/>
  <c r="AX9" i="4"/>
  <c r="AV9" i="4"/>
  <c r="AT9" i="4"/>
  <c r="AR9" i="4"/>
  <c r="AS9" i="4" s="1"/>
  <c r="X9" i="4"/>
  <c r="Q9" i="4"/>
  <c r="O9" i="4"/>
  <c r="N9" i="4"/>
  <c r="M9" i="4"/>
  <c r="L9" i="4"/>
  <c r="G9" i="4"/>
  <c r="DQ8" i="4"/>
  <c r="DP8" i="4"/>
  <c r="DC8" i="4"/>
  <c r="CT8" i="4"/>
  <c r="CR8" i="4"/>
  <c r="CP8" i="4"/>
  <c r="CN8" i="4"/>
  <c r="CL8" i="4"/>
  <c r="CJ8" i="4"/>
  <c r="CH8" i="4"/>
  <c r="CF8" i="4"/>
  <c r="CD8" i="4"/>
  <c r="CB8" i="4"/>
  <c r="BZ8" i="4"/>
  <c r="BX8" i="4"/>
  <c r="BV8" i="4"/>
  <c r="BT8" i="4"/>
  <c r="BR8" i="4"/>
  <c r="BP8" i="4"/>
  <c r="BN8" i="4"/>
  <c r="BL8" i="4"/>
  <c r="BJ8" i="4"/>
  <c r="BH8" i="4"/>
  <c r="BF8" i="4"/>
  <c r="BD8" i="4"/>
  <c r="BB8" i="4"/>
  <c r="AZ8" i="4"/>
  <c r="AX8" i="4"/>
  <c r="AV8" i="4"/>
  <c r="AR8" i="4"/>
  <c r="X8" i="4"/>
  <c r="Q8" i="4"/>
  <c r="O8" i="4"/>
  <c r="O37" i="4" s="1"/>
  <c r="N8" i="4"/>
  <c r="M8" i="4"/>
  <c r="L8" i="4"/>
  <c r="G8" i="4"/>
  <c r="DQ7" i="4"/>
  <c r="DP7" i="4"/>
  <c r="DC7" i="4"/>
  <c r="CT7" i="4"/>
  <c r="CR7" i="4"/>
  <c r="CP7" i="4"/>
  <c r="CN7" i="4"/>
  <c r="CL7" i="4"/>
  <c r="CJ7" i="4"/>
  <c r="CH7" i="4"/>
  <c r="CF7" i="4"/>
  <c r="CD7" i="4"/>
  <c r="CB7" i="4"/>
  <c r="BZ7" i="4"/>
  <c r="BX7" i="4"/>
  <c r="BV7" i="4"/>
  <c r="BT7" i="4"/>
  <c r="BR7" i="4"/>
  <c r="BP7" i="4"/>
  <c r="BN7" i="4"/>
  <c r="BL7" i="4"/>
  <c r="BJ7" i="4"/>
  <c r="BH7" i="4"/>
  <c r="BF7" i="4"/>
  <c r="BD7" i="4"/>
  <c r="BB7" i="4"/>
  <c r="AZ7" i="4"/>
  <c r="AX7" i="4"/>
  <c r="AV7" i="4"/>
  <c r="AT7" i="4"/>
  <c r="AR7" i="4"/>
  <c r="AS7" i="4" s="1"/>
  <c r="X7" i="4"/>
  <c r="Q7" i="4"/>
  <c r="O7" i="4"/>
  <c r="N7" i="4"/>
  <c r="M7" i="4"/>
  <c r="L7" i="4"/>
  <c r="G7" i="4"/>
  <c r="DQ6" i="4"/>
  <c r="DP6" i="4"/>
  <c r="DC6" i="4"/>
  <c r="CT6" i="4"/>
  <c r="CR6" i="4"/>
  <c r="CP6" i="4"/>
  <c r="CN6" i="4"/>
  <c r="CL6" i="4"/>
  <c r="CJ6" i="4"/>
  <c r="CH6" i="4"/>
  <c r="CF6" i="4"/>
  <c r="CD6" i="4"/>
  <c r="CB6" i="4"/>
  <c r="BZ6" i="4"/>
  <c r="BX6" i="4"/>
  <c r="BV6" i="4"/>
  <c r="BT6" i="4"/>
  <c r="BR6" i="4"/>
  <c r="BP6" i="4"/>
  <c r="BN6" i="4"/>
  <c r="BL6" i="4"/>
  <c r="BJ6" i="4"/>
  <c r="BH6" i="4"/>
  <c r="BF6" i="4"/>
  <c r="BD6" i="4"/>
  <c r="BB6" i="4"/>
  <c r="AZ6" i="4"/>
  <c r="AX6" i="4"/>
  <c r="AV6" i="4"/>
  <c r="AT6" i="4"/>
  <c r="AS6" i="4"/>
  <c r="AR6" i="4"/>
  <c r="X6" i="4"/>
  <c r="Q6" i="4"/>
  <c r="O6" i="4"/>
  <c r="N6" i="4"/>
  <c r="M6" i="4"/>
  <c r="L6" i="4"/>
  <c r="G6" i="4"/>
  <c r="DQ5" i="4"/>
  <c r="DP5" i="4"/>
  <c r="DP36" i="4" s="1"/>
  <c r="DQ36" i="4" s="1"/>
  <c r="DC5" i="4"/>
  <c r="CT5" i="4"/>
  <c r="CT37" i="4" s="1"/>
  <c r="CR5" i="4"/>
  <c r="CR37" i="4" s="1"/>
  <c r="CP5" i="4"/>
  <c r="CN5" i="4"/>
  <c r="CN37" i="4" s="1"/>
  <c r="CL5" i="4"/>
  <c r="CJ5" i="4"/>
  <c r="CH5" i="4"/>
  <c r="CH37" i="4" s="1"/>
  <c r="CF5" i="4"/>
  <c r="CD5" i="4"/>
  <c r="CD37" i="4" s="1"/>
  <c r="CB5" i="4"/>
  <c r="CB37" i="4" s="1"/>
  <c r="BZ5" i="4"/>
  <c r="BZ37" i="4" s="1"/>
  <c r="BX5" i="4"/>
  <c r="BX37" i="4" s="1"/>
  <c r="BV5" i="4"/>
  <c r="BT5" i="4"/>
  <c r="BR5" i="4"/>
  <c r="BR37" i="4" s="1"/>
  <c r="BP5" i="4"/>
  <c r="BN5" i="4"/>
  <c r="BL5" i="4"/>
  <c r="BL37" i="4" s="1"/>
  <c r="BJ5" i="4"/>
  <c r="BJ37" i="4" s="1"/>
  <c r="BH5" i="4"/>
  <c r="BH37" i="4" s="1"/>
  <c r="BF5" i="4"/>
  <c r="BD5" i="4"/>
  <c r="BB5" i="4"/>
  <c r="BB37" i="4" s="1"/>
  <c r="AZ5" i="4"/>
  <c r="AX5" i="4"/>
  <c r="AV5" i="4"/>
  <c r="AT5" i="4"/>
  <c r="AS5" i="4"/>
  <c r="AR5" i="4"/>
  <c r="AC5" i="4"/>
  <c r="J37" i="4" s="1"/>
  <c r="Z5" i="4"/>
  <c r="Z6" i="4" s="1"/>
  <c r="Z7" i="4" s="1"/>
  <c r="Z8" i="4" s="1"/>
  <c r="Z9" i="4" s="1"/>
  <c r="Z10" i="4" s="1"/>
  <c r="Z11" i="4" s="1"/>
  <c r="Z12" i="4" s="1"/>
  <c r="Z13" i="4" s="1"/>
  <c r="Z14" i="4" s="1"/>
  <c r="Z15" i="4" s="1"/>
  <c r="Z16" i="4" s="1"/>
  <c r="Z17" i="4" s="1"/>
  <c r="Z18" i="4" s="1"/>
  <c r="Z19" i="4" s="1"/>
  <c r="Z20" i="4" s="1"/>
  <c r="Z21" i="4" s="1"/>
  <c r="Z22" i="4" s="1"/>
  <c r="Z23" i="4" s="1"/>
  <c r="Z24" i="4" s="1"/>
  <c r="Z25" i="4" s="1"/>
  <c r="Z26" i="4" s="1"/>
  <c r="Z27" i="4" s="1"/>
  <c r="Z28" i="4" s="1"/>
  <c r="Z29" i="4" s="1"/>
  <c r="Z30" i="4" s="1"/>
  <c r="Z31" i="4" s="1"/>
  <c r="Z32" i="4" s="1"/>
  <c r="Z33" i="4" s="1"/>
  <c r="Z34" i="4" s="1"/>
  <c r="Z35" i="4" s="1"/>
  <c r="X5" i="4"/>
  <c r="X37" i="4" s="1"/>
  <c r="V5" i="4"/>
  <c r="Q5" i="4"/>
  <c r="Q37" i="4" s="1"/>
  <c r="O5" i="4"/>
  <c r="N5" i="4"/>
  <c r="M5" i="4"/>
  <c r="M37" i="4" s="1"/>
  <c r="N37" i="4" s="1"/>
  <c r="L5" i="4"/>
  <c r="H5" i="4"/>
  <c r="G5" i="4"/>
  <c r="AQ4" i="4"/>
  <c r="AP4" i="4"/>
  <c r="AO4" i="4"/>
  <c r="AN4" i="4"/>
  <c r="AM4" i="4"/>
  <c r="A1" i="4"/>
  <c r="DO37" i="3"/>
  <c r="DN37" i="3"/>
  <c r="DM37" i="3"/>
  <c r="DL37" i="3"/>
  <c r="DK37" i="3"/>
  <c r="DJ37" i="3"/>
  <c r="DI37" i="3"/>
  <c r="DH37" i="3"/>
  <c r="DG37" i="3"/>
  <c r="DF37" i="3"/>
  <c r="DA37" i="3"/>
  <c r="CZ37" i="3"/>
  <c r="CY37" i="3"/>
  <c r="CX37" i="3"/>
  <c r="CV37" i="3"/>
  <c r="CU37" i="3"/>
  <c r="CS37" i="3"/>
  <c r="CQ37" i="3"/>
  <c r="CP37" i="3"/>
  <c r="CO37" i="3"/>
  <c r="CM37" i="3"/>
  <c r="CK37" i="3"/>
  <c r="CI37" i="3"/>
  <c r="CG37" i="3"/>
  <c r="CE37" i="3"/>
  <c r="CC37" i="3"/>
  <c r="CA37" i="3"/>
  <c r="BY37" i="3"/>
  <c r="BW37" i="3"/>
  <c r="BU37" i="3"/>
  <c r="BS37" i="3"/>
  <c r="BQ37" i="3"/>
  <c r="BO37" i="3"/>
  <c r="BM37" i="3"/>
  <c r="BK37" i="3"/>
  <c r="BI37" i="3"/>
  <c r="BG37" i="3"/>
  <c r="BE37" i="3"/>
  <c r="BC37" i="3"/>
  <c r="BA37" i="3"/>
  <c r="AY37" i="3"/>
  <c r="AW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Y37" i="3"/>
  <c r="W37" i="3"/>
  <c r="L37" i="3" s="1"/>
  <c r="U37" i="3"/>
  <c r="K37" i="3"/>
  <c r="H37" i="3"/>
  <c r="F37" i="3"/>
  <c r="DO36" i="3"/>
  <c r="DN36" i="3"/>
  <c r="DM36" i="3"/>
  <c r="DL36" i="3"/>
  <c r="DK36" i="3"/>
  <c r="DJ36" i="3"/>
  <c r="DI36" i="3"/>
  <c r="DH36" i="3"/>
  <c r="DG36" i="3"/>
  <c r="DF36" i="3"/>
  <c r="DA36" i="3"/>
  <c r="CZ36" i="3"/>
  <c r="CY36" i="3"/>
  <c r="CX36" i="3"/>
  <c r="CV36" i="3"/>
  <c r="CU36" i="3"/>
  <c r="CS36" i="3"/>
  <c r="CQ36" i="3"/>
  <c r="CO36" i="3"/>
  <c r="CM36" i="3"/>
  <c r="CK36" i="3"/>
  <c r="CI36" i="3"/>
  <c r="CG36" i="3"/>
  <c r="CE36" i="3"/>
  <c r="CC36" i="3"/>
  <c r="CA36" i="3"/>
  <c r="BY36" i="3"/>
  <c r="BW36" i="3"/>
  <c r="BU36" i="3"/>
  <c r="BS36" i="3"/>
  <c r="BQ36" i="3"/>
  <c r="BO36" i="3"/>
  <c r="BM36" i="3"/>
  <c r="BK36" i="3"/>
  <c r="BI36" i="3"/>
  <c r="BG36" i="3"/>
  <c r="BE36" i="3"/>
  <c r="BC36" i="3"/>
  <c r="BA36" i="3"/>
  <c r="AY36" i="3"/>
  <c r="AW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Y36" i="3"/>
  <c r="W36" i="3"/>
  <c r="U36" i="3"/>
  <c r="N36" i="3"/>
  <c r="K36" i="3"/>
  <c r="F36" i="3"/>
  <c r="DQ35" i="3"/>
  <c r="DP35" i="3"/>
  <c r="DC35" i="3"/>
  <c r="CT35" i="3"/>
  <c r="CR35" i="3"/>
  <c r="CP35" i="3"/>
  <c r="CN35" i="3"/>
  <c r="CL35" i="3"/>
  <c r="CJ35" i="3"/>
  <c r="CH35" i="3"/>
  <c r="CF35" i="3"/>
  <c r="CD35" i="3"/>
  <c r="CB35" i="3"/>
  <c r="BZ35" i="3"/>
  <c r="BX35" i="3"/>
  <c r="BV35" i="3"/>
  <c r="BT35" i="3"/>
  <c r="BR35" i="3"/>
  <c r="BP35" i="3"/>
  <c r="BN35" i="3"/>
  <c r="BL35" i="3"/>
  <c r="BJ35" i="3"/>
  <c r="BH35" i="3"/>
  <c r="BF35" i="3"/>
  <c r="BD35" i="3"/>
  <c r="BB35" i="3"/>
  <c r="AZ35" i="3"/>
  <c r="AX35" i="3"/>
  <c r="AV35" i="3"/>
  <c r="AS35" i="3"/>
  <c r="AR35" i="3"/>
  <c r="AT35" i="3" s="1"/>
  <c r="AB35" i="3"/>
  <c r="X35" i="3"/>
  <c r="Q35" i="3"/>
  <c r="O35" i="3"/>
  <c r="N35" i="3"/>
  <c r="M35" i="3"/>
  <c r="L35" i="3"/>
  <c r="G35" i="3"/>
  <c r="DQ34" i="3"/>
  <c r="DP34" i="3"/>
  <c r="DC34" i="3"/>
  <c r="CT34" i="3"/>
  <c r="CR34" i="3"/>
  <c r="CP34" i="3"/>
  <c r="CN34" i="3"/>
  <c r="CL34" i="3"/>
  <c r="CJ34" i="3"/>
  <c r="CH34" i="3"/>
  <c r="CF34" i="3"/>
  <c r="CD34" i="3"/>
  <c r="CB34" i="3"/>
  <c r="BZ34" i="3"/>
  <c r="BX34" i="3"/>
  <c r="BV34" i="3"/>
  <c r="BT34" i="3"/>
  <c r="BR34" i="3"/>
  <c r="BP34" i="3"/>
  <c r="BN34" i="3"/>
  <c r="BL34" i="3"/>
  <c r="BJ34" i="3"/>
  <c r="BH34" i="3"/>
  <c r="BF34" i="3"/>
  <c r="BD34" i="3"/>
  <c r="BB34" i="3"/>
  <c r="AZ34" i="3"/>
  <c r="AX34" i="3"/>
  <c r="AV34" i="3"/>
  <c r="AS34" i="3"/>
  <c r="AR34" i="3"/>
  <c r="AT34" i="3" s="1"/>
  <c r="X34" i="3"/>
  <c r="Q34" i="3"/>
  <c r="O34" i="3"/>
  <c r="N34" i="3"/>
  <c r="M34" i="3"/>
  <c r="L34" i="3"/>
  <c r="G34" i="3"/>
  <c r="DQ33" i="3"/>
  <c r="DP33" i="3"/>
  <c r="DC33" i="3"/>
  <c r="CT33" i="3"/>
  <c r="CR33" i="3"/>
  <c r="CP33" i="3"/>
  <c r="CN33" i="3"/>
  <c r="CL33" i="3"/>
  <c r="CJ33" i="3"/>
  <c r="CH33" i="3"/>
  <c r="CF33" i="3"/>
  <c r="CD33" i="3"/>
  <c r="CB33" i="3"/>
  <c r="BZ33" i="3"/>
  <c r="BX33" i="3"/>
  <c r="BV33" i="3"/>
  <c r="BT33" i="3"/>
  <c r="BR33" i="3"/>
  <c r="BP33" i="3"/>
  <c r="BN33" i="3"/>
  <c r="BL33" i="3"/>
  <c r="BJ33" i="3"/>
  <c r="BH33" i="3"/>
  <c r="BF33" i="3"/>
  <c r="BD33" i="3"/>
  <c r="BB33" i="3"/>
  <c r="AZ33" i="3"/>
  <c r="AX33" i="3"/>
  <c r="AV33" i="3"/>
  <c r="AS33" i="3"/>
  <c r="AR33" i="3"/>
  <c r="AT33" i="3" s="1"/>
  <c r="X33" i="3"/>
  <c r="Q33" i="3"/>
  <c r="O33" i="3"/>
  <c r="N33" i="3"/>
  <c r="M33" i="3"/>
  <c r="L33" i="3"/>
  <c r="G33" i="3"/>
  <c r="DQ32" i="3"/>
  <c r="DP32" i="3"/>
  <c r="DC32" i="3"/>
  <c r="CT32" i="3"/>
  <c r="CR32" i="3"/>
  <c r="CP32" i="3"/>
  <c r="CN32" i="3"/>
  <c r="CL32" i="3"/>
  <c r="CJ32" i="3"/>
  <c r="CH32" i="3"/>
  <c r="CF32" i="3"/>
  <c r="CD32" i="3"/>
  <c r="CB32" i="3"/>
  <c r="BZ32" i="3"/>
  <c r="BX32" i="3"/>
  <c r="BV32" i="3"/>
  <c r="BT32" i="3"/>
  <c r="BR32" i="3"/>
  <c r="BP32" i="3"/>
  <c r="BN32" i="3"/>
  <c r="BL32" i="3"/>
  <c r="BJ32" i="3"/>
  <c r="BH32" i="3"/>
  <c r="BF32" i="3"/>
  <c r="BD32" i="3"/>
  <c r="BB32" i="3"/>
  <c r="AZ32" i="3"/>
  <c r="AX32" i="3"/>
  <c r="AV32" i="3"/>
  <c r="AS32" i="3"/>
  <c r="AR32" i="3"/>
  <c r="AT32" i="3" s="1"/>
  <c r="X32" i="3"/>
  <c r="Q32" i="3"/>
  <c r="O32" i="3"/>
  <c r="N32" i="3"/>
  <c r="M32" i="3"/>
  <c r="L32" i="3"/>
  <c r="G32" i="3"/>
  <c r="DQ31" i="3"/>
  <c r="DP31" i="3"/>
  <c r="DC31" i="3"/>
  <c r="CT31" i="3"/>
  <c r="CR31" i="3"/>
  <c r="CP31" i="3"/>
  <c r="CN31" i="3"/>
  <c r="CL31" i="3"/>
  <c r="CJ31" i="3"/>
  <c r="CH31" i="3"/>
  <c r="CF31" i="3"/>
  <c r="CD31" i="3"/>
  <c r="CB31" i="3"/>
  <c r="BZ31" i="3"/>
  <c r="BX31" i="3"/>
  <c r="BV31" i="3"/>
  <c r="BT31" i="3"/>
  <c r="BR31" i="3"/>
  <c r="BP31" i="3"/>
  <c r="BN31" i="3"/>
  <c r="BL31" i="3"/>
  <c r="BJ31" i="3"/>
  <c r="BH31" i="3"/>
  <c r="BF31" i="3"/>
  <c r="BD31" i="3"/>
  <c r="BB31" i="3"/>
  <c r="AZ31" i="3"/>
  <c r="AX31" i="3"/>
  <c r="AV31" i="3"/>
  <c r="AS31" i="3"/>
  <c r="AR31" i="3"/>
  <c r="AT31" i="3" s="1"/>
  <c r="X31" i="3"/>
  <c r="Q31" i="3"/>
  <c r="O31" i="3"/>
  <c r="N31" i="3"/>
  <c r="M31" i="3"/>
  <c r="L31" i="3"/>
  <c r="G31" i="3"/>
  <c r="DQ30" i="3"/>
  <c r="DP30" i="3"/>
  <c r="DC30" i="3"/>
  <c r="CT30" i="3"/>
  <c r="CR30" i="3"/>
  <c r="CP30" i="3"/>
  <c r="CN30" i="3"/>
  <c r="CL30" i="3"/>
  <c r="CJ30" i="3"/>
  <c r="CH30" i="3"/>
  <c r="CF30" i="3"/>
  <c r="CD30" i="3"/>
  <c r="CB30" i="3"/>
  <c r="BZ30" i="3"/>
  <c r="BX30" i="3"/>
  <c r="BV30" i="3"/>
  <c r="BT30" i="3"/>
  <c r="BR30" i="3"/>
  <c r="BP30" i="3"/>
  <c r="BN30" i="3"/>
  <c r="BL30" i="3"/>
  <c r="BJ30" i="3"/>
  <c r="BH30" i="3"/>
  <c r="BF30" i="3"/>
  <c r="BD30" i="3"/>
  <c r="BB30" i="3"/>
  <c r="AZ30" i="3"/>
  <c r="AX30" i="3"/>
  <c r="AV30" i="3"/>
  <c r="AS30" i="3"/>
  <c r="AR30" i="3"/>
  <c r="AT30" i="3" s="1"/>
  <c r="X30" i="3"/>
  <c r="Q30" i="3"/>
  <c r="O30" i="3"/>
  <c r="N30" i="3"/>
  <c r="M30" i="3"/>
  <c r="L30" i="3"/>
  <c r="G30" i="3"/>
  <c r="DQ29" i="3"/>
  <c r="DP29" i="3"/>
  <c r="DC29" i="3"/>
  <c r="CT29" i="3"/>
  <c r="CR29" i="3"/>
  <c r="CP29" i="3"/>
  <c r="CN29" i="3"/>
  <c r="CL29" i="3"/>
  <c r="CJ29" i="3"/>
  <c r="CH29" i="3"/>
  <c r="CF29" i="3"/>
  <c r="CD29" i="3"/>
  <c r="CB29" i="3"/>
  <c r="BZ29" i="3"/>
  <c r="BX29" i="3"/>
  <c r="BV29" i="3"/>
  <c r="BT29" i="3"/>
  <c r="BR29" i="3"/>
  <c r="BP29" i="3"/>
  <c r="BN29" i="3"/>
  <c r="BL29" i="3"/>
  <c r="BJ29" i="3"/>
  <c r="BH29" i="3"/>
  <c r="BF29" i="3"/>
  <c r="BD29" i="3"/>
  <c r="BB29" i="3"/>
  <c r="AZ29" i="3"/>
  <c r="AX29" i="3"/>
  <c r="AV29" i="3"/>
  <c r="AS29" i="3"/>
  <c r="AR29" i="3"/>
  <c r="AT29" i="3" s="1"/>
  <c r="X29" i="3"/>
  <c r="Q29" i="3"/>
  <c r="O29" i="3"/>
  <c r="N29" i="3"/>
  <c r="M29" i="3"/>
  <c r="L29" i="3"/>
  <c r="G29" i="3"/>
  <c r="DQ28" i="3"/>
  <c r="DP28" i="3"/>
  <c r="DC28" i="3"/>
  <c r="CT28" i="3"/>
  <c r="CR28" i="3"/>
  <c r="CP28" i="3"/>
  <c r="CN28" i="3"/>
  <c r="CL28" i="3"/>
  <c r="CJ28" i="3"/>
  <c r="CH28" i="3"/>
  <c r="CF28" i="3"/>
  <c r="CD28" i="3"/>
  <c r="CB28" i="3"/>
  <c r="BZ28" i="3"/>
  <c r="BX28" i="3"/>
  <c r="BV28" i="3"/>
  <c r="BT28" i="3"/>
  <c r="BR28" i="3"/>
  <c r="BP28" i="3"/>
  <c r="BN28" i="3"/>
  <c r="BL28" i="3"/>
  <c r="BJ28" i="3"/>
  <c r="BH28" i="3"/>
  <c r="BF28" i="3"/>
  <c r="BD28" i="3"/>
  <c r="BB28" i="3"/>
  <c r="AZ28" i="3"/>
  <c r="AX28" i="3"/>
  <c r="AV28" i="3"/>
  <c r="AS28" i="3"/>
  <c r="AR28" i="3"/>
  <c r="AT28" i="3" s="1"/>
  <c r="X28" i="3"/>
  <c r="Q28" i="3"/>
  <c r="O28" i="3"/>
  <c r="N28" i="3"/>
  <c r="M28" i="3"/>
  <c r="L28" i="3"/>
  <c r="G28" i="3"/>
  <c r="DQ27" i="3"/>
  <c r="DP27" i="3"/>
  <c r="DC27" i="3"/>
  <c r="CT27" i="3"/>
  <c r="CR27" i="3"/>
  <c r="CP27" i="3"/>
  <c r="CN27" i="3"/>
  <c r="CL27" i="3"/>
  <c r="CJ27" i="3"/>
  <c r="CH27" i="3"/>
  <c r="CF27" i="3"/>
  <c r="CD27" i="3"/>
  <c r="CB27" i="3"/>
  <c r="BZ27" i="3"/>
  <c r="BX27" i="3"/>
  <c r="BV27" i="3"/>
  <c r="BT27" i="3"/>
  <c r="BR27" i="3"/>
  <c r="BP27" i="3"/>
  <c r="BN27" i="3"/>
  <c r="BL27" i="3"/>
  <c r="BJ27" i="3"/>
  <c r="BH27" i="3"/>
  <c r="BF27" i="3"/>
  <c r="BD27" i="3"/>
  <c r="BB27" i="3"/>
  <c r="AZ27" i="3"/>
  <c r="AX27" i="3"/>
  <c r="AV27" i="3"/>
  <c r="AS27" i="3"/>
  <c r="AR27" i="3"/>
  <c r="AT27" i="3" s="1"/>
  <c r="X27" i="3"/>
  <c r="Q27" i="3"/>
  <c r="O27" i="3"/>
  <c r="N27" i="3"/>
  <c r="M27" i="3"/>
  <c r="L27" i="3"/>
  <c r="G27" i="3"/>
  <c r="DQ26" i="3"/>
  <c r="DP26" i="3"/>
  <c r="DC26" i="3"/>
  <c r="CT26" i="3"/>
  <c r="CR26" i="3"/>
  <c r="CP26" i="3"/>
  <c r="CN26" i="3"/>
  <c r="CL26" i="3"/>
  <c r="CJ26" i="3"/>
  <c r="CH26" i="3"/>
  <c r="CF26" i="3"/>
  <c r="CD26" i="3"/>
  <c r="CB26" i="3"/>
  <c r="BZ26" i="3"/>
  <c r="BX26" i="3"/>
  <c r="BV26" i="3"/>
  <c r="BT26" i="3"/>
  <c r="BR26" i="3"/>
  <c r="BP26" i="3"/>
  <c r="BN26" i="3"/>
  <c r="BL26" i="3"/>
  <c r="BJ26" i="3"/>
  <c r="BH26" i="3"/>
  <c r="BF26" i="3"/>
  <c r="BD26" i="3"/>
  <c r="BB26" i="3"/>
  <c r="AZ26" i="3"/>
  <c r="AX26" i="3"/>
  <c r="AV26" i="3"/>
  <c r="AS26" i="3"/>
  <c r="AR26" i="3"/>
  <c r="AT26" i="3" s="1"/>
  <c r="X26" i="3"/>
  <c r="Q26" i="3"/>
  <c r="O26" i="3"/>
  <c r="N26" i="3"/>
  <c r="M26" i="3"/>
  <c r="L26" i="3"/>
  <c r="G26" i="3"/>
  <c r="DQ25" i="3"/>
  <c r="DP25" i="3"/>
  <c r="DC25" i="3"/>
  <c r="CT25" i="3"/>
  <c r="CR25" i="3"/>
  <c r="CP25" i="3"/>
  <c r="CN25" i="3"/>
  <c r="CL25" i="3"/>
  <c r="CJ25" i="3"/>
  <c r="CH25" i="3"/>
  <c r="CF25" i="3"/>
  <c r="CD25" i="3"/>
  <c r="CB25" i="3"/>
  <c r="BZ25" i="3"/>
  <c r="BX25" i="3"/>
  <c r="BV25" i="3"/>
  <c r="BT25" i="3"/>
  <c r="BR25" i="3"/>
  <c r="BP25" i="3"/>
  <c r="BN25" i="3"/>
  <c r="BL25" i="3"/>
  <c r="BJ25" i="3"/>
  <c r="BH25" i="3"/>
  <c r="BF25" i="3"/>
  <c r="BD25" i="3"/>
  <c r="BB25" i="3"/>
  <c r="AZ25" i="3"/>
  <c r="AX25" i="3"/>
  <c r="AV25" i="3"/>
  <c r="AS25" i="3"/>
  <c r="AR25" i="3"/>
  <c r="AT25" i="3" s="1"/>
  <c r="X25" i="3"/>
  <c r="Q25" i="3"/>
  <c r="O25" i="3"/>
  <c r="N25" i="3"/>
  <c r="M25" i="3"/>
  <c r="L25" i="3"/>
  <c r="G25" i="3"/>
  <c r="DQ24" i="3"/>
  <c r="DP24" i="3"/>
  <c r="DC24" i="3"/>
  <c r="CT24" i="3"/>
  <c r="CR24" i="3"/>
  <c r="CP24" i="3"/>
  <c r="CN24" i="3"/>
  <c r="CL24" i="3"/>
  <c r="CJ24" i="3"/>
  <c r="CH24" i="3"/>
  <c r="CF24" i="3"/>
  <c r="CD24" i="3"/>
  <c r="CB24" i="3"/>
  <c r="BZ24" i="3"/>
  <c r="BX24" i="3"/>
  <c r="BV24" i="3"/>
  <c r="BT24" i="3"/>
  <c r="BR24" i="3"/>
  <c r="BP24" i="3"/>
  <c r="BN24" i="3"/>
  <c r="BL24" i="3"/>
  <c r="BJ24" i="3"/>
  <c r="BH24" i="3"/>
  <c r="BF24" i="3"/>
  <c r="BD24" i="3"/>
  <c r="BB24" i="3"/>
  <c r="AZ24" i="3"/>
  <c r="AX24" i="3"/>
  <c r="AV24" i="3"/>
  <c r="AS24" i="3"/>
  <c r="AR24" i="3"/>
  <c r="AT24" i="3" s="1"/>
  <c r="X24" i="3"/>
  <c r="Q24" i="3"/>
  <c r="O24" i="3"/>
  <c r="N24" i="3"/>
  <c r="M24" i="3"/>
  <c r="L24" i="3"/>
  <c r="G24" i="3"/>
  <c r="DQ23" i="3"/>
  <c r="DP23" i="3"/>
  <c r="DC23" i="3"/>
  <c r="CT23" i="3"/>
  <c r="CR23" i="3"/>
  <c r="CP23" i="3"/>
  <c r="CN23" i="3"/>
  <c r="CL23" i="3"/>
  <c r="CJ23" i="3"/>
  <c r="CH23" i="3"/>
  <c r="CF23" i="3"/>
  <c r="CD23" i="3"/>
  <c r="CB23" i="3"/>
  <c r="BZ23" i="3"/>
  <c r="BX23" i="3"/>
  <c r="BV23" i="3"/>
  <c r="BT23" i="3"/>
  <c r="BR23" i="3"/>
  <c r="BP23" i="3"/>
  <c r="BN23" i="3"/>
  <c r="BL23" i="3"/>
  <c r="BJ23" i="3"/>
  <c r="BH23" i="3"/>
  <c r="BF23" i="3"/>
  <c r="BD23" i="3"/>
  <c r="BB23" i="3"/>
  <c r="AZ23" i="3"/>
  <c r="AX23" i="3"/>
  <c r="AV23" i="3"/>
  <c r="AS23" i="3"/>
  <c r="AR23" i="3"/>
  <c r="AT23" i="3" s="1"/>
  <c r="X23" i="3"/>
  <c r="Q23" i="3"/>
  <c r="O23" i="3"/>
  <c r="N23" i="3"/>
  <c r="M23" i="3"/>
  <c r="L23" i="3"/>
  <c r="G23" i="3"/>
  <c r="DQ22" i="3"/>
  <c r="DP22" i="3"/>
  <c r="DC22" i="3"/>
  <c r="CT22" i="3"/>
  <c r="CR22" i="3"/>
  <c r="CP22" i="3"/>
  <c r="CN22" i="3"/>
  <c r="CL22" i="3"/>
  <c r="CJ22" i="3"/>
  <c r="CH22" i="3"/>
  <c r="CF22" i="3"/>
  <c r="CD22" i="3"/>
  <c r="CB22" i="3"/>
  <c r="BZ22" i="3"/>
  <c r="BX22" i="3"/>
  <c r="BV22" i="3"/>
  <c r="BT22" i="3"/>
  <c r="BR22" i="3"/>
  <c r="BP22" i="3"/>
  <c r="BN22" i="3"/>
  <c r="BL22" i="3"/>
  <c r="BJ22" i="3"/>
  <c r="BH22" i="3"/>
  <c r="BF22" i="3"/>
  <c r="BD22" i="3"/>
  <c r="BB22" i="3"/>
  <c r="AZ22" i="3"/>
  <c r="AX22" i="3"/>
  <c r="AV22" i="3"/>
  <c r="AS22" i="3"/>
  <c r="AR22" i="3"/>
  <c r="AT22" i="3" s="1"/>
  <c r="X22" i="3"/>
  <c r="Q22" i="3"/>
  <c r="O22" i="3"/>
  <c r="N22" i="3"/>
  <c r="M22" i="3"/>
  <c r="L22" i="3"/>
  <c r="G22" i="3"/>
  <c r="DQ21" i="3"/>
  <c r="DP21" i="3"/>
  <c r="DC21" i="3"/>
  <c r="CT21" i="3"/>
  <c r="CR21" i="3"/>
  <c r="CP21" i="3"/>
  <c r="CN21" i="3"/>
  <c r="CL21" i="3"/>
  <c r="CJ21" i="3"/>
  <c r="CH21" i="3"/>
  <c r="CF21" i="3"/>
  <c r="CD21" i="3"/>
  <c r="CB21" i="3"/>
  <c r="BZ21" i="3"/>
  <c r="BX21" i="3"/>
  <c r="BV21" i="3"/>
  <c r="BT21" i="3"/>
  <c r="BR21" i="3"/>
  <c r="BP21" i="3"/>
  <c r="BN21" i="3"/>
  <c r="BL21" i="3"/>
  <c r="BJ21" i="3"/>
  <c r="BH21" i="3"/>
  <c r="BF21" i="3"/>
  <c r="BD21" i="3"/>
  <c r="BB21" i="3"/>
  <c r="AZ21" i="3"/>
  <c r="AX21" i="3"/>
  <c r="AV21" i="3"/>
  <c r="AS21" i="3"/>
  <c r="AR21" i="3"/>
  <c r="AT21" i="3" s="1"/>
  <c r="X21" i="3"/>
  <c r="Q21" i="3"/>
  <c r="O21" i="3"/>
  <c r="N21" i="3"/>
  <c r="M21" i="3"/>
  <c r="L21" i="3"/>
  <c r="G21" i="3"/>
  <c r="DQ20" i="3"/>
  <c r="DP20" i="3"/>
  <c r="DC20" i="3"/>
  <c r="CT20" i="3"/>
  <c r="CR20" i="3"/>
  <c r="CP20" i="3"/>
  <c r="CN20" i="3"/>
  <c r="CL20" i="3"/>
  <c r="CJ20" i="3"/>
  <c r="CH20" i="3"/>
  <c r="CF20" i="3"/>
  <c r="CD20" i="3"/>
  <c r="CB20" i="3"/>
  <c r="BZ20" i="3"/>
  <c r="BX20" i="3"/>
  <c r="BV20" i="3"/>
  <c r="BT20" i="3"/>
  <c r="BR20" i="3"/>
  <c r="BP20" i="3"/>
  <c r="BN20" i="3"/>
  <c r="BL20" i="3"/>
  <c r="BJ20" i="3"/>
  <c r="BH20" i="3"/>
  <c r="BF20" i="3"/>
  <c r="BD20" i="3"/>
  <c r="BB20" i="3"/>
  <c r="AZ20" i="3"/>
  <c r="AX20" i="3"/>
  <c r="AV20" i="3"/>
  <c r="AS20" i="3"/>
  <c r="AR20" i="3"/>
  <c r="AT20" i="3" s="1"/>
  <c r="X20" i="3"/>
  <c r="Q20" i="3"/>
  <c r="O20" i="3"/>
  <c r="N20" i="3"/>
  <c r="M20" i="3"/>
  <c r="L20" i="3"/>
  <c r="G20" i="3"/>
  <c r="DQ19" i="3"/>
  <c r="DP19" i="3"/>
  <c r="DC19" i="3"/>
  <c r="CT19" i="3"/>
  <c r="CR19" i="3"/>
  <c r="CP19" i="3"/>
  <c r="CN19" i="3"/>
  <c r="CL19" i="3"/>
  <c r="CJ19" i="3"/>
  <c r="CH19" i="3"/>
  <c r="CF19" i="3"/>
  <c r="CD19" i="3"/>
  <c r="CB19" i="3"/>
  <c r="BZ19" i="3"/>
  <c r="BX19" i="3"/>
  <c r="BV19" i="3"/>
  <c r="BT19" i="3"/>
  <c r="BR19" i="3"/>
  <c r="BP19" i="3"/>
  <c r="BN19" i="3"/>
  <c r="BL19" i="3"/>
  <c r="BJ19" i="3"/>
  <c r="BH19" i="3"/>
  <c r="BF19" i="3"/>
  <c r="BD19" i="3"/>
  <c r="BB19" i="3"/>
  <c r="AZ19" i="3"/>
  <c r="AX19" i="3"/>
  <c r="AV19" i="3"/>
  <c r="AS19" i="3"/>
  <c r="AR19" i="3"/>
  <c r="AT19" i="3" s="1"/>
  <c r="X19" i="3"/>
  <c r="Q19" i="3"/>
  <c r="O19" i="3"/>
  <c r="N19" i="3"/>
  <c r="M19" i="3"/>
  <c r="L19" i="3"/>
  <c r="G19" i="3"/>
  <c r="DQ18" i="3"/>
  <c r="DP18" i="3"/>
  <c r="DC18" i="3"/>
  <c r="CT18" i="3"/>
  <c r="CR18" i="3"/>
  <c r="CP18" i="3"/>
  <c r="CN18" i="3"/>
  <c r="CL18" i="3"/>
  <c r="CJ18" i="3"/>
  <c r="CH18" i="3"/>
  <c r="CF18" i="3"/>
  <c r="CD18" i="3"/>
  <c r="CB18" i="3"/>
  <c r="BZ18" i="3"/>
  <c r="BX18" i="3"/>
  <c r="BV18" i="3"/>
  <c r="BT18" i="3"/>
  <c r="BR18" i="3"/>
  <c r="BP18" i="3"/>
  <c r="BN18" i="3"/>
  <c r="BL18" i="3"/>
  <c r="BJ18" i="3"/>
  <c r="BH18" i="3"/>
  <c r="BF18" i="3"/>
  <c r="BD18" i="3"/>
  <c r="BB18" i="3"/>
  <c r="AZ18" i="3"/>
  <c r="AX18" i="3"/>
  <c r="AV18" i="3"/>
  <c r="AS18" i="3"/>
  <c r="AR18" i="3"/>
  <c r="AT18" i="3" s="1"/>
  <c r="X18" i="3"/>
  <c r="Q18" i="3"/>
  <c r="O18" i="3"/>
  <c r="N18" i="3"/>
  <c r="M18" i="3"/>
  <c r="L18" i="3"/>
  <c r="G18" i="3"/>
  <c r="DQ17" i="3"/>
  <c r="DP17" i="3"/>
  <c r="DC17" i="3"/>
  <c r="CT17" i="3"/>
  <c r="CR17" i="3"/>
  <c r="CP17" i="3"/>
  <c r="CN17" i="3"/>
  <c r="CL17" i="3"/>
  <c r="CJ17" i="3"/>
  <c r="CH17" i="3"/>
  <c r="CF17" i="3"/>
  <c r="CD17" i="3"/>
  <c r="CB17" i="3"/>
  <c r="BZ17" i="3"/>
  <c r="BX17" i="3"/>
  <c r="BV17" i="3"/>
  <c r="BT17" i="3"/>
  <c r="BR17" i="3"/>
  <c r="BP17" i="3"/>
  <c r="BN17" i="3"/>
  <c r="BL17" i="3"/>
  <c r="BJ17" i="3"/>
  <c r="BH17" i="3"/>
  <c r="BF17" i="3"/>
  <c r="BD17" i="3"/>
  <c r="BB17" i="3"/>
  <c r="AZ17" i="3"/>
  <c r="AX17" i="3"/>
  <c r="AV17" i="3"/>
  <c r="AS17" i="3"/>
  <c r="AR17" i="3"/>
  <c r="AT17" i="3" s="1"/>
  <c r="X17" i="3"/>
  <c r="Q17" i="3"/>
  <c r="O17" i="3"/>
  <c r="N17" i="3"/>
  <c r="M17" i="3"/>
  <c r="L17" i="3"/>
  <c r="G17" i="3"/>
  <c r="DQ16" i="3"/>
  <c r="DP16" i="3"/>
  <c r="DC16" i="3"/>
  <c r="CT16" i="3"/>
  <c r="CR16" i="3"/>
  <c r="CP16" i="3"/>
  <c r="CN16" i="3"/>
  <c r="CL16" i="3"/>
  <c r="CJ16" i="3"/>
  <c r="CH16" i="3"/>
  <c r="CF16" i="3"/>
  <c r="CD16" i="3"/>
  <c r="CB16" i="3"/>
  <c r="BZ16" i="3"/>
  <c r="BX16" i="3"/>
  <c r="BV16" i="3"/>
  <c r="BT16" i="3"/>
  <c r="BR16" i="3"/>
  <c r="BP16" i="3"/>
  <c r="BN16" i="3"/>
  <c r="BL16" i="3"/>
  <c r="BJ16" i="3"/>
  <c r="BH16" i="3"/>
  <c r="BF16" i="3"/>
  <c r="BD16" i="3"/>
  <c r="BB16" i="3"/>
  <c r="AZ16" i="3"/>
  <c r="AX16" i="3"/>
  <c r="AV16" i="3"/>
  <c r="AS16" i="3"/>
  <c r="AR16" i="3"/>
  <c r="AT16" i="3" s="1"/>
  <c r="X16" i="3"/>
  <c r="Q16" i="3"/>
  <c r="O16" i="3"/>
  <c r="N16" i="3"/>
  <c r="M16" i="3"/>
  <c r="L16" i="3"/>
  <c r="G16" i="3"/>
  <c r="DQ15" i="3"/>
  <c r="DP15" i="3"/>
  <c r="DC15" i="3"/>
  <c r="CT15" i="3"/>
  <c r="CR15" i="3"/>
  <c r="CP15" i="3"/>
  <c r="CN15" i="3"/>
  <c r="CL15" i="3"/>
  <c r="CJ15" i="3"/>
  <c r="CH15" i="3"/>
  <c r="CF15" i="3"/>
  <c r="CD15" i="3"/>
  <c r="CB15" i="3"/>
  <c r="BZ15" i="3"/>
  <c r="BX15" i="3"/>
  <c r="BV15" i="3"/>
  <c r="BT15" i="3"/>
  <c r="BR15" i="3"/>
  <c r="BP15" i="3"/>
  <c r="BN15" i="3"/>
  <c r="BL15" i="3"/>
  <c r="BJ15" i="3"/>
  <c r="BH15" i="3"/>
  <c r="BF15" i="3"/>
  <c r="BD15" i="3"/>
  <c r="BB15" i="3"/>
  <c r="AZ15" i="3"/>
  <c r="AX15" i="3"/>
  <c r="AV15" i="3"/>
  <c r="AS15" i="3"/>
  <c r="AR15" i="3"/>
  <c r="AT15" i="3" s="1"/>
  <c r="X15" i="3"/>
  <c r="Q15" i="3"/>
  <c r="O15" i="3"/>
  <c r="N15" i="3"/>
  <c r="M15" i="3"/>
  <c r="L15" i="3"/>
  <c r="G15" i="3"/>
  <c r="DQ14" i="3"/>
  <c r="DP14" i="3"/>
  <c r="DC14" i="3"/>
  <c r="CT14" i="3"/>
  <c r="CR14" i="3"/>
  <c r="CP14" i="3"/>
  <c r="CN14" i="3"/>
  <c r="CL14" i="3"/>
  <c r="CJ14" i="3"/>
  <c r="CH14" i="3"/>
  <c r="CF14" i="3"/>
  <c r="CD14" i="3"/>
  <c r="CB14" i="3"/>
  <c r="BZ14" i="3"/>
  <c r="BX14" i="3"/>
  <c r="BV14" i="3"/>
  <c r="BT14" i="3"/>
  <c r="BR14" i="3"/>
  <c r="BP14" i="3"/>
  <c r="BN14" i="3"/>
  <c r="BL14" i="3"/>
  <c r="BJ14" i="3"/>
  <c r="BH14" i="3"/>
  <c r="BF14" i="3"/>
  <c r="BD14" i="3"/>
  <c r="BB14" i="3"/>
  <c r="AZ14" i="3"/>
  <c r="AX14" i="3"/>
  <c r="AV14" i="3"/>
  <c r="AS14" i="3"/>
  <c r="AR14" i="3"/>
  <c r="AT14" i="3" s="1"/>
  <c r="X14" i="3"/>
  <c r="Q14" i="3"/>
  <c r="O14" i="3"/>
  <c r="N14" i="3"/>
  <c r="M14" i="3"/>
  <c r="L14" i="3"/>
  <c r="G14" i="3"/>
  <c r="DQ13" i="3"/>
  <c r="DP13" i="3"/>
  <c r="DC13" i="3"/>
  <c r="CT13" i="3"/>
  <c r="CR13" i="3"/>
  <c r="CP13" i="3"/>
  <c r="CN13" i="3"/>
  <c r="CL13" i="3"/>
  <c r="CJ13" i="3"/>
  <c r="CH13" i="3"/>
  <c r="CF13" i="3"/>
  <c r="CD13" i="3"/>
  <c r="CB13" i="3"/>
  <c r="BZ13" i="3"/>
  <c r="BX13" i="3"/>
  <c r="BV13" i="3"/>
  <c r="BT13" i="3"/>
  <c r="BR13" i="3"/>
  <c r="BP13" i="3"/>
  <c r="BN13" i="3"/>
  <c r="BL13" i="3"/>
  <c r="BJ13" i="3"/>
  <c r="BH13" i="3"/>
  <c r="BF13" i="3"/>
  <c r="BD13" i="3"/>
  <c r="BB13" i="3"/>
  <c r="AZ13" i="3"/>
  <c r="AX13" i="3"/>
  <c r="AV13" i="3"/>
  <c r="AS13" i="3"/>
  <c r="AR13" i="3"/>
  <c r="AT13" i="3" s="1"/>
  <c r="X13" i="3"/>
  <c r="Q13" i="3"/>
  <c r="O13" i="3"/>
  <c r="N13" i="3"/>
  <c r="M13" i="3"/>
  <c r="L13" i="3"/>
  <c r="G13" i="3"/>
  <c r="DQ12" i="3"/>
  <c r="DP12" i="3"/>
  <c r="DC12" i="3"/>
  <c r="CT12" i="3"/>
  <c r="CR12" i="3"/>
  <c r="CP12" i="3"/>
  <c r="CN12" i="3"/>
  <c r="CL12" i="3"/>
  <c r="CJ12" i="3"/>
  <c r="CH12" i="3"/>
  <c r="CF12" i="3"/>
  <c r="CD12" i="3"/>
  <c r="CB12" i="3"/>
  <c r="BZ12" i="3"/>
  <c r="BX12" i="3"/>
  <c r="BV12" i="3"/>
  <c r="BT12" i="3"/>
  <c r="BR12" i="3"/>
  <c r="BP12" i="3"/>
  <c r="BN12" i="3"/>
  <c r="BL12" i="3"/>
  <c r="BJ12" i="3"/>
  <c r="BH12" i="3"/>
  <c r="BF12" i="3"/>
  <c r="BD12" i="3"/>
  <c r="BB12" i="3"/>
  <c r="AZ12" i="3"/>
  <c r="AX12" i="3"/>
  <c r="AV12" i="3"/>
  <c r="AS12" i="3"/>
  <c r="AR12" i="3"/>
  <c r="AT12" i="3" s="1"/>
  <c r="X12" i="3"/>
  <c r="Q12" i="3"/>
  <c r="O12" i="3"/>
  <c r="N12" i="3"/>
  <c r="M12" i="3"/>
  <c r="L12" i="3"/>
  <c r="G12" i="3"/>
  <c r="DQ11" i="3"/>
  <c r="DP11" i="3"/>
  <c r="DC11" i="3"/>
  <c r="CT11" i="3"/>
  <c r="CR11" i="3"/>
  <c r="CP11" i="3"/>
  <c r="CN11" i="3"/>
  <c r="CL11" i="3"/>
  <c r="CJ11" i="3"/>
  <c r="CH11" i="3"/>
  <c r="CF11" i="3"/>
  <c r="CD11" i="3"/>
  <c r="CB11" i="3"/>
  <c r="BZ11" i="3"/>
  <c r="BX11" i="3"/>
  <c r="BV11" i="3"/>
  <c r="BT11" i="3"/>
  <c r="BR11" i="3"/>
  <c r="BP11" i="3"/>
  <c r="BN11" i="3"/>
  <c r="BL11" i="3"/>
  <c r="BJ11" i="3"/>
  <c r="BH11" i="3"/>
  <c r="BF11" i="3"/>
  <c r="BD11" i="3"/>
  <c r="BB11" i="3"/>
  <c r="AZ11" i="3"/>
  <c r="AX11" i="3"/>
  <c r="AV11" i="3"/>
  <c r="AS11" i="3"/>
  <c r="AR11" i="3"/>
  <c r="AT11" i="3" s="1"/>
  <c r="X11" i="3"/>
  <c r="Q11" i="3"/>
  <c r="O11" i="3"/>
  <c r="N11" i="3"/>
  <c r="M11" i="3"/>
  <c r="L11" i="3"/>
  <c r="G11" i="3"/>
  <c r="DQ10" i="3"/>
  <c r="DP10" i="3"/>
  <c r="DC10" i="3"/>
  <c r="CT10" i="3"/>
  <c r="CR10" i="3"/>
  <c r="CP10" i="3"/>
  <c r="CN10" i="3"/>
  <c r="CL10" i="3"/>
  <c r="CJ10" i="3"/>
  <c r="CH10" i="3"/>
  <c r="CF10" i="3"/>
  <c r="CD10" i="3"/>
  <c r="CB10" i="3"/>
  <c r="BZ10" i="3"/>
  <c r="BX10" i="3"/>
  <c r="BV10" i="3"/>
  <c r="BT10" i="3"/>
  <c r="BR10" i="3"/>
  <c r="BP10" i="3"/>
  <c r="BN10" i="3"/>
  <c r="BL10" i="3"/>
  <c r="BJ10" i="3"/>
  <c r="BH10" i="3"/>
  <c r="BF10" i="3"/>
  <c r="BD10" i="3"/>
  <c r="BB10" i="3"/>
  <c r="AZ10" i="3"/>
  <c r="AX10" i="3"/>
  <c r="AV10" i="3"/>
  <c r="AS10" i="3"/>
  <c r="AR10" i="3"/>
  <c r="AT10" i="3" s="1"/>
  <c r="X10" i="3"/>
  <c r="Q10" i="3"/>
  <c r="O10" i="3"/>
  <c r="N10" i="3"/>
  <c r="M10" i="3"/>
  <c r="L10" i="3"/>
  <c r="G10" i="3"/>
  <c r="DQ9" i="3"/>
  <c r="DP9" i="3"/>
  <c r="DC9" i="3"/>
  <c r="CT9" i="3"/>
  <c r="CR9" i="3"/>
  <c r="CP9" i="3"/>
  <c r="CN9" i="3"/>
  <c r="CL9" i="3"/>
  <c r="CJ9" i="3"/>
  <c r="CH9" i="3"/>
  <c r="CF9" i="3"/>
  <c r="CD9" i="3"/>
  <c r="CB9" i="3"/>
  <c r="BZ9" i="3"/>
  <c r="BX9" i="3"/>
  <c r="BV9" i="3"/>
  <c r="BT9" i="3"/>
  <c r="BR9" i="3"/>
  <c r="BP9" i="3"/>
  <c r="BN9" i="3"/>
  <c r="BL9" i="3"/>
  <c r="BJ9" i="3"/>
  <c r="BH9" i="3"/>
  <c r="BF9" i="3"/>
  <c r="BD9" i="3"/>
  <c r="BB9" i="3"/>
  <c r="AZ9" i="3"/>
  <c r="AX9" i="3"/>
  <c r="AV9" i="3"/>
  <c r="AS9" i="3"/>
  <c r="AR9" i="3"/>
  <c r="AT9" i="3" s="1"/>
  <c r="X9" i="3"/>
  <c r="Q9" i="3"/>
  <c r="O9" i="3"/>
  <c r="N9" i="3"/>
  <c r="M9" i="3"/>
  <c r="L9" i="3"/>
  <c r="H9" i="3"/>
  <c r="G9" i="3"/>
  <c r="DQ8" i="3"/>
  <c r="DP8" i="3"/>
  <c r="DC8" i="3"/>
  <c r="CT8" i="3"/>
  <c r="CR8" i="3"/>
  <c r="CP8" i="3"/>
  <c r="CN8" i="3"/>
  <c r="CL8" i="3"/>
  <c r="CJ8" i="3"/>
  <c r="CH8" i="3"/>
  <c r="CF8" i="3"/>
  <c r="CD8" i="3"/>
  <c r="CB8" i="3"/>
  <c r="BZ8" i="3"/>
  <c r="BX8" i="3"/>
  <c r="BV8" i="3"/>
  <c r="BT8" i="3"/>
  <c r="BR8" i="3"/>
  <c r="BP8" i="3"/>
  <c r="BN8" i="3"/>
  <c r="BL8" i="3"/>
  <c r="BJ8" i="3"/>
  <c r="BH8" i="3"/>
  <c r="BF8" i="3"/>
  <c r="BD8" i="3"/>
  <c r="BB8" i="3"/>
  <c r="AZ8" i="3"/>
  <c r="AX8" i="3"/>
  <c r="AV8" i="3"/>
  <c r="AS8" i="3"/>
  <c r="AR8" i="3"/>
  <c r="AT8" i="3" s="1"/>
  <c r="X8" i="3"/>
  <c r="Q8" i="3"/>
  <c r="O8" i="3"/>
  <c r="N8" i="3"/>
  <c r="M8" i="3"/>
  <c r="L8" i="3"/>
  <c r="H8" i="3"/>
  <c r="G8" i="3"/>
  <c r="DQ7" i="3"/>
  <c r="DP7" i="3"/>
  <c r="DC7" i="3"/>
  <c r="CT7" i="3"/>
  <c r="CR7" i="3"/>
  <c r="CP7" i="3"/>
  <c r="CN7" i="3"/>
  <c r="CL7" i="3"/>
  <c r="CJ7" i="3"/>
  <c r="CH7" i="3"/>
  <c r="CF7" i="3"/>
  <c r="CD7" i="3"/>
  <c r="CB7" i="3"/>
  <c r="BZ7" i="3"/>
  <c r="BX7" i="3"/>
  <c r="BV7" i="3"/>
  <c r="BT7" i="3"/>
  <c r="BR7" i="3"/>
  <c r="BP7" i="3"/>
  <c r="BN7" i="3"/>
  <c r="BL7" i="3"/>
  <c r="BJ7" i="3"/>
  <c r="BH7" i="3"/>
  <c r="BF7" i="3"/>
  <c r="BD7" i="3"/>
  <c r="BB7" i="3"/>
  <c r="AZ7" i="3"/>
  <c r="AX7" i="3"/>
  <c r="AV7" i="3"/>
  <c r="AS7" i="3"/>
  <c r="AR7" i="3"/>
  <c r="AT7" i="3" s="1"/>
  <c r="X7" i="3"/>
  <c r="Q7" i="3"/>
  <c r="O7" i="3"/>
  <c r="N7" i="3"/>
  <c r="M7" i="3"/>
  <c r="L7" i="3"/>
  <c r="H7" i="3"/>
  <c r="G7" i="3"/>
  <c r="DQ6" i="3"/>
  <c r="DP6" i="3"/>
  <c r="DC6" i="3"/>
  <c r="CT6" i="3"/>
  <c r="CR6" i="3"/>
  <c r="CP6" i="3"/>
  <c r="CN6" i="3"/>
  <c r="CL6" i="3"/>
  <c r="CJ6" i="3"/>
  <c r="CH6" i="3"/>
  <c r="CF6" i="3"/>
  <c r="CD6" i="3"/>
  <c r="CB6" i="3"/>
  <c r="BZ6" i="3"/>
  <c r="BX6" i="3"/>
  <c r="BV6" i="3"/>
  <c r="BT6" i="3"/>
  <c r="BR6" i="3"/>
  <c r="BP6" i="3"/>
  <c r="BN6" i="3"/>
  <c r="BL6" i="3"/>
  <c r="BJ6" i="3"/>
  <c r="BH6" i="3"/>
  <c r="BF6" i="3"/>
  <c r="BD6" i="3"/>
  <c r="BB6" i="3"/>
  <c r="AZ6" i="3"/>
  <c r="AX6" i="3"/>
  <c r="AV6" i="3"/>
  <c r="AS6" i="3"/>
  <c r="AR6" i="3"/>
  <c r="AT6" i="3" s="1"/>
  <c r="X6" i="3"/>
  <c r="Q6" i="3"/>
  <c r="O6" i="3"/>
  <c r="N6" i="3"/>
  <c r="M6" i="3"/>
  <c r="L6" i="3"/>
  <c r="H6" i="3"/>
  <c r="G6" i="3"/>
  <c r="DP5" i="3"/>
  <c r="DC5" i="3"/>
  <c r="CT5" i="3"/>
  <c r="CT37" i="3" s="1"/>
  <c r="CR5" i="3"/>
  <c r="CR37" i="3" s="1"/>
  <c r="CP5" i="3"/>
  <c r="CN5" i="3"/>
  <c r="CL5" i="3"/>
  <c r="CL37" i="3" s="1"/>
  <c r="CJ5" i="3"/>
  <c r="CH5" i="3"/>
  <c r="CH37" i="3" s="1"/>
  <c r="CF5" i="3"/>
  <c r="CF37" i="3" s="1"/>
  <c r="CD5" i="3"/>
  <c r="CD37" i="3" s="1"/>
  <c r="CB5" i="3"/>
  <c r="CB37" i="3" s="1"/>
  <c r="BZ5" i="3"/>
  <c r="BZ37" i="3" s="1"/>
  <c r="BX5" i="3"/>
  <c r="BX37" i="3" s="1"/>
  <c r="BV5" i="3"/>
  <c r="BV37" i="3" s="1"/>
  <c r="BT5" i="3"/>
  <c r="BR5" i="3"/>
  <c r="BR37" i="3" s="1"/>
  <c r="BP5" i="3"/>
  <c r="BP37" i="3" s="1"/>
  <c r="BN5" i="3"/>
  <c r="BN37" i="3" s="1"/>
  <c r="BL5" i="3"/>
  <c r="BL37" i="3" s="1"/>
  <c r="BJ5" i="3"/>
  <c r="BJ37" i="3" s="1"/>
  <c r="BH5" i="3"/>
  <c r="BF5" i="3"/>
  <c r="BF37" i="3" s="1"/>
  <c r="BD5" i="3"/>
  <c r="BB5" i="3"/>
  <c r="BB37" i="3" s="1"/>
  <c r="AZ5" i="3"/>
  <c r="AZ37" i="3" s="1"/>
  <c r="AX5" i="3"/>
  <c r="AX37" i="3" s="1"/>
  <c r="AV5" i="3"/>
  <c r="AR5" i="3"/>
  <c r="AT5" i="3" s="1"/>
  <c r="AC5" i="3"/>
  <c r="AA5" i="3"/>
  <c r="Z5" i="3"/>
  <c r="Z6" i="3" s="1"/>
  <c r="Z7" i="3" s="1"/>
  <c r="X5" i="3"/>
  <c r="X37" i="3" s="1"/>
  <c r="V5" i="3"/>
  <c r="V6" i="3" s="1"/>
  <c r="V7" i="3" s="1"/>
  <c r="V8" i="3" s="1"/>
  <c r="V9" i="3" s="1"/>
  <c r="V10" i="3" s="1"/>
  <c r="Q5" i="3"/>
  <c r="O5" i="3"/>
  <c r="M5" i="3"/>
  <c r="M37" i="3" s="1"/>
  <c r="L5" i="3"/>
  <c r="H5" i="3"/>
  <c r="G5" i="3"/>
  <c r="I5" i="3" s="1" a="1"/>
  <c r="I5" i="3" s="1"/>
  <c r="AQ4" i="3"/>
  <c r="AP4" i="3"/>
  <c r="AO4" i="3"/>
  <c r="AN4" i="3"/>
  <c r="AM4" i="3"/>
  <c r="A1" i="3"/>
  <c r="DO37" i="2"/>
  <c r="DN37" i="2"/>
  <c r="DM37" i="2"/>
  <c r="DL37" i="2"/>
  <c r="DK37" i="2"/>
  <c r="DJ37" i="2"/>
  <c r="DI37" i="2"/>
  <c r="DH37" i="2"/>
  <c r="DG37" i="2"/>
  <c r="DF37" i="2"/>
  <c r="DA37" i="2"/>
  <c r="CZ37" i="2"/>
  <c r="CY37" i="2"/>
  <c r="CX37" i="2"/>
  <c r="CV37" i="2"/>
  <c r="CU37" i="2"/>
  <c r="CS37" i="2"/>
  <c r="CQ37" i="2"/>
  <c r="CO37" i="2"/>
  <c r="CM37" i="2"/>
  <c r="CK37" i="2"/>
  <c r="CI37" i="2"/>
  <c r="CG37" i="2"/>
  <c r="CE37" i="2"/>
  <c r="CC37" i="2"/>
  <c r="CA37" i="2"/>
  <c r="BY37" i="2"/>
  <c r="BW37" i="2"/>
  <c r="BU37" i="2"/>
  <c r="BS37" i="2"/>
  <c r="BQ37" i="2"/>
  <c r="BO37" i="2"/>
  <c r="BM37" i="2"/>
  <c r="BK37" i="2"/>
  <c r="BI37" i="2"/>
  <c r="BG37" i="2"/>
  <c r="BE37" i="2"/>
  <c r="BC37" i="2"/>
  <c r="BA37" i="2"/>
  <c r="AY37" i="2"/>
  <c r="AW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Y37" i="2"/>
  <c r="W37" i="2"/>
  <c r="U37" i="2"/>
  <c r="K37" i="2"/>
  <c r="L37" i="2" s="1"/>
  <c r="H37" i="2"/>
  <c r="F37" i="2"/>
  <c r="DO36" i="2"/>
  <c r="DN36" i="2"/>
  <c r="DM36" i="2"/>
  <c r="DL36" i="2"/>
  <c r="DK36" i="2"/>
  <c r="DJ36" i="2"/>
  <c r="DI36" i="2"/>
  <c r="DH36" i="2"/>
  <c r="DG36" i="2"/>
  <c r="DF36" i="2"/>
  <c r="DA36" i="2"/>
  <c r="CZ36" i="2"/>
  <c r="CY36" i="2"/>
  <c r="CX36" i="2"/>
  <c r="CV36" i="2"/>
  <c r="CU36" i="2"/>
  <c r="CS36" i="2"/>
  <c r="CQ36" i="2"/>
  <c r="CO36" i="2"/>
  <c r="CM36" i="2"/>
  <c r="CK36" i="2"/>
  <c r="CI36" i="2"/>
  <c r="CG36" i="2"/>
  <c r="CE36" i="2"/>
  <c r="CC36" i="2"/>
  <c r="CA36" i="2"/>
  <c r="BY36" i="2"/>
  <c r="BW36" i="2"/>
  <c r="BU36" i="2"/>
  <c r="BS36" i="2"/>
  <c r="BQ36" i="2"/>
  <c r="BO36" i="2"/>
  <c r="BM36" i="2"/>
  <c r="BK36" i="2"/>
  <c r="BI36" i="2"/>
  <c r="BG36" i="2"/>
  <c r="BE36" i="2"/>
  <c r="BC36" i="2"/>
  <c r="BA36" i="2"/>
  <c r="AY36" i="2"/>
  <c r="AW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Y36" i="2"/>
  <c r="W36" i="2"/>
  <c r="U36" i="2"/>
  <c r="N36" i="2"/>
  <c r="L36" i="2"/>
  <c r="K36" i="2"/>
  <c r="F36" i="2"/>
  <c r="DP35" i="2"/>
  <c r="DQ35" i="2" s="1"/>
  <c r="DC35" i="2"/>
  <c r="CT35" i="2"/>
  <c r="CR35" i="2"/>
  <c r="CP35" i="2"/>
  <c r="CN35" i="2"/>
  <c r="CL35" i="2"/>
  <c r="CJ35" i="2"/>
  <c r="CH35" i="2"/>
  <c r="CF35" i="2"/>
  <c r="CD35" i="2"/>
  <c r="CB35" i="2"/>
  <c r="BZ35" i="2"/>
  <c r="BX35" i="2"/>
  <c r="BV35" i="2"/>
  <c r="BT35" i="2"/>
  <c r="BR35" i="2"/>
  <c r="BP35" i="2"/>
  <c r="BN35" i="2"/>
  <c r="BL35" i="2"/>
  <c r="BJ35" i="2"/>
  <c r="BH35" i="2"/>
  <c r="BF35" i="2"/>
  <c r="BD35" i="2"/>
  <c r="BB35" i="2"/>
  <c r="AZ35" i="2"/>
  <c r="AX35" i="2"/>
  <c r="AV35" i="2"/>
  <c r="AT35" i="2"/>
  <c r="AR35" i="2"/>
  <c r="AS35" i="2" s="1"/>
  <c r="X35" i="2"/>
  <c r="Q35" i="2"/>
  <c r="O35" i="2"/>
  <c r="M35" i="2"/>
  <c r="N35" i="2" s="1"/>
  <c r="L35" i="2"/>
  <c r="G35" i="2"/>
  <c r="DP34" i="2"/>
  <c r="DQ34" i="2" s="1"/>
  <c r="DC34" i="2"/>
  <c r="CT34" i="2"/>
  <c r="CR34" i="2"/>
  <c r="CP34" i="2"/>
  <c r="CN34" i="2"/>
  <c r="CL34" i="2"/>
  <c r="CJ34" i="2"/>
  <c r="CH34" i="2"/>
  <c r="CF34" i="2"/>
  <c r="CD34" i="2"/>
  <c r="CB34" i="2"/>
  <c r="BZ34" i="2"/>
  <c r="BX34" i="2"/>
  <c r="BV34" i="2"/>
  <c r="BT34" i="2"/>
  <c r="BR34" i="2"/>
  <c r="BP34" i="2"/>
  <c r="BN34" i="2"/>
  <c r="BL34" i="2"/>
  <c r="BJ34" i="2"/>
  <c r="BH34" i="2"/>
  <c r="BF34" i="2"/>
  <c r="BD34" i="2"/>
  <c r="BB34" i="2"/>
  <c r="AZ34" i="2"/>
  <c r="AX34" i="2"/>
  <c r="AV34" i="2"/>
  <c r="AR34" i="2"/>
  <c r="AT34" i="2" s="1"/>
  <c r="X34" i="2"/>
  <c r="Q34" i="2"/>
  <c r="O34" i="2"/>
  <c r="M34" i="2"/>
  <c r="N34" i="2" s="1"/>
  <c r="L34" i="2"/>
  <c r="G34" i="2"/>
  <c r="DP33" i="2"/>
  <c r="DQ33" i="2" s="1"/>
  <c r="DC33" i="2"/>
  <c r="CT33" i="2"/>
  <c r="CR33" i="2"/>
  <c r="CP33" i="2"/>
  <c r="CN33" i="2"/>
  <c r="CL33" i="2"/>
  <c r="CJ33" i="2"/>
  <c r="CH33" i="2"/>
  <c r="CF33" i="2"/>
  <c r="CD33" i="2"/>
  <c r="CB33" i="2"/>
  <c r="BZ33" i="2"/>
  <c r="BX33" i="2"/>
  <c r="BV33" i="2"/>
  <c r="BT33" i="2"/>
  <c r="BR33" i="2"/>
  <c r="BP33" i="2"/>
  <c r="BN33" i="2"/>
  <c r="BL33" i="2"/>
  <c r="BJ33" i="2"/>
  <c r="BH33" i="2"/>
  <c r="BF33" i="2"/>
  <c r="BD33" i="2"/>
  <c r="BB33" i="2"/>
  <c r="AZ33" i="2"/>
  <c r="AX33" i="2"/>
  <c r="AV33" i="2"/>
  <c r="AR33" i="2"/>
  <c r="AS33" i="2" s="1"/>
  <c r="X33" i="2"/>
  <c r="Q33" i="2"/>
  <c r="O33" i="2"/>
  <c r="M33" i="2"/>
  <c r="N33" i="2" s="1"/>
  <c r="L33" i="2"/>
  <c r="G33" i="2"/>
  <c r="DP32" i="2"/>
  <c r="DQ32" i="2" s="1"/>
  <c r="DC32" i="2"/>
  <c r="CT32" i="2"/>
  <c r="CR32" i="2"/>
  <c r="CP32" i="2"/>
  <c r="CN32" i="2"/>
  <c r="CL32" i="2"/>
  <c r="CJ32" i="2"/>
  <c r="CH32" i="2"/>
  <c r="CF32" i="2"/>
  <c r="CD32" i="2"/>
  <c r="CB32" i="2"/>
  <c r="BZ32" i="2"/>
  <c r="BX32" i="2"/>
  <c r="BV32" i="2"/>
  <c r="BT32" i="2"/>
  <c r="BR32" i="2"/>
  <c r="BP32" i="2"/>
  <c r="BN32" i="2"/>
  <c r="BL32" i="2"/>
  <c r="BJ32" i="2"/>
  <c r="BH32" i="2"/>
  <c r="BF32" i="2"/>
  <c r="BD32" i="2"/>
  <c r="BB32" i="2"/>
  <c r="AZ32" i="2"/>
  <c r="AX32" i="2"/>
  <c r="AV32" i="2"/>
  <c r="AR32" i="2"/>
  <c r="AS32" i="2" s="1"/>
  <c r="X32" i="2"/>
  <c r="Q32" i="2"/>
  <c r="O32" i="2"/>
  <c r="M32" i="2"/>
  <c r="N32" i="2" s="1"/>
  <c r="L32" i="2"/>
  <c r="G32" i="2"/>
  <c r="DP31" i="2"/>
  <c r="DQ31" i="2" s="1"/>
  <c r="DC31" i="2"/>
  <c r="CT31" i="2"/>
  <c r="CR31" i="2"/>
  <c r="CP31" i="2"/>
  <c r="CN31" i="2"/>
  <c r="CL31" i="2"/>
  <c r="CJ31" i="2"/>
  <c r="CH31" i="2"/>
  <c r="CF31" i="2"/>
  <c r="CD31" i="2"/>
  <c r="CB31" i="2"/>
  <c r="BZ31" i="2"/>
  <c r="BX31" i="2"/>
  <c r="BV31" i="2"/>
  <c r="BT31" i="2"/>
  <c r="BR31" i="2"/>
  <c r="BP31" i="2"/>
  <c r="BN31" i="2"/>
  <c r="BL31" i="2"/>
  <c r="BJ31" i="2"/>
  <c r="BH31" i="2"/>
  <c r="BF31" i="2"/>
  <c r="BD31" i="2"/>
  <c r="BB31" i="2"/>
  <c r="AZ31" i="2"/>
  <c r="AX31" i="2"/>
  <c r="AV31" i="2"/>
  <c r="AR31" i="2"/>
  <c r="AS31" i="2" s="1"/>
  <c r="X31" i="2"/>
  <c r="Q31" i="2"/>
  <c r="O31" i="2"/>
  <c r="M31" i="2"/>
  <c r="N31" i="2" s="1"/>
  <c r="L31" i="2"/>
  <c r="G31" i="2"/>
  <c r="DP30" i="2"/>
  <c r="DQ30" i="2" s="1"/>
  <c r="DC30" i="2"/>
  <c r="CT30" i="2"/>
  <c r="CR30" i="2"/>
  <c r="CP30" i="2"/>
  <c r="CN30" i="2"/>
  <c r="CL30" i="2"/>
  <c r="CJ30" i="2"/>
  <c r="CH30" i="2"/>
  <c r="CF30" i="2"/>
  <c r="CD30" i="2"/>
  <c r="CB30" i="2"/>
  <c r="BZ30" i="2"/>
  <c r="BX30" i="2"/>
  <c r="BV30" i="2"/>
  <c r="BT30" i="2"/>
  <c r="BR30" i="2"/>
  <c r="BP30" i="2"/>
  <c r="BN30" i="2"/>
  <c r="BL30" i="2"/>
  <c r="BJ30" i="2"/>
  <c r="BH30" i="2"/>
  <c r="BF30" i="2"/>
  <c r="BD30" i="2"/>
  <c r="BB30" i="2"/>
  <c r="AZ30" i="2"/>
  <c r="AX30" i="2"/>
  <c r="AV30" i="2"/>
  <c r="AR30" i="2"/>
  <c r="AS30" i="2" s="1"/>
  <c r="X30" i="2"/>
  <c r="Q30" i="2"/>
  <c r="O30" i="2"/>
  <c r="M30" i="2"/>
  <c r="N30" i="2" s="1"/>
  <c r="L30" i="2"/>
  <c r="G30" i="2"/>
  <c r="DP29" i="2"/>
  <c r="DQ29" i="2" s="1"/>
  <c r="DC29" i="2"/>
  <c r="CT29" i="2"/>
  <c r="CR29" i="2"/>
  <c r="CP29" i="2"/>
  <c r="CN29" i="2"/>
  <c r="CL29" i="2"/>
  <c r="CJ29" i="2"/>
  <c r="CH29" i="2"/>
  <c r="CF29" i="2"/>
  <c r="CD29" i="2"/>
  <c r="CB29" i="2"/>
  <c r="BZ29" i="2"/>
  <c r="BX29" i="2"/>
  <c r="BV29" i="2"/>
  <c r="BT29" i="2"/>
  <c r="BR29" i="2"/>
  <c r="BP29" i="2"/>
  <c r="BN29" i="2"/>
  <c r="BL29" i="2"/>
  <c r="BJ29" i="2"/>
  <c r="BH29" i="2"/>
  <c r="BF29" i="2"/>
  <c r="BD29" i="2"/>
  <c r="BB29" i="2"/>
  <c r="AZ29" i="2"/>
  <c r="AX29" i="2"/>
  <c r="AV29" i="2"/>
  <c r="AR29" i="2"/>
  <c r="AS29" i="2" s="1"/>
  <c r="X29" i="2"/>
  <c r="Q29" i="2"/>
  <c r="O29" i="2"/>
  <c r="M29" i="2"/>
  <c r="N29" i="2" s="1"/>
  <c r="L29" i="2"/>
  <c r="G29" i="2"/>
  <c r="DP28" i="2"/>
  <c r="DQ28" i="2" s="1"/>
  <c r="DC28" i="2"/>
  <c r="CT28" i="2"/>
  <c r="CR28" i="2"/>
  <c r="CP28" i="2"/>
  <c r="CN28" i="2"/>
  <c r="CL28" i="2"/>
  <c r="CJ28" i="2"/>
  <c r="CH28" i="2"/>
  <c r="CF28" i="2"/>
  <c r="CD28" i="2"/>
  <c r="CB28" i="2"/>
  <c r="BZ28" i="2"/>
  <c r="BX28" i="2"/>
  <c r="BV28" i="2"/>
  <c r="BT28" i="2"/>
  <c r="BR28" i="2"/>
  <c r="BP28" i="2"/>
  <c r="BN28" i="2"/>
  <c r="BL28" i="2"/>
  <c r="BJ28" i="2"/>
  <c r="BH28" i="2"/>
  <c r="BF28" i="2"/>
  <c r="BD28" i="2"/>
  <c r="BB28" i="2"/>
  <c r="AZ28" i="2"/>
  <c r="AX28" i="2"/>
  <c r="AV28" i="2"/>
  <c r="AR28" i="2"/>
  <c r="AS28" i="2" s="1"/>
  <c r="X28" i="2"/>
  <c r="Q28" i="2"/>
  <c r="O28" i="2"/>
  <c r="M28" i="2"/>
  <c r="N28" i="2" s="1"/>
  <c r="L28" i="2"/>
  <c r="G28" i="2"/>
  <c r="DP27" i="2"/>
  <c r="DQ27" i="2" s="1"/>
  <c r="DC27" i="2"/>
  <c r="CT27" i="2"/>
  <c r="CR27" i="2"/>
  <c r="CP27" i="2"/>
  <c r="CN27" i="2"/>
  <c r="CL27" i="2"/>
  <c r="CJ27" i="2"/>
  <c r="CH27" i="2"/>
  <c r="CF27" i="2"/>
  <c r="CD27" i="2"/>
  <c r="CB27" i="2"/>
  <c r="BZ27" i="2"/>
  <c r="BX27" i="2"/>
  <c r="BV27" i="2"/>
  <c r="BT27" i="2"/>
  <c r="BR27" i="2"/>
  <c r="BP27" i="2"/>
  <c r="BN27" i="2"/>
  <c r="BL27" i="2"/>
  <c r="BJ27" i="2"/>
  <c r="BH27" i="2"/>
  <c r="BF27" i="2"/>
  <c r="BD27" i="2"/>
  <c r="BB27" i="2"/>
  <c r="AZ27" i="2"/>
  <c r="AX27" i="2"/>
  <c r="AV27" i="2"/>
  <c r="AR27" i="2"/>
  <c r="AS27" i="2" s="1"/>
  <c r="X27" i="2"/>
  <c r="Q27" i="2"/>
  <c r="O27" i="2"/>
  <c r="M27" i="2"/>
  <c r="N27" i="2" s="1"/>
  <c r="L27" i="2"/>
  <c r="G27" i="2"/>
  <c r="DP26" i="2"/>
  <c r="DQ26" i="2" s="1"/>
  <c r="DC26" i="2"/>
  <c r="CT26" i="2"/>
  <c r="CR26" i="2"/>
  <c r="CP26" i="2"/>
  <c r="CN26" i="2"/>
  <c r="CL26" i="2"/>
  <c r="CJ26" i="2"/>
  <c r="CH26" i="2"/>
  <c r="CF26" i="2"/>
  <c r="CD26" i="2"/>
  <c r="CB26" i="2"/>
  <c r="BZ26" i="2"/>
  <c r="BX26" i="2"/>
  <c r="BV26" i="2"/>
  <c r="BT26" i="2"/>
  <c r="BR26" i="2"/>
  <c r="BP26" i="2"/>
  <c r="BN26" i="2"/>
  <c r="BL26" i="2"/>
  <c r="BJ26" i="2"/>
  <c r="BH26" i="2"/>
  <c r="BF26" i="2"/>
  <c r="BD26" i="2"/>
  <c r="BB26" i="2"/>
  <c r="AZ26" i="2"/>
  <c r="AX26" i="2"/>
  <c r="AV26" i="2"/>
  <c r="AR26" i="2"/>
  <c r="AS26" i="2" s="1"/>
  <c r="X26" i="2"/>
  <c r="Q26" i="2"/>
  <c r="O26" i="2"/>
  <c r="M26" i="2"/>
  <c r="N26" i="2" s="1"/>
  <c r="L26" i="2"/>
  <c r="G26" i="2"/>
  <c r="DP25" i="2"/>
  <c r="DQ25" i="2" s="1"/>
  <c r="DC25" i="2"/>
  <c r="CT25" i="2"/>
  <c r="CR25" i="2"/>
  <c r="CP25" i="2"/>
  <c r="CN25" i="2"/>
  <c r="CL25" i="2"/>
  <c r="CJ25" i="2"/>
  <c r="CH25" i="2"/>
  <c r="CF25" i="2"/>
  <c r="CD25" i="2"/>
  <c r="CB25" i="2"/>
  <c r="BZ25" i="2"/>
  <c r="BX25" i="2"/>
  <c r="BV25" i="2"/>
  <c r="BT25" i="2"/>
  <c r="BR25" i="2"/>
  <c r="BP25" i="2"/>
  <c r="BN25" i="2"/>
  <c r="BL25" i="2"/>
  <c r="BJ25" i="2"/>
  <c r="BH25" i="2"/>
  <c r="BF25" i="2"/>
  <c r="BD25" i="2"/>
  <c r="BB25" i="2"/>
  <c r="AZ25" i="2"/>
  <c r="AX25" i="2"/>
  <c r="AV25" i="2"/>
  <c r="AR25" i="2"/>
  <c r="AS25" i="2" s="1"/>
  <c r="X25" i="2"/>
  <c r="Q25" i="2"/>
  <c r="O25" i="2"/>
  <c r="M25" i="2"/>
  <c r="N25" i="2" s="1"/>
  <c r="L25" i="2"/>
  <c r="G25" i="2"/>
  <c r="DP24" i="2"/>
  <c r="DQ24" i="2" s="1"/>
  <c r="DC24" i="2"/>
  <c r="CT24" i="2"/>
  <c r="CR24" i="2"/>
  <c r="CP24" i="2"/>
  <c r="CN24" i="2"/>
  <c r="CL24" i="2"/>
  <c r="CJ24" i="2"/>
  <c r="CH24" i="2"/>
  <c r="CF24" i="2"/>
  <c r="CD24" i="2"/>
  <c r="CB24" i="2"/>
  <c r="BZ24" i="2"/>
  <c r="BX24" i="2"/>
  <c r="BV24" i="2"/>
  <c r="BT24" i="2"/>
  <c r="BR24" i="2"/>
  <c r="BP24" i="2"/>
  <c r="BN24" i="2"/>
  <c r="BL24" i="2"/>
  <c r="BJ24" i="2"/>
  <c r="BH24" i="2"/>
  <c r="BF24" i="2"/>
  <c r="BD24" i="2"/>
  <c r="BB24" i="2"/>
  <c r="AZ24" i="2"/>
  <c r="AX24" i="2"/>
  <c r="AV24" i="2"/>
  <c r="AR24" i="2"/>
  <c r="AS24" i="2" s="1"/>
  <c r="X24" i="2"/>
  <c r="Q24" i="2"/>
  <c r="O24" i="2"/>
  <c r="M24" i="2"/>
  <c r="N24" i="2" s="1"/>
  <c r="L24" i="2"/>
  <c r="G24" i="2"/>
  <c r="DP23" i="2"/>
  <c r="DQ23" i="2" s="1"/>
  <c r="DC23" i="2"/>
  <c r="CT23" i="2"/>
  <c r="CR23" i="2"/>
  <c r="CP23" i="2"/>
  <c r="CN23" i="2"/>
  <c r="CL23" i="2"/>
  <c r="CJ23" i="2"/>
  <c r="CH23" i="2"/>
  <c r="CF23" i="2"/>
  <c r="CD23" i="2"/>
  <c r="CB23" i="2"/>
  <c r="BZ23" i="2"/>
  <c r="BX23" i="2"/>
  <c r="BV23" i="2"/>
  <c r="BT23" i="2"/>
  <c r="BR23" i="2"/>
  <c r="BP23" i="2"/>
  <c r="BN23" i="2"/>
  <c r="BL23" i="2"/>
  <c r="BJ23" i="2"/>
  <c r="BH23" i="2"/>
  <c r="BF23" i="2"/>
  <c r="BD23" i="2"/>
  <c r="BB23" i="2"/>
  <c r="AZ23" i="2"/>
  <c r="AX23" i="2"/>
  <c r="AV23" i="2"/>
  <c r="AR23" i="2"/>
  <c r="AS23" i="2" s="1"/>
  <c r="X23" i="2"/>
  <c r="Q23" i="2"/>
  <c r="O23" i="2"/>
  <c r="M23" i="2"/>
  <c r="N23" i="2" s="1"/>
  <c r="L23" i="2"/>
  <c r="G23" i="2"/>
  <c r="DP22" i="2"/>
  <c r="DQ22" i="2" s="1"/>
  <c r="DC22" i="2"/>
  <c r="CT22" i="2"/>
  <c r="CR22" i="2"/>
  <c r="CP22" i="2"/>
  <c r="CN22" i="2"/>
  <c r="CL22" i="2"/>
  <c r="CJ22" i="2"/>
  <c r="CH22" i="2"/>
  <c r="CF22" i="2"/>
  <c r="CD22" i="2"/>
  <c r="CB22" i="2"/>
  <c r="BZ22" i="2"/>
  <c r="BX22" i="2"/>
  <c r="BV22" i="2"/>
  <c r="BT22" i="2"/>
  <c r="BR22" i="2"/>
  <c r="BP22" i="2"/>
  <c r="BN22" i="2"/>
  <c r="BL22" i="2"/>
  <c r="BJ22" i="2"/>
  <c r="BH22" i="2"/>
  <c r="BF22" i="2"/>
  <c r="BD22" i="2"/>
  <c r="BB22" i="2"/>
  <c r="AZ22" i="2"/>
  <c r="AX22" i="2"/>
  <c r="AV22" i="2"/>
  <c r="AR22" i="2"/>
  <c r="AS22" i="2" s="1"/>
  <c r="X22" i="2"/>
  <c r="Q22" i="2"/>
  <c r="O22" i="2"/>
  <c r="M22" i="2"/>
  <c r="N22" i="2" s="1"/>
  <c r="L22" i="2"/>
  <c r="G22" i="2"/>
  <c r="DP21" i="2"/>
  <c r="DQ21" i="2" s="1"/>
  <c r="DC21" i="2"/>
  <c r="CT21" i="2"/>
  <c r="CR21" i="2"/>
  <c r="CP21" i="2"/>
  <c r="CN21" i="2"/>
  <c r="CL21" i="2"/>
  <c r="CJ21" i="2"/>
  <c r="CH21" i="2"/>
  <c r="CF21" i="2"/>
  <c r="CD21" i="2"/>
  <c r="CB21" i="2"/>
  <c r="BZ21" i="2"/>
  <c r="BX21" i="2"/>
  <c r="BV21" i="2"/>
  <c r="BT21" i="2"/>
  <c r="BR21" i="2"/>
  <c r="BP21" i="2"/>
  <c r="BN21" i="2"/>
  <c r="BL21" i="2"/>
  <c r="BJ21" i="2"/>
  <c r="BH21" i="2"/>
  <c r="BF21" i="2"/>
  <c r="BD21" i="2"/>
  <c r="BB21" i="2"/>
  <c r="AZ21" i="2"/>
  <c r="AX21" i="2"/>
  <c r="AV21" i="2"/>
  <c r="AR21" i="2"/>
  <c r="AS21" i="2" s="1"/>
  <c r="X21" i="2"/>
  <c r="Q21" i="2"/>
  <c r="O21" i="2"/>
  <c r="M21" i="2"/>
  <c r="N21" i="2" s="1"/>
  <c r="L21" i="2"/>
  <c r="G21" i="2"/>
  <c r="DP20" i="2"/>
  <c r="DQ20" i="2" s="1"/>
  <c r="DC20" i="2"/>
  <c r="CT20" i="2"/>
  <c r="CR20" i="2"/>
  <c r="CP20" i="2"/>
  <c r="CN20" i="2"/>
  <c r="CL20" i="2"/>
  <c r="CJ20" i="2"/>
  <c r="CH20" i="2"/>
  <c r="CF20" i="2"/>
  <c r="CD20" i="2"/>
  <c r="CB20" i="2"/>
  <c r="BZ20" i="2"/>
  <c r="BX20" i="2"/>
  <c r="BV20" i="2"/>
  <c r="BT20" i="2"/>
  <c r="BR20" i="2"/>
  <c r="BP20" i="2"/>
  <c r="BN20" i="2"/>
  <c r="BL20" i="2"/>
  <c r="BJ20" i="2"/>
  <c r="BH20" i="2"/>
  <c r="BF20" i="2"/>
  <c r="BD20" i="2"/>
  <c r="BB20" i="2"/>
  <c r="AZ20" i="2"/>
  <c r="AX20" i="2"/>
  <c r="AV20" i="2"/>
  <c r="AR20" i="2"/>
  <c r="AS20" i="2" s="1"/>
  <c r="X20" i="2"/>
  <c r="Q20" i="2"/>
  <c r="O20" i="2"/>
  <c r="M20" i="2"/>
  <c r="N20" i="2" s="1"/>
  <c r="L20" i="2"/>
  <c r="G20" i="2"/>
  <c r="DP19" i="2"/>
  <c r="DQ19" i="2" s="1"/>
  <c r="DC19" i="2"/>
  <c r="CT19" i="2"/>
  <c r="CR19" i="2"/>
  <c r="CP19" i="2"/>
  <c r="CN19" i="2"/>
  <c r="CL19" i="2"/>
  <c r="CJ19" i="2"/>
  <c r="CH19" i="2"/>
  <c r="CF19" i="2"/>
  <c r="CD19" i="2"/>
  <c r="CB19" i="2"/>
  <c r="BZ19" i="2"/>
  <c r="BX19" i="2"/>
  <c r="BV19" i="2"/>
  <c r="BT19" i="2"/>
  <c r="BR19" i="2"/>
  <c r="BP19" i="2"/>
  <c r="BN19" i="2"/>
  <c r="BL19" i="2"/>
  <c r="BJ19" i="2"/>
  <c r="BH19" i="2"/>
  <c r="BF19" i="2"/>
  <c r="BD19" i="2"/>
  <c r="BB19" i="2"/>
  <c r="AZ19" i="2"/>
  <c r="AX19" i="2"/>
  <c r="AV19" i="2"/>
  <c r="AR19" i="2"/>
  <c r="AS19" i="2" s="1"/>
  <c r="X19" i="2"/>
  <c r="Q19" i="2"/>
  <c r="O19" i="2"/>
  <c r="M19" i="2"/>
  <c r="N19" i="2" s="1"/>
  <c r="L19" i="2"/>
  <c r="G19" i="2"/>
  <c r="DP18" i="2"/>
  <c r="DQ18" i="2" s="1"/>
  <c r="DC18" i="2"/>
  <c r="CT18" i="2"/>
  <c r="CR18" i="2"/>
  <c r="CP18" i="2"/>
  <c r="CN18" i="2"/>
  <c r="CL18" i="2"/>
  <c r="CJ18" i="2"/>
  <c r="CH18" i="2"/>
  <c r="CF18" i="2"/>
  <c r="CD18" i="2"/>
  <c r="CB18" i="2"/>
  <c r="BZ18" i="2"/>
  <c r="BX18" i="2"/>
  <c r="BV18" i="2"/>
  <c r="BT18" i="2"/>
  <c r="BR18" i="2"/>
  <c r="BP18" i="2"/>
  <c r="BN18" i="2"/>
  <c r="BL18" i="2"/>
  <c r="BJ18" i="2"/>
  <c r="BH18" i="2"/>
  <c r="BF18" i="2"/>
  <c r="BD18" i="2"/>
  <c r="BB18" i="2"/>
  <c r="AZ18" i="2"/>
  <c r="AX18" i="2"/>
  <c r="AV18" i="2"/>
  <c r="AR18" i="2"/>
  <c r="AS18" i="2" s="1"/>
  <c r="X18" i="2"/>
  <c r="Q18" i="2"/>
  <c r="O18" i="2"/>
  <c r="M18" i="2"/>
  <c r="N18" i="2" s="1"/>
  <c r="L18" i="2"/>
  <c r="G18" i="2"/>
  <c r="DP17" i="2"/>
  <c r="DQ17" i="2" s="1"/>
  <c r="DC17" i="2"/>
  <c r="CT17" i="2"/>
  <c r="CR17" i="2"/>
  <c r="CP17" i="2"/>
  <c r="CN17" i="2"/>
  <c r="CL17" i="2"/>
  <c r="CJ17" i="2"/>
  <c r="CH17" i="2"/>
  <c r="CF17" i="2"/>
  <c r="CD17" i="2"/>
  <c r="CB17" i="2"/>
  <c r="BZ17" i="2"/>
  <c r="BX17" i="2"/>
  <c r="BV17" i="2"/>
  <c r="BT17" i="2"/>
  <c r="BR17" i="2"/>
  <c r="BP17" i="2"/>
  <c r="BN17" i="2"/>
  <c r="BL17" i="2"/>
  <c r="BJ17" i="2"/>
  <c r="BH17" i="2"/>
  <c r="BF17" i="2"/>
  <c r="BD17" i="2"/>
  <c r="BB17" i="2"/>
  <c r="AZ17" i="2"/>
  <c r="AX17" i="2"/>
  <c r="AV17" i="2"/>
  <c r="AR17" i="2"/>
  <c r="AS17" i="2" s="1"/>
  <c r="X17" i="2"/>
  <c r="Q17" i="2"/>
  <c r="O17" i="2"/>
  <c r="M17" i="2"/>
  <c r="N17" i="2" s="1"/>
  <c r="L17" i="2"/>
  <c r="G17" i="2"/>
  <c r="DP16" i="2"/>
  <c r="DQ16" i="2" s="1"/>
  <c r="DC16" i="2"/>
  <c r="CT16" i="2"/>
  <c r="CR16" i="2"/>
  <c r="CP16" i="2"/>
  <c r="CN16" i="2"/>
  <c r="CL16" i="2"/>
  <c r="CJ16" i="2"/>
  <c r="CH16" i="2"/>
  <c r="CF16" i="2"/>
  <c r="CD16" i="2"/>
  <c r="CB16" i="2"/>
  <c r="BZ16" i="2"/>
  <c r="BX16" i="2"/>
  <c r="BV16" i="2"/>
  <c r="BT16" i="2"/>
  <c r="BR16" i="2"/>
  <c r="BP16" i="2"/>
  <c r="BN16" i="2"/>
  <c r="BL16" i="2"/>
  <c r="BJ16" i="2"/>
  <c r="BH16" i="2"/>
  <c r="BF16" i="2"/>
  <c r="BD16" i="2"/>
  <c r="BB16" i="2"/>
  <c r="AZ16" i="2"/>
  <c r="AX16" i="2"/>
  <c r="AV16" i="2"/>
  <c r="AR16" i="2"/>
  <c r="AS16" i="2" s="1"/>
  <c r="X16" i="2"/>
  <c r="Q16" i="2"/>
  <c r="O16" i="2"/>
  <c r="M16" i="2"/>
  <c r="N16" i="2" s="1"/>
  <c r="L16" i="2"/>
  <c r="G16" i="2"/>
  <c r="DP15" i="2"/>
  <c r="DQ15" i="2" s="1"/>
  <c r="DC15" i="2"/>
  <c r="CT15" i="2"/>
  <c r="CR15" i="2"/>
  <c r="CP15" i="2"/>
  <c r="CN15" i="2"/>
  <c r="CL15" i="2"/>
  <c r="CJ15" i="2"/>
  <c r="CH15" i="2"/>
  <c r="CF15" i="2"/>
  <c r="CD15" i="2"/>
  <c r="CB15" i="2"/>
  <c r="BZ15" i="2"/>
  <c r="BX15" i="2"/>
  <c r="BV15" i="2"/>
  <c r="BT15" i="2"/>
  <c r="BR15" i="2"/>
  <c r="BP15" i="2"/>
  <c r="BN15" i="2"/>
  <c r="BL15" i="2"/>
  <c r="BJ15" i="2"/>
  <c r="BH15" i="2"/>
  <c r="BF15" i="2"/>
  <c r="BD15" i="2"/>
  <c r="BB15" i="2"/>
  <c r="AZ15" i="2"/>
  <c r="AX15" i="2"/>
  <c r="AV15" i="2"/>
  <c r="AR15" i="2"/>
  <c r="AS15" i="2" s="1"/>
  <c r="X15" i="2"/>
  <c r="Q15" i="2"/>
  <c r="O15" i="2"/>
  <c r="M15" i="2"/>
  <c r="N15" i="2" s="1"/>
  <c r="L15" i="2"/>
  <c r="G15" i="2"/>
  <c r="DP14" i="2"/>
  <c r="DQ14" i="2" s="1"/>
  <c r="DC14" i="2"/>
  <c r="CT14" i="2"/>
  <c r="CR14" i="2"/>
  <c r="CP14" i="2"/>
  <c r="CN14" i="2"/>
  <c r="CL14" i="2"/>
  <c r="CJ14" i="2"/>
  <c r="CH14" i="2"/>
  <c r="CF14" i="2"/>
  <c r="CD14" i="2"/>
  <c r="CB14" i="2"/>
  <c r="BZ14" i="2"/>
  <c r="BX14" i="2"/>
  <c r="BV14" i="2"/>
  <c r="BT14" i="2"/>
  <c r="BR14" i="2"/>
  <c r="BP14" i="2"/>
  <c r="BN14" i="2"/>
  <c r="BL14" i="2"/>
  <c r="BJ14" i="2"/>
  <c r="BH14" i="2"/>
  <c r="BF14" i="2"/>
  <c r="BD14" i="2"/>
  <c r="BB14" i="2"/>
  <c r="AZ14" i="2"/>
  <c r="AX14" i="2"/>
  <c r="AV14" i="2"/>
  <c r="AR14" i="2"/>
  <c r="AS14" i="2" s="1"/>
  <c r="X14" i="2"/>
  <c r="Q14" i="2"/>
  <c r="O14" i="2"/>
  <c r="M14" i="2"/>
  <c r="N14" i="2" s="1"/>
  <c r="L14" i="2"/>
  <c r="G14" i="2"/>
  <c r="DP13" i="2"/>
  <c r="DQ13" i="2" s="1"/>
  <c r="DC13" i="2"/>
  <c r="CT13" i="2"/>
  <c r="CR13" i="2"/>
  <c r="CP13" i="2"/>
  <c r="CN13" i="2"/>
  <c r="CL13" i="2"/>
  <c r="CJ13" i="2"/>
  <c r="CH13" i="2"/>
  <c r="CF13" i="2"/>
  <c r="CD13" i="2"/>
  <c r="CB13" i="2"/>
  <c r="BZ13" i="2"/>
  <c r="BX13" i="2"/>
  <c r="BV13" i="2"/>
  <c r="BT13" i="2"/>
  <c r="BR13" i="2"/>
  <c r="BP13" i="2"/>
  <c r="BN13" i="2"/>
  <c r="BL13" i="2"/>
  <c r="BJ13" i="2"/>
  <c r="BH13" i="2"/>
  <c r="BF13" i="2"/>
  <c r="BD13" i="2"/>
  <c r="BB13" i="2"/>
  <c r="AZ13" i="2"/>
  <c r="AX13" i="2"/>
  <c r="AV13" i="2"/>
  <c r="AR13" i="2"/>
  <c r="AS13" i="2" s="1"/>
  <c r="X13" i="2"/>
  <c r="Q13" i="2"/>
  <c r="O13" i="2"/>
  <c r="M13" i="2"/>
  <c r="N13" i="2" s="1"/>
  <c r="L13" i="2"/>
  <c r="G13" i="2"/>
  <c r="DP12" i="2"/>
  <c r="DQ12" i="2" s="1"/>
  <c r="DC12" i="2"/>
  <c r="CT12" i="2"/>
  <c r="CR12" i="2"/>
  <c r="CP12" i="2"/>
  <c r="CN12" i="2"/>
  <c r="CL12" i="2"/>
  <c r="CJ12" i="2"/>
  <c r="CH12" i="2"/>
  <c r="CF12" i="2"/>
  <c r="CD12" i="2"/>
  <c r="CB12" i="2"/>
  <c r="BZ12" i="2"/>
  <c r="BX12" i="2"/>
  <c r="BV12" i="2"/>
  <c r="BT12" i="2"/>
  <c r="BR12" i="2"/>
  <c r="BP12" i="2"/>
  <c r="BN12" i="2"/>
  <c r="BL12" i="2"/>
  <c r="BJ12" i="2"/>
  <c r="BH12" i="2"/>
  <c r="BF12" i="2"/>
  <c r="BD12" i="2"/>
  <c r="BB12" i="2"/>
  <c r="AZ12" i="2"/>
  <c r="AX12" i="2"/>
  <c r="AV12" i="2"/>
  <c r="AR12" i="2"/>
  <c r="AS12" i="2" s="1"/>
  <c r="X12" i="2"/>
  <c r="Q12" i="2"/>
  <c r="O12" i="2"/>
  <c r="M12" i="2"/>
  <c r="N12" i="2" s="1"/>
  <c r="L12" i="2"/>
  <c r="G12" i="2"/>
  <c r="DP11" i="2"/>
  <c r="DQ11" i="2" s="1"/>
  <c r="DC11" i="2"/>
  <c r="CT11" i="2"/>
  <c r="CR11" i="2"/>
  <c r="CP11" i="2"/>
  <c r="CN11" i="2"/>
  <c r="CL11" i="2"/>
  <c r="CJ11" i="2"/>
  <c r="CH11" i="2"/>
  <c r="CF11" i="2"/>
  <c r="CD11" i="2"/>
  <c r="CB11" i="2"/>
  <c r="BZ11" i="2"/>
  <c r="BX11" i="2"/>
  <c r="BV11" i="2"/>
  <c r="BT11" i="2"/>
  <c r="BR11" i="2"/>
  <c r="BP11" i="2"/>
  <c r="BN11" i="2"/>
  <c r="BL11" i="2"/>
  <c r="BJ11" i="2"/>
  <c r="BH11" i="2"/>
  <c r="BF11" i="2"/>
  <c r="BD11" i="2"/>
  <c r="BB11" i="2"/>
  <c r="AZ11" i="2"/>
  <c r="AX11" i="2"/>
  <c r="AV11" i="2"/>
  <c r="AR11" i="2"/>
  <c r="AS11" i="2" s="1"/>
  <c r="X11" i="2"/>
  <c r="Q11" i="2"/>
  <c r="O11" i="2"/>
  <c r="M11" i="2"/>
  <c r="N11" i="2" s="1"/>
  <c r="L11" i="2"/>
  <c r="G11" i="2"/>
  <c r="DP10" i="2"/>
  <c r="DQ10" i="2" s="1"/>
  <c r="DC10" i="2"/>
  <c r="CT10" i="2"/>
  <c r="CR10" i="2"/>
  <c r="CP10" i="2"/>
  <c r="CN10" i="2"/>
  <c r="CL10" i="2"/>
  <c r="CJ10" i="2"/>
  <c r="CH10" i="2"/>
  <c r="CF10" i="2"/>
  <c r="CD10" i="2"/>
  <c r="CB10" i="2"/>
  <c r="BZ10" i="2"/>
  <c r="BX10" i="2"/>
  <c r="BV10" i="2"/>
  <c r="BT10" i="2"/>
  <c r="BR10" i="2"/>
  <c r="BP10" i="2"/>
  <c r="BN10" i="2"/>
  <c r="BL10" i="2"/>
  <c r="BJ10" i="2"/>
  <c r="BH10" i="2"/>
  <c r="BF10" i="2"/>
  <c r="BD10" i="2"/>
  <c r="BB10" i="2"/>
  <c r="AZ10" i="2"/>
  <c r="AX10" i="2"/>
  <c r="AV10" i="2"/>
  <c r="AR10" i="2"/>
  <c r="AS10" i="2" s="1"/>
  <c r="X10" i="2"/>
  <c r="Q10" i="2"/>
  <c r="O10" i="2"/>
  <c r="M10" i="2"/>
  <c r="N10" i="2" s="1"/>
  <c r="L10" i="2"/>
  <c r="G10" i="2"/>
  <c r="DP9" i="2"/>
  <c r="DQ9" i="2" s="1"/>
  <c r="DC9" i="2"/>
  <c r="CT9" i="2"/>
  <c r="CR9" i="2"/>
  <c r="CP9" i="2"/>
  <c r="CN9" i="2"/>
  <c r="CL9" i="2"/>
  <c r="CJ9" i="2"/>
  <c r="CH9" i="2"/>
  <c r="CF9" i="2"/>
  <c r="CD9" i="2"/>
  <c r="CB9" i="2"/>
  <c r="BZ9" i="2"/>
  <c r="BX9" i="2"/>
  <c r="BV9" i="2"/>
  <c r="BT9" i="2"/>
  <c r="BR9" i="2"/>
  <c r="BP9" i="2"/>
  <c r="BN9" i="2"/>
  <c r="BL9" i="2"/>
  <c r="BJ9" i="2"/>
  <c r="BH9" i="2"/>
  <c r="BF9" i="2"/>
  <c r="BD9" i="2"/>
  <c r="BB9" i="2"/>
  <c r="AZ9" i="2"/>
  <c r="AX9" i="2"/>
  <c r="AV9" i="2"/>
  <c r="AR9" i="2"/>
  <c r="AA9" i="2"/>
  <c r="X9" i="2"/>
  <c r="Q9" i="2"/>
  <c r="O9" i="2"/>
  <c r="M9" i="2"/>
  <c r="N9" i="2" s="1"/>
  <c r="L9" i="2"/>
  <c r="G9" i="2"/>
  <c r="DP8" i="2"/>
  <c r="DQ8" i="2" s="1"/>
  <c r="DC8" i="2"/>
  <c r="CT8" i="2"/>
  <c r="CR8" i="2"/>
  <c r="CP8" i="2"/>
  <c r="CN8" i="2"/>
  <c r="CL8" i="2"/>
  <c r="CJ8" i="2"/>
  <c r="CH8" i="2"/>
  <c r="CF8" i="2"/>
  <c r="CD8" i="2"/>
  <c r="CB8" i="2"/>
  <c r="BZ8" i="2"/>
  <c r="BX8" i="2"/>
  <c r="BV8" i="2"/>
  <c r="BT8" i="2"/>
  <c r="BR8" i="2"/>
  <c r="BP8" i="2"/>
  <c r="BN8" i="2"/>
  <c r="BL8" i="2"/>
  <c r="BJ8" i="2"/>
  <c r="BH8" i="2"/>
  <c r="BF8" i="2"/>
  <c r="BD8" i="2"/>
  <c r="BB8" i="2"/>
  <c r="AZ8" i="2"/>
  <c r="AX8" i="2"/>
  <c r="AV8" i="2"/>
  <c r="AR8" i="2"/>
  <c r="X8" i="2"/>
  <c r="Q8" i="2"/>
  <c r="O8" i="2"/>
  <c r="M8" i="2"/>
  <c r="N8" i="2" s="1"/>
  <c r="L8" i="2"/>
  <c r="G8" i="2"/>
  <c r="DP7" i="2"/>
  <c r="DQ7" i="2" s="1"/>
  <c r="DC7" i="2"/>
  <c r="CT7" i="2"/>
  <c r="CR7" i="2"/>
  <c r="CP7" i="2"/>
  <c r="CN7" i="2"/>
  <c r="CL7" i="2"/>
  <c r="CJ7" i="2"/>
  <c r="CH7" i="2"/>
  <c r="CF7" i="2"/>
  <c r="CD7" i="2"/>
  <c r="CB7" i="2"/>
  <c r="BZ7" i="2"/>
  <c r="BX7" i="2"/>
  <c r="BV7" i="2"/>
  <c r="BT7" i="2"/>
  <c r="BR7" i="2"/>
  <c r="BP7" i="2"/>
  <c r="BN7" i="2"/>
  <c r="BL7" i="2"/>
  <c r="BJ7" i="2"/>
  <c r="BH7" i="2"/>
  <c r="BF7" i="2"/>
  <c r="BD7" i="2"/>
  <c r="BB7" i="2"/>
  <c r="AZ7" i="2"/>
  <c r="AX7" i="2"/>
  <c r="AV7" i="2"/>
  <c r="AR7" i="2"/>
  <c r="AA7" i="2"/>
  <c r="X7" i="2"/>
  <c r="Q7" i="2"/>
  <c r="O7" i="2"/>
  <c r="M7" i="2"/>
  <c r="N7" i="2" s="1"/>
  <c r="L7" i="2"/>
  <c r="G7" i="2"/>
  <c r="DP6" i="2"/>
  <c r="DQ6" i="2" s="1"/>
  <c r="DC6" i="2"/>
  <c r="CT6" i="2"/>
  <c r="CR6" i="2"/>
  <c r="CP6" i="2"/>
  <c r="CN6" i="2"/>
  <c r="CL6" i="2"/>
  <c r="CJ6" i="2"/>
  <c r="CH6" i="2"/>
  <c r="CF6" i="2"/>
  <c r="CD6" i="2"/>
  <c r="CB6" i="2"/>
  <c r="BZ6" i="2"/>
  <c r="BX6" i="2"/>
  <c r="BV6" i="2"/>
  <c r="BT6" i="2"/>
  <c r="BR6" i="2"/>
  <c r="BP6" i="2"/>
  <c r="BN6" i="2"/>
  <c r="BL6" i="2"/>
  <c r="BJ6" i="2"/>
  <c r="BH6" i="2"/>
  <c r="BF6" i="2"/>
  <c r="BD6" i="2"/>
  <c r="BB6" i="2"/>
  <c r="AZ6" i="2"/>
  <c r="AX6" i="2"/>
  <c r="AV6" i="2"/>
  <c r="AR6" i="2"/>
  <c r="X6" i="2"/>
  <c r="Q6" i="2"/>
  <c r="O6" i="2"/>
  <c r="M6" i="2"/>
  <c r="N6" i="2" s="1"/>
  <c r="L6" i="2"/>
  <c r="G6" i="2"/>
  <c r="DP5" i="2"/>
  <c r="DP36" i="2" s="1"/>
  <c r="DQ36" i="2" s="1"/>
  <c r="DC5" i="2"/>
  <c r="CT5" i="2"/>
  <c r="CT37" i="2" s="1"/>
  <c r="CR5" i="2"/>
  <c r="CR37" i="2" s="1"/>
  <c r="CP5" i="2"/>
  <c r="CP37" i="2" s="1"/>
  <c r="CN5" i="2"/>
  <c r="CN37" i="2" s="1"/>
  <c r="CL5" i="2"/>
  <c r="CL37" i="2" s="1"/>
  <c r="CJ5" i="2"/>
  <c r="CJ37" i="2" s="1"/>
  <c r="CH5" i="2"/>
  <c r="CH37" i="2" s="1"/>
  <c r="CF5" i="2"/>
  <c r="CD5" i="2"/>
  <c r="CD37" i="2" s="1"/>
  <c r="CB5" i="2"/>
  <c r="CB37" i="2" s="1"/>
  <c r="BZ5" i="2"/>
  <c r="BZ37" i="2" s="1"/>
  <c r="BX5" i="2"/>
  <c r="BX37" i="2" s="1"/>
  <c r="BV5" i="2"/>
  <c r="BV37" i="2" s="1"/>
  <c r="BT5" i="2"/>
  <c r="BT37" i="2" s="1"/>
  <c r="BR5" i="2"/>
  <c r="BR37" i="2" s="1"/>
  <c r="BP5" i="2"/>
  <c r="BN5" i="2"/>
  <c r="BN37" i="2" s="1"/>
  <c r="BL5" i="2"/>
  <c r="BL37" i="2" s="1"/>
  <c r="BJ5" i="2"/>
  <c r="BJ37" i="2" s="1"/>
  <c r="BH5" i="2"/>
  <c r="BH37" i="2" s="1"/>
  <c r="BF5" i="2"/>
  <c r="BF37" i="2" s="1"/>
  <c r="BD5" i="2"/>
  <c r="BD37" i="2" s="1"/>
  <c r="BB5" i="2"/>
  <c r="BB37" i="2" s="1"/>
  <c r="AZ5" i="2"/>
  <c r="AX5" i="2"/>
  <c r="AX37" i="2" s="1"/>
  <c r="AV5" i="2"/>
  <c r="AR5" i="2"/>
  <c r="AC5" i="2"/>
  <c r="J37" i="2" s="1"/>
  <c r="AA5" i="2"/>
  <c r="Z5" i="2"/>
  <c r="Z6" i="2" s="1"/>
  <c r="Z7" i="2" s="1"/>
  <c r="Z8" i="2" s="1"/>
  <c r="Z9" i="2" s="1"/>
  <c r="Z10" i="2" s="1"/>
  <c r="Z11" i="2" s="1"/>
  <c r="Z12" i="2" s="1"/>
  <c r="Z13" i="2" s="1"/>
  <c r="Z14" i="2" s="1"/>
  <c r="Z15" i="2" s="1"/>
  <c r="Z16" i="2" s="1"/>
  <c r="Z17" i="2" s="1"/>
  <c r="Z18" i="2" s="1"/>
  <c r="Z19" i="2" s="1"/>
  <c r="Z20" i="2" s="1"/>
  <c r="Z21" i="2" s="1"/>
  <c r="Z22" i="2" s="1"/>
  <c r="Z23" i="2" s="1"/>
  <c r="Z24" i="2" s="1"/>
  <c r="Z25" i="2" s="1"/>
  <c r="Z26" i="2" s="1"/>
  <c r="Z27" i="2" s="1"/>
  <c r="Z28" i="2" s="1"/>
  <c r="Z29" i="2" s="1"/>
  <c r="Z30" i="2" s="1"/>
  <c r="Z31" i="2" s="1"/>
  <c r="Z32" i="2" s="1"/>
  <c r="Z33" i="2" s="1"/>
  <c r="Z34" i="2" s="1"/>
  <c r="Z35" i="2" s="1"/>
  <c r="X5" i="2"/>
  <c r="X37" i="2" s="1"/>
  <c r="V5" i="2"/>
  <c r="V6" i="2" s="1"/>
  <c r="V7" i="2" s="1"/>
  <c r="V8" i="2" s="1"/>
  <c r="V9" i="2" s="1"/>
  <c r="V10" i="2" s="1"/>
  <c r="V11" i="2" s="1"/>
  <c r="Q5" i="2"/>
  <c r="Q37" i="2" s="1"/>
  <c r="O5" i="2"/>
  <c r="O37" i="2" s="1"/>
  <c r="M5" i="2"/>
  <c r="N5" i="2" s="1"/>
  <c r="L5" i="2"/>
  <c r="G5" i="2"/>
  <c r="AQ4" i="2"/>
  <c r="AP4" i="2"/>
  <c r="AO4" i="2"/>
  <c r="AN4" i="2"/>
  <c r="AM4" i="2"/>
  <c r="A1" i="2"/>
  <c r="U41" i="1"/>
  <c r="F41" i="1"/>
  <c r="H40" i="1"/>
  <c r="DO37" i="1"/>
  <c r="DN37" i="1"/>
  <c r="DM37" i="1"/>
  <c r="DL37" i="1"/>
  <c r="DK37" i="1"/>
  <c r="DJ37" i="1"/>
  <c r="DI37" i="1"/>
  <c r="DH37" i="1"/>
  <c r="DG37" i="1"/>
  <c r="DF37" i="1"/>
  <c r="DA37" i="1"/>
  <c r="CZ37" i="1"/>
  <c r="CY37" i="1"/>
  <c r="CX37" i="1"/>
  <c r="CV37" i="1"/>
  <c r="CU37" i="1"/>
  <c r="CS37" i="1"/>
  <c r="CQ37" i="1"/>
  <c r="CO37" i="1"/>
  <c r="CM37" i="1"/>
  <c r="CK37" i="1"/>
  <c r="CI37" i="1"/>
  <c r="CG37" i="1"/>
  <c r="CE37" i="1"/>
  <c r="CC37" i="1"/>
  <c r="CA37" i="1"/>
  <c r="BY37" i="1"/>
  <c r="BW37" i="1"/>
  <c r="BU37" i="1"/>
  <c r="BS37" i="1"/>
  <c r="BQ37" i="1"/>
  <c r="BO37" i="1"/>
  <c r="BM37" i="1"/>
  <c r="BK37" i="1"/>
  <c r="BI37" i="1"/>
  <c r="BG37" i="1"/>
  <c r="BE37" i="1"/>
  <c r="BC37" i="1"/>
  <c r="BA37" i="1"/>
  <c r="AY37" i="1"/>
  <c r="AW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Y37" i="1"/>
  <c r="W37" i="1"/>
  <c r="U37" i="1"/>
  <c r="K37" i="1"/>
  <c r="L37" i="1" s="1"/>
  <c r="F37" i="1"/>
  <c r="H37" i="1" s="1"/>
  <c r="DO36" i="1"/>
  <c r="DN36" i="1"/>
  <c r="DM36" i="1"/>
  <c r="DL36" i="1"/>
  <c r="DK36" i="1"/>
  <c r="DJ36" i="1"/>
  <c r="DI36" i="1"/>
  <c r="DH36" i="1"/>
  <c r="DG36" i="1"/>
  <c r="DF36" i="1"/>
  <c r="DA36" i="1"/>
  <c r="CZ36" i="1"/>
  <c r="CY36" i="1"/>
  <c r="CX36" i="1"/>
  <c r="CV36" i="1"/>
  <c r="CU36" i="1"/>
  <c r="CS36" i="1"/>
  <c r="CQ36" i="1"/>
  <c r="CO36" i="1"/>
  <c r="CM36" i="1"/>
  <c r="CK36" i="1"/>
  <c r="CI36" i="1"/>
  <c r="CG36" i="1"/>
  <c r="CE36" i="1"/>
  <c r="CC36" i="1"/>
  <c r="CA36" i="1"/>
  <c r="BY36" i="1"/>
  <c r="BW36" i="1"/>
  <c r="BU36" i="1"/>
  <c r="BS36" i="1"/>
  <c r="BQ36" i="1"/>
  <c r="BO36" i="1"/>
  <c r="BM36" i="1"/>
  <c r="BK36" i="1"/>
  <c r="BI36" i="1"/>
  <c r="BG36" i="1"/>
  <c r="BE36" i="1"/>
  <c r="BC36" i="1"/>
  <c r="BA36" i="1"/>
  <c r="AY36" i="1"/>
  <c r="AW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Y36" i="1"/>
  <c r="W36" i="1"/>
  <c r="U36" i="1"/>
  <c r="N36" i="1"/>
  <c r="K36" i="1"/>
  <c r="L36" i="1" s="1"/>
  <c r="F36" i="1"/>
  <c r="DP35" i="1"/>
  <c r="DQ35" i="1" s="1"/>
  <c r="DC35" i="1"/>
  <c r="CT35" i="1"/>
  <c r="CR35" i="1"/>
  <c r="CP35" i="1"/>
  <c r="CN35" i="1"/>
  <c r="CL35" i="1"/>
  <c r="CJ35" i="1"/>
  <c r="CH35" i="1"/>
  <c r="CF35" i="1"/>
  <c r="CD35" i="1"/>
  <c r="CB35" i="1"/>
  <c r="BZ35" i="1"/>
  <c r="BX35" i="1"/>
  <c r="BV35" i="1"/>
  <c r="BT35" i="1"/>
  <c r="BR35" i="1"/>
  <c r="BP35" i="1"/>
  <c r="BN35" i="1"/>
  <c r="BL35" i="1"/>
  <c r="BJ35" i="1"/>
  <c r="BH35" i="1"/>
  <c r="BF35" i="1"/>
  <c r="BD35" i="1"/>
  <c r="BB35" i="1"/>
  <c r="AZ35" i="1"/>
  <c r="AX35" i="1"/>
  <c r="AV35" i="1"/>
  <c r="AT35" i="1"/>
  <c r="AR35" i="1"/>
  <c r="AS35" i="1" s="1"/>
  <c r="X35" i="1"/>
  <c r="Q35" i="1"/>
  <c r="O35" i="1"/>
  <c r="N35" i="1"/>
  <c r="M35" i="1"/>
  <c r="L35" i="1"/>
  <c r="G35" i="1"/>
  <c r="DQ34" i="1"/>
  <c r="DP34" i="1"/>
  <c r="DC34" i="1"/>
  <c r="CT34" i="1"/>
  <c r="CR34" i="1"/>
  <c r="CP34" i="1"/>
  <c r="CN34" i="1"/>
  <c r="CL34" i="1"/>
  <c r="CJ34" i="1"/>
  <c r="CH34" i="1"/>
  <c r="CF34" i="1"/>
  <c r="CD34" i="1"/>
  <c r="CB34" i="1"/>
  <c r="BZ34" i="1"/>
  <c r="BX34" i="1"/>
  <c r="BV34" i="1"/>
  <c r="BT34" i="1"/>
  <c r="BR34" i="1"/>
  <c r="BP34" i="1"/>
  <c r="BN34" i="1"/>
  <c r="BL34" i="1"/>
  <c r="BJ34" i="1"/>
  <c r="BH34" i="1"/>
  <c r="BF34" i="1"/>
  <c r="BD34" i="1"/>
  <c r="BB34" i="1"/>
  <c r="AZ34" i="1"/>
  <c r="AX34" i="1"/>
  <c r="AV34" i="1"/>
  <c r="AT34" i="1"/>
  <c r="AR34" i="1"/>
  <c r="AS34" i="1" s="1"/>
  <c r="X34" i="1"/>
  <c r="Q34" i="1"/>
  <c r="O34" i="1"/>
  <c r="N34" i="1"/>
  <c r="M34" i="1"/>
  <c r="L34" i="1"/>
  <c r="G34" i="1"/>
  <c r="DP33" i="1"/>
  <c r="DQ33" i="1" s="1"/>
  <c r="DC33" i="1"/>
  <c r="CT33" i="1"/>
  <c r="CR33" i="1"/>
  <c r="CP33" i="1"/>
  <c r="CN33" i="1"/>
  <c r="CL33" i="1"/>
  <c r="CJ33" i="1"/>
  <c r="CH33" i="1"/>
  <c r="CF33" i="1"/>
  <c r="CD33" i="1"/>
  <c r="CB33" i="1"/>
  <c r="BZ33" i="1"/>
  <c r="BX33" i="1"/>
  <c r="BV33" i="1"/>
  <c r="BT33" i="1"/>
  <c r="BR33" i="1"/>
  <c r="BP33" i="1"/>
  <c r="BN33" i="1"/>
  <c r="BL33" i="1"/>
  <c r="BJ33" i="1"/>
  <c r="BH33" i="1"/>
  <c r="BF33" i="1"/>
  <c r="BD33" i="1"/>
  <c r="BB33" i="1"/>
  <c r="AZ33" i="1"/>
  <c r="AX33" i="1"/>
  <c r="AV33" i="1"/>
  <c r="AT33" i="1"/>
  <c r="AR33" i="1"/>
  <c r="AS33" i="1" s="1"/>
  <c r="X33" i="1"/>
  <c r="Q33" i="1"/>
  <c r="O33" i="1"/>
  <c r="M33" i="1"/>
  <c r="N33" i="1" s="1"/>
  <c r="L33" i="1"/>
  <c r="G33" i="1"/>
  <c r="DP32" i="1"/>
  <c r="DQ32" i="1" s="1"/>
  <c r="DC32" i="1"/>
  <c r="CT32" i="1"/>
  <c r="CR32" i="1"/>
  <c r="CP32" i="1"/>
  <c r="CN32" i="1"/>
  <c r="CL32" i="1"/>
  <c r="CJ32" i="1"/>
  <c r="CH32" i="1"/>
  <c r="CF32" i="1"/>
  <c r="CD32" i="1"/>
  <c r="CB32" i="1"/>
  <c r="BZ32" i="1"/>
  <c r="BX32" i="1"/>
  <c r="BV32" i="1"/>
  <c r="BT32" i="1"/>
  <c r="BR32" i="1"/>
  <c r="BP32" i="1"/>
  <c r="BN32" i="1"/>
  <c r="BL32" i="1"/>
  <c r="BJ32" i="1"/>
  <c r="BH32" i="1"/>
  <c r="BF32" i="1"/>
  <c r="BD32" i="1"/>
  <c r="BB32" i="1"/>
  <c r="AZ32" i="1"/>
  <c r="AX32" i="1"/>
  <c r="AV32" i="1"/>
  <c r="AT32" i="1"/>
  <c r="AR32" i="1"/>
  <c r="AS32" i="1" s="1"/>
  <c r="X32" i="1"/>
  <c r="Q32" i="1"/>
  <c r="O32" i="1"/>
  <c r="N32" i="1"/>
  <c r="M32" i="1"/>
  <c r="L32" i="1"/>
  <c r="G32" i="1"/>
  <c r="DP31" i="1"/>
  <c r="DQ31" i="1" s="1"/>
  <c r="DC31" i="1"/>
  <c r="CT31" i="1"/>
  <c r="CR31" i="1"/>
  <c r="CP31" i="1"/>
  <c r="CN31" i="1"/>
  <c r="CL31" i="1"/>
  <c r="CJ31" i="1"/>
  <c r="CH31" i="1"/>
  <c r="CF31" i="1"/>
  <c r="CD31" i="1"/>
  <c r="CB31" i="1"/>
  <c r="BZ31" i="1"/>
  <c r="BX31" i="1"/>
  <c r="BV31" i="1"/>
  <c r="BT31" i="1"/>
  <c r="BR31" i="1"/>
  <c r="BP31" i="1"/>
  <c r="BN31" i="1"/>
  <c r="BL31" i="1"/>
  <c r="BJ31" i="1"/>
  <c r="BH31" i="1"/>
  <c r="BF31" i="1"/>
  <c r="BD31" i="1"/>
  <c r="BB31" i="1"/>
  <c r="AZ31" i="1"/>
  <c r="AX31" i="1"/>
  <c r="AV31" i="1"/>
  <c r="AT31" i="1"/>
  <c r="AR31" i="1"/>
  <c r="AS31" i="1" s="1"/>
  <c r="X31" i="1"/>
  <c r="Q31" i="1"/>
  <c r="O31" i="1"/>
  <c r="N31" i="1"/>
  <c r="M31" i="1"/>
  <c r="L31" i="1"/>
  <c r="G31" i="1"/>
  <c r="DQ30" i="1"/>
  <c r="DP30" i="1"/>
  <c r="DC30" i="1"/>
  <c r="CT30" i="1"/>
  <c r="CR30" i="1"/>
  <c r="CP30" i="1"/>
  <c r="CN30" i="1"/>
  <c r="CL30" i="1"/>
  <c r="CJ30" i="1"/>
  <c r="CH30" i="1"/>
  <c r="CF30" i="1"/>
  <c r="CD30" i="1"/>
  <c r="CB30" i="1"/>
  <c r="BZ30" i="1"/>
  <c r="BX30" i="1"/>
  <c r="BV30" i="1"/>
  <c r="BT30" i="1"/>
  <c r="BR30" i="1"/>
  <c r="BP30" i="1"/>
  <c r="BN30" i="1"/>
  <c r="BL30" i="1"/>
  <c r="BJ30" i="1"/>
  <c r="BH30" i="1"/>
  <c r="BF30" i="1"/>
  <c r="BD30" i="1"/>
  <c r="BB30" i="1"/>
  <c r="AZ30" i="1"/>
  <c r="AX30" i="1"/>
  <c r="AV30" i="1"/>
  <c r="AT30" i="1"/>
  <c r="AR30" i="1"/>
  <c r="AS30" i="1" s="1"/>
  <c r="X30" i="1"/>
  <c r="Q30" i="1"/>
  <c r="O30" i="1"/>
  <c r="M30" i="1"/>
  <c r="N30" i="1" s="1"/>
  <c r="L30" i="1"/>
  <c r="G30" i="1"/>
  <c r="DQ29" i="1"/>
  <c r="DP29" i="1"/>
  <c r="DC29" i="1"/>
  <c r="CT29" i="1"/>
  <c r="CR29" i="1"/>
  <c r="CP29" i="1"/>
  <c r="CN29" i="1"/>
  <c r="CL29" i="1"/>
  <c r="CJ29" i="1"/>
  <c r="CH29" i="1"/>
  <c r="CF29" i="1"/>
  <c r="CD29" i="1"/>
  <c r="CB29" i="1"/>
  <c r="BZ29" i="1"/>
  <c r="BX29" i="1"/>
  <c r="BV29" i="1"/>
  <c r="BT29" i="1"/>
  <c r="BR29" i="1"/>
  <c r="BP29" i="1"/>
  <c r="BN29" i="1"/>
  <c r="BL29" i="1"/>
  <c r="BJ29" i="1"/>
  <c r="BH29" i="1"/>
  <c r="BF29" i="1"/>
  <c r="BD29" i="1"/>
  <c r="BB29" i="1"/>
  <c r="AZ29" i="1"/>
  <c r="AX29" i="1"/>
  <c r="AV29" i="1"/>
  <c r="AT29" i="1"/>
  <c r="AR29" i="1"/>
  <c r="AS29" i="1" s="1"/>
  <c r="X29" i="1"/>
  <c r="Q29" i="1"/>
  <c r="O29" i="1"/>
  <c r="N29" i="1"/>
  <c r="M29" i="1"/>
  <c r="L29" i="1"/>
  <c r="G29" i="1"/>
  <c r="DP28" i="1"/>
  <c r="DQ28" i="1" s="1"/>
  <c r="DC28" i="1"/>
  <c r="CT28" i="1"/>
  <c r="CR28" i="1"/>
  <c r="CP28" i="1"/>
  <c r="CN28" i="1"/>
  <c r="CL28" i="1"/>
  <c r="CJ28" i="1"/>
  <c r="CH28" i="1"/>
  <c r="CF28" i="1"/>
  <c r="CD28" i="1"/>
  <c r="CB28" i="1"/>
  <c r="BZ28" i="1"/>
  <c r="BX28" i="1"/>
  <c r="BV28" i="1"/>
  <c r="BT28" i="1"/>
  <c r="BR28" i="1"/>
  <c r="BP28" i="1"/>
  <c r="BN28" i="1"/>
  <c r="BL28" i="1"/>
  <c r="BJ28" i="1"/>
  <c r="BH28" i="1"/>
  <c r="BF28" i="1"/>
  <c r="BD28" i="1"/>
  <c r="BB28" i="1"/>
  <c r="AZ28" i="1"/>
  <c r="AX28" i="1"/>
  <c r="AV28" i="1"/>
  <c r="AT28" i="1"/>
  <c r="AR28" i="1"/>
  <c r="AS28" i="1" s="1"/>
  <c r="X28" i="1"/>
  <c r="Q28" i="1"/>
  <c r="O28" i="1"/>
  <c r="M28" i="1"/>
  <c r="N28" i="1" s="1"/>
  <c r="L28" i="1"/>
  <c r="G28" i="1"/>
  <c r="DQ27" i="1"/>
  <c r="DP27" i="1"/>
  <c r="DC27" i="1"/>
  <c r="CT27" i="1"/>
  <c r="CR27" i="1"/>
  <c r="CP27" i="1"/>
  <c r="CN27" i="1"/>
  <c r="CL27" i="1"/>
  <c r="CJ27" i="1"/>
  <c r="CH27" i="1"/>
  <c r="CF27" i="1"/>
  <c r="CD27" i="1"/>
  <c r="CB27" i="1"/>
  <c r="BZ27" i="1"/>
  <c r="BX27" i="1"/>
  <c r="BV27" i="1"/>
  <c r="BT27" i="1"/>
  <c r="BR27" i="1"/>
  <c r="BP27" i="1"/>
  <c r="BN27" i="1"/>
  <c r="BL27" i="1"/>
  <c r="BJ27" i="1"/>
  <c r="BH27" i="1"/>
  <c r="BF27" i="1"/>
  <c r="BD27" i="1"/>
  <c r="BB27" i="1"/>
  <c r="AZ27" i="1"/>
  <c r="AX27" i="1"/>
  <c r="AV27" i="1"/>
  <c r="AT27" i="1"/>
  <c r="AR27" i="1"/>
  <c r="AS27" i="1" s="1"/>
  <c r="X27" i="1"/>
  <c r="Q27" i="1"/>
  <c r="O27" i="1"/>
  <c r="M27" i="1"/>
  <c r="N27" i="1" s="1"/>
  <c r="L27" i="1"/>
  <c r="G27" i="1"/>
  <c r="DP26" i="1"/>
  <c r="DQ26" i="1" s="1"/>
  <c r="DC26" i="1"/>
  <c r="CT26" i="1"/>
  <c r="CR26" i="1"/>
  <c r="CP26" i="1"/>
  <c r="CN26" i="1"/>
  <c r="CL26" i="1"/>
  <c r="CJ26" i="1"/>
  <c r="CH26" i="1"/>
  <c r="CF26" i="1"/>
  <c r="CD26" i="1"/>
  <c r="CB26" i="1"/>
  <c r="BZ26" i="1"/>
  <c r="BX26" i="1"/>
  <c r="BV26" i="1"/>
  <c r="BT26" i="1"/>
  <c r="BR26" i="1"/>
  <c r="BP26" i="1"/>
  <c r="BN26" i="1"/>
  <c r="BL26" i="1"/>
  <c r="BJ26" i="1"/>
  <c r="BH26" i="1"/>
  <c r="BF26" i="1"/>
  <c r="BD26" i="1"/>
  <c r="BB26" i="1"/>
  <c r="AZ26" i="1"/>
  <c r="AX26" i="1"/>
  <c r="AV26" i="1"/>
  <c r="AT26" i="1"/>
  <c r="AR26" i="1"/>
  <c r="AS26" i="1" s="1"/>
  <c r="X26" i="1"/>
  <c r="Q26" i="1"/>
  <c r="O26" i="1"/>
  <c r="N26" i="1"/>
  <c r="M26" i="1"/>
  <c r="L26" i="1"/>
  <c r="G26" i="1"/>
  <c r="DQ25" i="1"/>
  <c r="DP25" i="1"/>
  <c r="DC25" i="1"/>
  <c r="CT25" i="1"/>
  <c r="CR25" i="1"/>
  <c r="CP25" i="1"/>
  <c r="CN25" i="1"/>
  <c r="CL25" i="1"/>
  <c r="CJ25" i="1"/>
  <c r="CH25" i="1"/>
  <c r="CF25" i="1"/>
  <c r="CD25" i="1"/>
  <c r="CB25" i="1"/>
  <c r="BZ25" i="1"/>
  <c r="BX25" i="1"/>
  <c r="BV25" i="1"/>
  <c r="BT25" i="1"/>
  <c r="BR25" i="1"/>
  <c r="BP25" i="1"/>
  <c r="BN25" i="1"/>
  <c r="BL25" i="1"/>
  <c r="BJ25" i="1"/>
  <c r="BH25" i="1"/>
  <c r="BF25" i="1"/>
  <c r="BD25" i="1"/>
  <c r="BB25" i="1"/>
  <c r="AZ25" i="1"/>
  <c r="AX25" i="1"/>
  <c r="AV25" i="1"/>
  <c r="AR25" i="1"/>
  <c r="AS25" i="1" s="1"/>
  <c r="X25" i="1"/>
  <c r="Q25" i="1"/>
  <c r="O25" i="1"/>
  <c r="N25" i="1"/>
  <c r="M25" i="1"/>
  <c r="L25" i="1"/>
  <c r="G25" i="1"/>
  <c r="DP24" i="1"/>
  <c r="DQ24" i="1" s="1"/>
  <c r="DC24" i="1"/>
  <c r="CT24" i="1"/>
  <c r="CR24" i="1"/>
  <c r="CP24" i="1"/>
  <c r="CN24" i="1"/>
  <c r="CL24" i="1"/>
  <c r="CJ24" i="1"/>
  <c r="CH24" i="1"/>
  <c r="CF24" i="1"/>
  <c r="CD24" i="1"/>
  <c r="CB24" i="1"/>
  <c r="BZ24" i="1"/>
  <c r="BX24" i="1"/>
  <c r="BV24" i="1"/>
  <c r="BT24" i="1"/>
  <c r="BR24" i="1"/>
  <c r="BP24" i="1"/>
  <c r="BN24" i="1"/>
  <c r="BL24" i="1"/>
  <c r="BJ24" i="1"/>
  <c r="BH24" i="1"/>
  <c r="BF24" i="1"/>
  <c r="BD24" i="1"/>
  <c r="BB24" i="1"/>
  <c r="AZ24" i="1"/>
  <c r="AX24" i="1"/>
  <c r="AV24" i="1"/>
  <c r="AT24" i="1"/>
  <c r="AR24" i="1"/>
  <c r="AS24" i="1" s="1"/>
  <c r="X24" i="1"/>
  <c r="Q24" i="1"/>
  <c r="O24" i="1"/>
  <c r="N24" i="1"/>
  <c r="M24" i="1"/>
  <c r="L24" i="1"/>
  <c r="G24" i="1"/>
  <c r="DQ23" i="1"/>
  <c r="DP23" i="1"/>
  <c r="DC23" i="1"/>
  <c r="CT23" i="1"/>
  <c r="CR23" i="1"/>
  <c r="CP23" i="1"/>
  <c r="CN23" i="1"/>
  <c r="CL23" i="1"/>
  <c r="CJ23" i="1"/>
  <c r="CH23" i="1"/>
  <c r="CF23" i="1"/>
  <c r="CD23" i="1"/>
  <c r="CB23" i="1"/>
  <c r="BZ23" i="1"/>
  <c r="BX23" i="1"/>
  <c r="BV23" i="1"/>
  <c r="BT23" i="1"/>
  <c r="BR23" i="1"/>
  <c r="BP23" i="1"/>
  <c r="BN23" i="1"/>
  <c r="BL23" i="1"/>
  <c r="BJ23" i="1"/>
  <c r="BH23" i="1"/>
  <c r="BF23" i="1"/>
  <c r="BD23" i="1"/>
  <c r="BB23" i="1"/>
  <c r="AZ23" i="1"/>
  <c r="AX23" i="1"/>
  <c r="AV23" i="1"/>
  <c r="AT23" i="1"/>
  <c r="AR23" i="1"/>
  <c r="AS23" i="1" s="1"/>
  <c r="X23" i="1"/>
  <c r="Q23" i="1"/>
  <c r="O23" i="1"/>
  <c r="M23" i="1"/>
  <c r="N23" i="1" s="1"/>
  <c r="L23" i="1"/>
  <c r="G23" i="1"/>
  <c r="DQ22" i="1"/>
  <c r="DP22" i="1"/>
  <c r="DC22" i="1"/>
  <c r="CT22" i="1"/>
  <c r="CR22" i="1"/>
  <c r="CP22" i="1"/>
  <c r="CN22" i="1"/>
  <c r="CL22" i="1"/>
  <c r="CJ22" i="1"/>
  <c r="CH22" i="1"/>
  <c r="CF22" i="1"/>
  <c r="CD22" i="1"/>
  <c r="CB22" i="1"/>
  <c r="BZ22" i="1"/>
  <c r="BX22" i="1"/>
  <c r="BV22" i="1"/>
  <c r="BT22" i="1"/>
  <c r="BR22" i="1"/>
  <c r="BP22" i="1"/>
  <c r="BN22" i="1"/>
  <c r="BL22" i="1"/>
  <c r="BJ22" i="1"/>
  <c r="BH22" i="1"/>
  <c r="BF22" i="1"/>
  <c r="BD22" i="1"/>
  <c r="BB22" i="1"/>
  <c r="AZ22" i="1"/>
  <c r="AX22" i="1"/>
  <c r="AV22" i="1"/>
  <c r="AR22" i="1"/>
  <c r="AS22" i="1" s="1"/>
  <c r="X22" i="1"/>
  <c r="Q22" i="1"/>
  <c r="O22" i="1"/>
  <c r="N22" i="1"/>
  <c r="M22" i="1"/>
  <c r="L22" i="1"/>
  <c r="G22" i="1"/>
  <c r="DP21" i="1"/>
  <c r="DQ21" i="1" s="1"/>
  <c r="DC21" i="1"/>
  <c r="CT21" i="1"/>
  <c r="CR21" i="1"/>
  <c r="CP21" i="1"/>
  <c r="CN21" i="1"/>
  <c r="CL21" i="1"/>
  <c r="CJ21" i="1"/>
  <c r="CH21" i="1"/>
  <c r="CF21" i="1"/>
  <c r="CD21" i="1"/>
  <c r="CB21" i="1"/>
  <c r="BZ21" i="1"/>
  <c r="BX21" i="1"/>
  <c r="BV21" i="1"/>
  <c r="BT21" i="1"/>
  <c r="BR21" i="1"/>
  <c r="BP21" i="1"/>
  <c r="BN21" i="1"/>
  <c r="BL21" i="1"/>
  <c r="BJ21" i="1"/>
  <c r="BH21" i="1"/>
  <c r="BF21" i="1"/>
  <c r="BD21" i="1"/>
  <c r="BB21" i="1"/>
  <c r="AZ21" i="1"/>
  <c r="AX21" i="1"/>
  <c r="AV21" i="1"/>
  <c r="AR21" i="1"/>
  <c r="AS21" i="1" s="1"/>
  <c r="X21" i="1"/>
  <c r="Q21" i="1"/>
  <c r="O21" i="1"/>
  <c r="M21" i="1"/>
  <c r="N21" i="1" s="1"/>
  <c r="L21" i="1"/>
  <c r="G21" i="1"/>
  <c r="DQ20" i="1"/>
  <c r="DP20" i="1"/>
  <c r="DC20" i="1"/>
  <c r="CT20" i="1"/>
  <c r="CR20" i="1"/>
  <c r="CP20" i="1"/>
  <c r="CN20" i="1"/>
  <c r="CL20" i="1"/>
  <c r="CJ20" i="1"/>
  <c r="CH20" i="1"/>
  <c r="CF20" i="1"/>
  <c r="CD20" i="1"/>
  <c r="CB20" i="1"/>
  <c r="BZ20" i="1"/>
  <c r="BX20" i="1"/>
  <c r="BV20" i="1"/>
  <c r="BT20" i="1"/>
  <c r="BR20" i="1"/>
  <c r="BP20" i="1"/>
  <c r="BN20" i="1"/>
  <c r="BL20" i="1"/>
  <c r="BJ20" i="1"/>
  <c r="BH20" i="1"/>
  <c r="BF20" i="1"/>
  <c r="BD20" i="1"/>
  <c r="BB20" i="1"/>
  <c r="AZ20" i="1"/>
  <c r="AX20" i="1"/>
  <c r="AV20" i="1"/>
  <c r="AR20" i="1"/>
  <c r="AS20" i="1" s="1"/>
  <c r="X20" i="1"/>
  <c r="Q20" i="1"/>
  <c r="O20" i="1"/>
  <c r="M20" i="1"/>
  <c r="N20" i="1" s="1"/>
  <c r="L20" i="1"/>
  <c r="G20" i="1"/>
  <c r="DQ19" i="1"/>
  <c r="DP19" i="1"/>
  <c r="DC19" i="1"/>
  <c r="CT19" i="1"/>
  <c r="CR19" i="1"/>
  <c r="CP19" i="1"/>
  <c r="CN19" i="1"/>
  <c r="CL19" i="1"/>
  <c r="CJ19" i="1"/>
  <c r="CH19" i="1"/>
  <c r="CF19" i="1"/>
  <c r="CD19" i="1"/>
  <c r="CB19" i="1"/>
  <c r="BZ19" i="1"/>
  <c r="BX19" i="1"/>
  <c r="BV19" i="1"/>
  <c r="BT19" i="1"/>
  <c r="BR19" i="1"/>
  <c r="BP19" i="1"/>
  <c r="BN19" i="1"/>
  <c r="BL19" i="1"/>
  <c r="BJ19" i="1"/>
  <c r="BH19" i="1"/>
  <c r="BF19" i="1"/>
  <c r="BD19" i="1"/>
  <c r="BB19" i="1"/>
  <c r="AZ19" i="1"/>
  <c r="AX19" i="1"/>
  <c r="AV19" i="1"/>
  <c r="AT19" i="1"/>
  <c r="AR19" i="1"/>
  <c r="AS19" i="1" s="1"/>
  <c r="X19" i="1"/>
  <c r="Q19" i="1"/>
  <c r="O19" i="1"/>
  <c r="M19" i="1"/>
  <c r="N19" i="1" s="1"/>
  <c r="L19" i="1"/>
  <c r="G19" i="1"/>
  <c r="DQ18" i="1"/>
  <c r="DP18" i="1"/>
  <c r="DC18" i="1"/>
  <c r="CT18" i="1"/>
  <c r="CR18" i="1"/>
  <c r="CP18" i="1"/>
  <c r="CN18" i="1"/>
  <c r="CL18" i="1"/>
  <c r="CJ18" i="1"/>
  <c r="CH18" i="1"/>
  <c r="CF18" i="1"/>
  <c r="CD18" i="1"/>
  <c r="CB18" i="1"/>
  <c r="BZ18" i="1"/>
  <c r="BX18" i="1"/>
  <c r="BV18" i="1"/>
  <c r="BT18" i="1"/>
  <c r="BR18" i="1"/>
  <c r="BP18" i="1"/>
  <c r="BN18" i="1"/>
  <c r="BL18" i="1"/>
  <c r="BJ18" i="1"/>
  <c r="BH18" i="1"/>
  <c r="BF18" i="1"/>
  <c r="BD18" i="1"/>
  <c r="BB18" i="1"/>
  <c r="AZ18" i="1"/>
  <c r="AX18" i="1"/>
  <c r="AV18" i="1"/>
  <c r="AR18" i="1"/>
  <c r="AS18" i="1" s="1"/>
  <c r="X18" i="1"/>
  <c r="Q18" i="1"/>
  <c r="O18" i="1"/>
  <c r="N18" i="1"/>
  <c r="M18" i="1"/>
  <c r="L18" i="1"/>
  <c r="G18" i="1"/>
  <c r="DP17" i="1"/>
  <c r="DQ17" i="1" s="1"/>
  <c r="DC17" i="1"/>
  <c r="CT17" i="1"/>
  <c r="CR17" i="1"/>
  <c r="CP17" i="1"/>
  <c r="CN17" i="1"/>
  <c r="CL17" i="1"/>
  <c r="CJ17" i="1"/>
  <c r="CH17" i="1"/>
  <c r="CF17" i="1"/>
  <c r="CD17" i="1"/>
  <c r="CB17" i="1"/>
  <c r="BZ17" i="1"/>
  <c r="BX17" i="1"/>
  <c r="BV17" i="1"/>
  <c r="BT17" i="1"/>
  <c r="BR17" i="1"/>
  <c r="BP17" i="1"/>
  <c r="BN17" i="1"/>
  <c r="BL17" i="1"/>
  <c r="BJ17" i="1"/>
  <c r="BH17" i="1"/>
  <c r="BF17" i="1"/>
  <c r="BD17" i="1"/>
  <c r="BB17" i="1"/>
  <c r="AZ17" i="1"/>
  <c r="AX17" i="1"/>
  <c r="AV17" i="1"/>
  <c r="AR17" i="1"/>
  <c r="AS17" i="1" s="1"/>
  <c r="X17" i="1"/>
  <c r="Q17" i="1"/>
  <c r="O17" i="1"/>
  <c r="M17" i="1"/>
  <c r="N17" i="1" s="1"/>
  <c r="L17" i="1"/>
  <c r="G17" i="1"/>
  <c r="DQ16" i="1"/>
  <c r="DP16" i="1"/>
  <c r="DC16" i="1"/>
  <c r="CT16" i="1"/>
  <c r="CR16" i="1"/>
  <c r="CP16" i="1"/>
  <c r="CN16" i="1"/>
  <c r="CL16" i="1"/>
  <c r="CJ16" i="1"/>
  <c r="CH16" i="1"/>
  <c r="CF16" i="1"/>
  <c r="CD16" i="1"/>
  <c r="CB16" i="1"/>
  <c r="BZ16" i="1"/>
  <c r="BX16" i="1"/>
  <c r="BV16" i="1"/>
  <c r="BT16" i="1"/>
  <c r="BR16" i="1"/>
  <c r="BP16" i="1"/>
  <c r="BN16" i="1"/>
  <c r="BL16" i="1"/>
  <c r="BJ16" i="1"/>
  <c r="BH16" i="1"/>
  <c r="BF16" i="1"/>
  <c r="BD16" i="1"/>
  <c r="BB16" i="1"/>
  <c r="AZ16" i="1"/>
  <c r="AX16" i="1"/>
  <c r="AV16" i="1"/>
  <c r="AR16" i="1"/>
  <c r="AT16" i="1" s="1"/>
  <c r="X16" i="1"/>
  <c r="Q16" i="1"/>
  <c r="O16" i="1"/>
  <c r="M16" i="1"/>
  <c r="N16" i="1" s="1"/>
  <c r="L16" i="1"/>
  <c r="G16" i="1"/>
  <c r="DQ15" i="1"/>
  <c r="DP15" i="1"/>
  <c r="DC15" i="1"/>
  <c r="CT15" i="1"/>
  <c r="CR15" i="1"/>
  <c r="CP15" i="1"/>
  <c r="CN15" i="1"/>
  <c r="CL15" i="1"/>
  <c r="CJ15" i="1"/>
  <c r="CH15" i="1"/>
  <c r="CF15" i="1"/>
  <c r="CD15" i="1"/>
  <c r="CB15" i="1"/>
  <c r="BZ15" i="1"/>
  <c r="BX15" i="1"/>
  <c r="BV15" i="1"/>
  <c r="BT15" i="1"/>
  <c r="BR15" i="1"/>
  <c r="BP15" i="1"/>
  <c r="BN15" i="1"/>
  <c r="BL15" i="1"/>
  <c r="BJ15" i="1"/>
  <c r="BH15" i="1"/>
  <c r="BF15" i="1"/>
  <c r="BD15" i="1"/>
  <c r="BB15" i="1"/>
  <c r="AZ15" i="1"/>
  <c r="AX15" i="1"/>
  <c r="AV15" i="1"/>
  <c r="AR15" i="1"/>
  <c r="AT15" i="1" s="1"/>
  <c r="X15" i="1"/>
  <c r="Q15" i="1"/>
  <c r="O15" i="1"/>
  <c r="M15" i="1"/>
  <c r="N15" i="1" s="1"/>
  <c r="L15" i="1"/>
  <c r="G15" i="1"/>
  <c r="DQ14" i="1"/>
  <c r="DP14" i="1"/>
  <c r="DC14" i="1"/>
  <c r="CT14" i="1"/>
  <c r="CR14" i="1"/>
  <c r="CP14" i="1"/>
  <c r="CN14" i="1"/>
  <c r="CL14" i="1"/>
  <c r="CJ14" i="1"/>
  <c r="CH14" i="1"/>
  <c r="CF14" i="1"/>
  <c r="CD14" i="1"/>
  <c r="CB14" i="1"/>
  <c r="BZ14" i="1"/>
  <c r="BX14" i="1"/>
  <c r="BV14" i="1"/>
  <c r="BT14" i="1"/>
  <c r="BR14" i="1"/>
  <c r="BP14" i="1"/>
  <c r="BN14" i="1"/>
  <c r="BL14" i="1"/>
  <c r="BJ14" i="1"/>
  <c r="BH14" i="1"/>
  <c r="BF14" i="1"/>
  <c r="BD14" i="1"/>
  <c r="BB14" i="1"/>
  <c r="AZ14" i="1"/>
  <c r="AX14" i="1"/>
  <c r="AV14" i="1"/>
  <c r="AR14" i="1"/>
  <c r="AT14" i="1" s="1"/>
  <c r="X14" i="1"/>
  <c r="Q14" i="1"/>
  <c r="O14" i="1"/>
  <c r="M14" i="1"/>
  <c r="N14" i="1" s="1"/>
  <c r="L14" i="1"/>
  <c r="G14" i="1"/>
  <c r="DP13" i="1"/>
  <c r="DQ13" i="1" s="1"/>
  <c r="DC13" i="1"/>
  <c r="CT13" i="1"/>
  <c r="CR13" i="1"/>
  <c r="CP13" i="1"/>
  <c r="CN13" i="1"/>
  <c r="CL13" i="1"/>
  <c r="CJ13" i="1"/>
  <c r="CH13" i="1"/>
  <c r="CF13" i="1"/>
  <c r="CD13" i="1"/>
  <c r="CB13" i="1"/>
  <c r="BZ13" i="1"/>
  <c r="BX13" i="1"/>
  <c r="BV13" i="1"/>
  <c r="BT13" i="1"/>
  <c r="BR13" i="1"/>
  <c r="BP13" i="1"/>
  <c r="BN13" i="1"/>
  <c r="BL13" i="1"/>
  <c r="BJ13" i="1"/>
  <c r="BH13" i="1"/>
  <c r="BF13" i="1"/>
  <c r="BD13" i="1"/>
  <c r="BB13" i="1"/>
  <c r="AZ13" i="1"/>
  <c r="AX13" i="1"/>
  <c r="AV13" i="1"/>
  <c r="AR13" i="1"/>
  <c r="AT13" i="1" s="1"/>
  <c r="X13" i="1"/>
  <c r="Q13" i="1"/>
  <c r="O13" i="1"/>
  <c r="M13" i="1"/>
  <c r="N13" i="1" s="1"/>
  <c r="L13" i="1"/>
  <c r="G13" i="1"/>
  <c r="DP12" i="1"/>
  <c r="DQ12" i="1" s="1"/>
  <c r="DC12" i="1"/>
  <c r="CT12" i="1"/>
  <c r="CR12" i="1"/>
  <c r="CP12" i="1"/>
  <c r="CN12" i="1"/>
  <c r="CL12" i="1"/>
  <c r="CJ12" i="1"/>
  <c r="CH12" i="1"/>
  <c r="CF12" i="1"/>
  <c r="CD12" i="1"/>
  <c r="CB12" i="1"/>
  <c r="BZ12" i="1"/>
  <c r="BX12" i="1"/>
  <c r="BV12" i="1"/>
  <c r="BT12" i="1"/>
  <c r="BR12" i="1"/>
  <c r="BP12" i="1"/>
  <c r="BN12" i="1"/>
  <c r="BL12" i="1"/>
  <c r="BJ12" i="1"/>
  <c r="BH12" i="1"/>
  <c r="BF12" i="1"/>
  <c r="BD12" i="1"/>
  <c r="BB12" i="1"/>
  <c r="AZ12" i="1"/>
  <c r="AX12" i="1"/>
  <c r="AV12" i="1"/>
  <c r="AR12" i="1"/>
  <c r="AT12" i="1" s="1"/>
  <c r="X12" i="1"/>
  <c r="Q12" i="1"/>
  <c r="O12" i="1"/>
  <c r="M12" i="1"/>
  <c r="N12" i="1" s="1"/>
  <c r="L12" i="1"/>
  <c r="G12" i="1"/>
  <c r="DP11" i="1"/>
  <c r="DQ11" i="1" s="1"/>
  <c r="DC11" i="1"/>
  <c r="CT11" i="1"/>
  <c r="CR11" i="1"/>
  <c r="CP11" i="1"/>
  <c r="CN11" i="1"/>
  <c r="CL11" i="1"/>
  <c r="CJ11" i="1"/>
  <c r="CH11" i="1"/>
  <c r="CF11" i="1"/>
  <c r="CD11" i="1"/>
  <c r="CB11" i="1"/>
  <c r="BZ11" i="1"/>
  <c r="BX11" i="1"/>
  <c r="BV11" i="1"/>
  <c r="BT11" i="1"/>
  <c r="BR11" i="1"/>
  <c r="BP11" i="1"/>
  <c r="BN11" i="1"/>
  <c r="BL11" i="1"/>
  <c r="BJ11" i="1"/>
  <c r="BH11" i="1"/>
  <c r="BF11" i="1"/>
  <c r="BD11" i="1"/>
  <c r="BB11" i="1"/>
  <c r="AZ11" i="1"/>
  <c r="AX11" i="1"/>
  <c r="AV11" i="1"/>
  <c r="AR11" i="1"/>
  <c r="AT11" i="1" s="1"/>
  <c r="X11" i="1"/>
  <c r="Q11" i="1"/>
  <c r="O11" i="1"/>
  <c r="M11" i="1"/>
  <c r="N11" i="1" s="1"/>
  <c r="L11" i="1"/>
  <c r="G11" i="1"/>
  <c r="DP10" i="1"/>
  <c r="DQ10" i="1" s="1"/>
  <c r="DC10" i="1"/>
  <c r="CT10" i="1"/>
  <c r="CR10" i="1"/>
  <c r="CP10" i="1"/>
  <c r="CN10" i="1"/>
  <c r="CL10" i="1"/>
  <c r="CJ10" i="1"/>
  <c r="CH10" i="1"/>
  <c r="CF10" i="1"/>
  <c r="CD10" i="1"/>
  <c r="CB10" i="1"/>
  <c r="BZ10" i="1"/>
  <c r="BX10" i="1"/>
  <c r="BV10" i="1"/>
  <c r="BT10" i="1"/>
  <c r="BR10" i="1"/>
  <c r="BP10" i="1"/>
  <c r="BN10" i="1"/>
  <c r="BL10" i="1"/>
  <c r="BJ10" i="1"/>
  <c r="BH10" i="1"/>
  <c r="BF10" i="1"/>
  <c r="BD10" i="1"/>
  <c r="BB10" i="1"/>
  <c r="AZ10" i="1"/>
  <c r="AX10" i="1"/>
  <c r="AV10" i="1"/>
  <c r="AR10" i="1"/>
  <c r="AT10" i="1" s="1"/>
  <c r="X10" i="1"/>
  <c r="Q10" i="1"/>
  <c r="O10" i="1"/>
  <c r="M10" i="1"/>
  <c r="N10" i="1" s="1"/>
  <c r="L10" i="1"/>
  <c r="G10" i="1"/>
  <c r="DP9" i="1"/>
  <c r="DQ9" i="1" s="1"/>
  <c r="DC9" i="1"/>
  <c r="CT9" i="1"/>
  <c r="CR9" i="1"/>
  <c r="CP9" i="1"/>
  <c r="CN9" i="1"/>
  <c r="CL9" i="1"/>
  <c r="CJ9" i="1"/>
  <c r="CH9" i="1"/>
  <c r="CF9" i="1"/>
  <c r="CD9" i="1"/>
  <c r="CB9" i="1"/>
  <c r="BZ9" i="1"/>
  <c r="BX9" i="1"/>
  <c r="BV9" i="1"/>
  <c r="BT9" i="1"/>
  <c r="BR9" i="1"/>
  <c r="BP9" i="1"/>
  <c r="BN9" i="1"/>
  <c r="BL9" i="1"/>
  <c r="BJ9" i="1"/>
  <c r="BH9" i="1"/>
  <c r="BF9" i="1"/>
  <c r="BD9" i="1"/>
  <c r="BB9" i="1"/>
  <c r="AZ9" i="1"/>
  <c r="AX9" i="1"/>
  <c r="AV9" i="1"/>
  <c r="AR9" i="1"/>
  <c r="AT9" i="1" s="1"/>
  <c r="X9" i="1"/>
  <c r="Q9" i="1"/>
  <c r="O9" i="1"/>
  <c r="M9" i="1"/>
  <c r="N9" i="1" s="1"/>
  <c r="L9" i="1"/>
  <c r="G9" i="1"/>
  <c r="DP8" i="1"/>
  <c r="DQ8" i="1" s="1"/>
  <c r="DC8" i="1"/>
  <c r="CT8" i="1"/>
  <c r="CR8" i="1"/>
  <c r="CP8" i="1"/>
  <c r="CN8" i="1"/>
  <c r="CL8" i="1"/>
  <c r="CJ8" i="1"/>
  <c r="CH8" i="1"/>
  <c r="CF8" i="1"/>
  <c r="CD8" i="1"/>
  <c r="CB8" i="1"/>
  <c r="BZ8" i="1"/>
  <c r="BX8" i="1"/>
  <c r="BV8" i="1"/>
  <c r="BT8" i="1"/>
  <c r="BR8" i="1"/>
  <c r="BP8" i="1"/>
  <c r="BN8" i="1"/>
  <c r="BL8" i="1"/>
  <c r="BJ8" i="1"/>
  <c r="BH8" i="1"/>
  <c r="BF8" i="1"/>
  <c r="BD8" i="1"/>
  <c r="BB8" i="1"/>
  <c r="AZ8" i="1"/>
  <c r="AX8" i="1"/>
  <c r="AV8" i="1"/>
  <c r="AR8" i="1"/>
  <c r="AT8" i="1" s="1"/>
  <c r="X8" i="1"/>
  <c r="Q8" i="1"/>
  <c r="O8" i="1"/>
  <c r="M8" i="1"/>
  <c r="N8" i="1" s="1"/>
  <c r="L8" i="1"/>
  <c r="G8" i="1"/>
  <c r="DP7" i="1"/>
  <c r="DQ7" i="1" s="1"/>
  <c r="DC7" i="1"/>
  <c r="CT7" i="1"/>
  <c r="CR7" i="1"/>
  <c r="CP7" i="1"/>
  <c r="CN7" i="1"/>
  <c r="CL7" i="1"/>
  <c r="CJ7" i="1"/>
  <c r="CH7" i="1"/>
  <c r="CF7" i="1"/>
  <c r="CD7" i="1"/>
  <c r="CB7" i="1"/>
  <c r="BZ7" i="1"/>
  <c r="BX7" i="1"/>
  <c r="BV7" i="1"/>
  <c r="BT7" i="1"/>
  <c r="BR7" i="1"/>
  <c r="BP7" i="1"/>
  <c r="BN7" i="1"/>
  <c r="BL7" i="1"/>
  <c r="BJ7" i="1"/>
  <c r="BH7" i="1"/>
  <c r="BF7" i="1"/>
  <c r="BD7" i="1"/>
  <c r="BB7" i="1"/>
  <c r="AZ7" i="1"/>
  <c r="AX7" i="1"/>
  <c r="AV7" i="1"/>
  <c r="AR7" i="1"/>
  <c r="AT7" i="1" s="1"/>
  <c r="X7" i="1"/>
  <c r="Q7" i="1"/>
  <c r="O7" i="1"/>
  <c r="M7" i="1"/>
  <c r="N7" i="1" s="1"/>
  <c r="L7" i="1"/>
  <c r="G7" i="1"/>
  <c r="DP6" i="1"/>
  <c r="DQ6" i="1" s="1"/>
  <c r="DC6" i="1"/>
  <c r="CT6" i="1"/>
  <c r="CR6" i="1"/>
  <c r="CP6" i="1"/>
  <c r="CN6" i="1"/>
  <c r="CL6" i="1"/>
  <c r="CJ6" i="1"/>
  <c r="CH6" i="1"/>
  <c r="CF6" i="1"/>
  <c r="CD6" i="1"/>
  <c r="CB6" i="1"/>
  <c r="BZ6" i="1"/>
  <c r="BX6" i="1"/>
  <c r="BV6" i="1"/>
  <c r="BT6" i="1"/>
  <c r="BR6" i="1"/>
  <c r="BP6" i="1"/>
  <c r="BN6" i="1"/>
  <c r="BL6" i="1"/>
  <c r="BJ6" i="1"/>
  <c r="BH6" i="1"/>
  <c r="BF6" i="1"/>
  <c r="BD6" i="1"/>
  <c r="BB6" i="1"/>
  <c r="AZ6" i="1"/>
  <c r="AX6" i="1"/>
  <c r="AV6" i="1"/>
  <c r="AR6" i="1"/>
  <c r="AT6" i="1" s="1"/>
  <c r="X6" i="1"/>
  <c r="Q6" i="1"/>
  <c r="O6" i="1"/>
  <c r="M6" i="1"/>
  <c r="N6" i="1" s="1"/>
  <c r="L6" i="1"/>
  <c r="G6" i="1"/>
  <c r="DP5" i="1"/>
  <c r="DQ5" i="1" s="1"/>
  <c r="DC5" i="1"/>
  <c r="CT5" i="1"/>
  <c r="CR5" i="1"/>
  <c r="CP5" i="1"/>
  <c r="CN5" i="1"/>
  <c r="CL5" i="1"/>
  <c r="CJ5" i="1"/>
  <c r="CH5" i="1"/>
  <c r="CF5" i="1"/>
  <c r="CD5" i="1"/>
  <c r="CB5" i="1"/>
  <c r="BZ5" i="1"/>
  <c r="BX5" i="1"/>
  <c r="BV5" i="1"/>
  <c r="BT5" i="1"/>
  <c r="BR5" i="1"/>
  <c r="BP5" i="1"/>
  <c r="BN5" i="1"/>
  <c r="BL5" i="1"/>
  <c r="BJ5" i="1"/>
  <c r="BH5" i="1"/>
  <c r="BF5" i="1"/>
  <c r="BD5" i="1"/>
  <c r="BB5" i="1"/>
  <c r="AZ5" i="1"/>
  <c r="AX5" i="1"/>
  <c r="AV5" i="1"/>
  <c r="AR5" i="1"/>
  <c r="AT5" i="1" s="1"/>
  <c r="AC5" i="1"/>
  <c r="Z5" i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X5" i="1"/>
  <c r="X37" i="1" s="1"/>
  <c r="V5" i="1"/>
  <c r="V6" i="1" s="1"/>
  <c r="Q5" i="1"/>
  <c r="O5" i="1"/>
  <c r="M5" i="1"/>
  <c r="N5" i="1" s="1"/>
  <c r="L5" i="1"/>
  <c r="G5" i="1"/>
  <c r="H5" i="1" s="1"/>
  <c r="AS16" i="1" l="1"/>
  <c r="AS15" i="1"/>
  <c r="AS14" i="1"/>
  <c r="AS13" i="1"/>
  <c r="AS12" i="1"/>
  <c r="AS11" i="1"/>
  <c r="AS10" i="1"/>
  <c r="AS9" i="1"/>
  <c r="AS8" i="1"/>
  <c r="AS7" i="1"/>
  <c r="AS6" i="1"/>
  <c r="Q37" i="1"/>
  <c r="CT37" i="1"/>
  <c r="BN37" i="1"/>
  <c r="AS5" i="1"/>
  <c r="AC15" i="11"/>
  <c r="AC6" i="10"/>
  <c r="J5" i="10"/>
  <c r="AC7" i="9"/>
  <c r="J7" i="9" s="1"/>
  <c r="CD37" i="1"/>
  <c r="AX37" i="1"/>
  <c r="BV37" i="1"/>
  <c r="O37" i="1"/>
  <c r="BH37" i="1"/>
  <c r="BX37" i="1"/>
  <c r="CN37" i="1"/>
  <c r="CL37" i="1"/>
  <c r="BF37" i="1"/>
  <c r="AC6" i="5"/>
  <c r="J6" i="5" s="1"/>
  <c r="AC6" i="4"/>
  <c r="AC7" i="4" s="1"/>
  <c r="AC8" i="4" s="1"/>
  <c r="AC6" i="2"/>
  <c r="AC7" i="2" s="1"/>
  <c r="AC8" i="2" s="1"/>
  <c r="J5" i="2"/>
  <c r="AC6" i="1"/>
  <c r="J6" i="1" s="1"/>
  <c r="AC7" i="1"/>
  <c r="J7" i="1" s="1"/>
  <c r="AA6" i="1"/>
  <c r="V7" i="1"/>
  <c r="J37" i="1"/>
  <c r="J5" i="1"/>
  <c r="H11" i="2"/>
  <c r="J37" i="3"/>
  <c r="J5" i="3"/>
  <c r="AC6" i="3"/>
  <c r="BJ37" i="1"/>
  <c r="BZ37" i="1"/>
  <c r="CP37" i="1"/>
  <c r="AT20" i="1"/>
  <c r="H8" i="2"/>
  <c r="I8" i="2" a="1"/>
  <c r="I8" i="2" s="1"/>
  <c r="AS8" i="2"/>
  <c r="AT8" i="2"/>
  <c r="AA10" i="2"/>
  <c r="BL37" i="1"/>
  <c r="CB37" i="1"/>
  <c r="CR37" i="1"/>
  <c r="AS5" i="2"/>
  <c r="AR36" i="2"/>
  <c r="AS36" i="2" s="1"/>
  <c r="AT5" i="2"/>
  <c r="H10" i="2"/>
  <c r="BP37" i="1"/>
  <c r="H7" i="2"/>
  <c r="I7" i="2" a="1"/>
  <c r="I7" i="2" s="1"/>
  <c r="AS7" i="2"/>
  <c r="AT7" i="2"/>
  <c r="H12" i="2"/>
  <c r="AA5" i="1"/>
  <c r="BB37" i="1"/>
  <c r="AT18" i="1"/>
  <c r="AT22" i="1"/>
  <c r="AT25" i="1"/>
  <c r="AA11" i="2"/>
  <c r="V12" i="2"/>
  <c r="I11" i="2" s="1" a="1"/>
  <c r="I11" i="2" s="1"/>
  <c r="AZ37" i="2"/>
  <c r="BP37" i="2"/>
  <c r="CF37" i="2"/>
  <c r="AA6" i="2"/>
  <c r="AZ37" i="1"/>
  <c r="CH37" i="1"/>
  <c r="BT37" i="1"/>
  <c r="H9" i="2"/>
  <c r="I9" i="2" a="1"/>
  <c r="I9" i="2" s="1"/>
  <c r="AS9" i="2"/>
  <c r="AT9" i="2"/>
  <c r="Z8" i="3"/>
  <c r="Z9" i="3" s="1"/>
  <c r="AA7" i="3"/>
  <c r="CF37" i="1"/>
  <c r="M37" i="1"/>
  <c r="N37" i="1" s="1"/>
  <c r="BR37" i="1"/>
  <c r="DP36" i="1"/>
  <c r="DQ36" i="1" s="1"/>
  <c r="DP37" i="1"/>
  <c r="BD37" i="1"/>
  <c r="CJ37" i="1"/>
  <c r="AR36" i="1"/>
  <c r="AS36" i="1" s="1"/>
  <c r="AT17" i="1"/>
  <c r="AT36" i="1" s="1"/>
  <c r="AT21" i="1"/>
  <c r="H5" i="2"/>
  <c r="I5" i="2" a="1"/>
  <c r="I5" i="2" s="1"/>
  <c r="H6" i="2"/>
  <c r="I6" i="2" a="1"/>
  <c r="I6" i="2" s="1"/>
  <c r="AS6" i="2"/>
  <c r="AT6" i="2"/>
  <c r="AA8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V11" i="3"/>
  <c r="H10" i="3"/>
  <c r="CP37" i="4"/>
  <c r="AS8" i="4"/>
  <c r="AT8" i="4"/>
  <c r="I10" i="2" a="1"/>
  <c r="I10" i="2" s="1"/>
  <c r="I7" i="3" a="1"/>
  <c r="I7" i="3" s="1"/>
  <c r="I9" i="3" a="1"/>
  <c r="I9" i="3" s="1"/>
  <c r="AR36" i="3"/>
  <c r="AS36" i="3" s="1"/>
  <c r="AA5" i="4"/>
  <c r="V6" i="4"/>
  <c r="F40" i="3"/>
  <c r="DP37" i="3"/>
  <c r="DP36" i="3"/>
  <c r="DQ36" i="3" s="1"/>
  <c r="AS34" i="2"/>
  <c r="M37" i="2"/>
  <c r="N37" i="2" s="1"/>
  <c r="DP37" i="2"/>
  <c r="N37" i="3"/>
  <c r="BD37" i="3"/>
  <c r="BT37" i="3"/>
  <c r="CJ37" i="3"/>
  <c r="DQ5" i="3"/>
  <c r="DQ5" i="2"/>
  <c r="F40" i="2"/>
  <c r="N5" i="3"/>
  <c r="I6" i="3" a="1"/>
  <c r="I6" i="3" s="1"/>
  <c r="I8" i="3" a="1"/>
  <c r="I8" i="3" s="1"/>
  <c r="I10" i="3" a="1"/>
  <c r="I10" i="3" s="1"/>
  <c r="O37" i="3"/>
  <c r="AT36" i="3"/>
  <c r="BH37" i="3"/>
  <c r="CN37" i="3"/>
  <c r="L36" i="3"/>
  <c r="AS10" i="4"/>
  <c r="AT10" i="4"/>
  <c r="AA6" i="5"/>
  <c r="V7" i="5"/>
  <c r="H6" i="5"/>
  <c r="Q37" i="3"/>
  <c r="AS5" i="3"/>
  <c r="AA6" i="3"/>
  <c r="AA8" i="3"/>
  <c r="J7" i="4"/>
  <c r="I5" i="4" a="1"/>
  <c r="I5" i="4" s="1"/>
  <c r="J6" i="4"/>
  <c r="BB37" i="5"/>
  <c r="BR37" i="5"/>
  <c r="CH37" i="5"/>
  <c r="DP36" i="5"/>
  <c r="DQ36" i="5" s="1"/>
  <c r="DP37" i="5"/>
  <c r="DQ5" i="5"/>
  <c r="J5" i="4"/>
  <c r="AX37" i="4"/>
  <c r="BN37" i="4"/>
  <c r="I5" i="5" a="1"/>
  <c r="I5" i="5" s="1"/>
  <c r="F40" i="4"/>
  <c r="AZ37" i="4"/>
  <c r="BP37" i="4"/>
  <c r="CF37" i="4"/>
  <c r="J37" i="5"/>
  <c r="AT14" i="4"/>
  <c r="AT36" i="4" s="1"/>
  <c r="AT18" i="4"/>
  <c r="AS13" i="6"/>
  <c r="AT13" i="6"/>
  <c r="AT36" i="6" s="1"/>
  <c r="BD37" i="4"/>
  <c r="BT37" i="4"/>
  <c r="CJ37" i="4"/>
  <c r="AT24" i="4"/>
  <c r="M37" i="5"/>
  <c r="N37" i="5" s="1"/>
  <c r="N5" i="5"/>
  <c r="AC7" i="5"/>
  <c r="J7" i="5" s="1"/>
  <c r="AR36" i="4"/>
  <c r="AS36" i="4" s="1"/>
  <c r="BF37" i="4"/>
  <c r="BV37" i="4"/>
  <c r="CL37" i="4"/>
  <c r="H5" i="6"/>
  <c r="V6" i="6"/>
  <c r="H6" i="6" s="1"/>
  <c r="AT21" i="6"/>
  <c r="AS21" i="6"/>
  <c r="BL37" i="6"/>
  <c r="CB37" i="6"/>
  <c r="CR37" i="6"/>
  <c r="F40" i="6"/>
  <c r="J5" i="6"/>
  <c r="AX37" i="6"/>
  <c r="BN37" i="6"/>
  <c r="CD37" i="6"/>
  <c r="CT37" i="6"/>
  <c r="AS17" i="5"/>
  <c r="AS18" i="5"/>
  <c r="AS19" i="5"/>
  <c r="AS20" i="5"/>
  <c r="AS21" i="5"/>
  <c r="AS22" i="5"/>
  <c r="AS23" i="5"/>
  <c r="AS24" i="5"/>
  <c r="AS25" i="5"/>
  <c r="AS26" i="5"/>
  <c r="AS27" i="5"/>
  <c r="AS28" i="5"/>
  <c r="AS29" i="5"/>
  <c r="AS30" i="5"/>
  <c r="AS31" i="5"/>
  <c r="AS32" i="5"/>
  <c r="AS33" i="5"/>
  <c r="AS34" i="5"/>
  <c r="AS35" i="5"/>
  <c r="F40" i="5"/>
  <c r="AZ37" i="6"/>
  <c r="BP37" i="6"/>
  <c r="CF37" i="6"/>
  <c r="AT5" i="5"/>
  <c r="AT36" i="5" s="1"/>
  <c r="M37" i="6"/>
  <c r="N37" i="6" s="1"/>
  <c r="BB37" i="6"/>
  <c r="BR37" i="6"/>
  <c r="CH37" i="6"/>
  <c r="DP36" i="6"/>
  <c r="DQ36" i="6" s="1"/>
  <c r="DP37" i="6"/>
  <c r="AT17" i="6"/>
  <c r="AS17" i="6"/>
  <c r="I7" i="7" a="1"/>
  <c r="I7" i="7" s="1"/>
  <c r="V9" i="7"/>
  <c r="H8" i="7"/>
  <c r="N5" i="6"/>
  <c r="BD37" i="6"/>
  <c r="BT37" i="6"/>
  <c r="CJ37" i="6"/>
  <c r="AC6" i="6"/>
  <c r="AC7" i="6" s="1"/>
  <c r="AC8" i="6" s="1"/>
  <c r="AC9" i="6" s="1"/>
  <c r="AC10" i="6" s="1"/>
  <c r="AC11" i="6" s="1"/>
  <c r="J11" i="6" s="1"/>
  <c r="AT18" i="6"/>
  <c r="AS18" i="6"/>
  <c r="DP37" i="4"/>
  <c r="Z6" i="5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8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H37" i="5"/>
  <c r="O37" i="6"/>
  <c r="AR36" i="6"/>
  <c r="AS36" i="6" s="1"/>
  <c r="AT14" i="6"/>
  <c r="AT19" i="6"/>
  <c r="AS19" i="6"/>
  <c r="AA6" i="7"/>
  <c r="Z7" i="7"/>
  <c r="Z8" i="7" s="1"/>
  <c r="Z9" i="7" s="1"/>
  <c r="Z10" i="7" s="1"/>
  <c r="Z11" i="7" s="1"/>
  <c r="Z12" i="7" s="1"/>
  <c r="Z13" i="7" s="1"/>
  <c r="Z14" i="7" s="1"/>
  <c r="Z15" i="7" s="1"/>
  <c r="Z16" i="7" s="1"/>
  <c r="Z17" i="7" s="1"/>
  <c r="Z18" i="7" s="1"/>
  <c r="Z19" i="7" s="1"/>
  <c r="Z20" i="7" s="1"/>
  <c r="Z21" i="7" s="1"/>
  <c r="Z22" i="7" s="1"/>
  <c r="Z23" i="7" s="1"/>
  <c r="Z24" i="7" s="1"/>
  <c r="Z25" i="7" s="1"/>
  <c r="Z26" i="7" s="1"/>
  <c r="Z27" i="7" s="1"/>
  <c r="Z28" i="7" s="1"/>
  <c r="Z29" i="7" s="1"/>
  <c r="Z30" i="7" s="1"/>
  <c r="Z31" i="7" s="1"/>
  <c r="Z32" i="7" s="1"/>
  <c r="Z33" i="7" s="1"/>
  <c r="Z34" i="7" s="1"/>
  <c r="Z35" i="7" s="1"/>
  <c r="AS5" i="6"/>
  <c r="AT20" i="6"/>
  <c r="AS20" i="6"/>
  <c r="AC7" i="7"/>
  <c r="AC8" i="7" s="1"/>
  <c r="J6" i="7"/>
  <c r="I6" i="7" a="1"/>
  <c r="I6" i="7" s="1"/>
  <c r="AT29" i="7"/>
  <c r="AS29" i="7"/>
  <c r="J37" i="7"/>
  <c r="AT16" i="8"/>
  <c r="AS16" i="8"/>
  <c r="I5" i="7" a="1"/>
  <c r="I5" i="7" s="1"/>
  <c r="X37" i="7"/>
  <c r="CT37" i="7"/>
  <c r="AA7" i="7"/>
  <c r="AT28" i="7"/>
  <c r="AS28" i="7"/>
  <c r="F40" i="8"/>
  <c r="Q37" i="8"/>
  <c r="AS24" i="8"/>
  <c r="AT24" i="8"/>
  <c r="F40" i="7"/>
  <c r="J5" i="7"/>
  <c r="AT27" i="7"/>
  <c r="AS27" i="7"/>
  <c r="AT35" i="7"/>
  <c r="AS35" i="7"/>
  <c r="M37" i="7"/>
  <c r="N37" i="7" s="1"/>
  <c r="AA6" i="8"/>
  <c r="V7" i="8"/>
  <c r="AS31" i="8"/>
  <c r="AT31" i="8"/>
  <c r="AS22" i="6"/>
  <c r="AS23" i="6"/>
  <c r="AS24" i="6"/>
  <c r="AS25" i="6"/>
  <c r="AS26" i="6"/>
  <c r="AS27" i="6"/>
  <c r="AS28" i="6"/>
  <c r="AS29" i="6"/>
  <c r="AS30" i="6"/>
  <c r="AS31" i="6"/>
  <c r="AS32" i="6"/>
  <c r="AS33" i="6"/>
  <c r="AS34" i="6"/>
  <c r="AS35" i="6"/>
  <c r="BB37" i="7"/>
  <c r="BR37" i="7"/>
  <c r="CH37" i="7"/>
  <c r="DP36" i="7"/>
  <c r="DQ36" i="7" s="1"/>
  <c r="AT26" i="7"/>
  <c r="AS26" i="7"/>
  <c r="AT34" i="7"/>
  <c r="AS34" i="7"/>
  <c r="DP37" i="7"/>
  <c r="I5" i="8" a="1"/>
  <c r="I5" i="8" s="1"/>
  <c r="AT25" i="7"/>
  <c r="AS25" i="7"/>
  <c r="AT33" i="7"/>
  <c r="AS33" i="7"/>
  <c r="I6" i="8" a="1"/>
  <c r="I6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Z21" i="8" s="1"/>
  <c r="Z22" i="8" s="1"/>
  <c r="Z23" i="8" s="1"/>
  <c r="Z24" i="8" s="1"/>
  <c r="Z25" i="8" s="1"/>
  <c r="Z26" i="8" s="1"/>
  <c r="Z27" i="8" s="1"/>
  <c r="Z28" i="8" s="1"/>
  <c r="Z29" i="8" s="1"/>
  <c r="Z30" i="8" s="1"/>
  <c r="Z31" i="8" s="1"/>
  <c r="Z32" i="8" s="1"/>
  <c r="Z33" i="8" s="1"/>
  <c r="Z34" i="8" s="1"/>
  <c r="Z35" i="8" s="1"/>
  <c r="BF37" i="7"/>
  <c r="BV37" i="7"/>
  <c r="CL37" i="7"/>
  <c r="AT24" i="7"/>
  <c r="AS24" i="7"/>
  <c r="AT32" i="7"/>
  <c r="AS32" i="7"/>
  <c r="H6" i="8"/>
  <c r="AC6" i="8"/>
  <c r="J6" i="8" s="1"/>
  <c r="AT23" i="7"/>
  <c r="AS23" i="7"/>
  <c r="AT31" i="7"/>
  <c r="AS31" i="7"/>
  <c r="Q37" i="7"/>
  <c r="BJ37" i="7"/>
  <c r="BZ37" i="7"/>
  <c r="CP37" i="7"/>
  <c r="AT19" i="7"/>
  <c r="AT20" i="7"/>
  <c r="AT36" i="7" s="1"/>
  <c r="AS20" i="7"/>
  <c r="AT21" i="7"/>
  <c r="AS21" i="7"/>
  <c r="AT22" i="7"/>
  <c r="AS22" i="7"/>
  <c r="AT30" i="7"/>
  <c r="AS30" i="7"/>
  <c r="AT19" i="8"/>
  <c r="AS19" i="8"/>
  <c r="AS25" i="8"/>
  <c r="AT25" i="8"/>
  <c r="BD37" i="8"/>
  <c r="BT37" i="8"/>
  <c r="CJ37" i="8"/>
  <c r="AS14" i="8"/>
  <c r="AT26" i="8"/>
  <c r="J37" i="9"/>
  <c r="J5" i="9"/>
  <c r="O37" i="8"/>
  <c r="AR36" i="8"/>
  <c r="AS36" i="8" s="1"/>
  <c r="BF37" i="8"/>
  <c r="BV37" i="8"/>
  <c r="CL37" i="8"/>
  <c r="F40" i="9"/>
  <c r="J6" i="10"/>
  <c r="AT5" i="8"/>
  <c r="BJ37" i="8"/>
  <c r="BZ37" i="8"/>
  <c r="CP37" i="8"/>
  <c r="AC7" i="10"/>
  <c r="AC8" i="10" s="1"/>
  <c r="J8" i="10" s="1"/>
  <c r="AZ37" i="8"/>
  <c r="BP37" i="8"/>
  <c r="CF37" i="8"/>
  <c r="M37" i="8"/>
  <c r="N37" i="8" s="1"/>
  <c r="BB37" i="8"/>
  <c r="BR37" i="8"/>
  <c r="CH37" i="8"/>
  <c r="DP36" i="8"/>
  <c r="DQ36" i="8" s="1"/>
  <c r="DP37" i="8"/>
  <c r="AC8" i="9"/>
  <c r="J8" i="9" s="1"/>
  <c r="V7" i="10"/>
  <c r="AA6" i="10"/>
  <c r="AS22" i="9"/>
  <c r="AS23" i="9"/>
  <c r="AS24" i="9"/>
  <c r="AS25" i="9"/>
  <c r="AS26" i="9"/>
  <c r="AS27" i="9"/>
  <c r="AS28" i="9"/>
  <c r="AS29" i="9"/>
  <c r="AS30" i="9"/>
  <c r="AS31" i="9"/>
  <c r="AS32" i="9"/>
  <c r="DP36" i="9"/>
  <c r="DQ36" i="9" s="1"/>
  <c r="AT5" i="9"/>
  <c r="AT36" i="9" s="1"/>
  <c r="V6" i="9"/>
  <c r="N37" i="10"/>
  <c r="BB37" i="10"/>
  <c r="BR37" i="10"/>
  <c r="CH37" i="10"/>
  <c r="DP36" i="10"/>
  <c r="DQ36" i="10" s="1"/>
  <c r="DP37" i="10"/>
  <c r="AS11" i="10"/>
  <c r="AC16" i="11"/>
  <c r="N5" i="10"/>
  <c r="BD37" i="10"/>
  <c r="BT37" i="10"/>
  <c r="CJ37" i="10"/>
  <c r="DQ5" i="10"/>
  <c r="AS8" i="10"/>
  <c r="AS13" i="10"/>
  <c r="AS15" i="10"/>
  <c r="H5" i="10"/>
  <c r="Q37" i="10"/>
  <c r="AS5" i="10"/>
  <c r="BH37" i="10"/>
  <c r="BX37" i="10"/>
  <c r="CN37" i="10"/>
  <c r="H6" i="10"/>
  <c r="AS6" i="10"/>
  <c r="H7" i="10"/>
  <c r="AS7" i="10"/>
  <c r="AS10" i="10"/>
  <c r="AT16" i="10"/>
  <c r="AS16" i="10"/>
  <c r="F41" i="11"/>
  <c r="AT5" i="10"/>
  <c r="J37" i="10"/>
  <c r="N5" i="9"/>
  <c r="DQ5" i="9"/>
  <c r="I5" i="10" a="1"/>
  <c r="I5" i="10" s="1"/>
  <c r="X37" i="10"/>
  <c r="BL37" i="10"/>
  <c r="CB37" i="10"/>
  <c r="CR37" i="10"/>
  <c r="I6" i="10" a="1"/>
  <c r="I6" i="10" s="1"/>
  <c r="AS12" i="10"/>
  <c r="AS14" i="10"/>
  <c r="AT17" i="10"/>
  <c r="AS17" i="10"/>
  <c r="AT18" i="10"/>
  <c r="AS18" i="10"/>
  <c r="F40" i="10"/>
  <c r="AX37" i="10"/>
  <c r="BN37" i="10"/>
  <c r="CD37" i="10"/>
  <c r="CT37" i="10"/>
  <c r="V7" i="11"/>
  <c r="AA6" i="11"/>
  <c r="I5" i="11" a="1"/>
  <c r="I5" i="11" s="1"/>
  <c r="I6" i="11" a="1"/>
  <c r="I6" i="11" s="1"/>
  <c r="J15" i="11"/>
  <c r="J37" i="11"/>
  <c r="H37" i="11"/>
  <c r="J6" i="12"/>
  <c r="J5" i="11"/>
  <c r="J6" i="11"/>
  <c r="J7" i="11"/>
  <c r="J8" i="11"/>
  <c r="J9" i="11"/>
  <c r="J10" i="11"/>
  <c r="J11" i="11"/>
  <c r="J12" i="11"/>
  <c r="J13" i="11"/>
  <c r="J14" i="11"/>
  <c r="AS16" i="11"/>
  <c r="AS18" i="11"/>
  <c r="V7" i="12"/>
  <c r="N12" i="12"/>
  <c r="N21" i="12"/>
  <c r="AS19" i="10"/>
  <c r="AS20" i="10"/>
  <c r="AS21" i="10"/>
  <c r="AS22" i="10"/>
  <c r="AS23" i="10"/>
  <c r="AS24" i="10"/>
  <c r="AS25" i="10"/>
  <c r="DP37" i="11"/>
  <c r="J5" i="12"/>
  <c r="BL37" i="12"/>
  <c r="CB37" i="12"/>
  <c r="CR37" i="12"/>
  <c r="AC6" i="12"/>
  <c r="AC7" i="12" s="1"/>
  <c r="AC8" i="12" s="1"/>
  <c r="N11" i="12"/>
  <c r="N15" i="12"/>
  <c r="N20" i="12"/>
  <c r="F41" i="12"/>
  <c r="AZ37" i="12"/>
  <c r="BP37" i="12"/>
  <c r="CF37" i="12"/>
  <c r="N10" i="12"/>
  <c r="N14" i="12"/>
  <c r="N17" i="12"/>
  <c r="AS5" i="11"/>
  <c r="AS6" i="11"/>
  <c r="AS7" i="11"/>
  <c r="AS8" i="11"/>
  <c r="AS9" i="11"/>
  <c r="AS10" i="11"/>
  <c r="AS11" i="11"/>
  <c r="AS12" i="11"/>
  <c r="AS13" i="11"/>
  <c r="AS14" i="11"/>
  <c r="AS17" i="11"/>
  <c r="AT5" i="11"/>
  <c r="AT36" i="11" s="1"/>
  <c r="DP36" i="11"/>
  <c r="DQ36" i="11" s="1"/>
  <c r="N37" i="12"/>
  <c r="N9" i="12"/>
  <c r="DP37" i="12"/>
  <c r="H5" i="12"/>
  <c r="AS5" i="12"/>
  <c r="H6" i="12"/>
  <c r="H7" i="12"/>
  <c r="AS9" i="12"/>
  <c r="AS10" i="12"/>
  <c r="AS11" i="12"/>
  <c r="AS12" i="12"/>
  <c r="AS13" i="12"/>
  <c r="AS14" i="12"/>
  <c r="AS15" i="12"/>
  <c r="AS16" i="12"/>
  <c r="AS17" i="12"/>
  <c r="AS18" i="12"/>
  <c r="AS19" i="12"/>
  <c r="AS20" i="12"/>
  <c r="AS21" i="12"/>
  <c r="AS22" i="12"/>
  <c r="AS23" i="12"/>
  <c r="AS24" i="12"/>
  <c r="AS25" i="12"/>
  <c r="AS26" i="12"/>
  <c r="AS27" i="12"/>
  <c r="AS28" i="12"/>
  <c r="AS29" i="12"/>
  <c r="AS30" i="12"/>
  <c r="AS31" i="12"/>
  <c r="AS32" i="12"/>
  <c r="AS33" i="12"/>
  <c r="AS34" i="12"/>
  <c r="AS35" i="12"/>
  <c r="J7" i="12" l="1"/>
  <c r="AC9" i="10"/>
  <c r="J9" i="10" s="1"/>
  <c r="J7" i="10"/>
  <c r="J7" i="6"/>
  <c r="AC8" i="5"/>
  <c r="J8" i="5" s="1"/>
  <c r="J6" i="2"/>
  <c r="AC8" i="1"/>
  <c r="J8" i="1" s="1"/>
  <c r="J8" i="12"/>
  <c r="AC9" i="12"/>
  <c r="AC9" i="2"/>
  <c r="J8" i="2"/>
  <c r="AA7" i="12"/>
  <c r="V8" i="12"/>
  <c r="I6" i="12" a="1"/>
  <c r="I6" i="12" s="1"/>
  <c r="AC7" i="8"/>
  <c r="AA7" i="8"/>
  <c r="V8" i="8"/>
  <c r="H7" i="8"/>
  <c r="AC12" i="6"/>
  <c r="AA7" i="5"/>
  <c r="V8" i="5"/>
  <c r="H7" i="5"/>
  <c r="AT36" i="2"/>
  <c r="I8" i="7" a="1"/>
  <c r="I8" i="7" s="1"/>
  <c r="V10" i="7"/>
  <c r="H9" i="7"/>
  <c r="AA9" i="7"/>
  <c r="AA6" i="9"/>
  <c r="V7" i="9"/>
  <c r="H6" i="9"/>
  <c r="V8" i="10"/>
  <c r="AA7" i="10"/>
  <c r="AT36" i="8"/>
  <c r="F41" i="8"/>
  <c r="J8" i="7"/>
  <c r="AC9" i="7"/>
  <c r="I6" i="5" a="1"/>
  <c r="I6" i="5" s="1"/>
  <c r="F41" i="2"/>
  <c r="Z10" i="3"/>
  <c r="AA9" i="3"/>
  <c r="F41" i="7"/>
  <c r="J10" i="6"/>
  <c r="V12" i="3"/>
  <c r="H11" i="3"/>
  <c r="AA12" i="2"/>
  <c r="V13" i="2"/>
  <c r="AT36" i="10"/>
  <c r="AC10" i="10"/>
  <c r="F41" i="9"/>
  <c r="J9" i="6"/>
  <c r="F41" i="10"/>
  <c r="J16" i="11"/>
  <c r="AC17" i="11"/>
  <c r="I5" i="9" a="1"/>
  <c r="I5" i="9" s="1"/>
  <c r="AC9" i="9"/>
  <c r="J8" i="6"/>
  <c r="F41" i="6"/>
  <c r="F41" i="4"/>
  <c r="J7" i="2"/>
  <c r="H7" i="1"/>
  <c r="AA7" i="1"/>
  <c r="V8" i="1"/>
  <c r="F41" i="5"/>
  <c r="AA6" i="6"/>
  <c r="I5" i="6" a="1"/>
  <c r="I5" i="6" s="1"/>
  <c r="V7" i="6"/>
  <c r="AC9" i="4"/>
  <c r="J8" i="4"/>
  <c r="F41" i="3"/>
  <c r="V8" i="11"/>
  <c r="AA7" i="11"/>
  <c r="H7" i="11"/>
  <c r="J7" i="7"/>
  <c r="AA8" i="7"/>
  <c r="J6" i="6"/>
  <c r="V7" i="4"/>
  <c r="AA6" i="4"/>
  <c r="H6" i="4"/>
  <c r="J6" i="3"/>
  <c r="AC7" i="3"/>
  <c r="AC9" i="5" l="1"/>
  <c r="AC9" i="1"/>
  <c r="AC10" i="4"/>
  <c r="J9" i="4"/>
  <c r="J9" i="9"/>
  <c r="AC10" i="9"/>
  <c r="V13" i="3"/>
  <c r="H12" i="3"/>
  <c r="I11" i="3" a="1"/>
  <c r="I11" i="3" s="1"/>
  <c r="V9" i="10"/>
  <c r="AA8" i="10"/>
  <c r="H8" i="10"/>
  <c r="I7" i="10" a="1"/>
  <c r="I7" i="10" s="1"/>
  <c r="J7" i="8"/>
  <c r="AC8" i="8"/>
  <c r="J17" i="11"/>
  <c r="AC18" i="11"/>
  <c r="J9" i="7"/>
  <c r="AC10" i="7"/>
  <c r="AA7" i="9"/>
  <c r="V8" i="9"/>
  <c r="H7" i="9"/>
  <c r="I6" i="9" a="1"/>
  <c r="I6" i="9" s="1"/>
  <c r="AA8" i="5"/>
  <c r="V9" i="5"/>
  <c r="H8" i="5"/>
  <c r="I7" i="5" a="1"/>
  <c r="I7" i="5" s="1"/>
  <c r="V9" i="12"/>
  <c r="AA8" i="12"/>
  <c r="I7" i="12" a="1"/>
  <c r="I7" i="12" s="1"/>
  <c r="H8" i="12"/>
  <c r="J7" i="3"/>
  <c r="AC8" i="3"/>
  <c r="J9" i="5"/>
  <c r="AC10" i="5"/>
  <c r="AC11" i="10"/>
  <c r="J10" i="10"/>
  <c r="V9" i="11"/>
  <c r="AA8" i="11"/>
  <c r="I7" i="11" a="1"/>
  <c r="I7" i="11" s="1"/>
  <c r="H8" i="11"/>
  <c r="AA13" i="2"/>
  <c r="V14" i="2"/>
  <c r="H13" i="2"/>
  <c r="I12" i="2" a="1"/>
  <c r="I12" i="2" s="1"/>
  <c r="J9" i="1"/>
  <c r="AC10" i="1"/>
  <c r="J12" i="6"/>
  <c r="AC13" i="6"/>
  <c r="AA7" i="6"/>
  <c r="I6" i="6" a="1"/>
  <c r="I6" i="6" s="1"/>
  <c r="V8" i="6"/>
  <c r="H7" i="6"/>
  <c r="AC10" i="2"/>
  <c r="J9" i="2"/>
  <c r="V8" i="4"/>
  <c r="AA7" i="4"/>
  <c r="I6" i="4" a="1"/>
  <c r="I6" i="4" s="1"/>
  <c r="H7" i="4"/>
  <c r="AA8" i="1"/>
  <c r="I7" i="1" a="1"/>
  <c r="I7" i="1" s="1"/>
  <c r="H8" i="1"/>
  <c r="V9" i="1"/>
  <c r="Z11" i="3"/>
  <c r="AA10" i="3"/>
  <c r="I9" i="7" a="1"/>
  <c r="I9" i="7" s="1"/>
  <c r="V11" i="7"/>
  <c r="H10" i="7"/>
  <c r="AA10" i="7"/>
  <c r="AA8" i="8"/>
  <c r="V9" i="8"/>
  <c r="H8" i="8"/>
  <c r="I7" i="8" a="1"/>
  <c r="I7" i="8" s="1"/>
  <c r="J9" i="12"/>
  <c r="AC10" i="12"/>
  <c r="AA8" i="4" l="1"/>
  <c r="V9" i="4"/>
  <c r="I7" i="4" a="1"/>
  <c r="I7" i="4" s="1"/>
  <c r="H8" i="4"/>
  <c r="AC14" i="6"/>
  <c r="J13" i="6"/>
  <c r="J8" i="3"/>
  <c r="AC9" i="3"/>
  <c r="AA9" i="5"/>
  <c r="V10" i="5"/>
  <c r="H9" i="5"/>
  <c r="I8" i="5" a="1"/>
  <c r="I8" i="5" s="1"/>
  <c r="J18" i="11"/>
  <c r="AC19" i="11"/>
  <c r="AA9" i="8"/>
  <c r="V10" i="8"/>
  <c r="H9" i="8"/>
  <c r="I8" i="8" a="1"/>
  <c r="I8" i="8" s="1"/>
  <c r="AA9" i="1"/>
  <c r="H9" i="1"/>
  <c r="I8" i="1" a="1"/>
  <c r="I8" i="1" s="1"/>
  <c r="V10" i="1"/>
  <c r="J10" i="1"/>
  <c r="AC11" i="1"/>
  <c r="J8" i="8"/>
  <c r="AC9" i="8"/>
  <c r="AC11" i="2"/>
  <c r="J10" i="2"/>
  <c r="V10" i="11"/>
  <c r="AA9" i="11"/>
  <c r="H9" i="11"/>
  <c r="I8" i="11" a="1"/>
  <c r="I8" i="11" s="1"/>
  <c r="V14" i="3"/>
  <c r="H13" i="3"/>
  <c r="I12" i="3" a="1"/>
  <c r="I12" i="3" s="1"/>
  <c r="AA8" i="9"/>
  <c r="V9" i="9"/>
  <c r="H8" i="9"/>
  <c r="I7" i="9" a="1"/>
  <c r="I7" i="9" s="1"/>
  <c r="J10" i="9"/>
  <c r="AC11" i="9"/>
  <c r="AA8" i="6"/>
  <c r="I7" i="6" a="1"/>
  <c r="I7" i="6" s="1"/>
  <c r="V9" i="6"/>
  <c r="H8" i="6"/>
  <c r="J11" i="10"/>
  <c r="AC12" i="10"/>
  <c r="V10" i="12"/>
  <c r="I8" i="12" a="1"/>
  <c r="I8" i="12" s="1"/>
  <c r="AA9" i="12"/>
  <c r="H9" i="12"/>
  <c r="Z12" i="3"/>
  <c r="AA11" i="3"/>
  <c r="AC11" i="12"/>
  <c r="J10" i="12"/>
  <c r="I10" i="7" a="1"/>
  <c r="I10" i="7" s="1"/>
  <c r="V12" i="7"/>
  <c r="H11" i="7"/>
  <c r="AA11" i="7"/>
  <c r="AA14" i="2"/>
  <c r="V15" i="2"/>
  <c r="H14" i="2"/>
  <c r="I13" i="2" a="1"/>
  <c r="I13" i="2" s="1"/>
  <c r="J10" i="5"/>
  <c r="AC11" i="5"/>
  <c r="J10" i="7"/>
  <c r="AC11" i="7"/>
  <c r="V10" i="10"/>
  <c r="AA9" i="10"/>
  <c r="H9" i="10"/>
  <c r="I8" i="10" a="1"/>
  <c r="I8" i="10" s="1"/>
  <c r="AC11" i="4"/>
  <c r="J10" i="4"/>
  <c r="AC13" i="10" l="1"/>
  <c r="J12" i="10"/>
  <c r="J11" i="1"/>
  <c r="AC12" i="1"/>
  <c r="AA10" i="8"/>
  <c r="V11" i="8"/>
  <c r="H10" i="8"/>
  <c r="I9" i="8" a="1"/>
  <c r="I9" i="8" s="1"/>
  <c r="J9" i="3"/>
  <c r="AC10" i="3"/>
  <c r="AA15" i="2"/>
  <c r="V16" i="2"/>
  <c r="I14" i="2" a="1"/>
  <c r="I14" i="2" s="1"/>
  <c r="H15" i="2"/>
  <c r="AA9" i="9"/>
  <c r="V10" i="9"/>
  <c r="H9" i="9"/>
  <c r="I8" i="9" a="1"/>
  <c r="I8" i="9" s="1"/>
  <c r="AA10" i="1"/>
  <c r="H10" i="1"/>
  <c r="I9" i="1" a="1"/>
  <c r="I9" i="1" s="1"/>
  <c r="V11" i="1"/>
  <c r="AC20" i="11"/>
  <c r="J19" i="11"/>
  <c r="AC12" i="12"/>
  <c r="J11" i="12"/>
  <c r="V11" i="10"/>
  <c r="AA10" i="10"/>
  <c r="H10" i="10"/>
  <c r="I9" i="10" a="1"/>
  <c r="I9" i="10" s="1"/>
  <c r="Z13" i="3"/>
  <c r="AA12" i="3"/>
  <c r="AA9" i="6"/>
  <c r="I8" i="6" a="1"/>
  <c r="I8" i="6" s="1"/>
  <c r="V10" i="6"/>
  <c r="H9" i="6"/>
  <c r="V11" i="11"/>
  <c r="AA10" i="11"/>
  <c r="I9" i="11" a="1"/>
  <c r="I9" i="11" s="1"/>
  <c r="H10" i="11"/>
  <c r="J14" i="6"/>
  <c r="AC15" i="6"/>
  <c r="J11" i="7"/>
  <c r="AC12" i="7"/>
  <c r="AC12" i="2"/>
  <c r="J11" i="2"/>
  <c r="J11" i="5"/>
  <c r="AC12" i="5"/>
  <c r="I11" i="7" a="1"/>
  <c r="I11" i="7" s="1"/>
  <c r="V13" i="7"/>
  <c r="H12" i="7"/>
  <c r="AA12" i="7"/>
  <c r="J11" i="9"/>
  <c r="AC12" i="9"/>
  <c r="J9" i="8"/>
  <c r="AC10" i="8"/>
  <c r="AA10" i="5"/>
  <c r="V11" i="5"/>
  <c r="H10" i="5"/>
  <c r="I9" i="5" a="1"/>
  <c r="I9" i="5" s="1"/>
  <c r="V10" i="4"/>
  <c r="AA9" i="4"/>
  <c r="I8" i="4" a="1"/>
  <c r="I8" i="4" s="1"/>
  <c r="H9" i="4"/>
  <c r="AC12" i="4"/>
  <c r="J11" i="4"/>
  <c r="V11" i="12"/>
  <c r="I9" i="12" a="1"/>
  <c r="I9" i="12" s="1"/>
  <c r="AA10" i="12"/>
  <c r="H10" i="12"/>
  <c r="V15" i="3"/>
  <c r="H14" i="3"/>
  <c r="I13" i="3" a="1"/>
  <c r="I13" i="3" s="1"/>
  <c r="J10" i="8" l="1"/>
  <c r="AC11" i="8"/>
  <c r="J12" i="5"/>
  <c r="AC13" i="5"/>
  <c r="AA10" i="9"/>
  <c r="V11" i="9"/>
  <c r="H10" i="9"/>
  <c r="I9" i="9" a="1"/>
  <c r="I9" i="9" s="1"/>
  <c r="Z14" i="3"/>
  <c r="AA13" i="3"/>
  <c r="AC21" i="11"/>
  <c r="J20" i="11"/>
  <c r="V16" i="3"/>
  <c r="H15" i="3"/>
  <c r="I14" i="3" a="1"/>
  <c r="I14" i="3" s="1"/>
  <c r="J12" i="9"/>
  <c r="AC13" i="9"/>
  <c r="AA11" i="1"/>
  <c r="I10" i="1" a="1"/>
  <c r="I10" i="1" s="1"/>
  <c r="H11" i="1"/>
  <c r="V12" i="1"/>
  <c r="AA11" i="8"/>
  <c r="V12" i="8"/>
  <c r="H11" i="8"/>
  <c r="I10" i="8" a="1"/>
  <c r="I10" i="8" s="1"/>
  <c r="V11" i="4"/>
  <c r="AA10" i="4"/>
  <c r="I9" i="4" a="1"/>
  <c r="I9" i="4" s="1"/>
  <c r="H10" i="4"/>
  <c r="AC13" i="2"/>
  <c r="J12" i="2"/>
  <c r="V12" i="11"/>
  <c r="AA11" i="11"/>
  <c r="H11" i="11"/>
  <c r="I10" i="11" a="1"/>
  <c r="I10" i="11" s="1"/>
  <c r="J12" i="7"/>
  <c r="AC13" i="7"/>
  <c r="AA16" i="2"/>
  <c r="V17" i="2"/>
  <c r="H16" i="2"/>
  <c r="I15" i="2" a="1"/>
  <c r="I15" i="2" s="1"/>
  <c r="J12" i="1"/>
  <c r="AC13" i="1"/>
  <c r="V12" i="12"/>
  <c r="AA11" i="12"/>
  <c r="I10" i="12" a="1"/>
  <c r="I10" i="12" s="1"/>
  <c r="H11" i="12"/>
  <c r="V11" i="6"/>
  <c r="AA10" i="6"/>
  <c r="I9" i="6" a="1"/>
  <c r="I9" i="6" s="1"/>
  <c r="H10" i="6"/>
  <c r="V12" i="10"/>
  <c r="I10" i="10" a="1"/>
  <c r="I10" i="10" s="1"/>
  <c r="AA11" i="10"/>
  <c r="H11" i="10"/>
  <c r="AA11" i="5"/>
  <c r="V12" i="5"/>
  <c r="H11" i="5"/>
  <c r="I10" i="5" a="1"/>
  <c r="I10" i="5" s="1"/>
  <c r="I12" i="7" a="1"/>
  <c r="I12" i="7" s="1"/>
  <c r="V14" i="7"/>
  <c r="H13" i="7"/>
  <c r="AA13" i="7"/>
  <c r="AC16" i="6"/>
  <c r="J15" i="6"/>
  <c r="J10" i="3"/>
  <c r="AC11" i="3"/>
  <c r="AC13" i="4"/>
  <c r="J12" i="4"/>
  <c r="AC13" i="12"/>
  <c r="J12" i="12"/>
  <c r="AC14" i="10"/>
  <c r="J13" i="10"/>
  <c r="AA17" i="2" l="1"/>
  <c r="V18" i="2"/>
  <c r="I16" i="2" a="1"/>
  <c r="I16" i="2" s="1"/>
  <c r="H17" i="2"/>
  <c r="AA12" i="8"/>
  <c r="H12" i="8"/>
  <c r="V13" i="8"/>
  <c r="I11" i="8" a="1"/>
  <c r="I11" i="8" s="1"/>
  <c r="AC14" i="12"/>
  <c r="J13" i="12"/>
  <c r="AC14" i="2"/>
  <c r="J13" i="2"/>
  <c r="I13" i="7" a="1"/>
  <c r="I13" i="7" s="1"/>
  <c r="V15" i="7"/>
  <c r="H14" i="7"/>
  <c r="AA14" i="7"/>
  <c r="J13" i="7"/>
  <c r="AC14" i="7"/>
  <c r="AA12" i="1"/>
  <c r="I11" i="1" a="1"/>
  <c r="I11" i="1" s="1"/>
  <c r="V13" i="1"/>
  <c r="H12" i="1"/>
  <c r="AA11" i="9"/>
  <c r="V12" i="9"/>
  <c r="H11" i="9"/>
  <c r="I10" i="9" a="1"/>
  <c r="I10" i="9" s="1"/>
  <c r="AC14" i="4"/>
  <c r="J13" i="4"/>
  <c r="V13" i="10"/>
  <c r="I11" i="10" a="1"/>
  <c r="I11" i="10" s="1"/>
  <c r="AA12" i="10"/>
  <c r="H12" i="10"/>
  <c r="V13" i="12"/>
  <c r="AA12" i="12"/>
  <c r="I11" i="12" a="1"/>
  <c r="I11" i="12" s="1"/>
  <c r="H12" i="12"/>
  <c r="V17" i="3"/>
  <c r="H16" i="3"/>
  <c r="I15" i="3" a="1"/>
  <c r="I15" i="3" s="1"/>
  <c r="J13" i="1"/>
  <c r="AC14" i="1"/>
  <c r="J13" i="5"/>
  <c r="AC14" i="5"/>
  <c r="AC12" i="3"/>
  <c r="J11" i="3"/>
  <c r="V12" i="4"/>
  <c r="AA11" i="4"/>
  <c r="H11" i="4"/>
  <c r="I10" i="4" a="1"/>
  <c r="I10" i="4" s="1"/>
  <c r="AC22" i="11"/>
  <c r="J21" i="11"/>
  <c r="AA12" i="5"/>
  <c r="V13" i="5"/>
  <c r="H12" i="5"/>
  <c r="I11" i="5" a="1"/>
  <c r="I11" i="5" s="1"/>
  <c r="J13" i="9"/>
  <c r="AC14" i="9"/>
  <c r="J11" i="8"/>
  <c r="AC12" i="8"/>
  <c r="J14" i="10"/>
  <c r="AC15" i="10"/>
  <c r="AC17" i="6"/>
  <c r="J16" i="6"/>
  <c r="V12" i="6"/>
  <c r="AA11" i="6"/>
  <c r="I10" i="6" a="1"/>
  <c r="I10" i="6" s="1"/>
  <c r="H11" i="6"/>
  <c r="V13" i="11"/>
  <c r="AA12" i="11"/>
  <c r="H12" i="11"/>
  <c r="I11" i="11" a="1"/>
  <c r="I11" i="11" s="1"/>
  <c r="Z15" i="3"/>
  <c r="AA14" i="3"/>
  <c r="AC18" i="6" l="1"/>
  <c r="J17" i="6"/>
  <c r="AA12" i="9"/>
  <c r="V13" i="9"/>
  <c r="H12" i="9"/>
  <c r="I11" i="9" a="1"/>
  <c r="I11" i="9" s="1"/>
  <c r="V13" i="4"/>
  <c r="AA12" i="4"/>
  <c r="I11" i="4" a="1"/>
  <c r="I11" i="4" s="1"/>
  <c r="H12" i="4"/>
  <c r="V14" i="8"/>
  <c r="AA13" i="8"/>
  <c r="H13" i="8"/>
  <c r="I12" i="8" a="1"/>
  <c r="I12" i="8" s="1"/>
  <c r="AC16" i="10"/>
  <c r="J15" i="10"/>
  <c r="AA13" i="5"/>
  <c r="V14" i="5"/>
  <c r="H13" i="5"/>
  <c r="I12" i="5" a="1"/>
  <c r="I12" i="5" s="1"/>
  <c r="I14" i="7" a="1"/>
  <c r="I14" i="7" s="1"/>
  <c r="V16" i="7"/>
  <c r="H15" i="7"/>
  <c r="AA15" i="7"/>
  <c r="J12" i="3"/>
  <c r="AC13" i="3"/>
  <c r="V18" i="3"/>
  <c r="H17" i="3"/>
  <c r="I16" i="3" a="1"/>
  <c r="I16" i="3" s="1"/>
  <c r="AA13" i="10"/>
  <c r="V14" i="10"/>
  <c r="I12" i="10" a="1"/>
  <c r="I12" i="10" s="1"/>
  <c r="H13" i="10"/>
  <c r="AA13" i="1"/>
  <c r="I12" i="1" a="1"/>
  <c r="I12" i="1" s="1"/>
  <c r="H13" i="1"/>
  <c r="V14" i="1"/>
  <c r="AC13" i="8"/>
  <c r="J12" i="8"/>
  <c r="J14" i="5"/>
  <c r="AC15" i="5"/>
  <c r="V14" i="11"/>
  <c r="AA13" i="11"/>
  <c r="H13" i="11"/>
  <c r="I12" i="11" a="1"/>
  <c r="I12" i="11" s="1"/>
  <c r="AC23" i="11"/>
  <c r="J22" i="11"/>
  <c r="AC15" i="4"/>
  <c r="J14" i="4"/>
  <c r="AC15" i="2"/>
  <c r="J14" i="2"/>
  <c r="J14" i="9"/>
  <c r="AC15" i="9"/>
  <c r="J14" i="1"/>
  <c r="AC15" i="1"/>
  <c r="J14" i="7"/>
  <c r="AC15" i="7"/>
  <c r="AA18" i="2"/>
  <c r="V19" i="2"/>
  <c r="H18" i="2"/>
  <c r="I17" i="2" a="1"/>
  <c r="I17" i="2" s="1"/>
  <c r="Z16" i="3"/>
  <c r="AA15" i="3"/>
  <c r="AA12" i="6"/>
  <c r="V13" i="6"/>
  <c r="H12" i="6"/>
  <c r="I11" i="6" a="1"/>
  <c r="I11" i="6" s="1"/>
  <c r="V14" i="12"/>
  <c r="I12" i="12" a="1"/>
  <c r="I12" i="12" s="1"/>
  <c r="AA13" i="12"/>
  <c r="H13" i="12"/>
  <c r="AC15" i="12"/>
  <c r="J14" i="12"/>
  <c r="J15" i="5" l="1"/>
  <c r="AC16" i="5"/>
  <c r="J13" i="3"/>
  <c r="AC14" i="3"/>
  <c r="AC16" i="1"/>
  <c r="J15" i="1"/>
  <c r="AA14" i="10"/>
  <c r="V15" i="10"/>
  <c r="I13" i="10" a="1"/>
  <c r="I13" i="10" s="1"/>
  <c r="H14" i="10"/>
  <c r="Z17" i="3"/>
  <c r="AA16" i="3"/>
  <c r="J23" i="11"/>
  <c r="AC24" i="11"/>
  <c r="J13" i="8"/>
  <c r="AC14" i="8"/>
  <c r="AC17" i="10"/>
  <c r="J16" i="10"/>
  <c r="AA13" i="4"/>
  <c r="V14" i="4"/>
  <c r="I12" i="4" a="1"/>
  <c r="I12" i="4" s="1"/>
  <c r="H13" i="4"/>
  <c r="J15" i="9"/>
  <c r="AC16" i="9"/>
  <c r="AA14" i="1"/>
  <c r="I13" i="1" a="1"/>
  <c r="I13" i="1" s="1"/>
  <c r="H14" i="1"/>
  <c r="V15" i="1"/>
  <c r="I15" i="7" a="1"/>
  <c r="I15" i="7" s="1"/>
  <c r="H16" i="7"/>
  <c r="V17" i="7"/>
  <c r="AA16" i="7"/>
  <c r="J15" i="7"/>
  <c r="AC16" i="7"/>
  <c r="AA14" i="5"/>
  <c r="V15" i="5"/>
  <c r="H14" i="5"/>
  <c r="I13" i="5" a="1"/>
  <c r="I13" i="5" s="1"/>
  <c r="AC16" i="4"/>
  <c r="J15" i="4"/>
  <c r="V15" i="12"/>
  <c r="I13" i="12" a="1"/>
  <c r="I13" i="12" s="1"/>
  <c r="AA14" i="12"/>
  <c r="H14" i="12"/>
  <c r="AA13" i="9"/>
  <c r="V14" i="9"/>
  <c r="H13" i="9"/>
  <c r="I12" i="9" a="1"/>
  <c r="I12" i="9" s="1"/>
  <c r="AA19" i="2"/>
  <c r="V20" i="2"/>
  <c r="H19" i="2"/>
  <c r="I18" i="2" a="1"/>
  <c r="I18" i="2" s="1"/>
  <c r="AC16" i="2"/>
  <c r="J15" i="2"/>
  <c r="V15" i="11"/>
  <c r="AA14" i="11"/>
  <c r="H14" i="11"/>
  <c r="I13" i="11" a="1"/>
  <c r="I13" i="11" s="1"/>
  <c r="V19" i="3"/>
  <c r="H18" i="3"/>
  <c r="I17" i="3" a="1"/>
  <c r="I17" i="3" s="1"/>
  <c r="AA14" i="8"/>
  <c r="H14" i="8"/>
  <c r="V15" i="8"/>
  <c r="I13" i="8" a="1"/>
  <c r="I13" i="8" s="1"/>
  <c r="V14" i="6"/>
  <c r="AA13" i="6"/>
  <c r="I12" i="6" a="1"/>
  <c r="I12" i="6" s="1"/>
  <c r="H13" i="6"/>
  <c r="J15" i="12"/>
  <c r="AC16" i="12"/>
  <c r="AC19" i="6"/>
  <c r="J18" i="6"/>
  <c r="AA15" i="10" l="1"/>
  <c r="V16" i="10"/>
  <c r="H15" i="10"/>
  <c r="I14" i="10" a="1"/>
  <c r="I14" i="10" s="1"/>
  <c r="V16" i="11"/>
  <c r="AA15" i="11"/>
  <c r="H15" i="11"/>
  <c r="I14" i="11" a="1"/>
  <c r="I14" i="11" s="1"/>
  <c r="AC17" i="4"/>
  <c r="J16" i="4"/>
  <c r="V18" i="7"/>
  <c r="I16" i="7" a="1"/>
  <c r="I16" i="7" s="1"/>
  <c r="AA17" i="7"/>
  <c r="H17" i="7"/>
  <c r="AA14" i="9"/>
  <c r="V15" i="9"/>
  <c r="H14" i="9"/>
  <c r="I13" i="9" a="1"/>
  <c r="I13" i="9" s="1"/>
  <c r="AC25" i="11"/>
  <c r="J24" i="11"/>
  <c r="J16" i="2"/>
  <c r="AC17" i="2"/>
  <c r="J16" i="1"/>
  <c r="AC17" i="1"/>
  <c r="AC17" i="12"/>
  <c r="J16" i="12"/>
  <c r="J14" i="8"/>
  <c r="AC15" i="8"/>
  <c r="AA15" i="5"/>
  <c r="V16" i="5"/>
  <c r="H15" i="5"/>
  <c r="I14" i="5" a="1"/>
  <c r="I14" i="5" s="1"/>
  <c r="AA15" i="1"/>
  <c r="I14" i="1" a="1"/>
  <c r="I14" i="1" s="1"/>
  <c r="H15" i="1"/>
  <c r="V16" i="1"/>
  <c r="V15" i="4"/>
  <c r="AA14" i="4"/>
  <c r="I13" i="4" a="1"/>
  <c r="I13" i="4" s="1"/>
  <c r="H14" i="4"/>
  <c r="AC15" i="3"/>
  <c r="J14" i="3"/>
  <c r="V15" i="6"/>
  <c r="AA14" i="6"/>
  <c r="H14" i="6"/>
  <c r="I13" i="6" a="1"/>
  <c r="I13" i="6" s="1"/>
  <c r="Z18" i="3"/>
  <c r="AA17" i="3"/>
  <c r="AA20" i="2"/>
  <c r="V21" i="2"/>
  <c r="H20" i="2"/>
  <c r="I19" i="2" a="1"/>
  <c r="I19" i="2" s="1"/>
  <c r="AC17" i="7"/>
  <c r="J16" i="7"/>
  <c r="J16" i="5"/>
  <c r="AC17" i="5"/>
  <c r="J16" i="9"/>
  <c r="AC17" i="9"/>
  <c r="V20" i="3"/>
  <c r="H19" i="3"/>
  <c r="I18" i="3" a="1"/>
  <c r="I18" i="3" s="1"/>
  <c r="AC20" i="6"/>
  <c r="J19" i="6"/>
  <c r="V16" i="8"/>
  <c r="AA15" i="8"/>
  <c r="H15" i="8"/>
  <c r="I14" i="8" a="1"/>
  <c r="I14" i="8" s="1"/>
  <c r="AA15" i="12"/>
  <c r="V16" i="12"/>
  <c r="I14" i="12" a="1"/>
  <c r="I14" i="12" s="1"/>
  <c r="H15" i="12"/>
  <c r="AC18" i="10"/>
  <c r="J17" i="10"/>
  <c r="J17" i="9" l="1"/>
  <c r="AC18" i="9"/>
  <c r="J17" i="5"/>
  <c r="AC18" i="5"/>
  <c r="AC18" i="1"/>
  <c r="J17" i="1"/>
  <c r="AA15" i="9"/>
  <c r="V16" i="9"/>
  <c r="H15" i="9"/>
  <c r="I14" i="9" a="1"/>
  <c r="I14" i="9" s="1"/>
  <c r="AA16" i="5"/>
  <c r="V17" i="5"/>
  <c r="H16" i="5"/>
  <c r="I15" i="5" a="1"/>
  <c r="I15" i="5" s="1"/>
  <c r="J17" i="2"/>
  <c r="AC18" i="2"/>
  <c r="Z19" i="3"/>
  <c r="AA18" i="3"/>
  <c r="AA16" i="12"/>
  <c r="V17" i="12"/>
  <c r="I15" i="12" a="1"/>
  <c r="I15" i="12" s="1"/>
  <c r="H16" i="12"/>
  <c r="AC18" i="7"/>
  <c r="J17" i="7"/>
  <c r="V16" i="4"/>
  <c r="AA15" i="4"/>
  <c r="H15" i="4"/>
  <c r="I14" i="4" a="1"/>
  <c r="I14" i="4" s="1"/>
  <c r="V17" i="11"/>
  <c r="AA16" i="11"/>
  <c r="I15" i="11" a="1"/>
  <c r="I15" i="11" s="1"/>
  <c r="H16" i="11"/>
  <c r="AC16" i="8"/>
  <c r="J15" i="8"/>
  <c r="AC21" i="6"/>
  <c r="J20" i="6"/>
  <c r="AA16" i="1"/>
  <c r="I15" i="1" a="1"/>
  <c r="I15" i="1" s="1"/>
  <c r="H16" i="1"/>
  <c r="V17" i="1"/>
  <c r="V21" i="3"/>
  <c r="H20" i="3"/>
  <c r="I19" i="3" a="1"/>
  <c r="I19" i="3" s="1"/>
  <c r="AA15" i="6"/>
  <c r="V16" i="6"/>
  <c r="H15" i="6"/>
  <c r="I14" i="6" a="1"/>
  <c r="I14" i="6" s="1"/>
  <c r="J25" i="11"/>
  <c r="AC26" i="11"/>
  <c r="V19" i="7"/>
  <c r="AA18" i="7"/>
  <c r="H18" i="7"/>
  <c r="I17" i="7" a="1"/>
  <c r="I17" i="7" s="1"/>
  <c r="AA16" i="10"/>
  <c r="V17" i="10"/>
  <c r="I15" i="10" a="1"/>
  <c r="I15" i="10" s="1"/>
  <c r="H16" i="10"/>
  <c r="AA21" i="2"/>
  <c r="V22" i="2"/>
  <c r="I20" i="2" a="1"/>
  <c r="I20" i="2" s="1"/>
  <c r="H21" i="2"/>
  <c r="AC19" i="10"/>
  <c r="J18" i="10"/>
  <c r="H16" i="8"/>
  <c r="V17" i="8"/>
  <c r="AA16" i="8"/>
  <c r="I15" i="8" a="1"/>
  <c r="I15" i="8" s="1"/>
  <c r="AC16" i="3"/>
  <c r="J15" i="3"/>
  <c r="J17" i="12"/>
  <c r="AC18" i="12"/>
  <c r="AC18" i="4"/>
  <c r="J17" i="4"/>
  <c r="AA17" i="10" l="1"/>
  <c r="V18" i="10"/>
  <c r="H17" i="10"/>
  <c r="I16" i="10" a="1"/>
  <c r="I16" i="10" s="1"/>
  <c r="V18" i="1"/>
  <c r="AA17" i="1"/>
  <c r="I16" i="1" a="1"/>
  <c r="I16" i="1" s="1"/>
  <c r="H17" i="1"/>
  <c r="J18" i="2"/>
  <c r="AC19" i="2"/>
  <c r="AA16" i="9"/>
  <c r="V17" i="9"/>
  <c r="H16" i="9"/>
  <c r="I15" i="9" a="1"/>
  <c r="I15" i="9" s="1"/>
  <c r="V17" i="6"/>
  <c r="AA16" i="6"/>
  <c r="H16" i="6"/>
  <c r="I15" i="6" a="1"/>
  <c r="I15" i="6" s="1"/>
  <c r="AC19" i="7"/>
  <c r="J18" i="7"/>
  <c r="V18" i="11"/>
  <c r="I16" i="11" a="1"/>
  <c r="I16" i="11" s="1"/>
  <c r="AA17" i="11"/>
  <c r="H17" i="11"/>
  <c r="J18" i="1"/>
  <c r="AC19" i="1"/>
  <c r="AC17" i="3"/>
  <c r="J16" i="3"/>
  <c r="AA17" i="12"/>
  <c r="V18" i="12"/>
  <c r="I16" i="12" a="1"/>
  <c r="I16" i="12" s="1"/>
  <c r="H17" i="12"/>
  <c r="AA17" i="5"/>
  <c r="V18" i="5"/>
  <c r="H17" i="5"/>
  <c r="I16" i="5" a="1"/>
  <c r="I16" i="5" s="1"/>
  <c r="J18" i="5"/>
  <c r="AC19" i="5"/>
  <c r="J18" i="12"/>
  <c r="AC19" i="12"/>
  <c r="AC20" i="10"/>
  <c r="J19" i="10"/>
  <c r="AA22" i="2"/>
  <c r="V23" i="2"/>
  <c r="H22" i="2"/>
  <c r="I21" i="2" a="1"/>
  <c r="I21" i="2" s="1"/>
  <c r="V20" i="7"/>
  <c r="AA19" i="7"/>
  <c r="H19" i="7"/>
  <c r="I18" i="7" a="1"/>
  <c r="I18" i="7" s="1"/>
  <c r="AC22" i="6"/>
  <c r="J21" i="6"/>
  <c r="AA17" i="8"/>
  <c r="V18" i="8"/>
  <c r="H17" i="8"/>
  <c r="I16" i="8" a="1"/>
  <c r="I16" i="8" s="1"/>
  <c r="J18" i="9"/>
  <c r="AC19" i="9"/>
  <c r="J26" i="11"/>
  <c r="AC27" i="11"/>
  <c r="AC19" i="4"/>
  <c r="J18" i="4"/>
  <c r="V22" i="3"/>
  <c r="H21" i="3"/>
  <c r="I20" i="3" a="1"/>
  <c r="I20" i="3" s="1"/>
  <c r="J16" i="8"/>
  <c r="AC17" i="8"/>
  <c r="V17" i="4"/>
  <c r="AA16" i="4"/>
  <c r="H16" i="4"/>
  <c r="I15" i="4" a="1"/>
  <c r="I15" i="4" s="1"/>
  <c r="Z20" i="3"/>
  <c r="AA19" i="3"/>
  <c r="J19" i="12" l="1"/>
  <c r="AC20" i="12"/>
  <c r="V23" i="3"/>
  <c r="H22" i="3"/>
  <c r="I21" i="3" a="1"/>
  <c r="I21" i="3" s="1"/>
  <c r="V21" i="7"/>
  <c r="AA20" i="7"/>
  <c r="I19" i="7" a="1"/>
  <c r="I19" i="7" s="1"/>
  <c r="H20" i="7"/>
  <c r="V18" i="6"/>
  <c r="AA17" i="6"/>
  <c r="I16" i="6" a="1"/>
  <c r="I16" i="6" s="1"/>
  <c r="H17" i="6"/>
  <c r="J19" i="5"/>
  <c r="AC20" i="5"/>
  <c r="AA18" i="12"/>
  <c r="V19" i="12"/>
  <c r="I17" i="12" a="1"/>
  <c r="I17" i="12" s="1"/>
  <c r="H18" i="12"/>
  <c r="V19" i="8"/>
  <c r="AA18" i="8"/>
  <c r="H18" i="8"/>
  <c r="I17" i="8" a="1"/>
  <c r="I17" i="8" s="1"/>
  <c r="V18" i="4"/>
  <c r="AA17" i="4"/>
  <c r="I16" i="4" a="1"/>
  <c r="I16" i="4" s="1"/>
  <c r="H17" i="4"/>
  <c r="AC20" i="4"/>
  <c r="J19" i="4"/>
  <c r="V19" i="11"/>
  <c r="AA18" i="11"/>
  <c r="H18" i="11"/>
  <c r="I17" i="11" a="1"/>
  <c r="I17" i="11" s="1"/>
  <c r="V19" i="1"/>
  <c r="AA18" i="1"/>
  <c r="I17" i="1" a="1"/>
  <c r="I17" i="1" s="1"/>
  <c r="H18" i="1"/>
  <c r="AC18" i="8"/>
  <c r="J17" i="8"/>
  <c r="J27" i="11"/>
  <c r="AC28" i="11"/>
  <c r="AA23" i="2"/>
  <c r="V24" i="2"/>
  <c r="H23" i="2"/>
  <c r="I22" i="2" a="1"/>
  <c r="I22" i="2" s="1"/>
  <c r="AA17" i="9"/>
  <c r="V18" i="9"/>
  <c r="H17" i="9"/>
  <c r="I16" i="9" a="1"/>
  <c r="I16" i="9" s="1"/>
  <c r="AC23" i="6"/>
  <c r="J22" i="6"/>
  <c r="AC18" i="3"/>
  <c r="J17" i="3"/>
  <c r="AC20" i="7"/>
  <c r="J19" i="7"/>
  <c r="J19" i="9"/>
  <c r="AC20" i="9"/>
  <c r="AA18" i="5"/>
  <c r="V19" i="5"/>
  <c r="I17" i="5" a="1"/>
  <c r="I17" i="5" s="1"/>
  <c r="H18" i="5"/>
  <c r="AC20" i="1"/>
  <c r="J19" i="1"/>
  <c r="J19" i="2"/>
  <c r="AC20" i="2"/>
  <c r="AA18" i="10"/>
  <c r="V19" i="10"/>
  <c r="I17" i="10" a="1"/>
  <c r="I17" i="10" s="1"/>
  <c r="H18" i="10"/>
  <c r="Z21" i="3"/>
  <c r="AA20" i="3"/>
  <c r="AC21" i="10"/>
  <c r="J20" i="10"/>
  <c r="V22" i="7" l="1"/>
  <c r="AA21" i="7"/>
  <c r="I20" i="7" a="1"/>
  <c r="I20" i="7" s="1"/>
  <c r="H21" i="7"/>
  <c r="AA18" i="9"/>
  <c r="V19" i="9"/>
  <c r="H18" i="9"/>
  <c r="I17" i="9" a="1"/>
  <c r="I17" i="9" s="1"/>
  <c r="J20" i="5"/>
  <c r="AC21" i="5"/>
  <c r="AA19" i="8"/>
  <c r="H19" i="8"/>
  <c r="V20" i="8"/>
  <c r="I18" i="8" a="1"/>
  <c r="I18" i="8" s="1"/>
  <c r="AA19" i="10"/>
  <c r="V20" i="10"/>
  <c r="H19" i="10"/>
  <c r="I18" i="10" a="1"/>
  <c r="I18" i="10" s="1"/>
  <c r="AA19" i="5"/>
  <c r="V20" i="5"/>
  <c r="H19" i="5"/>
  <c r="I18" i="5" a="1"/>
  <c r="I18" i="5" s="1"/>
  <c r="AA24" i="2"/>
  <c r="V25" i="2"/>
  <c r="I23" i="2" a="1"/>
  <c r="I23" i="2" s="1"/>
  <c r="H24" i="2"/>
  <c r="Z22" i="3"/>
  <c r="AA21" i="3"/>
  <c r="AC21" i="7"/>
  <c r="J20" i="7"/>
  <c r="J18" i="8"/>
  <c r="AC19" i="8"/>
  <c r="AC24" i="6"/>
  <c r="J23" i="6"/>
  <c r="AA19" i="1"/>
  <c r="I18" i="1" a="1"/>
  <c r="I18" i="1" s="1"/>
  <c r="V20" i="1"/>
  <c r="H19" i="1"/>
  <c r="AA18" i="6"/>
  <c r="V19" i="6"/>
  <c r="H18" i="6"/>
  <c r="I17" i="6" a="1"/>
  <c r="I17" i="6" s="1"/>
  <c r="V24" i="3"/>
  <c r="H23" i="3"/>
  <c r="I22" i="3" a="1"/>
  <c r="I22" i="3" s="1"/>
  <c r="J28" i="11"/>
  <c r="AC29" i="11"/>
  <c r="AA19" i="12"/>
  <c r="V20" i="12"/>
  <c r="I18" i="12" a="1"/>
  <c r="I18" i="12" s="1"/>
  <c r="H19" i="12"/>
  <c r="AC21" i="12"/>
  <c r="J20" i="12"/>
  <c r="J20" i="1"/>
  <c r="AC21" i="1"/>
  <c r="V20" i="11"/>
  <c r="AA19" i="11"/>
  <c r="H19" i="11"/>
  <c r="I18" i="11" a="1"/>
  <c r="I18" i="11" s="1"/>
  <c r="AC19" i="3"/>
  <c r="J18" i="3"/>
  <c r="AC21" i="4"/>
  <c r="J20" i="4"/>
  <c r="J20" i="2"/>
  <c r="AC21" i="2"/>
  <c r="J20" i="9"/>
  <c r="AC21" i="9"/>
  <c r="AC22" i="10"/>
  <c r="J21" i="10"/>
  <c r="V19" i="4"/>
  <c r="AA18" i="4"/>
  <c r="I17" i="4" a="1"/>
  <c r="I17" i="4" s="1"/>
  <c r="H18" i="4"/>
  <c r="V20" i="4" l="1"/>
  <c r="AA19" i="4"/>
  <c r="I18" i="4" a="1"/>
  <c r="I18" i="4" s="1"/>
  <c r="H19" i="4"/>
  <c r="AC22" i="1"/>
  <c r="J21" i="1"/>
  <c r="J29" i="11"/>
  <c r="AC30" i="11"/>
  <c r="AA19" i="6"/>
  <c r="V20" i="6"/>
  <c r="H19" i="6"/>
  <c r="I18" i="6" a="1"/>
  <c r="I18" i="6" s="1"/>
  <c r="J19" i="8"/>
  <c r="AC20" i="8"/>
  <c r="AA25" i="2"/>
  <c r="V26" i="2"/>
  <c r="H25" i="2"/>
  <c r="I24" i="2" a="1"/>
  <c r="I24" i="2" s="1"/>
  <c r="AA20" i="10"/>
  <c r="I19" i="10" a="1"/>
  <c r="I19" i="10" s="1"/>
  <c r="V21" i="10"/>
  <c r="H20" i="10"/>
  <c r="AC22" i="4"/>
  <c r="J21" i="4"/>
  <c r="AA19" i="9"/>
  <c r="V20" i="9"/>
  <c r="H19" i="9"/>
  <c r="I18" i="9" a="1"/>
  <c r="I18" i="9" s="1"/>
  <c r="J22" i="10"/>
  <c r="AC23" i="10"/>
  <c r="AC20" i="3"/>
  <c r="J19" i="3"/>
  <c r="AC22" i="12"/>
  <c r="J21" i="12"/>
  <c r="AA20" i="1"/>
  <c r="V21" i="1"/>
  <c r="H20" i="1"/>
  <c r="I19" i="1" a="1"/>
  <c r="I19" i="1" s="1"/>
  <c r="AC22" i="7"/>
  <c r="J21" i="7"/>
  <c r="AA20" i="8"/>
  <c r="V21" i="8"/>
  <c r="H20" i="8"/>
  <c r="I19" i="8" a="1"/>
  <c r="I19" i="8" s="1"/>
  <c r="AA20" i="5"/>
  <c r="V21" i="5"/>
  <c r="I19" i="5" a="1"/>
  <c r="I19" i="5" s="1"/>
  <c r="H20" i="5"/>
  <c r="J21" i="9"/>
  <c r="AC22" i="9"/>
  <c r="V25" i="3"/>
  <c r="H24" i="3"/>
  <c r="I23" i="3" a="1"/>
  <c r="I23" i="3" s="1"/>
  <c r="Z23" i="3"/>
  <c r="AA22" i="3"/>
  <c r="J21" i="5"/>
  <c r="AC22" i="5"/>
  <c r="J21" i="2"/>
  <c r="AC22" i="2"/>
  <c r="AA20" i="12"/>
  <c r="V21" i="12"/>
  <c r="I19" i="12" a="1"/>
  <c r="I19" i="12" s="1"/>
  <c r="H20" i="12"/>
  <c r="V21" i="11"/>
  <c r="AA20" i="11"/>
  <c r="H20" i="11"/>
  <c r="I19" i="11" a="1"/>
  <c r="I19" i="11" s="1"/>
  <c r="AC25" i="6"/>
  <c r="J24" i="6"/>
  <c r="V23" i="7"/>
  <c r="AA22" i="7"/>
  <c r="H22" i="7"/>
  <c r="I21" i="7" a="1"/>
  <c r="I21" i="7" s="1"/>
  <c r="AA26" i="2" l="1"/>
  <c r="V27" i="2"/>
  <c r="I25" i="2" a="1"/>
  <c r="I25" i="2" s="1"/>
  <c r="H26" i="2"/>
  <c r="J30" i="11"/>
  <c r="AC31" i="11"/>
  <c r="V24" i="7"/>
  <c r="AA23" i="7"/>
  <c r="I22" i="7" a="1"/>
  <c r="I22" i="7" s="1"/>
  <c r="H23" i="7"/>
  <c r="Z24" i="3"/>
  <c r="AA23" i="3"/>
  <c r="AC23" i="7"/>
  <c r="J22" i="7"/>
  <c r="AC21" i="3"/>
  <c r="J20" i="3"/>
  <c r="AC23" i="4"/>
  <c r="J22" i="4"/>
  <c r="V26" i="3"/>
  <c r="H25" i="3"/>
  <c r="I24" i="3" a="1"/>
  <c r="I24" i="3" s="1"/>
  <c r="AA21" i="12"/>
  <c r="V22" i="12"/>
  <c r="I20" i="12" a="1"/>
  <c r="I20" i="12" s="1"/>
  <c r="H21" i="12"/>
  <c r="AA21" i="5"/>
  <c r="V22" i="5"/>
  <c r="I20" i="5" a="1"/>
  <c r="I20" i="5" s="1"/>
  <c r="H21" i="5"/>
  <c r="J23" i="10"/>
  <c r="AC24" i="10"/>
  <c r="AC21" i="8"/>
  <c r="J20" i="8"/>
  <c r="J25" i="6"/>
  <c r="AC26" i="6"/>
  <c r="AA21" i="10"/>
  <c r="I20" i="10" a="1"/>
  <c r="I20" i="10" s="1"/>
  <c r="V22" i="10"/>
  <c r="H21" i="10"/>
  <c r="J22" i="1"/>
  <c r="AC23" i="1"/>
  <c r="J22" i="2"/>
  <c r="AC23" i="2"/>
  <c r="I20" i="1" a="1"/>
  <c r="I20" i="1" s="1"/>
  <c r="V22" i="1"/>
  <c r="AA21" i="1"/>
  <c r="H21" i="1"/>
  <c r="J22" i="9"/>
  <c r="AC23" i="9"/>
  <c r="AA20" i="9"/>
  <c r="V21" i="9"/>
  <c r="H20" i="9"/>
  <c r="I19" i="9" a="1"/>
  <c r="I19" i="9" s="1"/>
  <c r="AA20" i="6"/>
  <c r="V21" i="6"/>
  <c r="I19" i="6" a="1"/>
  <c r="I19" i="6" s="1"/>
  <c r="H20" i="6"/>
  <c r="J22" i="5"/>
  <c r="AC23" i="5"/>
  <c r="AA21" i="8"/>
  <c r="V22" i="8"/>
  <c r="I20" i="8" a="1"/>
  <c r="I20" i="8" s="1"/>
  <c r="H21" i="8"/>
  <c r="V22" i="11"/>
  <c r="AA21" i="11"/>
  <c r="H21" i="11"/>
  <c r="I20" i="11" a="1"/>
  <c r="I20" i="11" s="1"/>
  <c r="AC23" i="12"/>
  <c r="J22" i="12"/>
  <c r="V21" i="4"/>
  <c r="AA20" i="4"/>
  <c r="H20" i="4"/>
  <c r="I19" i="4" a="1"/>
  <c r="I19" i="4" s="1"/>
  <c r="J24" i="10" l="1"/>
  <c r="AC25" i="10"/>
  <c r="AA22" i="12"/>
  <c r="V23" i="12"/>
  <c r="I21" i="12" a="1"/>
  <c r="I21" i="12" s="1"/>
  <c r="H22" i="12"/>
  <c r="V22" i="4"/>
  <c r="AA21" i="4"/>
  <c r="H21" i="4"/>
  <c r="I20" i="4" a="1"/>
  <c r="I20" i="4" s="1"/>
  <c r="AA22" i="10"/>
  <c r="I21" i="10" a="1"/>
  <c r="I21" i="10" s="1"/>
  <c r="V23" i="10"/>
  <c r="H22" i="10"/>
  <c r="AC22" i="3"/>
  <c r="J21" i="3"/>
  <c r="V25" i="7"/>
  <c r="AA24" i="7"/>
  <c r="I23" i="7" a="1"/>
  <c r="I23" i="7" s="1"/>
  <c r="H24" i="7"/>
  <c r="AA22" i="8"/>
  <c r="V23" i="8"/>
  <c r="H22" i="8"/>
  <c r="I21" i="8" a="1"/>
  <c r="I21" i="8" s="1"/>
  <c r="V23" i="1"/>
  <c r="AA22" i="1"/>
  <c r="I21" i="1" a="1"/>
  <c r="I21" i="1" s="1"/>
  <c r="H22" i="1"/>
  <c r="J31" i="11"/>
  <c r="AC32" i="11"/>
  <c r="AC24" i="12"/>
  <c r="J23" i="12"/>
  <c r="AC24" i="7"/>
  <c r="J23" i="7"/>
  <c r="J23" i="5"/>
  <c r="AC24" i="5"/>
  <c r="AA21" i="9"/>
  <c r="V22" i="9"/>
  <c r="H21" i="9"/>
  <c r="I20" i="9" a="1"/>
  <c r="I20" i="9" s="1"/>
  <c r="J23" i="2"/>
  <c r="AC24" i="2"/>
  <c r="J26" i="6"/>
  <c r="AC27" i="6"/>
  <c r="AA22" i="5"/>
  <c r="V23" i="5"/>
  <c r="I21" i="5" a="1"/>
  <c r="I21" i="5" s="1"/>
  <c r="H22" i="5"/>
  <c r="J23" i="9"/>
  <c r="AC24" i="9"/>
  <c r="AC24" i="1"/>
  <c r="J23" i="1"/>
  <c r="AA27" i="2"/>
  <c r="V28" i="2"/>
  <c r="H27" i="2"/>
  <c r="I26" i="2" a="1"/>
  <c r="I26" i="2" s="1"/>
  <c r="AA21" i="6"/>
  <c r="V22" i="6"/>
  <c r="I20" i="6" a="1"/>
  <c r="I20" i="6" s="1"/>
  <c r="H21" i="6"/>
  <c r="V27" i="3"/>
  <c r="H26" i="3"/>
  <c r="I25" i="3" a="1"/>
  <c r="I25" i="3" s="1"/>
  <c r="Z25" i="3"/>
  <c r="AA24" i="3"/>
  <c r="V23" i="11"/>
  <c r="I21" i="11" a="1"/>
  <c r="I21" i="11" s="1"/>
  <c r="AA22" i="11"/>
  <c r="H22" i="11"/>
  <c r="J21" i="8"/>
  <c r="AC22" i="8"/>
  <c r="AC24" i="4"/>
  <c r="J23" i="4"/>
  <c r="AC25" i="12" l="1"/>
  <c r="J24" i="12"/>
  <c r="AC23" i="3"/>
  <c r="J22" i="3"/>
  <c r="AA22" i="4"/>
  <c r="V23" i="4"/>
  <c r="H22" i="4"/>
  <c r="I21" i="4" a="1"/>
  <c r="I21" i="4" s="1"/>
  <c r="AA28" i="2"/>
  <c r="V29" i="2"/>
  <c r="H28" i="2"/>
  <c r="I27" i="2" a="1"/>
  <c r="I27" i="2" s="1"/>
  <c r="AA23" i="5"/>
  <c r="V24" i="5"/>
  <c r="I22" i="5" a="1"/>
  <c r="I22" i="5" s="1"/>
  <c r="H23" i="5"/>
  <c r="AA22" i="9"/>
  <c r="V23" i="9"/>
  <c r="H22" i="9"/>
  <c r="I21" i="9" a="1"/>
  <c r="I21" i="9" s="1"/>
  <c r="J32" i="11"/>
  <c r="AC33" i="11"/>
  <c r="V24" i="8"/>
  <c r="AA23" i="8"/>
  <c r="H23" i="8"/>
  <c r="I22" i="8" a="1"/>
  <c r="I22" i="8" s="1"/>
  <c r="AA23" i="10"/>
  <c r="I22" i="10" a="1"/>
  <c r="I22" i="10" s="1"/>
  <c r="V24" i="10"/>
  <c r="H23" i="10"/>
  <c r="J27" i="6"/>
  <c r="AC28" i="6"/>
  <c r="J24" i="5"/>
  <c r="AC25" i="5"/>
  <c r="AA23" i="12"/>
  <c r="V24" i="12"/>
  <c r="I22" i="12" a="1"/>
  <c r="I22" i="12" s="1"/>
  <c r="H23" i="12"/>
  <c r="V28" i="3"/>
  <c r="H27" i="3"/>
  <c r="I26" i="3" a="1"/>
  <c r="I26" i="3" s="1"/>
  <c r="J24" i="1"/>
  <c r="AC25" i="1"/>
  <c r="AC23" i="8"/>
  <c r="J22" i="8"/>
  <c r="J24" i="9"/>
  <c r="AC25" i="9"/>
  <c r="J24" i="2"/>
  <c r="AC25" i="2"/>
  <c r="J25" i="10"/>
  <c r="AC26" i="10"/>
  <c r="V24" i="11"/>
  <c r="AA23" i="11"/>
  <c r="H23" i="11"/>
  <c r="I22" i="11" a="1"/>
  <c r="I22" i="11" s="1"/>
  <c r="AA22" i="6"/>
  <c r="V23" i="6"/>
  <c r="I21" i="6" a="1"/>
  <c r="I21" i="6" s="1"/>
  <c r="H22" i="6"/>
  <c r="AC25" i="4"/>
  <c r="J24" i="4"/>
  <c r="Z26" i="3"/>
  <c r="AA25" i="3"/>
  <c r="AC25" i="7"/>
  <c r="J24" i="7"/>
  <c r="AA23" i="1"/>
  <c r="I22" i="1" a="1"/>
  <c r="I22" i="1" s="1"/>
  <c r="V24" i="1"/>
  <c r="H23" i="1"/>
  <c r="V26" i="7"/>
  <c r="AA25" i="7"/>
  <c r="I24" i="7" a="1"/>
  <c r="I24" i="7" s="1"/>
  <c r="H25" i="7"/>
  <c r="V25" i="8" l="1"/>
  <c r="AA24" i="8"/>
  <c r="I23" i="8" a="1"/>
  <c r="I23" i="8" s="1"/>
  <c r="H24" i="8"/>
  <c r="J25" i="9"/>
  <c r="AC26" i="9"/>
  <c r="J28" i="6"/>
  <c r="AC29" i="6"/>
  <c r="V29" i="3"/>
  <c r="H28" i="3"/>
  <c r="I27" i="3" a="1"/>
  <c r="I27" i="3" s="1"/>
  <c r="J33" i="11"/>
  <c r="AC34" i="11"/>
  <c r="AA24" i="5"/>
  <c r="V25" i="5"/>
  <c r="I23" i="5" a="1"/>
  <c r="I23" i="5" s="1"/>
  <c r="H24" i="5"/>
  <c r="AA23" i="4"/>
  <c r="V24" i="4"/>
  <c r="H23" i="4"/>
  <c r="I22" i="4" a="1"/>
  <c r="I22" i="4" s="1"/>
  <c r="Z27" i="3"/>
  <c r="AA26" i="3"/>
  <c r="V25" i="1"/>
  <c r="AA24" i="1"/>
  <c r="H24" i="1"/>
  <c r="I23" i="1" a="1"/>
  <c r="I23" i="1" s="1"/>
  <c r="AC26" i="4"/>
  <c r="J25" i="4"/>
  <c r="V25" i="11"/>
  <c r="AA24" i="11"/>
  <c r="H24" i="11"/>
  <c r="I23" i="11" a="1"/>
  <c r="I23" i="11" s="1"/>
  <c r="AC24" i="8"/>
  <c r="J23" i="8"/>
  <c r="AA24" i="10"/>
  <c r="I23" i="10" a="1"/>
  <c r="I23" i="10" s="1"/>
  <c r="V25" i="10"/>
  <c r="H24" i="10"/>
  <c r="J26" i="10"/>
  <c r="AC27" i="10"/>
  <c r="AC26" i="1"/>
  <c r="J25" i="1"/>
  <c r="AA24" i="12"/>
  <c r="V25" i="12"/>
  <c r="I23" i="12" a="1"/>
  <c r="I23" i="12" s="1"/>
  <c r="H24" i="12"/>
  <c r="AC24" i="3"/>
  <c r="J23" i="3"/>
  <c r="V27" i="7"/>
  <c r="AA26" i="7"/>
  <c r="H26" i="7"/>
  <c r="I25" i="7" a="1"/>
  <c r="I25" i="7" s="1"/>
  <c r="AA23" i="6"/>
  <c r="V24" i="6"/>
  <c r="I22" i="6" a="1"/>
  <c r="I22" i="6" s="1"/>
  <c r="H23" i="6"/>
  <c r="J25" i="2"/>
  <c r="AC26" i="2"/>
  <c r="J25" i="5"/>
  <c r="AC26" i="5"/>
  <c r="AA23" i="9"/>
  <c r="V24" i="9"/>
  <c r="H23" i="9"/>
  <c r="I22" i="9" a="1"/>
  <c r="I22" i="9" s="1"/>
  <c r="AA29" i="2"/>
  <c r="V30" i="2"/>
  <c r="H29" i="2"/>
  <c r="I28" i="2" a="1"/>
  <c r="I28" i="2" s="1"/>
  <c r="AC26" i="7"/>
  <c r="J25" i="7"/>
  <c r="AC26" i="12"/>
  <c r="J25" i="12"/>
  <c r="AA25" i="5" l="1"/>
  <c r="V26" i="5"/>
  <c r="H25" i="5"/>
  <c r="I24" i="5" a="1"/>
  <c r="I24" i="5" s="1"/>
  <c r="J29" i="6"/>
  <c r="AC30" i="6"/>
  <c r="AC27" i="7"/>
  <c r="J26" i="7"/>
  <c r="AA25" i="10"/>
  <c r="I24" i="10" a="1"/>
  <c r="I24" i="10" s="1"/>
  <c r="V26" i="10"/>
  <c r="H25" i="10"/>
  <c r="V26" i="11"/>
  <c r="AA25" i="11"/>
  <c r="H25" i="11"/>
  <c r="I24" i="11" a="1"/>
  <c r="I24" i="11" s="1"/>
  <c r="Z28" i="3"/>
  <c r="AA27" i="3"/>
  <c r="J26" i="5"/>
  <c r="AC27" i="5"/>
  <c r="AA25" i="12"/>
  <c r="V26" i="12"/>
  <c r="I24" i="12" a="1"/>
  <c r="I24" i="12" s="1"/>
  <c r="H25" i="12"/>
  <c r="J34" i="11"/>
  <c r="AC35" i="11"/>
  <c r="J35" i="11" s="1"/>
  <c r="J26" i="9"/>
  <c r="AC27" i="9"/>
  <c r="AC27" i="4"/>
  <c r="J26" i="4"/>
  <c r="AA30" i="2"/>
  <c r="V31" i="2"/>
  <c r="H30" i="2"/>
  <c r="I29" i="2" a="1"/>
  <c r="I29" i="2" s="1"/>
  <c r="J26" i="2"/>
  <c r="AC27" i="2"/>
  <c r="AA24" i="4"/>
  <c r="V25" i="4"/>
  <c r="H24" i="4"/>
  <c r="I23" i="4" a="1"/>
  <c r="I23" i="4" s="1"/>
  <c r="AA24" i="9"/>
  <c r="V25" i="9"/>
  <c r="I23" i="9" a="1"/>
  <c r="I23" i="9" s="1"/>
  <c r="H24" i="9"/>
  <c r="AA24" i="6"/>
  <c r="V25" i="6"/>
  <c r="I23" i="6" a="1"/>
  <c r="I23" i="6" s="1"/>
  <c r="H24" i="6"/>
  <c r="V28" i="7"/>
  <c r="AA27" i="7"/>
  <c r="H27" i="7"/>
  <c r="I26" i="7" a="1"/>
  <c r="I26" i="7" s="1"/>
  <c r="J26" i="1"/>
  <c r="AC27" i="1"/>
  <c r="AC25" i="8"/>
  <c r="J24" i="8"/>
  <c r="J27" i="10"/>
  <c r="AC28" i="10"/>
  <c r="AC27" i="12"/>
  <c r="J26" i="12"/>
  <c r="AC25" i="3"/>
  <c r="J24" i="3"/>
  <c r="V26" i="1"/>
  <c r="AA25" i="1"/>
  <c r="H25" i="1"/>
  <c r="I24" i="1" a="1"/>
  <c r="I24" i="1" s="1"/>
  <c r="V30" i="3"/>
  <c r="H29" i="3"/>
  <c r="I28" i="3" a="1"/>
  <c r="I28" i="3" s="1"/>
  <c r="AA25" i="8"/>
  <c r="V26" i="8"/>
  <c r="H25" i="8"/>
  <c r="I24" i="8" a="1"/>
  <c r="I24" i="8" s="1"/>
  <c r="AA31" i="2" l="1"/>
  <c r="V32" i="2"/>
  <c r="I30" i="2" a="1"/>
  <c r="I30" i="2" s="1"/>
  <c r="H31" i="2"/>
  <c r="AC28" i="7"/>
  <c r="J27" i="7"/>
  <c r="V27" i="1"/>
  <c r="AA26" i="1"/>
  <c r="I25" i="1" a="1"/>
  <c r="I25" i="1" s="1"/>
  <c r="H26" i="1"/>
  <c r="AC26" i="8"/>
  <c r="J25" i="8"/>
  <c r="J27" i="1"/>
  <c r="AC28" i="1"/>
  <c r="AA25" i="6"/>
  <c r="V26" i="6"/>
  <c r="H25" i="6"/>
  <c r="I24" i="6" a="1"/>
  <c r="I24" i="6" s="1"/>
  <c r="AA25" i="4"/>
  <c r="V26" i="4"/>
  <c r="H25" i="4"/>
  <c r="I24" i="4" a="1"/>
  <c r="I24" i="4" s="1"/>
  <c r="AA26" i="12"/>
  <c r="V27" i="12"/>
  <c r="I25" i="12" a="1"/>
  <c r="I25" i="12" s="1"/>
  <c r="H26" i="12"/>
  <c r="J30" i="6"/>
  <c r="AC31" i="6"/>
  <c r="AC26" i="3"/>
  <c r="J25" i="3"/>
  <c r="AC28" i="4"/>
  <c r="J27" i="4"/>
  <c r="V27" i="11"/>
  <c r="AA26" i="11"/>
  <c r="H26" i="11"/>
  <c r="I25" i="11" a="1"/>
  <c r="I25" i="11" s="1"/>
  <c r="V27" i="8"/>
  <c r="AA26" i="8"/>
  <c r="H26" i="8"/>
  <c r="I25" i="8" a="1"/>
  <c r="I25" i="8" s="1"/>
  <c r="J27" i="2"/>
  <c r="AC28" i="2"/>
  <c r="J27" i="9"/>
  <c r="AC28" i="9"/>
  <c r="J27" i="5"/>
  <c r="AC28" i="5"/>
  <c r="AC28" i="12"/>
  <c r="J27" i="12"/>
  <c r="J28" i="10"/>
  <c r="AC29" i="10"/>
  <c r="AA25" i="9"/>
  <c r="V26" i="9"/>
  <c r="I24" i="9" a="1"/>
  <c r="I24" i="9" s="1"/>
  <c r="H25" i="9"/>
  <c r="AA26" i="5"/>
  <c r="V27" i="5"/>
  <c r="H26" i="5"/>
  <c r="I25" i="5" a="1"/>
  <c r="I25" i="5" s="1"/>
  <c r="V31" i="3"/>
  <c r="H30" i="3"/>
  <c r="I29" i="3" a="1"/>
  <c r="I29" i="3" s="1"/>
  <c r="AA26" i="10"/>
  <c r="I25" i="10" a="1"/>
  <c r="I25" i="10" s="1"/>
  <c r="V27" i="10"/>
  <c r="H26" i="10"/>
  <c r="V29" i="7"/>
  <c r="AA28" i="7"/>
  <c r="H28" i="7"/>
  <c r="I27" i="7" a="1"/>
  <c r="I27" i="7" s="1"/>
  <c r="Z29" i="3"/>
  <c r="AA28" i="3"/>
  <c r="AA27" i="12" l="1"/>
  <c r="V28" i="12"/>
  <c r="I26" i="12" a="1"/>
  <c r="I26" i="12" s="1"/>
  <c r="H27" i="12"/>
  <c r="AA26" i="6"/>
  <c r="V27" i="6"/>
  <c r="I25" i="6" a="1"/>
  <c r="I25" i="6" s="1"/>
  <c r="H26" i="6"/>
  <c r="AA27" i="5"/>
  <c r="V28" i="5"/>
  <c r="I26" i="5" a="1"/>
  <c r="I26" i="5" s="1"/>
  <c r="H27" i="5"/>
  <c r="Z30" i="3"/>
  <c r="AA29" i="3"/>
  <c r="AC29" i="12"/>
  <c r="J28" i="12"/>
  <c r="AC29" i="4"/>
  <c r="J28" i="4"/>
  <c r="V28" i="1"/>
  <c r="AA27" i="1"/>
  <c r="I26" i="1" a="1"/>
  <c r="I26" i="1" s="1"/>
  <c r="H27" i="1"/>
  <c r="J28" i="5"/>
  <c r="AC29" i="5"/>
  <c r="J28" i="1"/>
  <c r="AC29" i="1"/>
  <c r="V28" i="8"/>
  <c r="AA27" i="8"/>
  <c r="H27" i="8"/>
  <c r="I26" i="8" a="1"/>
  <c r="I26" i="8" s="1"/>
  <c r="AC27" i="3"/>
  <c r="J26" i="3"/>
  <c r="AC29" i="7"/>
  <c r="J28" i="7"/>
  <c r="AA26" i="9"/>
  <c r="V27" i="9"/>
  <c r="H26" i="9"/>
  <c r="I25" i="9" a="1"/>
  <c r="I25" i="9" s="1"/>
  <c r="J28" i="9"/>
  <c r="AC29" i="9"/>
  <c r="J31" i="6"/>
  <c r="AC32" i="6"/>
  <c r="AA26" i="4"/>
  <c r="V27" i="4"/>
  <c r="H26" i="4"/>
  <c r="I25" i="4" a="1"/>
  <c r="I25" i="4" s="1"/>
  <c r="V30" i="7"/>
  <c r="AA29" i="7"/>
  <c r="I28" i="7" a="1"/>
  <c r="I28" i="7" s="1"/>
  <c r="H29" i="7"/>
  <c r="V32" i="3"/>
  <c r="H31" i="3"/>
  <c r="I30" i="3" a="1"/>
  <c r="I30" i="3" s="1"/>
  <c r="AC27" i="8"/>
  <c r="J26" i="8"/>
  <c r="J29" i="10"/>
  <c r="AC30" i="10"/>
  <c r="J28" i="2"/>
  <c r="AC29" i="2"/>
  <c r="AA32" i="2"/>
  <c r="V33" i="2"/>
  <c r="H32" i="2"/>
  <c r="I31" i="2" a="1"/>
  <c r="I31" i="2" s="1"/>
  <c r="AA27" i="10"/>
  <c r="I26" i="10" a="1"/>
  <c r="I26" i="10" s="1"/>
  <c r="V28" i="10"/>
  <c r="H27" i="10"/>
  <c r="V28" i="11"/>
  <c r="I26" i="11" a="1"/>
  <c r="I26" i="11" s="1"/>
  <c r="AA27" i="11"/>
  <c r="H27" i="11"/>
  <c r="V31" i="7" l="1"/>
  <c r="AA30" i="7"/>
  <c r="H30" i="7"/>
  <c r="I29" i="7" a="1"/>
  <c r="I29" i="7" s="1"/>
  <c r="AC28" i="3"/>
  <c r="J27" i="3"/>
  <c r="J29" i="9"/>
  <c r="AC30" i="9"/>
  <c r="J29" i="5"/>
  <c r="AC30" i="5"/>
  <c r="AA27" i="6"/>
  <c r="V28" i="6"/>
  <c r="H27" i="6"/>
  <c r="I26" i="6" a="1"/>
  <c r="I26" i="6" s="1"/>
  <c r="V29" i="11"/>
  <c r="AA28" i="11"/>
  <c r="H28" i="11"/>
  <c r="I27" i="11" a="1"/>
  <c r="I27" i="11" s="1"/>
  <c r="Z31" i="3"/>
  <c r="AA30" i="3"/>
  <c r="AA27" i="4"/>
  <c r="V28" i="4"/>
  <c r="H27" i="4"/>
  <c r="I26" i="4" a="1"/>
  <c r="I26" i="4" s="1"/>
  <c r="AA27" i="9"/>
  <c r="V28" i="9"/>
  <c r="I26" i="9" a="1"/>
  <c r="I26" i="9" s="1"/>
  <c r="H27" i="9"/>
  <c r="AC28" i="8"/>
  <c r="J27" i="8"/>
  <c r="AA28" i="10"/>
  <c r="I27" i="10" a="1"/>
  <c r="I27" i="10" s="1"/>
  <c r="V29" i="10"/>
  <c r="H28" i="10"/>
  <c r="V33" i="3"/>
  <c r="H32" i="3"/>
  <c r="I31" i="3" a="1"/>
  <c r="I31" i="3" s="1"/>
  <c r="AA28" i="8"/>
  <c r="V29" i="8"/>
  <c r="H28" i="8"/>
  <c r="I27" i="8" a="1"/>
  <c r="I27" i="8" s="1"/>
  <c r="V29" i="1"/>
  <c r="AA28" i="1"/>
  <c r="I27" i="1" a="1"/>
  <c r="I27" i="1" s="1"/>
  <c r="H28" i="1"/>
  <c r="AC30" i="12"/>
  <c r="J29" i="12"/>
  <c r="V34" i="2"/>
  <c r="AA33" i="2"/>
  <c r="I32" i="2" a="1"/>
  <c r="I32" i="2" s="1"/>
  <c r="H33" i="2"/>
  <c r="J30" i="10"/>
  <c r="AC31" i="10"/>
  <c r="J32" i="6"/>
  <c r="AC33" i="6"/>
  <c r="J29" i="1"/>
  <c r="AC30" i="1"/>
  <c r="AA28" i="5"/>
  <c r="V29" i="5"/>
  <c r="I27" i="5" a="1"/>
  <c r="I27" i="5" s="1"/>
  <c r="H28" i="5"/>
  <c r="AA28" i="12"/>
  <c r="V29" i="12"/>
  <c r="I27" i="12" a="1"/>
  <c r="I27" i="12" s="1"/>
  <c r="H28" i="12"/>
  <c r="J29" i="2"/>
  <c r="AC30" i="2"/>
  <c r="AC30" i="7"/>
  <c r="J29" i="7"/>
  <c r="AC30" i="4"/>
  <c r="J29" i="4"/>
  <c r="V30" i="11" l="1"/>
  <c r="I28" i="11" a="1"/>
  <c r="I28" i="11" s="1"/>
  <c r="AA29" i="11"/>
  <c r="H29" i="11"/>
  <c r="V34" i="3"/>
  <c r="H33" i="3"/>
  <c r="I32" i="3" a="1"/>
  <c r="I32" i="3" s="1"/>
  <c r="AA29" i="12"/>
  <c r="V30" i="12"/>
  <c r="I28" i="12" a="1"/>
  <c r="I28" i="12" s="1"/>
  <c r="H29" i="12"/>
  <c r="J33" i="6"/>
  <c r="AC34" i="6"/>
  <c r="V30" i="8"/>
  <c r="AA29" i="8"/>
  <c r="H29" i="8"/>
  <c r="I28" i="8" a="1"/>
  <c r="I28" i="8" s="1"/>
  <c r="J30" i="9"/>
  <c r="AC31" i="9"/>
  <c r="J31" i="10"/>
  <c r="AC32" i="10"/>
  <c r="AC31" i="12"/>
  <c r="J30" i="12"/>
  <c r="AC29" i="3"/>
  <c r="J28" i="3"/>
  <c r="AC31" i="4"/>
  <c r="J30" i="4"/>
  <c r="AC31" i="7"/>
  <c r="J30" i="7"/>
  <c r="AC29" i="8"/>
  <c r="J28" i="8"/>
  <c r="J30" i="2"/>
  <c r="AC31" i="2"/>
  <c r="AA29" i="5"/>
  <c r="V30" i="5"/>
  <c r="H29" i="5"/>
  <c r="I28" i="5" a="1"/>
  <c r="I28" i="5" s="1"/>
  <c r="AA28" i="6"/>
  <c r="V29" i="6"/>
  <c r="H28" i="6"/>
  <c r="I27" i="6" a="1"/>
  <c r="I27" i="6" s="1"/>
  <c r="AA29" i="1"/>
  <c r="V30" i="1"/>
  <c r="I28" i="1" a="1"/>
  <c r="I28" i="1" s="1"/>
  <c r="H29" i="1"/>
  <c r="Z32" i="3"/>
  <c r="AA31" i="3"/>
  <c r="J30" i="1"/>
  <c r="AC31" i="1"/>
  <c r="J30" i="5"/>
  <c r="AC31" i="5"/>
  <c r="AA28" i="4"/>
  <c r="V29" i="4"/>
  <c r="I27" i="4" a="1"/>
  <c r="I27" i="4" s="1"/>
  <c r="H28" i="4"/>
  <c r="AA28" i="9"/>
  <c r="V29" i="9"/>
  <c r="H28" i="9"/>
  <c r="I27" i="9" a="1"/>
  <c r="I27" i="9" s="1"/>
  <c r="H34" i="2"/>
  <c r="V35" i="2"/>
  <c r="AA34" i="2"/>
  <c r="I33" i="2" a="1"/>
  <c r="I33" i="2" s="1"/>
  <c r="AA29" i="10"/>
  <c r="I28" i="10" a="1"/>
  <c r="I28" i="10" s="1"/>
  <c r="V30" i="10"/>
  <c r="H29" i="10"/>
  <c r="V32" i="7"/>
  <c r="AA31" i="7"/>
  <c r="H31" i="7"/>
  <c r="I30" i="7" a="1"/>
  <c r="I30" i="7" s="1"/>
  <c r="AA29" i="6" l="1"/>
  <c r="V30" i="6"/>
  <c r="H29" i="6"/>
  <c r="I28" i="6" a="1"/>
  <c r="I28" i="6" s="1"/>
  <c r="V31" i="8"/>
  <c r="AA30" i="8"/>
  <c r="H30" i="8"/>
  <c r="I29" i="8" a="1"/>
  <c r="I29" i="8" s="1"/>
  <c r="Z33" i="3"/>
  <c r="AA32" i="3"/>
  <c r="AC30" i="8"/>
  <c r="J29" i="8"/>
  <c r="U40" i="3"/>
  <c r="AA35" i="2"/>
  <c r="H35" i="2"/>
  <c r="I34" i="2" a="1"/>
  <c r="I34" i="2" s="1"/>
  <c r="AA29" i="4"/>
  <c r="V30" i="4"/>
  <c r="H29" i="4"/>
  <c r="I28" i="4" a="1"/>
  <c r="I28" i="4" s="1"/>
  <c r="J32" i="10"/>
  <c r="AC33" i="10"/>
  <c r="J34" i="6"/>
  <c r="AC35" i="6"/>
  <c r="J35" i="6" s="1"/>
  <c r="AC32" i="12"/>
  <c r="J31" i="12"/>
  <c r="V33" i="7"/>
  <c r="AA32" i="7"/>
  <c r="I31" i="7" a="1"/>
  <c r="I31" i="7" s="1"/>
  <c r="H32" i="7"/>
  <c r="AC32" i="7"/>
  <c r="J31" i="7"/>
  <c r="U40" i="4"/>
  <c r="V35" i="3"/>
  <c r="H34" i="3"/>
  <c r="I33" i="3" a="1"/>
  <c r="I33" i="3" s="1"/>
  <c r="J31" i="5"/>
  <c r="AC32" i="5"/>
  <c r="V31" i="1"/>
  <c r="AA30" i="1"/>
  <c r="I29" i="1" a="1"/>
  <c r="I29" i="1" s="1"/>
  <c r="H30" i="1"/>
  <c r="AA30" i="5"/>
  <c r="V31" i="5"/>
  <c r="I29" i="5" a="1"/>
  <c r="I29" i="5" s="1"/>
  <c r="H30" i="5"/>
  <c r="J31" i="9"/>
  <c r="AC32" i="9"/>
  <c r="AA30" i="10"/>
  <c r="I29" i="10" a="1"/>
  <c r="I29" i="10" s="1"/>
  <c r="V31" i="10"/>
  <c r="H30" i="10"/>
  <c r="AC32" i="4"/>
  <c r="J31" i="4"/>
  <c r="AA29" i="9"/>
  <c r="V30" i="9"/>
  <c r="I28" i="9" a="1"/>
  <c r="I28" i="9" s="1"/>
  <c r="H29" i="9"/>
  <c r="J31" i="1"/>
  <c r="AC32" i="1"/>
  <c r="J31" i="2"/>
  <c r="AC32" i="2"/>
  <c r="AA30" i="12"/>
  <c r="V31" i="12"/>
  <c r="I29" i="12" a="1"/>
  <c r="I29" i="12" s="1"/>
  <c r="H30" i="12"/>
  <c r="AC30" i="3"/>
  <c r="J29" i="3"/>
  <c r="V31" i="11"/>
  <c r="AA30" i="11"/>
  <c r="H30" i="11"/>
  <c r="I29" i="11" a="1"/>
  <c r="I29" i="11" s="1"/>
  <c r="I35" i="2" a="1"/>
  <c r="I35" i="2" l="1"/>
  <c r="AA31" i="11"/>
  <c r="V32" i="11"/>
  <c r="I30" i="11" a="1"/>
  <c r="I30" i="11" s="1"/>
  <c r="H31" i="11"/>
  <c r="AC33" i="4"/>
  <c r="J32" i="4"/>
  <c r="J33" i="10"/>
  <c r="AC34" i="10"/>
  <c r="AC33" i="7"/>
  <c r="J32" i="7"/>
  <c r="AA31" i="5"/>
  <c r="I30" i="5" a="1"/>
  <c r="I30" i="5" s="1"/>
  <c r="V32" i="5"/>
  <c r="H31" i="5"/>
  <c r="J32" i="2"/>
  <c r="AC33" i="2"/>
  <c r="J32" i="5"/>
  <c r="AC33" i="5"/>
  <c r="J32" i="1"/>
  <c r="AC33" i="1"/>
  <c r="AC31" i="3"/>
  <c r="J30" i="3"/>
  <c r="AA31" i="10"/>
  <c r="I30" i="10" a="1"/>
  <c r="I30" i="10" s="1"/>
  <c r="V32" i="10"/>
  <c r="H31" i="10"/>
  <c r="U41" i="3"/>
  <c r="H40" i="3"/>
  <c r="V32" i="8"/>
  <c r="AA31" i="8"/>
  <c r="I30" i="8" a="1"/>
  <c r="I30" i="8" s="1"/>
  <c r="H31" i="8"/>
  <c r="V34" i="7"/>
  <c r="AA33" i="7"/>
  <c r="I32" i="7" a="1"/>
  <c r="I32" i="7" s="1"/>
  <c r="H33" i="7"/>
  <c r="AA30" i="4"/>
  <c r="V31" i="4"/>
  <c r="I29" i="4" a="1"/>
  <c r="I29" i="4" s="1"/>
  <c r="H30" i="4"/>
  <c r="AC31" i="8"/>
  <c r="J30" i="8"/>
  <c r="H35" i="3"/>
  <c r="I34" i="3" a="1"/>
  <c r="I34" i="3" s="1"/>
  <c r="AA31" i="12"/>
  <c r="V32" i="12"/>
  <c r="I30" i="12" a="1"/>
  <c r="I30" i="12" s="1"/>
  <c r="H31" i="12"/>
  <c r="U41" i="4"/>
  <c r="H40" i="4"/>
  <c r="AA30" i="6"/>
  <c r="V31" i="6"/>
  <c r="H30" i="6"/>
  <c r="I29" i="6" a="1"/>
  <c r="I29" i="6" s="1"/>
  <c r="AA30" i="9"/>
  <c r="V31" i="9"/>
  <c r="H30" i="9"/>
  <c r="I29" i="9" a="1"/>
  <c r="I29" i="9" s="1"/>
  <c r="J32" i="9"/>
  <c r="AC33" i="9"/>
  <c r="AC33" i="12"/>
  <c r="J32" i="12"/>
  <c r="AA31" i="1"/>
  <c r="V32" i="1"/>
  <c r="I30" i="1" a="1"/>
  <c r="I30" i="1" s="1"/>
  <c r="H31" i="1"/>
  <c r="Z34" i="3"/>
  <c r="AA33" i="3"/>
  <c r="I35" i="3" a="1"/>
  <c r="I35" i="3" l="1"/>
  <c r="AA32" i="10"/>
  <c r="I31" i="10" a="1"/>
  <c r="I31" i="10" s="1"/>
  <c r="V33" i="10"/>
  <c r="H32" i="10"/>
  <c r="J33" i="9"/>
  <c r="AC34" i="9"/>
  <c r="AA31" i="6"/>
  <c r="V32" i="6"/>
  <c r="I30" i="6" a="1"/>
  <c r="I30" i="6" s="1"/>
  <c r="H31" i="6"/>
  <c r="AA31" i="4"/>
  <c r="V32" i="4"/>
  <c r="I30" i="4" a="1"/>
  <c r="I30" i="4" s="1"/>
  <c r="H31" i="4"/>
  <c r="AC32" i="3"/>
  <c r="J31" i="3"/>
  <c r="U40" i="9"/>
  <c r="V33" i="8"/>
  <c r="AA32" i="8"/>
  <c r="H32" i="8"/>
  <c r="I31" i="8" a="1"/>
  <c r="I31" i="8" s="1"/>
  <c r="V35" i="7"/>
  <c r="AA34" i="7"/>
  <c r="H34" i="7"/>
  <c r="I33" i="7" a="1"/>
  <c r="I33" i="7" s="1"/>
  <c r="AC34" i="12"/>
  <c r="J33" i="12"/>
  <c r="Z35" i="3"/>
  <c r="AA35" i="3" s="1"/>
  <c r="AA34" i="3"/>
  <c r="AA32" i="5"/>
  <c r="I31" i="5" a="1"/>
  <c r="I31" i="5" s="1"/>
  <c r="V33" i="5"/>
  <c r="H32" i="5"/>
  <c r="AC32" i="8"/>
  <c r="J31" i="8"/>
  <c r="AC34" i="4"/>
  <c r="J33" i="4"/>
  <c r="J33" i="1"/>
  <c r="AC34" i="1"/>
  <c r="AA32" i="1"/>
  <c r="V33" i="1"/>
  <c r="I31" i="1" a="1"/>
  <c r="I31" i="1" s="1"/>
  <c r="H32" i="1"/>
  <c r="AA31" i="9"/>
  <c r="V32" i="9"/>
  <c r="H31" i="9"/>
  <c r="I30" i="9" a="1"/>
  <c r="I30" i="9" s="1"/>
  <c r="J33" i="5"/>
  <c r="AC34" i="5"/>
  <c r="AA32" i="11"/>
  <c r="V33" i="11"/>
  <c r="H32" i="11"/>
  <c r="I31" i="11" a="1"/>
  <c r="I31" i="11" s="1"/>
  <c r="AC34" i="7"/>
  <c r="J33" i="7"/>
  <c r="AA32" i="12"/>
  <c r="V33" i="12"/>
  <c r="I31" i="12" a="1"/>
  <c r="I31" i="12" s="1"/>
  <c r="H32" i="12"/>
  <c r="J33" i="2"/>
  <c r="AC34" i="2"/>
  <c r="J34" i="10"/>
  <c r="AC35" i="10"/>
  <c r="J35" i="10" s="1"/>
  <c r="AC33" i="8" l="1"/>
  <c r="J32" i="8"/>
  <c r="AC35" i="12"/>
  <c r="J35" i="12" s="1"/>
  <c r="J34" i="12"/>
  <c r="AA33" i="12"/>
  <c r="V34" i="12"/>
  <c r="I32" i="12" a="1"/>
  <c r="I32" i="12" s="1"/>
  <c r="H33" i="12"/>
  <c r="J34" i="5"/>
  <c r="AC35" i="5"/>
  <c r="J35" i="5" s="1"/>
  <c r="AA33" i="1"/>
  <c r="V34" i="1"/>
  <c r="H33" i="1"/>
  <c r="I32" i="1" a="1"/>
  <c r="I32" i="1" s="1"/>
  <c r="U41" i="9"/>
  <c r="H40" i="9"/>
  <c r="J34" i="1"/>
  <c r="AC35" i="1"/>
  <c r="J35" i="1" s="1"/>
  <c r="AC33" i="3"/>
  <c r="J32" i="3"/>
  <c r="U40" i="8"/>
  <c r="AA35" i="7"/>
  <c r="I34" i="7" a="1"/>
  <c r="I34" i="7" s="1"/>
  <c r="H35" i="7"/>
  <c r="J34" i="9"/>
  <c r="AC35" i="9"/>
  <c r="J35" i="9" s="1"/>
  <c r="AC35" i="7"/>
  <c r="J35" i="7" s="1"/>
  <c r="J34" i="7"/>
  <c r="J34" i="2"/>
  <c r="AC35" i="2"/>
  <c r="J35" i="2" s="1"/>
  <c r="AA32" i="9"/>
  <c r="V33" i="9"/>
  <c r="I31" i="9" a="1"/>
  <c r="I31" i="9" s="1"/>
  <c r="H32" i="9"/>
  <c r="AC35" i="4"/>
  <c r="J35" i="4" s="1"/>
  <c r="J34" i="4"/>
  <c r="AA32" i="4"/>
  <c r="V33" i="4"/>
  <c r="I31" i="4" a="1"/>
  <c r="I31" i="4" s="1"/>
  <c r="H32" i="4"/>
  <c r="AA33" i="11"/>
  <c r="V34" i="11"/>
  <c r="I32" i="11" a="1"/>
  <c r="I32" i="11" s="1"/>
  <c r="H33" i="11"/>
  <c r="AA33" i="10"/>
  <c r="I32" i="10" a="1"/>
  <c r="I32" i="10" s="1"/>
  <c r="V34" i="10"/>
  <c r="H33" i="10"/>
  <c r="V34" i="8"/>
  <c r="AA33" i="8"/>
  <c r="I32" i="8" a="1"/>
  <c r="I32" i="8" s="1"/>
  <c r="H33" i="8"/>
  <c r="AA33" i="5"/>
  <c r="I32" i="5" a="1"/>
  <c r="I32" i="5" s="1"/>
  <c r="V34" i="5"/>
  <c r="H33" i="5"/>
  <c r="AA32" i="6"/>
  <c r="V33" i="6"/>
  <c r="H32" i="6"/>
  <c r="I31" i="6" a="1"/>
  <c r="I31" i="6" s="1"/>
  <c r="I35" i="7" a="1"/>
  <c r="I35" i="7" l="1"/>
  <c r="AA34" i="1"/>
  <c r="V35" i="1"/>
  <c r="I33" i="1" a="1"/>
  <c r="I33" i="1" s="1"/>
  <c r="H34" i="1"/>
  <c r="AA34" i="11"/>
  <c r="V35" i="11"/>
  <c r="H34" i="11"/>
  <c r="I33" i="11" a="1"/>
  <c r="I33" i="11" s="1"/>
  <c r="AC34" i="3"/>
  <c r="J33" i="3"/>
  <c r="U40" i="6"/>
  <c r="AA34" i="5"/>
  <c r="I33" i="5" a="1"/>
  <c r="I33" i="5" s="1"/>
  <c r="V35" i="5"/>
  <c r="H34" i="5"/>
  <c r="AA34" i="10"/>
  <c r="U40" i="11"/>
  <c r="I33" i="10" a="1"/>
  <c r="I33" i="10" s="1"/>
  <c r="V35" i="10"/>
  <c r="H34" i="10"/>
  <c r="AA34" i="12"/>
  <c r="V35" i="12"/>
  <c r="I33" i="12" a="1"/>
  <c r="I33" i="12" s="1"/>
  <c r="H34" i="12"/>
  <c r="U41" i="8"/>
  <c r="H40" i="8"/>
  <c r="AA33" i="6"/>
  <c r="V34" i="6"/>
  <c r="H33" i="6"/>
  <c r="I32" i="6" a="1"/>
  <c r="I32" i="6" s="1"/>
  <c r="AA33" i="4"/>
  <c r="V34" i="4"/>
  <c r="I32" i="4" a="1"/>
  <c r="I32" i="4" s="1"/>
  <c r="H33" i="4"/>
  <c r="V35" i="8"/>
  <c r="AA34" i="8"/>
  <c r="I33" i="8" a="1"/>
  <c r="I33" i="8" s="1"/>
  <c r="H34" i="8"/>
  <c r="AA33" i="9"/>
  <c r="V34" i="9"/>
  <c r="H33" i="9"/>
  <c r="I32" i="9" a="1"/>
  <c r="I32" i="9" s="1"/>
  <c r="AC34" i="8"/>
  <c r="J33" i="8"/>
  <c r="AC35" i="3" l="1"/>
  <c r="J35" i="3" s="1"/>
  <c r="J34" i="3"/>
  <c r="AA34" i="4"/>
  <c r="V35" i="4"/>
  <c r="H34" i="4"/>
  <c r="I33" i="4" a="1"/>
  <c r="I33" i="4" s="1"/>
  <c r="AA35" i="5"/>
  <c r="I34" i="5" a="1"/>
  <c r="I34" i="5" s="1"/>
  <c r="H35" i="5"/>
  <c r="AA34" i="6"/>
  <c r="V35" i="6"/>
  <c r="H34" i="6"/>
  <c r="I33" i="6" a="1"/>
  <c r="I33" i="6" s="1"/>
  <c r="U41" i="11"/>
  <c r="H40" i="11"/>
  <c r="AA35" i="12"/>
  <c r="I34" i="12" a="1"/>
  <c r="I34" i="12" s="1"/>
  <c r="H35" i="12"/>
  <c r="AC35" i="8"/>
  <c r="J35" i="8" s="1"/>
  <c r="J34" i="8"/>
  <c r="AA35" i="8"/>
  <c r="I34" i="8" a="1"/>
  <c r="I34" i="8" s="1"/>
  <c r="H35" i="8"/>
  <c r="AA35" i="10"/>
  <c r="I34" i="10" a="1"/>
  <c r="I34" i="10" s="1"/>
  <c r="H35" i="10"/>
  <c r="U41" i="6"/>
  <c r="H40" i="6"/>
  <c r="U40" i="12"/>
  <c r="AA35" i="11"/>
  <c r="H35" i="11"/>
  <c r="I34" i="11" a="1"/>
  <c r="I34" i="11" s="1"/>
  <c r="U40" i="2"/>
  <c r="AA35" i="1"/>
  <c r="H35" i="1"/>
  <c r="I34" i="1" a="1"/>
  <c r="I34" i="1" s="1"/>
  <c r="AA34" i="9"/>
  <c r="V35" i="9"/>
  <c r="H34" i="9"/>
  <c r="I33" i="9" a="1"/>
  <c r="I33" i="9" s="1"/>
  <c r="I35" i="10" a="1"/>
  <c r="I35" i="5" a="1"/>
  <c r="I35" i="8" a="1"/>
  <c r="I35" i="11" a="1"/>
  <c r="I35" i="12" a="1"/>
  <c r="I35" i="1" a="1"/>
  <c r="I35" i="1" l="1"/>
  <c r="I35" i="5"/>
  <c r="I35" i="10"/>
  <c r="I35" i="11"/>
  <c r="I35" i="12"/>
  <c r="I35" i="8"/>
  <c r="U40" i="7"/>
  <c r="AA35" i="6"/>
  <c r="I34" i="6" a="1"/>
  <c r="I34" i="6" s="1"/>
  <c r="H35" i="6"/>
  <c r="U40" i="5"/>
  <c r="AA35" i="4"/>
  <c r="H35" i="4"/>
  <c r="I34" i="4" a="1"/>
  <c r="I34" i="4" s="1"/>
  <c r="U41" i="2"/>
  <c r="H40" i="2"/>
  <c r="U40" i="10"/>
  <c r="AA35" i="9"/>
  <c r="H35" i="9"/>
  <c r="I34" i="9" a="1"/>
  <c r="I34" i="9" s="1"/>
  <c r="U41" i="12"/>
  <c r="H40" i="12"/>
  <c r="I35" i="9" a="1"/>
  <c r="I35" i="6" a="1"/>
  <c r="I35" i="4" a="1"/>
  <c r="I35" i="9" l="1"/>
  <c r="I35" i="4"/>
  <c r="I35" i="6"/>
  <c r="U41" i="7"/>
  <c r="H40" i="7"/>
  <c r="U41" i="5"/>
  <c r="H40" i="5"/>
  <c r="U41" i="10"/>
  <c r="H40" i="10"/>
</calcChain>
</file>

<file path=xl/sharedStrings.xml><?xml version="1.0" encoding="utf-8"?>
<sst xmlns="http://schemas.openxmlformats.org/spreadsheetml/2006/main" count="2405" uniqueCount="165">
  <si>
    <t>店</t>
  </si>
  <si>
    <t>売上表</t>
  </si>
  <si>
    <t>令和8年</t>
  </si>
  <si>
    <t>7月</t>
  </si>
  <si>
    <t>部門別売上＆構成比</t>
  </si>
  <si>
    <t>日付</t>
  </si>
  <si>
    <t>曜日</t>
  </si>
  <si>
    <t>最高
気温</t>
  </si>
  <si>
    <t>最低
気温</t>
  </si>
  <si>
    <t>天気</t>
  </si>
  <si>
    <t>売上</t>
  </si>
  <si>
    <t>累計売上</t>
  </si>
  <si>
    <t>前年対比</t>
  </si>
  <si>
    <t>前年対比
(曜日合わせ)</t>
  </si>
  <si>
    <t>目標売上対比</t>
  </si>
  <si>
    <t>客数</t>
  </si>
  <si>
    <t>前年比</t>
  </si>
  <si>
    <t>客単価</t>
  </si>
  <si>
    <t>1品当の
平均価格</t>
  </si>
  <si>
    <t>点数</t>
  </si>
  <si>
    <t>1人当の
買上点数</t>
  </si>
  <si>
    <t>前年
最高気温</t>
  </si>
  <si>
    <t>前年
最低気温</t>
  </si>
  <si>
    <t>前年天気</t>
  </si>
  <si>
    <t>前年売上</t>
  </si>
  <si>
    <t>前年累計売上</t>
  </si>
  <si>
    <t>前年客数</t>
  </si>
  <si>
    <t>前年客単</t>
  </si>
  <si>
    <t>前々年売上</t>
  </si>
  <si>
    <t>前々年売上累計</t>
  </si>
  <si>
    <t>前々年売上対比</t>
  </si>
  <si>
    <t>目標売上</t>
  </si>
  <si>
    <t>目標売上累計</t>
  </si>
  <si>
    <t>PayPay</t>
  </si>
  <si>
    <t>クレジット</t>
  </si>
  <si>
    <t>ID</t>
  </si>
  <si>
    <t>交通IC</t>
  </si>
  <si>
    <t>楽天edy</t>
  </si>
  <si>
    <t>WAON</t>
  </si>
  <si>
    <t>nanaco</t>
  </si>
  <si>
    <t>銀聯</t>
  </si>
  <si>
    <t>Quickpay</t>
  </si>
  <si>
    <t>フリー①</t>
  </si>
  <si>
    <t>フリー②</t>
  </si>
  <si>
    <t>フリー③</t>
  </si>
  <si>
    <t>フリー④</t>
  </si>
  <si>
    <t>フリー⑤</t>
  </si>
  <si>
    <t>キャッシュレス合計</t>
  </si>
  <si>
    <t>構成比</t>
  </si>
  <si>
    <t>入金額</t>
  </si>
  <si>
    <t>お菓子</t>
  </si>
  <si>
    <t>珍味</t>
  </si>
  <si>
    <t>チビッコ</t>
  </si>
  <si>
    <t>ドリンク</t>
  </si>
  <si>
    <t>米</t>
  </si>
  <si>
    <t>半生</t>
  </si>
  <si>
    <t>飴</t>
  </si>
  <si>
    <t>おもちゃ</t>
  </si>
  <si>
    <t>ポケット</t>
  </si>
  <si>
    <t>米菓</t>
  </si>
  <si>
    <t>ゼリー</t>
  </si>
  <si>
    <t>袋</t>
  </si>
  <si>
    <t>8円</t>
  </si>
  <si>
    <t>88円均一</t>
  </si>
  <si>
    <t>季節①</t>
  </si>
  <si>
    <t>季節②</t>
  </si>
  <si>
    <t>龍屋</t>
  </si>
  <si>
    <t>フリー⑥</t>
  </si>
  <si>
    <t>フリー⑦</t>
  </si>
  <si>
    <t>フリー⑧</t>
  </si>
  <si>
    <t>うち相違</t>
  </si>
  <si>
    <t>レジマイナス</t>
  </si>
  <si>
    <t>開店後１時間</t>
  </si>
  <si>
    <t>閉店前１時間売上</t>
  </si>
  <si>
    <t>50枚白</t>
  </si>
  <si>
    <t>50枚アプ</t>
  </si>
  <si>
    <t>KF94白</t>
  </si>
  <si>
    <t>KF94ベージュ</t>
  </si>
  <si>
    <t>小顔マスク</t>
  </si>
  <si>
    <t>マスク合計</t>
  </si>
  <si>
    <t>理由</t>
  </si>
  <si>
    <t>金額</t>
  </si>
  <si>
    <t>引くor足す</t>
  </si>
  <si>
    <t>水</t>
  </si>
  <si>
    <t>晴</t>
  </si>
  <si>
    <t>木</t>
  </si>
  <si>
    <t>金</t>
  </si>
  <si>
    <t>晴/雨</t>
  </si>
  <si>
    <t>土</t>
  </si>
  <si>
    <t>日</t>
  </si>
  <si>
    <t>月</t>
  </si>
  <si>
    <t>火</t>
  </si>
  <si>
    <t>晴のち雨</t>
  </si>
  <si>
    <t>雨</t>
  </si>
  <si>
    <t>晴時々雨</t>
  </si>
  <si>
    <t>累計</t>
  </si>
  <si>
    <t>　↑入金分から抜いたり足したりする場合は、その旨記入</t>
  </si>
  <si>
    <t>平均</t>
  </si>
  <si>
    <t>↑目標売上入力</t>
  </si>
  <si>
    <t>　例）「釣銭準備金として500,000引きます」</t>
  </si>
  <si>
    <t>　※足すときは金額そのままで、引くときは金額の前に「－(マイナス)」を付ける。</t>
  </si>
  <si>
    <t>前月16日～当月15日</t>
  </si>
  <si>
    <t>前年の前月16～15日</t>
  </si>
  <si>
    <t>8月</t>
  </si>
  <si>
    <t>開店後１時間売上</t>
  </si>
  <si>
    <t>閉店前1時間売上</t>
  </si>
  <si>
    <t>晴れ</t>
  </si>
  <si>
    <t>晴れ時々雨</t>
  </si>
  <si>
    <t>曇時々雨</t>
  </si>
  <si>
    <t>曇雨</t>
  </si>
  <si>
    <t>曇ときどき雨</t>
  </si>
  <si>
    <t>はRえ</t>
  </si>
  <si>
    <t>9月</t>
  </si>
  <si>
    <t>台風</t>
  </si>
  <si>
    <t>曇</t>
  </si>
  <si>
    <t>10月</t>
  </si>
  <si>
    <t>雨のち晴</t>
  </si>
  <si>
    <t>くもりのち雨</t>
  </si>
  <si>
    <t>11月</t>
  </si>
  <si>
    <t>晴のち曇</t>
  </si>
  <si>
    <t>12月</t>
  </si>
  <si>
    <t>晴時々曇り</t>
  </si>
  <si>
    <t>令和9年</t>
  </si>
  <si>
    <t>1月</t>
  </si>
  <si>
    <t>休業日数＝</t>
  </si>
  <si>
    <t>曇時々雪</t>
  </si>
  <si>
    <t>2月</t>
  </si>
  <si>
    <t>曇り</t>
  </si>
  <si>
    <t>3月</t>
  </si>
  <si>
    <t>曇り時々雨</t>
  </si>
  <si>
    <t>晴曇り</t>
  </si>
  <si>
    <t>曇の地」「晴</t>
  </si>
  <si>
    <t>はれ</t>
  </si>
  <si>
    <t>晴のち曇り</t>
  </si>
  <si>
    <t>曇のち雨</t>
  </si>
  <si>
    <t>曇のち晴</t>
  </si>
  <si>
    <t>4月</t>
  </si>
  <si>
    <t>雨のち曇り</t>
  </si>
  <si>
    <t>令和９年</t>
  </si>
  <si>
    <t>5月</t>
  </si>
  <si>
    <t>6月</t>
  </si>
  <si>
    <t>曇/雨</t>
  </si>
  <si>
    <t>アメ</t>
  </si>
  <si>
    <t>天理</t>
    <rPh sb="0" eb="2">
      <t>テンリ</t>
    </rPh>
    <phoneticPr fontId="3"/>
  </si>
  <si>
    <t>カテゴリー</t>
  </si>
  <si>
    <t>お菓子</t>
    <rPh sb="1" eb="3">
      <t>カシ</t>
    </rPh>
    <phoneticPr fontId="1"/>
  </si>
  <si>
    <t>構成比</t>
    <rPh sb="0" eb="3">
      <t>コウセイヒ</t>
    </rPh>
    <phoneticPr fontId="1"/>
  </si>
  <si>
    <t>珍味</t>
    <rPh sb="0" eb="2">
      <t>チンミ</t>
    </rPh>
    <phoneticPr fontId="3"/>
  </si>
  <si>
    <t>米</t>
    <rPh sb="0" eb="1">
      <t>コメ</t>
    </rPh>
    <phoneticPr fontId="3"/>
  </si>
  <si>
    <t>半生</t>
    <rPh sb="0" eb="2">
      <t>ハンナマ</t>
    </rPh>
    <phoneticPr fontId="1"/>
  </si>
  <si>
    <t>飴</t>
    <rPh sb="0" eb="1">
      <t>アメ</t>
    </rPh>
    <phoneticPr fontId="1"/>
  </si>
  <si>
    <t>米菓</t>
    <rPh sb="0" eb="2">
      <t>ベイカ</t>
    </rPh>
    <phoneticPr fontId="1"/>
  </si>
  <si>
    <t>袋</t>
    <rPh sb="0" eb="1">
      <t>ブクロ</t>
    </rPh>
    <phoneticPr fontId="3"/>
  </si>
  <si>
    <t>8円</t>
    <rPh sb="1" eb="2">
      <t>エン</t>
    </rPh>
    <phoneticPr fontId="3"/>
  </si>
  <si>
    <t>88円均一</t>
    <rPh sb="2" eb="3">
      <t>エン</t>
    </rPh>
    <rPh sb="3" eb="5">
      <t>キンイツ</t>
    </rPh>
    <phoneticPr fontId="3"/>
  </si>
  <si>
    <t>季節①</t>
    <rPh sb="0" eb="2">
      <t>キセツ</t>
    </rPh>
    <phoneticPr fontId="3"/>
  </si>
  <si>
    <t>構成比</t>
    <rPh sb="0" eb="3">
      <t>コウセイヒ</t>
    </rPh>
    <phoneticPr fontId="12"/>
  </si>
  <si>
    <t>季節②</t>
    <rPh sb="0" eb="2">
      <t>キセツ</t>
    </rPh>
    <phoneticPr fontId="3"/>
  </si>
  <si>
    <t>龍屋</t>
    <rPh sb="0" eb="1">
      <t>リュウ</t>
    </rPh>
    <rPh sb="1" eb="2">
      <t>ヤ</t>
    </rPh>
    <phoneticPr fontId="3"/>
  </si>
  <si>
    <t>リンクス</t>
  </si>
  <si>
    <t>ヤマト</t>
  </si>
  <si>
    <t>瓶ラムネ</t>
    <rPh sb="0" eb="1">
      <t>ビン</t>
    </rPh>
    <phoneticPr fontId="3"/>
  </si>
  <si>
    <t>ハロウィン</t>
  </si>
  <si>
    <t>昔なつ菓子</t>
    <rPh sb="0" eb="1">
      <t>ムカシ</t>
    </rPh>
    <rPh sb="3" eb="5">
      <t>カシ</t>
    </rPh>
    <phoneticPr fontId="3"/>
  </si>
  <si>
    <t>終了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</si>
</sst>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0_);[Red]\(0\)"/>
    <numFmt numFmtId="178" formatCode="0.0%"/>
    <numFmt numFmtId="179" formatCode="0.0_);[Red]\(0.0\)"/>
  </numFmts>
  <fonts count="13" x14ac:knownFonts="1"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4"/>
      <name val="HG丸ｺﾞｼｯｸM-PRO"/>
      <family val="3"/>
      <charset val="128"/>
    </font>
    <font>
      <sz val="6"/>
      <name val="游ゴシック"/>
      <family val="3"/>
      <charset val="128"/>
      <scheme val="minor"/>
    </font>
    <font>
      <sz val="12"/>
      <name val="HG丸ｺﾞｼｯｸM-PRO"/>
      <family val="3"/>
      <charset val="128"/>
    </font>
    <font>
      <sz val="11"/>
      <name val="HG丸ｺﾞｼｯｸM-PRO"/>
      <family val="3"/>
      <charset val="128"/>
    </font>
    <font>
      <sz val="9"/>
      <name val="HG丸ｺﾞｼｯｸM-PRO"/>
      <family val="3"/>
      <charset val="128"/>
    </font>
    <font>
      <sz val="6"/>
      <name val="HG丸ｺﾞｼｯｸM-PRO"/>
      <family val="3"/>
      <charset val="128"/>
    </font>
    <font>
      <sz val="8"/>
      <name val="HG丸ｺﾞｼｯｸM-PRO"/>
      <family val="3"/>
      <charset val="128"/>
    </font>
    <font>
      <sz val="10"/>
      <name val="HG丸ｺﾞｼｯｸM-PRO"/>
      <family val="3"/>
      <charset val="128"/>
    </font>
    <font>
      <sz val="8"/>
      <color rgb="FFFF0000"/>
      <name val="HG丸ｺﾞｼｯｸM-PRO"/>
      <family val="3"/>
      <charset val="128"/>
    </font>
    <font>
      <sz val="8"/>
      <color theme="1"/>
      <name val="HG丸ｺﾞｼｯｸM-PRO"/>
      <family val="3"/>
      <charset val="128"/>
    </font>
    <font>
      <sz val="6"/>
      <name val="ＭＳ Ｐゴシック"/>
      <family val="3"/>
      <charset val="128"/>
    </font>
  </fonts>
  <fills count="1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ck">
        <color indexed="64"/>
      </bottom>
      <diagonal/>
    </border>
    <border>
      <left style="hair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hair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>
      <alignment vertical="center"/>
    </xf>
    <xf numFmtId="176" fontId="1" fillId="0" borderId="0">
      <alignment vertical="center"/>
    </xf>
    <xf numFmtId="9" fontId="1" fillId="0" borderId="0">
      <alignment vertical="center"/>
    </xf>
  </cellStyleXfs>
  <cellXfs count="209">
    <xf numFmtId="0" fontId="0" fillId="0" borderId="0" xfId="0">
      <alignment vertical="center"/>
    </xf>
    <xf numFmtId="38" fontId="4" fillId="0" borderId="0" xfId="1" applyFont="1" applyAlignment="1">
      <alignment horizontal="center" vertical="center"/>
    </xf>
    <xf numFmtId="0" fontId="5" fillId="0" borderId="0" xfId="0" applyFont="1">
      <alignment vertical="center"/>
    </xf>
    <xf numFmtId="38" fontId="4" fillId="0" borderId="0" xfId="1" applyFont="1">
      <alignment vertical="center"/>
    </xf>
    <xf numFmtId="0" fontId="2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38" fontId="5" fillId="0" borderId="1" xfId="1" applyFont="1" applyBorder="1">
      <alignment vertical="center"/>
    </xf>
    <xf numFmtId="0" fontId="5" fillId="6" borderId="3" xfId="0" applyFont="1" applyFill="1" applyBorder="1" applyAlignment="1" applyProtection="1">
      <alignment horizontal="center" vertical="center" shrinkToFit="1"/>
      <protection locked="0"/>
    </xf>
    <xf numFmtId="38" fontId="5" fillId="6" borderId="4" xfId="1" applyFont="1" applyFill="1" applyBorder="1" applyAlignment="1" applyProtection="1">
      <alignment horizontal="center" vertical="center" shrinkToFit="1"/>
      <protection locked="0"/>
    </xf>
    <xf numFmtId="38" fontId="5" fillId="7" borderId="5" xfId="1" applyFont="1" applyFill="1" applyBorder="1" applyAlignment="1" applyProtection="1">
      <alignment horizontal="center" vertical="center" shrinkToFit="1"/>
      <protection locked="0"/>
    </xf>
    <xf numFmtId="0" fontId="5" fillId="6" borderId="6" xfId="0" applyFont="1" applyFill="1" applyBorder="1" applyAlignment="1" applyProtection="1">
      <alignment horizontal="center" vertical="center" shrinkToFit="1"/>
      <protection locked="0"/>
    </xf>
    <xf numFmtId="0" fontId="5" fillId="7" borderId="6" xfId="0" applyFont="1" applyFill="1" applyBorder="1" applyAlignment="1" applyProtection="1">
      <alignment horizontal="center" vertical="center" shrinkToFit="1"/>
      <protection locked="0"/>
    </xf>
    <xf numFmtId="0" fontId="5" fillId="6" borderId="7" xfId="0" applyFont="1" applyFill="1" applyBorder="1" applyAlignment="1" applyProtection="1">
      <alignment horizontal="center" vertical="center" shrinkToFit="1"/>
      <protection locked="0"/>
    </xf>
    <xf numFmtId="38" fontId="5" fillId="7" borderId="8" xfId="1" applyFont="1" applyFill="1" applyBorder="1" applyAlignment="1" applyProtection="1">
      <alignment horizontal="center" vertical="center" shrinkToFit="1"/>
      <protection locked="0"/>
    </xf>
    <xf numFmtId="38" fontId="5" fillId="4" borderId="9" xfId="1" applyFont="1" applyFill="1" applyBorder="1" applyAlignment="1" applyProtection="1">
      <alignment horizontal="center" vertical="center" shrinkToFit="1"/>
      <protection locked="0"/>
    </xf>
    <xf numFmtId="38" fontId="5" fillId="4" borderId="10" xfId="1" applyFont="1" applyFill="1" applyBorder="1" applyAlignment="1" applyProtection="1">
      <alignment horizontal="center" vertical="center" shrinkToFit="1"/>
      <protection locked="0"/>
    </xf>
    <xf numFmtId="38" fontId="5" fillId="8" borderId="9" xfId="1" applyFont="1" applyFill="1" applyBorder="1" applyAlignment="1" applyProtection="1">
      <alignment horizontal="center" vertical="center" shrinkToFit="1"/>
      <protection locked="0"/>
    </xf>
    <xf numFmtId="38" fontId="5" fillId="8" borderId="3" xfId="1" applyFont="1" applyFill="1" applyBorder="1" applyAlignment="1" applyProtection="1">
      <alignment horizontal="center" vertical="center" shrinkToFit="1"/>
      <protection locked="0"/>
    </xf>
    <xf numFmtId="0" fontId="8" fillId="0" borderId="2" xfId="0" applyFont="1" applyBorder="1">
      <alignment vertical="center"/>
    </xf>
    <xf numFmtId="0" fontId="9" fillId="0" borderId="10" xfId="0" applyFont="1" applyBorder="1" applyAlignment="1">
      <alignment horizontal="center" vertical="center" shrinkToFit="1"/>
    </xf>
    <xf numFmtId="0" fontId="9" fillId="0" borderId="11" xfId="0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56" fontId="8" fillId="0" borderId="13" xfId="0" applyNumberFormat="1" applyFont="1" applyBorder="1" applyAlignment="1" applyProtection="1">
      <alignment horizontal="center" vertical="center" shrinkToFit="1"/>
      <protection locked="0"/>
    </xf>
    <xf numFmtId="0" fontId="8" fillId="0" borderId="13" xfId="0" applyFont="1" applyBorder="1" applyAlignment="1" applyProtection="1">
      <alignment horizontal="center" vertical="center" shrinkToFit="1"/>
      <protection locked="0"/>
    </xf>
    <xf numFmtId="38" fontId="6" fillId="0" borderId="13" xfId="1" applyFont="1" applyBorder="1" applyAlignment="1">
      <alignment vertical="center" shrinkToFit="1"/>
    </xf>
    <xf numFmtId="10" fontId="6" fillId="0" borderId="16" xfId="3" applyNumberFormat="1" applyFont="1" applyBorder="1" applyAlignment="1">
      <alignment vertical="center" shrinkToFit="1"/>
    </xf>
    <xf numFmtId="38" fontId="6" fillId="0" borderId="18" xfId="1" applyFont="1" applyBorder="1" applyAlignment="1" applyProtection="1">
      <alignment vertical="center" shrinkToFit="1"/>
      <protection locked="0"/>
    </xf>
    <xf numFmtId="1" fontId="6" fillId="0" borderId="20" xfId="0" applyNumberFormat="1" applyFont="1" applyBorder="1" applyAlignment="1">
      <alignment vertical="center" shrinkToFit="1"/>
    </xf>
    <xf numFmtId="38" fontId="6" fillId="0" borderId="13" xfId="1" applyFont="1" applyBorder="1" applyAlignment="1" applyProtection="1">
      <alignment vertical="center" shrinkToFit="1"/>
      <protection locked="0"/>
    </xf>
    <xf numFmtId="38" fontId="6" fillId="0" borderId="17" xfId="1" applyFont="1" applyBorder="1" applyAlignment="1">
      <alignment vertical="center" shrinkToFit="1"/>
    </xf>
    <xf numFmtId="1" fontId="6" fillId="0" borderId="24" xfId="0" applyNumberFormat="1" applyFont="1" applyBorder="1" applyAlignment="1">
      <alignment vertical="center" shrinkToFit="1"/>
    </xf>
    <xf numFmtId="38" fontId="7" fillId="0" borderId="25" xfId="1" applyFont="1" applyBorder="1" applyAlignment="1" applyProtection="1">
      <alignment vertical="center" shrinkToFit="1"/>
      <protection locked="0"/>
    </xf>
    <xf numFmtId="10" fontId="6" fillId="0" borderId="26" xfId="3" applyNumberFormat="1" applyFont="1" applyBorder="1" applyAlignment="1">
      <alignment vertical="center" shrinkToFit="1"/>
    </xf>
    <xf numFmtId="38" fontId="6" fillId="0" borderId="26" xfId="1" applyFont="1" applyBorder="1" applyAlignment="1">
      <alignment vertical="center" shrinkToFit="1"/>
    </xf>
    <xf numFmtId="38" fontId="6" fillId="0" borderId="23" xfId="1" applyFont="1" applyBorder="1" applyAlignment="1">
      <alignment vertical="center" shrinkToFit="1"/>
    </xf>
    <xf numFmtId="38" fontId="8" fillId="0" borderId="27" xfId="1" applyFont="1" applyBorder="1" applyAlignment="1">
      <alignment vertical="center" shrinkToFit="1"/>
    </xf>
    <xf numFmtId="38" fontId="7" fillId="0" borderId="13" xfId="1" applyFont="1" applyBorder="1" applyAlignment="1" applyProtection="1">
      <alignment vertical="center" shrinkToFit="1"/>
      <protection locked="0"/>
    </xf>
    <xf numFmtId="38" fontId="7" fillId="0" borderId="23" xfId="1" applyFont="1" applyBorder="1" applyAlignment="1" applyProtection="1">
      <alignment vertical="center" shrinkToFit="1"/>
      <protection locked="0"/>
    </xf>
    <xf numFmtId="0" fontId="5" fillId="0" borderId="14" xfId="0" applyFont="1" applyBorder="1">
      <alignment vertical="center"/>
    </xf>
    <xf numFmtId="0" fontId="6" fillId="0" borderId="13" xfId="0" applyFont="1" applyBorder="1">
      <alignment vertical="center"/>
    </xf>
    <xf numFmtId="3" fontId="0" fillId="0" borderId="13" xfId="0" applyNumberFormat="1" applyBorder="1" applyAlignment="1" applyProtection="1">
      <alignment horizontal="center" vertical="center" shrinkToFit="1"/>
      <protection locked="0"/>
    </xf>
    <xf numFmtId="0" fontId="0" fillId="0" borderId="13" xfId="0" applyBorder="1" applyAlignment="1" applyProtection="1">
      <alignment horizontal="center" vertical="center" shrinkToFit="1"/>
      <protection locked="0"/>
    </xf>
    <xf numFmtId="10" fontId="6" fillId="0" borderId="17" xfId="3" applyNumberFormat="1" applyFont="1" applyBorder="1" applyAlignment="1">
      <alignment vertical="center" shrinkToFit="1"/>
    </xf>
    <xf numFmtId="0" fontId="5" fillId="0" borderId="13" xfId="0" applyFont="1" applyBorder="1" applyAlignment="1">
      <alignment horizontal="center" vertical="center" shrinkToFit="1"/>
    </xf>
    <xf numFmtId="38" fontId="6" fillId="0" borderId="18" xfId="1" applyFont="1" applyBorder="1" applyAlignment="1">
      <alignment vertical="center" shrinkToFit="1"/>
    </xf>
    <xf numFmtId="0" fontId="6" fillId="0" borderId="20" xfId="0" applyFont="1" applyBorder="1" applyAlignment="1">
      <alignment vertical="center" shrinkToFit="1"/>
    </xf>
    <xf numFmtId="0" fontId="6" fillId="0" borderId="21" xfId="0" applyFont="1" applyBorder="1" applyAlignment="1">
      <alignment vertical="center" shrinkToFit="1"/>
    </xf>
    <xf numFmtId="0" fontId="6" fillId="0" borderId="18" xfId="0" applyFont="1" applyBorder="1" applyAlignment="1">
      <alignment vertical="center" shrinkToFit="1"/>
    </xf>
    <xf numFmtId="0" fontId="5" fillId="0" borderId="31" xfId="0" applyFont="1" applyBorder="1" applyAlignment="1">
      <alignment horizontal="center" vertical="center" shrinkToFit="1"/>
    </xf>
    <xf numFmtId="0" fontId="5" fillId="0" borderId="23" xfId="0" applyFont="1" applyBorder="1" applyAlignment="1">
      <alignment horizontal="center" vertical="center" shrinkToFit="1"/>
    </xf>
    <xf numFmtId="38" fontId="5" fillId="0" borderId="15" xfId="0" applyNumberFormat="1" applyFont="1" applyBorder="1" applyAlignment="1">
      <alignment vertical="center" shrinkToFit="1"/>
    </xf>
    <xf numFmtId="38" fontId="6" fillId="0" borderId="24" xfId="1" applyFont="1" applyBorder="1" applyAlignment="1">
      <alignment vertical="center" shrinkToFit="1"/>
    </xf>
    <xf numFmtId="0" fontId="6" fillId="0" borderId="24" xfId="0" applyFont="1" applyBorder="1" applyAlignment="1">
      <alignment vertical="center" shrinkToFit="1"/>
    </xf>
    <xf numFmtId="38" fontId="6" fillId="0" borderId="32" xfId="1" applyFont="1" applyBorder="1" applyAlignment="1">
      <alignment vertical="center" shrinkToFit="1"/>
    </xf>
    <xf numFmtId="38" fontId="6" fillId="3" borderId="33" xfId="1" applyFont="1" applyFill="1" applyBorder="1" applyAlignment="1">
      <alignment vertical="center" shrinkToFit="1"/>
    </xf>
    <xf numFmtId="38" fontId="5" fillId="0" borderId="34" xfId="0" applyNumberFormat="1" applyFont="1" applyBorder="1" applyAlignment="1">
      <alignment vertical="center" shrinkToFit="1"/>
    </xf>
    <xf numFmtId="38" fontId="7" fillId="0" borderId="13" xfId="1" applyFont="1" applyBorder="1" applyAlignment="1">
      <alignment vertical="center" shrinkToFit="1"/>
    </xf>
    <xf numFmtId="38" fontId="7" fillId="0" borderId="14" xfId="1" applyFont="1" applyBorder="1" applyAlignment="1">
      <alignment vertical="center" shrinkToFit="1"/>
    </xf>
    <xf numFmtId="38" fontId="7" fillId="0" borderId="23" xfId="1" applyFont="1" applyBorder="1" applyAlignment="1">
      <alignment vertical="center" shrinkToFit="1"/>
    </xf>
    <xf numFmtId="38" fontId="7" fillId="0" borderId="26" xfId="1" applyFont="1" applyBorder="1" applyAlignment="1">
      <alignment vertical="center" shrinkToFit="1"/>
    </xf>
    <xf numFmtId="0" fontId="5" fillId="0" borderId="13" xfId="0" applyFont="1" applyBorder="1">
      <alignment vertical="center"/>
    </xf>
    <xf numFmtId="0" fontId="5" fillId="0" borderId="37" xfId="0" applyFont="1" applyBorder="1" applyAlignment="1">
      <alignment horizontal="center" vertical="center" shrinkToFit="1"/>
    </xf>
    <xf numFmtId="38" fontId="6" fillId="0" borderId="38" xfId="1" applyFont="1" applyBorder="1" applyAlignment="1">
      <alignment vertical="center" shrinkToFit="1"/>
    </xf>
    <xf numFmtId="38" fontId="6" fillId="0" borderId="39" xfId="1" applyFont="1" applyBorder="1" applyAlignment="1">
      <alignment vertical="center" shrinkToFit="1"/>
    </xf>
    <xf numFmtId="38" fontId="6" fillId="0" borderId="40" xfId="1" applyFont="1" applyBorder="1" applyAlignment="1">
      <alignment vertical="center" shrinkToFit="1"/>
    </xf>
    <xf numFmtId="38" fontId="6" fillId="0" borderId="41" xfId="1" applyFont="1" applyBorder="1" applyAlignment="1">
      <alignment vertical="center" shrinkToFit="1"/>
    </xf>
    <xf numFmtId="38" fontId="6" fillId="0" borderId="42" xfId="1" applyFont="1" applyBorder="1" applyAlignment="1">
      <alignment vertical="center" shrinkToFit="1"/>
    </xf>
    <xf numFmtId="38" fontId="6" fillId="0" borderId="43" xfId="1" applyFont="1" applyBorder="1" applyAlignment="1">
      <alignment vertical="center" shrinkToFit="1"/>
    </xf>
    <xf numFmtId="38" fontId="6" fillId="0" borderId="44" xfId="1" applyFont="1" applyBorder="1" applyAlignment="1">
      <alignment vertical="center" shrinkToFit="1"/>
    </xf>
    <xf numFmtId="38" fontId="6" fillId="0" borderId="45" xfId="1" applyFont="1" applyBorder="1" applyAlignment="1">
      <alignment vertical="center" shrinkToFit="1"/>
    </xf>
    <xf numFmtId="38" fontId="7" fillId="0" borderId="37" xfId="0" applyNumberFormat="1" applyFont="1" applyBorder="1" applyAlignment="1">
      <alignment vertical="center" shrinkToFit="1"/>
    </xf>
    <xf numFmtId="38" fontId="7" fillId="0" borderId="41" xfId="0" applyNumberFormat="1" applyFont="1" applyBorder="1" applyAlignment="1">
      <alignment vertical="center" shrinkToFit="1"/>
    </xf>
    <xf numFmtId="38" fontId="5" fillId="0" borderId="0" xfId="1" applyFont="1">
      <alignment vertical="center"/>
    </xf>
    <xf numFmtId="38" fontId="6" fillId="0" borderId="0" xfId="1" applyFont="1" applyAlignment="1">
      <alignment vertical="center" shrinkToFit="1"/>
    </xf>
    <xf numFmtId="0" fontId="9" fillId="0" borderId="3" xfId="0" applyFont="1" applyBorder="1" applyAlignment="1">
      <alignment horizontal="center" vertical="center" shrinkToFit="1"/>
    </xf>
    <xf numFmtId="0" fontId="9" fillId="3" borderId="3" xfId="0" applyFont="1" applyFill="1" applyBorder="1" applyAlignment="1">
      <alignment horizontal="center" vertical="center" shrinkToFit="1"/>
    </xf>
    <xf numFmtId="38" fontId="8" fillId="0" borderId="36" xfId="1" applyFont="1" applyBorder="1" applyAlignment="1">
      <alignment vertical="center" shrinkToFit="1"/>
    </xf>
    <xf numFmtId="38" fontId="9" fillId="8" borderId="9" xfId="1" applyFont="1" applyFill="1" applyBorder="1" applyAlignment="1" applyProtection="1">
      <alignment horizontal="center" vertical="center" shrinkToFit="1"/>
      <protection locked="0"/>
    </xf>
    <xf numFmtId="38" fontId="9" fillId="0" borderId="13" xfId="1" applyFont="1" applyBorder="1" applyAlignment="1">
      <alignment vertical="center" shrinkToFit="1"/>
    </xf>
    <xf numFmtId="0" fontId="5" fillId="0" borderId="2" xfId="0" applyFont="1" applyBorder="1" applyAlignment="1">
      <alignment vertical="center" shrinkToFit="1"/>
    </xf>
    <xf numFmtId="0" fontId="9" fillId="0" borderId="47" xfId="0" applyFont="1" applyBorder="1" applyAlignment="1">
      <alignment horizontal="center" vertical="center" shrinkToFit="1"/>
    </xf>
    <xf numFmtId="0" fontId="5" fillId="0" borderId="23" xfId="0" applyFont="1" applyBorder="1" applyAlignment="1" applyProtection="1">
      <alignment horizontal="center" vertical="center" shrinkToFit="1"/>
      <protection locked="0"/>
    </xf>
    <xf numFmtId="0" fontId="5" fillId="0" borderId="23" xfId="0" applyFont="1" applyBorder="1" applyAlignment="1">
      <alignment vertical="center" shrinkToFit="1"/>
    </xf>
    <xf numFmtId="0" fontId="5" fillId="0" borderId="37" xfId="0" applyFont="1" applyBorder="1" applyAlignment="1">
      <alignment vertical="center" shrinkToFit="1"/>
    </xf>
    <xf numFmtId="0" fontId="9" fillId="5" borderId="2" xfId="0" applyFont="1" applyFill="1" applyBorder="1" applyAlignment="1">
      <alignment horizontal="center" vertical="center" shrinkToFit="1"/>
    </xf>
    <xf numFmtId="0" fontId="9" fillId="5" borderId="10" xfId="0" applyFont="1" applyFill="1" applyBorder="1" applyAlignment="1">
      <alignment horizontal="center" vertical="center" shrinkToFit="1"/>
    </xf>
    <xf numFmtId="38" fontId="7" fillId="0" borderId="26" xfId="1" applyFont="1" applyBorder="1" applyAlignment="1" applyProtection="1">
      <alignment vertical="center" shrinkToFit="1"/>
      <protection locked="0"/>
    </xf>
    <xf numFmtId="38" fontId="7" fillId="0" borderId="46" xfId="0" applyNumberFormat="1" applyFont="1" applyBorder="1" applyAlignment="1">
      <alignment vertical="center" shrinkToFit="1"/>
    </xf>
    <xf numFmtId="0" fontId="9" fillId="5" borderId="0" xfId="0" applyFont="1" applyFill="1" applyAlignment="1">
      <alignment horizontal="center" vertical="center" shrinkToFit="1"/>
    </xf>
    <xf numFmtId="38" fontId="7" fillId="0" borderId="0" xfId="1" applyFont="1" applyAlignment="1" applyProtection="1">
      <alignment vertical="center" shrinkToFit="1"/>
      <protection locked="0"/>
    </xf>
    <xf numFmtId="38" fontId="7" fillId="0" borderId="0" xfId="1" applyFont="1" applyAlignment="1">
      <alignment vertical="center" shrinkToFit="1"/>
    </xf>
    <xf numFmtId="38" fontId="7" fillId="0" borderId="0" xfId="0" applyNumberFormat="1" applyFont="1" applyAlignment="1">
      <alignment vertical="center" shrinkToFi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 applyProtection="1">
      <alignment horizontal="center" vertical="center" shrinkToFit="1"/>
      <protection locked="0"/>
    </xf>
    <xf numFmtId="0" fontId="5" fillId="0" borderId="10" xfId="0" applyFont="1" applyBorder="1" applyAlignment="1" applyProtection="1">
      <alignment horizontal="center" vertical="center" shrinkToFit="1"/>
      <protection locked="0"/>
    </xf>
    <xf numFmtId="56" fontId="8" fillId="0" borderId="26" xfId="0" applyNumberFormat="1" applyFont="1" applyBorder="1" applyAlignment="1" applyProtection="1">
      <alignment horizontal="center" vertical="center" shrinkToFit="1"/>
      <protection locked="0"/>
    </xf>
    <xf numFmtId="0" fontId="5" fillId="0" borderId="26" xfId="0" applyFont="1" applyBorder="1" applyAlignment="1">
      <alignment horizontal="center" vertical="center" shrinkToFit="1"/>
    </xf>
    <xf numFmtId="0" fontId="5" fillId="0" borderId="41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10" fontId="6" fillId="0" borderId="39" xfId="3" applyNumberFormat="1" applyFont="1" applyBorder="1" applyAlignment="1">
      <alignment vertical="center" shrinkToFit="1"/>
    </xf>
    <xf numFmtId="10" fontId="6" fillId="0" borderId="44" xfId="3" applyNumberFormat="1" applyFont="1" applyBorder="1" applyAlignment="1">
      <alignment vertical="center" shrinkToFit="1"/>
    </xf>
    <xf numFmtId="38" fontId="6" fillId="0" borderId="48" xfId="1" applyFont="1" applyBorder="1" applyAlignment="1">
      <alignment vertical="center" shrinkToFit="1"/>
    </xf>
    <xf numFmtId="0" fontId="5" fillId="0" borderId="41" xfId="0" applyFont="1" applyBorder="1" applyAlignment="1">
      <alignment horizontal="center" vertical="center" shrinkToFit="1"/>
    </xf>
    <xf numFmtId="0" fontId="8" fillId="0" borderId="23" xfId="0" applyFont="1" applyBorder="1" applyAlignment="1" applyProtection="1">
      <alignment horizontal="center" vertical="center" shrinkToFit="1"/>
      <protection locked="0"/>
    </xf>
    <xf numFmtId="0" fontId="8" fillId="0" borderId="34" xfId="0" applyFont="1" applyBorder="1" applyAlignment="1" applyProtection="1">
      <alignment horizontal="center" vertical="center" shrinkToFit="1"/>
      <protection locked="0"/>
    </xf>
    <xf numFmtId="0" fontId="5" fillId="0" borderId="2" xfId="0" applyFont="1" applyBorder="1" applyAlignment="1" applyProtection="1">
      <alignment horizontal="center" vertical="center" shrinkToFit="1"/>
      <protection locked="0"/>
    </xf>
    <xf numFmtId="0" fontId="5" fillId="3" borderId="3" xfId="0" applyFont="1" applyFill="1" applyBorder="1" applyAlignment="1" applyProtection="1">
      <alignment horizontal="center" vertical="center" shrinkToFit="1"/>
      <protection locked="0"/>
    </xf>
    <xf numFmtId="38" fontId="5" fillId="3" borderId="3" xfId="1" applyFont="1" applyFill="1" applyBorder="1" applyAlignment="1" applyProtection="1">
      <alignment horizontal="center" vertical="center" shrinkToFit="1"/>
      <protection locked="0"/>
    </xf>
    <xf numFmtId="38" fontId="5" fillId="0" borderId="3" xfId="1" applyFont="1" applyBorder="1" applyAlignment="1" applyProtection="1">
      <alignment horizontal="center" vertical="center" shrinkToFit="1"/>
      <protection locked="0"/>
    </xf>
    <xf numFmtId="0" fontId="5" fillId="0" borderId="5" xfId="0" applyFont="1" applyBorder="1" applyAlignment="1" applyProtection="1">
      <alignment horizontal="center" vertical="center" shrinkToFit="1"/>
      <protection locked="0"/>
    </xf>
    <xf numFmtId="0" fontId="5" fillId="4" borderId="9" xfId="0" applyFont="1" applyFill="1" applyBorder="1" applyAlignment="1" applyProtection="1">
      <alignment horizontal="center" vertical="center" shrinkToFit="1"/>
      <protection locked="0"/>
    </xf>
    <xf numFmtId="0" fontId="5" fillId="3" borderId="53" xfId="0" applyFont="1" applyFill="1" applyBorder="1" applyAlignment="1" applyProtection="1">
      <alignment horizontal="center" vertical="center" shrinkToFit="1"/>
      <protection locked="0"/>
    </xf>
    <xf numFmtId="0" fontId="5" fillId="5" borderId="54" xfId="0" applyFont="1" applyFill="1" applyBorder="1" applyAlignment="1" applyProtection="1">
      <alignment horizontal="center" vertical="center" shrinkToFit="1"/>
      <protection locked="0"/>
    </xf>
    <xf numFmtId="0" fontId="5" fillId="0" borderId="55" xfId="0" applyFont="1" applyBorder="1" applyAlignment="1" applyProtection="1">
      <alignment horizontal="center" vertical="center" shrinkToFit="1"/>
      <protection locked="0"/>
    </xf>
    <xf numFmtId="0" fontId="5" fillId="0" borderId="56" xfId="0" applyFont="1" applyBorder="1" applyAlignment="1" applyProtection="1">
      <alignment horizontal="center" vertical="center" shrinkToFit="1"/>
      <protection locked="0"/>
    </xf>
    <xf numFmtId="0" fontId="7" fillId="0" borderId="9" xfId="0" applyFont="1" applyBorder="1" applyAlignment="1" applyProtection="1">
      <alignment horizontal="center" vertical="center" wrapText="1" shrinkToFit="1"/>
      <protection locked="0"/>
    </xf>
    <xf numFmtId="0" fontId="5" fillId="3" borderId="57" xfId="0" applyFont="1" applyFill="1" applyBorder="1" applyAlignment="1" applyProtection="1">
      <alignment horizontal="center" vertical="center" shrinkToFit="1"/>
      <protection locked="0"/>
    </xf>
    <xf numFmtId="0" fontId="7" fillId="0" borderId="8" xfId="0" applyFont="1" applyBorder="1" applyAlignment="1" applyProtection="1">
      <alignment horizontal="center" vertical="center" wrapText="1" shrinkToFit="1"/>
      <protection locked="0"/>
    </xf>
    <xf numFmtId="0" fontId="5" fillId="7" borderId="3" xfId="0" applyFont="1" applyFill="1" applyBorder="1" applyAlignment="1" applyProtection="1">
      <alignment horizontal="center" vertical="center" shrinkToFit="1"/>
      <protection locked="0"/>
    </xf>
    <xf numFmtId="38" fontId="9" fillId="0" borderId="16" xfId="1" applyFont="1" applyBorder="1" applyAlignment="1">
      <alignment vertical="center" shrinkToFit="1"/>
    </xf>
    <xf numFmtId="0" fontId="6" fillId="9" borderId="2" xfId="0" applyFont="1" applyFill="1" applyBorder="1" applyAlignment="1">
      <alignment horizontal="center" vertical="center" shrinkToFit="1"/>
    </xf>
    <xf numFmtId="0" fontId="6" fillId="9" borderId="3" xfId="0" applyFont="1" applyFill="1" applyBorder="1" applyAlignment="1">
      <alignment horizontal="center" vertical="center" shrinkToFit="1"/>
    </xf>
    <xf numFmtId="0" fontId="6" fillId="9" borderId="3" xfId="0" applyFont="1" applyFill="1" applyBorder="1" applyAlignment="1">
      <alignment vertical="center" shrinkToFit="1"/>
    </xf>
    <xf numFmtId="0" fontId="6" fillId="9" borderId="10" xfId="0" applyFont="1" applyFill="1" applyBorder="1" applyAlignment="1">
      <alignment vertical="center" shrinkToFit="1"/>
    </xf>
    <xf numFmtId="0" fontId="6" fillId="0" borderId="23" xfId="0" applyFont="1" applyBorder="1">
      <alignment vertical="center"/>
    </xf>
    <xf numFmtId="0" fontId="6" fillId="0" borderId="37" xfId="0" applyFont="1" applyBorder="1">
      <alignment vertical="center"/>
    </xf>
    <xf numFmtId="0" fontId="6" fillId="0" borderId="41" xfId="0" applyFont="1" applyBorder="1">
      <alignment vertical="center"/>
    </xf>
    <xf numFmtId="0" fontId="5" fillId="0" borderId="0" xfId="0" applyFont="1" applyAlignment="1">
      <alignment horizontal="center" vertical="center" shrinkToFit="1"/>
    </xf>
    <xf numFmtId="0" fontId="7" fillId="6" borderId="2" xfId="0" applyFont="1" applyFill="1" applyBorder="1" applyAlignment="1" applyProtection="1">
      <alignment horizontal="center" vertical="center" wrapText="1" shrinkToFit="1"/>
      <protection locked="0"/>
    </xf>
    <xf numFmtId="0" fontId="7" fillId="6" borderId="58" xfId="0" applyFont="1" applyFill="1" applyBorder="1" applyAlignment="1" applyProtection="1">
      <alignment horizontal="center" vertical="center" wrapText="1" shrinkToFit="1"/>
      <protection locked="0"/>
    </xf>
    <xf numFmtId="0" fontId="7" fillId="3" borderId="3" xfId="0" applyFont="1" applyFill="1" applyBorder="1" applyAlignment="1" applyProtection="1">
      <alignment horizontal="center" vertical="center" wrapText="1" shrinkToFit="1"/>
      <protection locked="0"/>
    </xf>
    <xf numFmtId="38" fontId="5" fillId="8" borderId="47" xfId="1" applyFont="1" applyFill="1" applyBorder="1" applyAlignment="1" applyProtection="1">
      <alignment horizontal="center" vertical="center" shrinkToFit="1"/>
      <protection locked="0"/>
    </xf>
    <xf numFmtId="0" fontId="5" fillId="0" borderId="23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38" fontId="5" fillId="0" borderId="26" xfId="1" applyFont="1" applyBorder="1" applyAlignment="1">
      <alignment vertical="center" shrinkToFit="1"/>
    </xf>
    <xf numFmtId="38" fontId="5" fillId="0" borderId="46" xfId="1" applyFont="1" applyBorder="1" applyAlignment="1">
      <alignment vertical="center" shrinkToFit="1"/>
    </xf>
    <xf numFmtId="0" fontId="5" fillId="12" borderId="11" xfId="0" applyFont="1" applyFill="1" applyBorder="1">
      <alignment vertical="center"/>
    </xf>
    <xf numFmtId="0" fontId="0" fillId="0" borderId="28" xfId="0" applyBorder="1" applyAlignment="1" applyProtection="1">
      <alignment horizontal="center" vertical="center" shrinkToFit="1"/>
      <protection locked="0"/>
    </xf>
    <xf numFmtId="0" fontId="0" fillId="0" borderId="0" xfId="0" applyAlignment="1">
      <alignment horizontal="left" vertical="center" shrinkToFit="1"/>
    </xf>
    <xf numFmtId="56" fontId="10" fillId="0" borderId="13" xfId="0" applyNumberFormat="1" applyFont="1" applyBorder="1" applyAlignment="1" applyProtection="1">
      <alignment horizontal="center" vertical="center" shrinkToFit="1"/>
      <protection locked="0"/>
    </xf>
    <xf numFmtId="56" fontId="11" fillId="0" borderId="13" xfId="0" applyNumberFormat="1" applyFont="1" applyBorder="1" applyAlignment="1" applyProtection="1">
      <alignment horizontal="center" vertical="center" shrinkToFit="1"/>
      <protection locked="0"/>
    </xf>
    <xf numFmtId="10" fontId="6" fillId="0" borderId="59" xfId="3" applyNumberFormat="1" applyFont="1" applyBorder="1">
      <alignment vertical="center"/>
    </xf>
    <xf numFmtId="38" fontId="9" fillId="0" borderId="26" xfId="1" applyFont="1" applyBorder="1" applyAlignment="1">
      <alignment vertical="center" shrinkToFit="1"/>
    </xf>
    <xf numFmtId="0" fontId="5" fillId="6" borderId="25" xfId="0" applyFont="1" applyFill="1" applyBorder="1" applyAlignment="1" applyProtection="1">
      <alignment horizontal="center" vertical="center" shrinkToFit="1"/>
      <protection locked="0"/>
    </xf>
    <xf numFmtId="38" fontId="5" fillId="6" borderId="60" xfId="1" applyFont="1" applyFill="1" applyBorder="1" applyAlignment="1" applyProtection="1">
      <alignment horizontal="center" vertical="center" shrinkToFit="1"/>
      <protection locked="0"/>
    </xf>
    <xf numFmtId="10" fontId="6" fillId="0" borderId="0" xfId="3" applyNumberFormat="1" applyFont="1">
      <alignment vertical="center"/>
    </xf>
    <xf numFmtId="0" fontId="8" fillId="13" borderId="6" xfId="0" applyFont="1" applyFill="1" applyBorder="1" applyAlignment="1" applyProtection="1">
      <alignment horizontal="center" vertical="center" wrapText="1" shrinkToFit="1"/>
      <protection locked="0"/>
    </xf>
    <xf numFmtId="10" fontId="6" fillId="13" borderId="24" xfId="3" applyNumberFormat="1" applyFont="1" applyFill="1" applyBorder="1" applyAlignment="1">
      <alignment vertical="center" shrinkToFit="1"/>
    </xf>
    <xf numFmtId="10" fontId="6" fillId="13" borderId="40" xfId="3" applyNumberFormat="1" applyFont="1" applyFill="1" applyBorder="1" applyAlignment="1">
      <alignment vertical="center" shrinkToFit="1"/>
    </xf>
    <xf numFmtId="0" fontId="4" fillId="0" borderId="1" xfId="0" applyFont="1" applyBorder="1" applyAlignment="1" applyProtection="1">
      <alignment horizontal="center" vertical="center"/>
      <protection locked="0"/>
    </xf>
    <xf numFmtId="38" fontId="4" fillId="0" borderId="1" xfId="1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38" fontId="7" fillId="0" borderId="63" xfId="0" applyNumberFormat="1" applyFont="1" applyBorder="1" applyAlignment="1">
      <alignment vertical="center" shrinkToFit="1"/>
    </xf>
    <xf numFmtId="0" fontId="9" fillId="5" borderId="3" xfId="0" applyFont="1" applyFill="1" applyBorder="1" applyAlignment="1">
      <alignment horizontal="center" vertical="center" shrinkToFit="1"/>
    </xf>
    <xf numFmtId="0" fontId="5" fillId="0" borderId="64" xfId="0" applyFont="1" applyBorder="1" applyAlignment="1">
      <alignment horizontal="center" vertical="center" shrinkToFit="1"/>
    </xf>
    <xf numFmtId="0" fontId="4" fillId="14" borderId="0" xfId="0" applyFont="1" applyFill="1" applyAlignment="1" applyProtection="1">
      <alignment horizontal="center" vertical="center"/>
      <protection locked="0"/>
    </xf>
    <xf numFmtId="38" fontId="6" fillId="0" borderId="16" xfId="1" applyFont="1" applyBorder="1" applyAlignment="1">
      <alignment vertical="center" shrinkToFit="1"/>
    </xf>
    <xf numFmtId="0" fontId="4" fillId="0" borderId="0" xfId="0" applyFont="1" applyAlignment="1" applyProtection="1">
      <alignment horizontal="center" vertical="center"/>
      <protection locked="0"/>
    </xf>
    <xf numFmtId="0" fontId="0" fillId="3" borderId="14" xfId="0" applyFill="1" applyBorder="1" applyAlignment="1">
      <alignment horizontal="center" vertical="center" shrinkToFit="1"/>
    </xf>
    <xf numFmtId="176" fontId="5" fillId="0" borderId="0" xfId="2" applyFont="1">
      <alignment vertical="center"/>
    </xf>
    <xf numFmtId="176" fontId="4" fillId="0" borderId="0" xfId="2" applyFont="1">
      <alignment vertical="center"/>
    </xf>
    <xf numFmtId="176" fontId="5" fillId="0" borderId="12" xfId="2" applyFont="1" applyBorder="1" applyAlignment="1" applyProtection="1">
      <alignment horizontal="center" vertical="center" shrinkToFit="1"/>
      <protection locked="0"/>
    </xf>
    <xf numFmtId="177" fontId="8" fillId="0" borderId="13" xfId="0" applyNumberFormat="1" applyFont="1" applyBorder="1" applyAlignment="1" applyProtection="1">
      <alignment horizontal="center" vertical="center" shrinkToFit="1"/>
      <protection locked="0"/>
    </xf>
    <xf numFmtId="178" fontId="6" fillId="0" borderId="19" xfId="0" applyNumberFormat="1" applyFont="1" applyBorder="1" applyAlignment="1">
      <alignment vertical="center" shrinkToFit="1"/>
    </xf>
    <xf numFmtId="178" fontId="6" fillId="0" borderId="21" xfId="3" applyNumberFormat="1" applyFont="1" applyBorder="1" applyAlignment="1">
      <alignment vertical="center" shrinkToFit="1"/>
    </xf>
    <xf numFmtId="177" fontId="6" fillId="0" borderId="16" xfId="3" applyNumberFormat="1" applyFont="1" applyBorder="1" applyAlignment="1">
      <alignment vertical="center" shrinkToFit="1"/>
    </xf>
    <xf numFmtId="177" fontId="6" fillId="0" borderId="22" xfId="3" applyNumberFormat="1" applyFont="1" applyBorder="1" applyAlignment="1">
      <alignment vertical="center" shrinkToFit="1"/>
    </xf>
    <xf numFmtId="179" fontId="6" fillId="0" borderId="16" xfId="3" applyNumberFormat="1" applyFont="1" applyBorder="1" applyAlignment="1">
      <alignment vertical="center" shrinkToFit="1"/>
    </xf>
    <xf numFmtId="177" fontId="8" fillId="0" borderId="23" xfId="0" applyNumberFormat="1" applyFont="1" applyBorder="1" applyAlignment="1" applyProtection="1">
      <alignment vertical="center" shrinkToFit="1"/>
      <protection locked="0"/>
    </xf>
    <xf numFmtId="177" fontId="8" fillId="0" borderId="15" xfId="0" applyNumberFormat="1" applyFont="1" applyBorder="1" applyAlignment="1" applyProtection="1">
      <alignment vertical="center" shrinkToFit="1"/>
      <protection locked="0"/>
    </xf>
    <xf numFmtId="178" fontId="8" fillId="0" borderId="26" xfId="3" applyNumberFormat="1" applyFont="1" applyBorder="1" applyAlignment="1">
      <alignment vertical="center" shrinkToFit="1"/>
    </xf>
    <xf numFmtId="176" fontId="6" fillId="0" borderId="16" xfId="2" applyFont="1" applyBorder="1" applyAlignment="1">
      <alignment vertical="center" shrinkToFit="1"/>
    </xf>
    <xf numFmtId="178" fontId="8" fillId="0" borderId="13" xfId="3" applyNumberFormat="1" applyFont="1" applyBorder="1" applyAlignment="1">
      <alignment vertical="center" shrinkToFit="1"/>
    </xf>
    <xf numFmtId="177" fontId="8" fillId="0" borderId="29" xfId="0" applyNumberFormat="1" applyFont="1" applyBorder="1" applyAlignment="1" applyProtection="1">
      <alignment horizontal="center" vertical="center" shrinkToFit="1"/>
      <protection locked="0"/>
    </xf>
    <xf numFmtId="177" fontId="8" fillId="0" borderId="41" xfId="0" applyNumberFormat="1" applyFont="1" applyBorder="1" applyAlignment="1" applyProtection="1">
      <alignment vertical="center" shrinkToFit="1"/>
      <protection locked="0"/>
    </xf>
    <xf numFmtId="177" fontId="6" fillId="0" borderId="22" xfId="0" applyNumberFormat="1" applyFont="1" applyBorder="1" applyAlignment="1">
      <alignment vertical="center" shrinkToFit="1"/>
    </xf>
    <xf numFmtId="179" fontId="6" fillId="0" borderId="52" xfId="0" applyNumberFormat="1" applyFont="1" applyBorder="1" applyAlignment="1">
      <alignment vertical="center" shrinkToFit="1"/>
    </xf>
    <xf numFmtId="178" fontId="8" fillId="0" borderId="35" xfId="3" applyNumberFormat="1" applyFont="1" applyBorder="1" applyAlignment="1">
      <alignment vertical="center" shrinkToFit="1"/>
    </xf>
    <xf numFmtId="178" fontId="6" fillId="0" borderId="49" xfId="0" applyNumberFormat="1" applyFont="1" applyBorder="1" applyAlignment="1">
      <alignment vertical="center" shrinkToFit="1"/>
    </xf>
    <xf numFmtId="178" fontId="6" fillId="0" borderId="49" xfId="3" applyNumberFormat="1" applyFont="1" applyBorder="1" applyAlignment="1">
      <alignment vertical="center" shrinkToFit="1"/>
    </xf>
    <xf numFmtId="179" fontId="6" fillId="0" borderId="48" xfId="3" applyNumberFormat="1" applyFont="1" applyBorder="1" applyAlignment="1">
      <alignment vertical="center" shrinkToFit="1"/>
    </xf>
    <xf numFmtId="178" fontId="6" fillId="0" borderId="50" xfId="3" applyNumberFormat="1" applyFont="1" applyBorder="1" applyAlignment="1">
      <alignment vertical="center" shrinkToFit="1"/>
    </xf>
    <xf numFmtId="179" fontId="6" fillId="0" borderId="51" xfId="3" applyNumberFormat="1" applyFont="1" applyBorder="1" applyAlignment="1">
      <alignment vertical="center" shrinkToFit="1"/>
    </xf>
    <xf numFmtId="178" fontId="7" fillId="0" borderId="31" xfId="3" applyNumberFormat="1" applyFont="1" applyBorder="1" applyAlignment="1">
      <alignment vertical="center" shrinkToFit="1"/>
    </xf>
    <xf numFmtId="176" fontId="6" fillId="0" borderId="30" xfId="2" applyFont="1" applyBorder="1" applyAlignment="1">
      <alignment vertical="center" shrinkToFit="1"/>
    </xf>
    <xf numFmtId="178" fontId="7" fillId="0" borderId="41" xfId="3" applyNumberFormat="1" applyFont="1" applyBorder="1" applyAlignment="1">
      <alignment vertical="center" shrinkToFit="1"/>
    </xf>
    <xf numFmtId="178" fontId="7" fillId="0" borderId="46" xfId="3" applyNumberFormat="1" applyFont="1" applyBorder="1" applyAlignment="1">
      <alignment vertical="center" shrinkToFit="1"/>
    </xf>
    <xf numFmtId="0" fontId="0" fillId="0" borderId="13" xfId="0" applyBorder="1" applyAlignment="1" applyProtection="1">
      <alignment horizontal="center" vertical="center" shrinkToFit="1"/>
      <protection locked="0"/>
    </xf>
    <xf numFmtId="0" fontId="0" fillId="0" borderId="16" xfId="0" applyBorder="1" applyAlignment="1" applyProtection="1">
      <protection locked="0"/>
    </xf>
    <xf numFmtId="0" fontId="0" fillId="0" borderId="15" xfId="0" applyBorder="1" applyAlignment="1" applyProtection="1"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0" fillId="0" borderId="0" xfId="0" applyAlignment="1" applyProtection="1"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38" fontId="6" fillId="11" borderId="11" xfId="1" applyFont="1" applyFill="1" applyBorder="1" applyAlignment="1">
      <alignment horizontal="center" vertical="center"/>
    </xf>
    <xf numFmtId="0" fontId="0" fillId="0" borderId="8" xfId="0" applyBorder="1" applyAlignment="1"/>
    <xf numFmtId="0" fontId="0" fillId="10" borderId="0" xfId="0" applyFill="1" applyAlignment="1">
      <alignment horizontal="center" vertical="center" shrinkToFit="1"/>
    </xf>
    <xf numFmtId="0" fontId="5" fillId="0" borderId="0" xfId="0" applyFont="1">
      <alignment vertical="center"/>
    </xf>
    <xf numFmtId="38" fontId="7" fillId="11" borderId="11" xfId="1" applyFont="1" applyFill="1" applyBorder="1" applyAlignment="1">
      <alignment horizontal="center" vertical="center"/>
    </xf>
    <xf numFmtId="38" fontId="6" fillId="3" borderId="65" xfId="1" applyFont="1" applyFill="1" applyBorder="1" applyAlignment="1">
      <alignment horizontal="left" vertical="center" shrinkToFit="1"/>
    </xf>
    <xf numFmtId="0" fontId="0" fillId="0" borderId="61" xfId="0" applyBorder="1" applyAlignment="1"/>
    <xf numFmtId="0" fontId="2" fillId="0" borderId="0" xfId="0" applyFont="1" applyAlignment="1" applyProtection="1">
      <alignment horizontal="right" vertical="center"/>
      <protection locked="0"/>
    </xf>
    <xf numFmtId="0" fontId="2" fillId="2" borderId="0" xfId="0" applyFont="1" applyFill="1" applyAlignment="1">
      <alignment horizontal="left" vertical="center"/>
    </xf>
    <xf numFmtId="0" fontId="0" fillId="3" borderId="13" xfId="0" applyFill="1" applyBorder="1" applyAlignment="1">
      <alignment horizontal="center" vertical="center" shrinkToFit="1"/>
    </xf>
    <xf numFmtId="0" fontId="0" fillId="0" borderId="16" xfId="0" applyBorder="1" applyAlignment="1"/>
    <xf numFmtId="0" fontId="0" fillId="0" borderId="15" xfId="0" applyBorder="1" applyAlignment="1"/>
    <xf numFmtId="0" fontId="9" fillId="14" borderId="0" xfId="0" applyFont="1" applyFill="1" applyAlignment="1" applyProtection="1">
      <alignment horizontal="center" vertical="center"/>
      <protection locked="0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378">
    <dxf>
      <font>
        <color rgb="FFFF0000"/>
      </font>
    </dxf>
    <dxf>
      <font>
        <color rgb="FF0070C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B42"/>
  <sheetViews>
    <sheetView tabSelected="1" zoomScale="106" zoomScaleNormal="100" workbookViewId="0">
      <pane ySplit="4" topLeftCell="A5" activePane="bottomLeft" state="frozen"/>
      <selection pane="bottomLeft" activeCell="I6" sqref="I6"/>
    </sheetView>
  </sheetViews>
  <sheetFormatPr defaultRowHeight="13.5" x14ac:dyDescent="0.4"/>
  <cols>
    <col min="1" max="4" width="3.125" style="5" customWidth="1"/>
    <col min="5" max="5" width="5.625" style="5" customWidth="1"/>
    <col min="6" max="6" width="10.625" style="73" customWidth="1"/>
    <col min="7" max="7" width="12.5" style="73" customWidth="1"/>
    <col min="8" max="10" width="8.625" style="2" customWidth="1"/>
    <col min="11" max="11" width="5.625" style="2" customWidth="1"/>
    <col min="12" max="12" width="4.625" style="2" customWidth="1"/>
    <col min="13" max="13" width="5.625" style="2" customWidth="1"/>
    <col min="14" max="17" width="4.625" style="2" customWidth="1"/>
    <col min="18" max="19" width="3.125" style="5" customWidth="1"/>
    <col min="20" max="20" width="5.625" style="5" customWidth="1"/>
    <col min="21" max="21" width="7.625" style="73" customWidth="1"/>
    <col min="22" max="22" width="8.625" style="73" customWidth="1"/>
    <col min="23" max="24" width="5.625" style="2" customWidth="1"/>
    <col min="25" max="25" width="6.625" style="2" customWidth="1"/>
    <col min="26" max="26" width="9.875" style="2" customWidth="1"/>
    <col min="27" max="38" width="8.625" style="73" customWidth="1"/>
    <col min="39" max="43" width="8.625" style="73" hidden="1" customWidth="1"/>
    <col min="44" max="44" width="12.5" style="2" customWidth="1"/>
    <col min="45" max="45" width="6.75" style="2" customWidth="1"/>
    <col min="46" max="46" width="12.625" style="2" customWidth="1"/>
    <col min="47" max="47" width="8.625" style="161" customWidth="1"/>
    <col min="48" max="48" width="5.5" style="2" bestFit="1" customWidth="1"/>
    <col min="49" max="98" width="6.75" style="2" customWidth="1"/>
    <col min="99" max="100" width="8.625" style="2" customWidth="1"/>
    <col min="101" max="101" width="2.875" style="2" customWidth="1"/>
    <col min="102" max="102" width="10.625" style="2" customWidth="1"/>
    <col min="103" max="103" width="6.625" style="2" customWidth="1"/>
    <col min="104" max="104" width="10.625" style="2" customWidth="1"/>
    <col min="105" max="105" width="6.625" style="2" customWidth="1"/>
    <col min="106" max="107" width="3.125" style="5" customWidth="1"/>
    <col min="108" max="108" width="1.125" style="2" customWidth="1"/>
    <col min="109" max="109" width="2.375" style="2" customWidth="1"/>
    <col min="110" max="120" width="7.625" style="6" hidden="1" customWidth="1"/>
    <col min="121" max="121" width="6.75" style="2" hidden="1" customWidth="1"/>
    <col min="122" max="122" width="0" style="2" hidden="1"/>
    <col min="123" max="126" width="8.625" style="2" customWidth="1"/>
    <col min="127" max="127" width="12.625" style="2" customWidth="1"/>
    <col min="128" max="128" width="8.625" style="2" customWidth="1"/>
    <col min="129" max="303" width="9" style="2" customWidth="1"/>
    <col min="304" max="305" width="3.125" style="2" customWidth="1"/>
    <col min="306" max="306" width="5.875" style="2" bestFit="1" customWidth="1"/>
    <col min="307" max="307" width="5.625" style="2" customWidth="1"/>
    <col min="308" max="308" width="10.625" style="2" customWidth="1"/>
    <col min="309" max="309" width="12.625" style="2" customWidth="1"/>
    <col min="310" max="310" width="8.625" style="2" customWidth="1"/>
    <col min="311" max="311" width="5.625" style="2" customWidth="1"/>
    <col min="312" max="312" width="4.625" style="2" customWidth="1"/>
    <col min="313" max="313" width="5.625" style="2" customWidth="1"/>
    <col min="314" max="317" width="4.625" style="2" customWidth="1"/>
    <col min="318" max="318" width="7.625" style="2" customWidth="1"/>
    <col min="319" max="319" width="8.625" style="2" customWidth="1"/>
    <col min="320" max="321" width="5.625" style="2" customWidth="1"/>
    <col min="322" max="322" width="6.625" style="2" customWidth="1"/>
    <col min="323" max="323" width="9.875" style="2" customWidth="1"/>
    <col min="324" max="325" width="8.625" style="2" customWidth="1"/>
    <col min="326" max="326" width="5.5" style="2" bestFit="1" customWidth="1"/>
    <col min="327" max="368" width="6.75" style="2" customWidth="1"/>
    <col min="369" max="369" width="9" style="2" customWidth="1"/>
    <col min="370" max="370" width="9.875" style="2" customWidth="1"/>
    <col min="371" max="371" width="2.875" style="2" customWidth="1"/>
    <col min="372" max="372" width="12.25" style="2" customWidth="1"/>
    <col min="373" max="373" width="6.375" style="2" customWidth="1"/>
    <col min="374" max="375" width="3.125" style="2" customWidth="1"/>
    <col min="376" max="376" width="1.125" style="2" customWidth="1"/>
    <col min="377" max="377" width="9" style="2" customWidth="1"/>
    <col min="378" max="378" width="2.375" style="2" customWidth="1"/>
    <col min="379" max="396" width="7.625" style="2" customWidth="1"/>
    <col min="397" max="559" width="9" style="2" customWidth="1"/>
    <col min="560" max="561" width="3.125" style="2" customWidth="1"/>
    <col min="562" max="562" width="5.875" style="2" bestFit="1" customWidth="1"/>
    <col min="563" max="563" width="5.625" style="2" customWidth="1"/>
    <col min="564" max="564" width="10.625" style="2" customWidth="1"/>
    <col min="565" max="565" width="12.625" style="2" customWidth="1"/>
    <col min="566" max="566" width="8.625" style="2" customWidth="1"/>
    <col min="567" max="567" width="5.625" style="2" customWidth="1"/>
    <col min="568" max="568" width="4.625" style="2" customWidth="1"/>
    <col min="569" max="569" width="5.625" style="2" customWidth="1"/>
    <col min="570" max="573" width="4.625" style="2" customWidth="1"/>
    <col min="574" max="574" width="7.625" style="2" customWidth="1"/>
    <col min="575" max="575" width="8.625" style="2" customWidth="1"/>
    <col min="576" max="577" width="5.625" style="2" customWidth="1"/>
    <col min="578" max="578" width="6.625" style="2" customWidth="1"/>
    <col min="579" max="579" width="9.875" style="2" customWidth="1"/>
    <col min="580" max="581" width="8.625" style="2" customWidth="1"/>
    <col min="582" max="582" width="5.5" style="2" bestFit="1" customWidth="1"/>
    <col min="583" max="624" width="6.75" style="2" customWidth="1"/>
    <col min="625" max="625" width="9" style="2" customWidth="1"/>
    <col min="626" max="626" width="9.875" style="2" customWidth="1"/>
    <col min="627" max="627" width="2.875" style="2" customWidth="1"/>
    <col min="628" max="628" width="12.25" style="2" customWidth="1"/>
    <col min="629" max="629" width="6.375" style="2" customWidth="1"/>
    <col min="630" max="631" width="3.125" style="2" customWidth="1"/>
    <col min="632" max="632" width="1.125" style="2" customWidth="1"/>
    <col min="633" max="633" width="9" style="2" customWidth="1"/>
    <col min="634" max="634" width="2.375" style="2" customWidth="1"/>
    <col min="635" max="652" width="7.625" style="2" customWidth="1"/>
    <col min="653" max="815" width="9" style="2" customWidth="1"/>
    <col min="816" max="817" width="3.125" style="2" customWidth="1"/>
    <col min="818" max="818" width="5.875" style="2" bestFit="1" customWidth="1"/>
    <col min="819" max="819" width="5.625" style="2" customWidth="1"/>
    <col min="820" max="820" width="10.625" style="2" customWidth="1"/>
    <col min="821" max="821" width="12.625" style="2" customWidth="1"/>
    <col min="822" max="822" width="8.625" style="2" customWidth="1"/>
    <col min="823" max="823" width="5.625" style="2" customWidth="1"/>
    <col min="824" max="824" width="4.625" style="2" customWidth="1"/>
    <col min="825" max="825" width="5.625" style="2" customWidth="1"/>
    <col min="826" max="829" width="4.625" style="2" customWidth="1"/>
    <col min="830" max="830" width="7.625" style="2" customWidth="1"/>
    <col min="831" max="831" width="8.625" style="2" customWidth="1"/>
    <col min="832" max="833" width="5.625" style="2" customWidth="1"/>
    <col min="834" max="834" width="6.625" style="2" customWidth="1"/>
    <col min="835" max="835" width="9.875" style="2" customWidth="1"/>
    <col min="836" max="837" width="8.625" style="2" customWidth="1"/>
    <col min="838" max="838" width="5.5" style="2" bestFit="1" customWidth="1"/>
    <col min="839" max="880" width="6.75" style="2" customWidth="1"/>
    <col min="881" max="881" width="9" style="2" customWidth="1"/>
    <col min="882" max="882" width="9.875" style="2" customWidth="1"/>
    <col min="883" max="883" width="2.875" style="2" customWidth="1"/>
    <col min="884" max="884" width="12.25" style="2" customWidth="1"/>
    <col min="885" max="885" width="6.375" style="2" customWidth="1"/>
    <col min="886" max="887" width="3.125" style="2" customWidth="1"/>
    <col min="888" max="888" width="1.125" style="2" customWidth="1"/>
    <col min="889" max="889" width="9" style="2" customWidth="1"/>
    <col min="890" max="890" width="2.375" style="2" customWidth="1"/>
    <col min="891" max="908" width="7.625" style="2" customWidth="1"/>
    <col min="909" max="1071" width="9" style="2" customWidth="1"/>
    <col min="1072" max="1073" width="3.125" style="2" customWidth="1"/>
    <col min="1074" max="1074" width="5.875" style="2" bestFit="1" customWidth="1"/>
    <col min="1075" max="1075" width="5.625" style="2" customWidth="1"/>
    <col min="1076" max="1076" width="10.625" style="2" customWidth="1"/>
    <col min="1077" max="1077" width="12.625" style="2" customWidth="1"/>
    <col min="1078" max="1078" width="8.625" style="2" customWidth="1"/>
    <col min="1079" max="1079" width="5.625" style="2" customWidth="1"/>
    <col min="1080" max="1080" width="4.625" style="2" customWidth="1"/>
    <col min="1081" max="1081" width="5.625" style="2" customWidth="1"/>
    <col min="1082" max="1085" width="4.625" style="2" customWidth="1"/>
    <col min="1086" max="1086" width="7.625" style="2" customWidth="1"/>
    <col min="1087" max="1087" width="8.625" style="2" customWidth="1"/>
    <col min="1088" max="1089" width="5.625" style="2" customWidth="1"/>
    <col min="1090" max="1090" width="6.625" style="2" customWidth="1"/>
    <col min="1091" max="1091" width="9.875" style="2" customWidth="1"/>
    <col min="1092" max="1093" width="8.625" style="2" customWidth="1"/>
    <col min="1094" max="1094" width="5.5" style="2" bestFit="1" customWidth="1"/>
    <col min="1095" max="1136" width="6.75" style="2" customWidth="1"/>
    <col min="1137" max="1137" width="9" style="2" customWidth="1"/>
    <col min="1138" max="1138" width="9.875" style="2" customWidth="1"/>
    <col min="1139" max="1139" width="2.875" style="2" customWidth="1"/>
    <col min="1140" max="1140" width="12.25" style="2" customWidth="1"/>
    <col min="1141" max="1141" width="6.375" style="2" customWidth="1"/>
    <col min="1142" max="1143" width="3.125" style="2" customWidth="1"/>
    <col min="1144" max="1144" width="1.125" style="2" customWidth="1"/>
    <col min="1145" max="1145" width="9" style="2" customWidth="1"/>
    <col min="1146" max="1146" width="2.375" style="2" customWidth="1"/>
    <col min="1147" max="1164" width="7.625" style="2" customWidth="1"/>
    <col min="1165" max="1327" width="9" style="2" customWidth="1"/>
    <col min="1328" max="1329" width="3.125" style="2" customWidth="1"/>
    <col min="1330" max="1330" width="5.875" style="2" bestFit="1" customWidth="1"/>
    <col min="1331" max="1331" width="5.625" style="2" customWidth="1"/>
    <col min="1332" max="1332" width="10.625" style="2" customWidth="1"/>
    <col min="1333" max="1333" width="12.625" style="2" customWidth="1"/>
    <col min="1334" max="1334" width="8.625" style="2" customWidth="1"/>
    <col min="1335" max="1335" width="5.625" style="2" customWidth="1"/>
    <col min="1336" max="1336" width="4.625" style="2" customWidth="1"/>
    <col min="1337" max="1337" width="5.625" style="2" customWidth="1"/>
    <col min="1338" max="1341" width="4.625" style="2" customWidth="1"/>
    <col min="1342" max="1342" width="7.625" style="2" customWidth="1"/>
    <col min="1343" max="1343" width="8.625" style="2" customWidth="1"/>
    <col min="1344" max="1345" width="5.625" style="2" customWidth="1"/>
    <col min="1346" max="1346" width="6.625" style="2" customWidth="1"/>
    <col min="1347" max="1347" width="9.875" style="2" customWidth="1"/>
    <col min="1348" max="1349" width="8.625" style="2" customWidth="1"/>
    <col min="1350" max="1350" width="5.5" style="2" bestFit="1" customWidth="1"/>
    <col min="1351" max="1392" width="6.75" style="2" customWidth="1"/>
    <col min="1393" max="1393" width="9" style="2" customWidth="1"/>
    <col min="1394" max="1394" width="9.875" style="2" customWidth="1"/>
    <col min="1395" max="1395" width="2.875" style="2" customWidth="1"/>
    <col min="1396" max="1396" width="12.25" style="2" customWidth="1"/>
    <col min="1397" max="1397" width="6.375" style="2" customWidth="1"/>
    <col min="1398" max="1399" width="3.125" style="2" customWidth="1"/>
    <col min="1400" max="1400" width="1.125" style="2" customWidth="1"/>
    <col min="1401" max="1401" width="9" style="2" customWidth="1"/>
    <col min="1402" max="1402" width="2.375" style="2" customWidth="1"/>
    <col min="1403" max="1420" width="7.625" style="2" customWidth="1"/>
    <col min="1421" max="1583" width="9" style="2" customWidth="1"/>
    <col min="1584" max="1585" width="3.125" style="2" customWidth="1"/>
    <col min="1586" max="1586" width="5.875" style="2" bestFit="1" customWidth="1"/>
    <col min="1587" max="1587" width="5.625" style="2" customWidth="1"/>
    <col min="1588" max="1588" width="10.625" style="2" customWidth="1"/>
    <col min="1589" max="1589" width="12.625" style="2" customWidth="1"/>
    <col min="1590" max="1590" width="8.625" style="2" customWidth="1"/>
    <col min="1591" max="1591" width="5.625" style="2" customWidth="1"/>
    <col min="1592" max="1592" width="4.625" style="2" customWidth="1"/>
    <col min="1593" max="1593" width="5.625" style="2" customWidth="1"/>
    <col min="1594" max="1597" width="4.625" style="2" customWidth="1"/>
    <col min="1598" max="1598" width="7.625" style="2" customWidth="1"/>
    <col min="1599" max="1599" width="8.625" style="2" customWidth="1"/>
    <col min="1600" max="1601" width="5.625" style="2" customWidth="1"/>
    <col min="1602" max="1602" width="6.625" style="2" customWidth="1"/>
    <col min="1603" max="1603" width="9.875" style="2" customWidth="1"/>
    <col min="1604" max="1605" width="8.625" style="2" customWidth="1"/>
    <col min="1606" max="1606" width="5.5" style="2" bestFit="1" customWidth="1"/>
    <col min="1607" max="1648" width="6.75" style="2" customWidth="1"/>
    <col min="1649" max="1649" width="9" style="2" customWidth="1"/>
    <col min="1650" max="1650" width="9.875" style="2" customWidth="1"/>
    <col min="1651" max="1651" width="2.875" style="2" customWidth="1"/>
    <col min="1652" max="1652" width="12.25" style="2" customWidth="1"/>
    <col min="1653" max="1653" width="6.375" style="2" customWidth="1"/>
    <col min="1654" max="1655" width="3.125" style="2" customWidth="1"/>
    <col min="1656" max="1656" width="1.125" style="2" customWidth="1"/>
    <col min="1657" max="1657" width="9" style="2" customWidth="1"/>
    <col min="1658" max="1658" width="2.375" style="2" customWidth="1"/>
    <col min="1659" max="1676" width="7.625" style="2" customWidth="1"/>
    <col min="1677" max="1839" width="9" style="2" customWidth="1"/>
    <col min="1840" max="1841" width="3.125" style="2" customWidth="1"/>
    <col min="1842" max="1842" width="5.875" style="2" bestFit="1" customWidth="1"/>
    <col min="1843" max="1843" width="5.625" style="2" customWidth="1"/>
    <col min="1844" max="1844" width="10.625" style="2" customWidth="1"/>
    <col min="1845" max="1845" width="12.625" style="2" customWidth="1"/>
    <col min="1846" max="1846" width="8.625" style="2" customWidth="1"/>
    <col min="1847" max="1847" width="5.625" style="2" customWidth="1"/>
    <col min="1848" max="1848" width="4.625" style="2" customWidth="1"/>
    <col min="1849" max="1849" width="5.625" style="2" customWidth="1"/>
    <col min="1850" max="1853" width="4.625" style="2" customWidth="1"/>
    <col min="1854" max="1854" width="7.625" style="2" customWidth="1"/>
    <col min="1855" max="1855" width="8.625" style="2" customWidth="1"/>
    <col min="1856" max="1857" width="5.625" style="2" customWidth="1"/>
    <col min="1858" max="1858" width="6.625" style="2" customWidth="1"/>
    <col min="1859" max="1859" width="9.875" style="2" customWidth="1"/>
    <col min="1860" max="1861" width="8.625" style="2" customWidth="1"/>
    <col min="1862" max="1862" width="5.5" style="2" bestFit="1" customWidth="1"/>
    <col min="1863" max="1904" width="6.75" style="2" customWidth="1"/>
    <col min="1905" max="1905" width="9" style="2" customWidth="1"/>
    <col min="1906" max="1906" width="9.875" style="2" customWidth="1"/>
    <col min="1907" max="1907" width="2.875" style="2" customWidth="1"/>
    <col min="1908" max="1908" width="12.25" style="2" customWidth="1"/>
    <col min="1909" max="1909" width="6.375" style="2" customWidth="1"/>
    <col min="1910" max="1911" width="3.125" style="2" customWidth="1"/>
    <col min="1912" max="1912" width="1.125" style="2" customWidth="1"/>
    <col min="1913" max="1913" width="9" style="2" customWidth="1"/>
    <col min="1914" max="1914" width="2.375" style="2" customWidth="1"/>
    <col min="1915" max="1932" width="7.625" style="2" customWidth="1"/>
    <col min="1933" max="2095" width="9" style="2" customWidth="1"/>
    <col min="2096" max="2097" width="3.125" style="2" customWidth="1"/>
    <col min="2098" max="2098" width="5.875" style="2" bestFit="1" customWidth="1"/>
    <col min="2099" max="2099" width="5.625" style="2" customWidth="1"/>
    <col min="2100" max="2100" width="10.625" style="2" customWidth="1"/>
    <col min="2101" max="2101" width="12.625" style="2" customWidth="1"/>
    <col min="2102" max="2102" width="8.625" style="2" customWidth="1"/>
    <col min="2103" max="2103" width="5.625" style="2" customWidth="1"/>
    <col min="2104" max="2104" width="4.625" style="2" customWidth="1"/>
    <col min="2105" max="2105" width="5.625" style="2" customWidth="1"/>
    <col min="2106" max="2109" width="4.625" style="2" customWidth="1"/>
    <col min="2110" max="2110" width="7.625" style="2" customWidth="1"/>
    <col min="2111" max="2111" width="8.625" style="2" customWidth="1"/>
    <col min="2112" max="2113" width="5.625" style="2" customWidth="1"/>
    <col min="2114" max="2114" width="6.625" style="2" customWidth="1"/>
    <col min="2115" max="2115" width="9.875" style="2" customWidth="1"/>
    <col min="2116" max="2117" width="8.625" style="2" customWidth="1"/>
    <col min="2118" max="2118" width="5.5" style="2" bestFit="1" customWidth="1"/>
    <col min="2119" max="2160" width="6.75" style="2" customWidth="1"/>
    <col min="2161" max="2161" width="9" style="2" customWidth="1"/>
    <col min="2162" max="2162" width="9.875" style="2" customWidth="1"/>
    <col min="2163" max="2163" width="2.875" style="2" customWidth="1"/>
    <col min="2164" max="2164" width="12.25" style="2" customWidth="1"/>
    <col min="2165" max="2165" width="6.375" style="2" customWidth="1"/>
    <col min="2166" max="2167" width="3.125" style="2" customWidth="1"/>
    <col min="2168" max="2168" width="1.125" style="2" customWidth="1"/>
    <col min="2169" max="2169" width="9" style="2" customWidth="1"/>
    <col min="2170" max="2170" width="2.375" style="2" customWidth="1"/>
    <col min="2171" max="2188" width="7.625" style="2" customWidth="1"/>
    <col min="2189" max="2351" width="9" style="2" customWidth="1"/>
    <col min="2352" max="2353" width="3.125" style="2" customWidth="1"/>
    <col min="2354" max="2354" width="5.875" style="2" bestFit="1" customWidth="1"/>
    <col min="2355" max="2355" width="5.625" style="2" customWidth="1"/>
    <col min="2356" max="2356" width="10.625" style="2" customWidth="1"/>
    <col min="2357" max="2357" width="12.625" style="2" customWidth="1"/>
    <col min="2358" max="2358" width="8.625" style="2" customWidth="1"/>
    <col min="2359" max="2359" width="5.625" style="2" customWidth="1"/>
    <col min="2360" max="2360" width="4.625" style="2" customWidth="1"/>
    <col min="2361" max="2361" width="5.625" style="2" customWidth="1"/>
    <col min="2362" max="2365" width="4.625" style="2" customWidth="1"/>
    <col min="2366" max="2366" width="7.625" style="2" customWidth="1"/>
    <col min="2367" max="2367" width="8.625" style="2" customWidth="1"/>
    <col min="2368" max="2369" width="5.625" style="2" customWidth="1"/>
    <col min="2370" max="2370" width="6.625" style="2" customWidth="1"/>
    <col min="2371" max="2371" width="9.875" style="2" customWidth="1"/>
    <col min="2372" max="2373" width="8.625" style="2" customWidth="1"/>
    <col min="2374" max="2374" width="5.5" style="2" bestFit="1" customWidth="1"/>
    <col min="2375" max="2416" width="6.75" style="2" customWidth="1"/>
    <col min="2417" max="2417" width="9" style="2" customWidth="1"/>
    <col min="2418" max="2418" width="9.875" style="2" customWidth="1"/>
    <col min="2419" max="2419" width="2.875" style="2" customWidth="1"/>
    <col min="2420" max="2420" width="12.25" style="2" customWidth="1"/>
    <col min="2421" max="2421" width="6.375" style="2" customWidth="1"/>
    <col min="2422" max="2423" width="3.125" style="2" customWidth="1"/>
    <col min="2424" max="2424" width="1.125" style="2" customWidth="1"/>
    <col min="2425" max="2425" width="9" style="2" customWidth="1"/>
    <col min="2426" max="2426" width="2.375" style="2" customWidth="1"/>
    <col min="2427" max="2444" width="7.625" style="2" customWidth="1"/>
    <col min="2445" max="2607" width="9" style="2" customWidth="1"/>
    <col min="2608" max="2609" width="3.125" style="2" customWidth="1"/>
    <col min="2610" max="2610" width="5.875" style="2" bestFit="1" customWidth="1"/>
    <col min="2611" max="2611" width="5.625" style="2" customWidth="1"/>
    <col min="2612" max="2612" width="10.625" style="2" customWidth="1"/>
    <col min="2613" max="2613" width="12.625" style="2" customWidth="1"/>
    <col min="2614" max="2614" width="8.625" style="2" customWidth="1"/>
    <col min="2615" max="2615" width="5.625" style="2" customWidth="1"/>
    <col min="2616" max="2616" width="4.625" style="2" customWidth="1"/>
    <col min="2617" max="2617" width="5.625" style="2" customWidth="1"/>
    <col min="2618" max="2621" width="4.625" style="2" customWidth="1"/>
    <col min="2622" max="2622" width="7.625" style="2" customWidth="1"/>
    <col min="2623" max="2623" width="8.625" style="2" customWidth="1"/>
    <col min="2624" max="2625" width="5.625" style="2" customWidth="1"/>
    <col min="2626" max="2626" width="6.625" style="2" customWidth="1"/>
    <col min="2627" max="2627" width="9.875" style="2" customWidth="1"/>
    <col min="2628" max="2629" width="8.625" style="2" customWidth="1"/>
    <col min="2630" max="2630" width="5.5" style="2" bestFit="1" customWidth="1"/>
    <col min="2631" max="2672" width="6.75" style="2" customWidth="1"/>
    <col min="2673" max="2673" width="9" style="2" customWidth="1"/>
    <col min="2674" max="2674" width="9.875" style="2" customWidth="1"/>
    <col min="2675" max="2675" width="2.875" style="2" customWidth="1"/>
    <col min="2676" max="2676" width="12.25" style="2" customWidth="1"/>
    <col min="2677" max="2677" width="6.375" style="2" customWidth="1"/>
    <col min="2678" max="2679" width="3.125" style="2" customWidth="1"/>
    <col min="2680" max="2680" width="1.125" style="2" customWidth="1"/>
    <col min="2681" max="2681" width="9" style="2" customWidth="1"/>
    <col min="2682" max="2682" width="2.375" style="2" customWidth="1"/>
    <col min="2683" max="2700" width="7.625" style="2" customWidth="1"/>
    <col min="2701" max="2863" width="9" style="2" customWidth="1"/>
    <col min="2864" max="2865" width="3.125" style="2" customWidth="1"/>
    <col min="2866" max="2866" width="5.875" style="2" bestFit="1" customWidth="1"/>
    <col min="2867" max="2867" width="5.625" style="2" customWidth="1"/>
    <col min="2868" max="2868" width="10.625" style="2" customWidth="1"/>
    <col min="2869" max="2869" width="12.625" style="2" customWidth="1"/>
    <col min="2870" max="2870" width="8.625" style="2" customWidth="1"/>
    <col min="2871" max="2871" width="5.625" style="2" customWidth="1"/>
    <col min="2872" max="2872" width="4.625" style="2" customWidth="1"/>
    <col min="2873" max="2873" width="5.625" style="2" customWidth="1"/>
    <col min="2874" max="2877" width="4.625" style="2" customWidth="1"/>
    <col min="2878" max="2878" width="7.625" style="2" customWidth="1"/>
    <col min="2879" max="2879" width="8.625" style="2" customWidth="1"/>
    <col min="2880" max="2881" width="5.625" style="2" customWidth="1"/>
    <col min="2882" max="2882" width="6.625" style="2" customWidth="1"/>
    <col min="2883" max="2883" width="9.875" style="2" customWidth="1"/>
    <col min="2884" max="2885" width="8.625" style="2" customWidth="1"/>
    <col min="2886" max="2886" width="5.5" style="2" bestFit="1" customWidth="1"/>
    <col min="2887" max="2928" width="6.75" style="2" customWidth="1"/>
    <col min="2929" max="2929" width="9" style="2" customWidth="1"/>
    <col min="2930" max="2930" width="9.875" style="2" customWidth="1"/>
    <col min="2931" max="2931" width="2.875" style="2" customWidth="1"/>
    <col min="2932" max="2932" width="12.25" style="2" customWidth="1"/>
    <col min="2933" max="2933" width="6.375" style="2" customWidth="1"/>
    <col min="2934" max="2935" width="3.125" style="2" customWidth="1"/>
    <col min="2936" max="2936" width="1.125" style="2" customWidth="1"/>
    <col min="2937" max="2937" width="9" style="2" customWidth="1"/>
    <col min="2938" max="2938" width="2.375" style="2" customWidth="1"/>
    <col min="2939" max="2956" width="7.625" style="2" customWidth="1"/>
    <col min="2957" max="3119" width="9" style="2" customWidth="1"/>
    <col min="3120" max="3121" width="3.125" style="2" customWidth="1"/>
    <col min="3122" max="3122" width="5.875" style="2" bestFit="1" customWidth="1"/>
    <col min="3123" max="3123" width="5.625" style="2" customWidth="1"/>
    <col min="3124" max="3124" width="10.625" style="2" customWidth="1"/>
    <col min="3125" max="3125" width="12.625" style="2" customWidth="1"/>
    <col min="3126" max="3126" width="8.625" style="2" customWidth="1"/>
    <col min="3127" max="3127" width="5.625" style="2" customWidth="1"/>
    <col min="3128" max="3128" width="4.625" style="2" customWidth="1"/>
    <col min="3129" max="3129" width="5.625" style="2" customWidth="1"/>
    <col min="3130" max="3133" width="4.625" style="2" customWidth="1"/>
    <col min="3134" max="3134" width="7.625" style="2" customWidth="1"/>
    <col min="3135" max="3135" width="8.625" style="2" customWidth="1"/>
    <col min="3136" max="3137" width="5.625" style="2" customWidth="1"/>
    <col min="3138" max="3138" width="6.625" style="2" customWidth="1"/>
    <col min="3139" max="3139" width="9.875" style="2" customWidth="1"/>
    <col min="3140" max="3141" width="8.625" style="2" customWidth="1"/>
    <col min="3142" max="3142" width="5.5" style="2" bestFit="1" customWidth="1"/>
    <col min="3143" max="3184" width="6.75" style="2" customWidth="1"/>
    <col min="3185" max="3185" width="9" style="2" customWidth="1"/>
    <col min="3186" max="3186" width="9.875" style="2" customWidth="1"/>
    <col min="3187" max="3187" width="2.875" style="2" customWidth="1"/>
    <col min="3188" max="3188" width="12.25" style="2" customWidth="1"/>
    <col min="3189" max="3189" width="6.375" style="2" customWidth="1"/>
    <col min="3190" max="3191" width="3.125" style="2" customWidth="1"/>
    <col min="3192" max="3192" width="1.125" style="2" customWidth="1"/>
    <col min="3193" max="3193" width="9" style="2" customWidth="1"/>
    <col min="3194" max="3194" width="2.375" style="2" customWidth="1"/>
    <col min="3195" max="3212" width="7.625" style="2" customWidth="1"/>
    <col min="3213" max="3375" width="9" style="2" customWidth="1"/>
    <col min="3376" max="3377" width="3.125" style="2" customWidth="1"/>
    <col min="3378" max="3378" width="5.875" style="2" bestFit="1" customWidth="1"/>
    <col min="3379" max="3379" width="5.625" style="2" customWidth="1"/>
    <col min="3380" max="3380" width="10.625" style="2" customWidth="1"/>
    <col min="3381" max="3381" width="12.625" style="2" customWidth="1"/>
    <col min="3382" max="3382" width="8.625" style="2" customWidth="1"/>
    <col min="3383" max="3383" width="5.625" style="2" customWidth="1"/>
    <col min="3384" max="3384" width="4.625" style="2" customWidth="1"/>
    <col min="3385" max="3385" width="5.625" style="2" customWidth="1"/>
    <col min="3386" max="3389" width="4.625" style="2" customWidth="1"/>
    <col min="3390" max="3390" width="7.625" style="2" customWidth="1"/>
    <col min="3391" max="3391" width="8.625" style="2" customWidth="1"/>
    <col min="3392" max="3393" width="5.625" style="2" customWidth="1"/>
    <col min="3394" max="3394" width="6.625" style="2" customWidth="1"/>
    <col min="3395" max="3395" width="9.875" style="2" customWidth="1"/>
    <col min="3396" max="3397" width="8.625" style="2" customWidth="1"/>
    <col min="3398" max="3398" width="5.5" style="2" bestFit="1" customWidth="1"/>
    <col min="3399" max="3440" width="6.75" style="2" customWidth="1"/>
    <col min="3441" max="3441" width="9" style="2" customWidth="1"/>
    <col min="3442" max="3442" width="9.875" style="2" customWidth="1"/>
    <col min="3443" max="3443" width="2.875" style="2" customWidth="1"/>
    <col min="3444" max="3444" width="12.25" style="2" customWidth="1"/>
    <col min="3445" max="3445" width="6.375" style="2" customWidth="1"/>
    <col min="3446" max="3447" width="3.125" style="2" customWidth="1"/>
    <col min="3448" max="3448" width="1.125" style="2" customWidth="1"/>
    <col min="3449" max="3449" width="9" style="2" customWidth="1"/>
    <col min="3450" max="3450" width="2.375" style="2" customWidth="1"/>
    <col min="3451" max="3468" width="7.625" style="2" customWidth="1"/>
    <col min="3469" max="3631" width="9" style="2" customWidth="1"/>
    <col min="3632" max="3633" width="3.125" style="2" customWidth="1"/>
    <col min="3634" max="3634" width="5.875" style="2" bestFit="1" customWidth="1"/>
    <col min="3635" max="3635" width="5.625" style="2" customWidth="1"/>
    <col min="3636" max="3636" width="10.625" style="2" customWidth="1"/>
    <col min="3637" max="3637" width="12.625" style="2" customWidth="1"/>
    <col min="3638" max="3638" width="8.625" style="2" customWidth="1"/>
    <col min="3639" max="3639" width="5.625" style="2" customWidth="1"/>
    <col min="3640" max="3640" width="4.625" style="2" customWidth="1"/>
    <col min="3641" max="3641" width="5.625" style="2" customWidth="1"/>
    <col min="3642" max="3645" width="4.625" style="2" customWidth="1"/>
    <col min="3646" max="3646" width="7.625" style="2" customWidth="1"/>
    <col min="3647" max="3647" width="8.625" style="2" customWidth="1"/>
    <col min="3648" max="3649" width="5.625" style="2" customWidth="1"/>
    <col min="3650" max="3650" width="6.625" style="2" customWidth="1"/>
    <col min="3651" max="3651" width="9.875" style="2" customWidth="1"/>
    <col min="3652" max="3653" width="8.625" style="2" customWidth="1"/>
    <col min="3654" max="3654" width="5.5" style="2" bestFit="1" customWidth="1"/>
    <col min="3655" max="3696" width="6.75" style="2" customWidth="1"/>
    <col min="3697" max="3697" width="9" style="2" customWidth="1"/>
    <col min="3698" max="3698" width="9.875" style="2" customWidth="1"/>
    <col min="3699" max="3699" width="2.875" style="2" customWidth="1"/>
    <col min="3700" max="3700" width="12.25" style="2" customWidth="1"/>
    <col min="3701" max="3701" width="6.375" style="2" customWidth="1"/>
    <col min="3702" max="3703" width="3.125" style="2" customWidth="1"/>
    <col min="3704" max="3704" width="1.125" style="2" customWidth="1"/>
    <col min="3705" max="3705" width="9" style="2" customWidth="1"/>
    <col min="3706" max="3706" width="2.375" style="2" customWidth="1"/>
    <col min="3707" max="3724" width="7.625" style="2" customWidth="1"/>
    <col min="3725" max="3887" width="9" style="2" customWidth="1"/>
    <col min="3888" max="3889" width="3.125" style="2" customWidth="1"/>
    <col min="3890" max="3890" width="5.875" style="2" bestFit="1" customWidth="1"/>
    <col min="3891" max="3891" width="5.625" style="2" customWidth="1"/>
    <col min="3892" max="3892" width="10.625" style="2" customWidth="1"/>
    <col min="3893" max="3893" width="12.625" style="2" customWidth="1"/>
    <col min="3894" max="3894" width="8.625" style="2" customWidth="1"/>
    <col min="3895" max="3895" width="5.625" style="2" customWidth="1"/>
    <col min="3896" max="3896" width="4.625" style="2" customWidth="1"/>
    <col min="3897" max="3897" width="5.625" style="2" customWidth="1"/>
    <col min="3898" max="3901" width="4.625" style="2" customWidth="1"/>
    <col min="3902" max="3902" width="7.625" style="2" customWidth="1"/>
    <col min="3903" max="3903" width="8.625" style="2" customWidth="1"/>
    <col min="3904" max="3905" width="5.625" style="2" customWidth="1"/>
    <col min="3906" max="3906" width="6.625" style="2" customWidth="1"/>
    <col min="3907" max="3907" width="9.875" style="2" customWidth="1"/>
    <col min="3908" max="3909" width="8.625" style="2" customWidth="1"/>
    <col min="3910" max="3910" width="5.5" style="2" bestFit="1" customWidth="1"/>
    <col min="3911" max="3952" width="6.75" style="2" customWidth="1"/>
    <col min="3953" max="3953" width="9" style="2" customWidth="1"/>
    <col min="3954" max="3954" width="9.875" style="2" customWidth="1"/>
    <col min="3955" max="3955" width="2.875" style="2" customWidth="1"/>
    <col min="3956" max="3956" width="12.25" style="2" customWidth="1"/>
    <col min="3957" max="3957" width="6.375" style="2" customWidth="1"/>
    <col min="3958" max="3959" width="3.125" style="2" customWidth="1"/>
    <col min="3960" max="3960" width="1.125" style="2" customWidth="1"/>
    <col min="3961" max="3961" width="9" style="2" customWidth="1"/>
    <col min="3962" max="3962" width="2.375" style="2" customWidth="1"/>
    <col min="3963" max="3980" width="7.625" style="2" customWidth="1"/>
    <col min="3981" max="4143" width="9" style="2" customWidth="1"/>
    <col min="4144" max="4145" width="3.125" style="2" customWidth="1"/>
    <col min="4146" max="4146" width="5.875" style="2" bestFit="1" customWidth="1"/>
    <col min="4147" max="4147" width="5.625" style="2" customWidth="1"/>
    <col min="4148" max="4148" width="10.625" style="2" customWidth="1"/>
    <col min="4149" max="4149" width="12.625" style="2" customWidth="1"/>
    <col min="4150" max="4150" width="8.625" style="2" customWidth="1"/>
    <col min="4151" max="4151" width="5.625" style="2" customWidth="1"/>
    <col min="4152" max="4152" width="4.625" style="2" customWidth="1"/>
    <col min="4153" max="4153" width="5.625" style="2" customWidth="1"/>
    <col min="4154" max="4157" width="4.625" style="2" customWidth="1"/>
    <col min="4158" max="4158" width="7.625" style="2" customWidth="1"/>
    <col min="4159" max="4159" width="8.625" style="2" customWidth="1"/>
    <col min="4160" max="4161" width="5.625" style="2" customWidth="1"/>
    <col min="4162" max="4162" width="6.625" style="2" customWidth="1"/>
    <col min="4163" max="4163" width="9.875" style="2" customWidth="1"/>
    <col min="4164" max="4165" width="8.625" style="2" customWidth="1"/>
    <col min="4166" max="4166" width="5.5" style="2" bestFit="1" customWidth="1"/>
    <col min="4167" max="4208" width="6.75" style="2" customWidth="1"/>
    <col min="4209" max="4209" width="9" style="2" customWidth="1"/>
    <col min="4210" max="4210" width="9.875" style="2" customWidth="1"/>
    <col min="4211" max="4211" width="2.875" style="2" customWidth="1"/>
    <col min="4212" max="4212" width="12.25" style="2" customWidth="1"/>
    <col min="4213" max="4213" width="6.375" style="2" customWidth="1"/>
    <col min="4214" max="4215" width="3.125" style="2" customWidth="1"/>
    <col min="4216" max="4216" width="1.125" style="2" customWidth="1"/>
    <col min="4217" max="4217" width="9" style="2" customWidth="1"/>
    <col min="4218" max="4218" width="2.375" style="2" customWidth="1"/>
    <col min="4219" max="4236" width="7.625" style="2" customWidth="1"/>
    <col min="4237" max="4399" width="9" style="2" customWidth="1"/>
    <col min="4400" max="4401" width="3.125" style="2" customWidth="1"/>
    <col min="4402" max="4402" width="5.875" style="2" bestFit="1" customWidth="1"/>
    <col min="4403" max="4403" width="5.625" style="2" customWidth="1"/>
    <col min="4404" max="4404" width="10.625" style="2" customWidth="1"/>
    <col min="4405" max="4405" width="12.625" style="2" customWidth="1"/>
    <col min="4406" max="4406" width="8.625" style="2" customWidth="1"/>
    <col min="4407" max="4407" width="5.625" style="2" customWidth="1"/>
    <col min="4408" max="4408" width="4.625" style="2" customWidth="1"/>
    <col min="4409" max="4409" width="5.625" style="2" customWidth="1"/>
    <col min="4410" max="4413" width="4.625" style="2" customWidth="1"/>
    <col min="4414" max="4414" width="7.625" style="2" customWidth="1"/>
    <col min="4415" max="4415" width="8.625" style="2" customWidth="1"/>
    <col min="4416" max="4417" width="5.625" style="2" customWidth="1"/>
    <col min="4418" max="4418" width="6.625" style="2" customWidth="1"/>
    <col min="4419" max="4419" width="9.875" style="2" customWidth="1"/>
    <col min="4420" max="4421" width="8.625" style="2" customWidth="1"/>
    <col min="4422" max="4422" width="5.5" style="2" bestFit="1" customWidth="1"/>
    <col min="4423" max="4464" width="6.75" style="2" customWidth="1"/>
    <col min="4465" max="4465" width="9" style="2" customWidth="1"/>
    <col min="4466" max="4466" width="9.875" style="2" customWidth="1"/>
    <col min="4467" max="4467" width="2.875" style="2" customWidth="1"/>
    <col min="4468" max="4468" width="12.25" style="2" customWidth="1"/>
    <col min="4469" max="4469" width="6.375" style="2" customWidth="1"/>
    <col min="4470" max="4471" width="3.125" style="2" customWidth="1"/>
    <col min="4472" max="4472" width="1.125" style="2" customWidth="1"/>
    <col min="4473" max="4473" width="9" style="2" customWidth="1"/>
    <col min="4474" max="4474" width="2.375" style="2" customWidth="1"/>
    <col min="4475" max="4492" width="7.625" style="2" customWidth="1"/>
    <col min="4493" max="4655" width="9" style="2" customWidth="1"/>
    <col min="4656" max="4657" width="3.125" style="2" customWidth="1"/>
    <col min="4658" max="4658" width="5.875" style="2" bestFit="1" customWidth="1"/>
    <col min="4659" max="4659" width="5.625" style="2" customWidth="1"/>
    <col min="4660" max="4660" width="10.625" style="2" customWidth="1"/>
    <col min="4661" max="4661" width="12.625" style="2" customWidth="1"/>
    <col min="4662" max="4662" width="8.625" style="2" customWidth="1"/>
    <col min="4663" max="4663" width="5.625" style="2" customWidth="1"/>
    <col min="4664" max="4664" width="4.625" style="2" customWidth="1"/>
    <col min="4665" max="4665" width="5.625" style="2" customWidth="1"/>
    <col min="4666" max="4669" width="4.625" style="2" customWidth="1"/>
    <col min="4670" max="4670" width="7.625" style="2" customWidth="1"/>
    <col min="4671" max="4671" width="8.625" style="2" customWidth="1"/>
    <col min="4672" max="4673" width="5.625" style="2" customWidth="1"/>
    <col min="4674" max="4674" width="6.625" style="2" customWidth="1"/>
    <col min="4675" max="4675" width="9.875" style="2" customWidth="1"/>
    <col min="4676" max="4677" width="8.625" style="2" customWidth="1"/>
    <col min="4678" max="4678" width="5.5" style="2" bestFit="1" customWidth="1"/>
    <col min="4679" max="4720" width="6.75" style="2" customWidth="1"/>
    <col min="4721" max="4721" width="9" style="2" customWidth="1"/>
    <col min="4722" max="4722" width="9.875" style="2" customWidth="1"/>
    <col min="4723" max="4723" width="2.875" style="2" customWidth="1"/>
    <col min="4724" max="4724" width="12.25" style="2" customWidth="1"/>
    <col min="4725" max="4725" width="6.375" style="2" customWidth="1"/>
    <col min="4726" max="4727" width="3.125" style="2" customWidth="1"/>
    <col min="4728" max="4728" width="1.125" style="2" customWidth="1"/>
    <col min="4729" max="4729" width="9" style="2" customWidth="1"/>
    <col min="4730" max="4730" width="2.375" style="2" customWidth="1"/>
    <col min="4731" max="4748" width="7.625" style="2" customWidth="1"/>
    <col min="4749" max="4911" width="9" style="2" customWidth="1"/>
    <col min="4912" max="4913" width="3.125" style="2" customWidth="1"/>
    <col min="4914" max="4914" width="5.875" style="2" bestFit="1" customWidth="1"/>
    <col min="4915" max="4915" width="5.625" style="2" customWidth="1"/>
    <col min="4916" max="4916" width="10.625" style="2" customWidth="1"/>
    <col min="4917" max="4917" width="12.625" style="2" customWidth="1"/>
    <col min="4918" max="4918" width="8.625" style="2" customWidth="1"/>
    <col min="4919" max="4919" width="5.625" style="2" customWidth="1"/>
    <col min="4920" max="4920" width="4.625" style="2" customWidth="1"/>
    <col min="4921" max="4921" width="5.625" style="2" customWidth="1"/>
    <col min="4922" max="4925" width="4.625" style="2" customWidth="1"/>
    <col min="4926" max="4926" width="7.625" style="2" customWidth="1"/>
    <col min="4927" max="4927" width="8.625" style="2" customWidth="1"/>
    <col min="4928" max="4929" width="5.625" style="2" customWidth="1"/>
    <col min="4930" max="4930" width="6.625" style="2" customWidth="1"/>
    <col min="4931" max="4931" width="9.875" style="2" customWidth="1"/>
    <col min="4932" max="4933" width="8.625" style="2" customWidth="1"/>
    <col min="4934" max="4934" width="5.5" style="2" bestFit="1" customWidth="1"/>
    <col min="4935" max="4976" width="6.75" style="2" customWidth="1"/>
    <col min="4977" max="4977" width="9" style="2" customWidth="1"/>
    <col min="4978" max="4978" width="9.875" style="2" customWidth="1"/>
    <col min="4979" max="4979" width="2.875" style="2" customWidth="1"/>
    <col min="4980" max="4980" width="12.25" style="2" customWidth="1"/>
    <col min="4981" max="4981" width="6.375" style="2" customWidth="1"/>
    <col min="4982" max="4983" width="3.125" style="2" customWidth="1"/>
    <col min="4984" max="4984" width="1.125" style="2" customWidth="1"/>
    <col min="4985" max="4985" width="9" style="2" customWidth="1"/>
    <col min="4986" max="4986" width="2.375" style="2" customWidth="1"/>
    <col min="4987" max="5004" width="7.625" style="2" customWidth="1"/>
    <col min="5005" max="5167" width="9" style="2" customWidth="1"/>
    <col min="5168" max="5169" width="3.125" style="2" customWidth="1"/>
    <col min="5170" max="5170" width="5.875" style="2" bestFit="1" customWidth="1"/>
    <col min="5171" max="5171" width="5.625" style="2" customWidth="1"/>
    <col min="5172" max="5172" width="10.625" style="2" customWidth="1"/>
    <col min="5173" max="5173" width="12.625" style="2" customWidth="1"/>
    <col min="5174" max="5174" width="8.625" style="2" customWidth="1"/>
    <col min="5175" max="5175" width="5.625" style="2" customWidth="1"/>
    <col min="5176" max="5176" width="4.625" style="2" customWidth="1"/>
    <col min="5177" max="5177" width="5.625" style="2" customWidth="1"/>
    <col min="5178" max="5181" width="4.625" style="2" customWidth="1"/>
    <col min="5182" max="5182" width="7.625" style="2" customWidth="1"/>
    <col min="5183" max="5183" width="8.625" style="2" customWidth="1"/>
    <col min="5184" max="5185" width="5.625" style="2" customWidth="1"/>
    <col min="5186" max="5186" width="6.625" style="2" customWidth="1"/>
    <col min="5187" max="5187" width="9.875" style="2" customWidth="1"/>
    <col min="5188" max="5189" width="8.625" style="2" customWidth="1"/>
    <col min="5190" max="5190" width="5.5" style="2" bestFit="1" customWidth="1"/>
    <col min="5191" max="5232" width="6.75" style="2" customWidth="1"/>
    <col min="5233" max="5233" width="9" style="2" customWidth="1"/>
    <col min="5234" max="5234" width="9.875" style="2" customWidth="1"/>
    <col min="5235" max="5235" width="2.875" style="2" customWidth="1"/>
    <col min="5236" max="5236" width="12.25" style="2" customWidth="1"/>
    <col min="5237" max="5237" width="6.375" style="2" customWidth="1"/>
    <col min="5238" max="5239" width="3.125" style="2" customWidth="1"/>
    <col min="5240" max="5240" width="1.125" style="2" customWidth="1"/>
    <col min="5241" max="5241" width="9" style="2" customWidth="1"/>
    <col min="5242" max="5242" width="2.375" style="2" customWidth="1"/>
    <col min="5243" max="5260" width="7.625" style="2" customWidth="1"/>
    <col min="5261" max="5423" width="9" style="2" customWidth="1"/>
    <col min="5424" max="5425" width="3.125" style="2" customWidth="1"/>
    <col min="5426" max="5426" width="5.875" style="2" bestFit="1" customWidth="1"/>
    <col min="5427" max="5427" width="5.625" style="2" customWidth="1"/>
    <col min="5428" max="5428" width="10.625" style="2" customWidth="1"/>
    <col min="5429" max="5429" width="12.625" style="2" customWidth="1"/>
    <col min="5430" max="5430" width="8.625" style="2" customWidth="1"/>
    <col min="5431" max="5431" width="5.625" style="2" customWidth="1"/>
    <col min="5432" max="5432" width="4.625" style="2" customWidth="1"/>
    <col min="5433" max="5433" width="5.625" style="2" customWidth="1"/>
    <col min="5434" max="5437" width="4.625" style="2" customWidth="1"/>
    <col min="5438" max="5438" width="7.625" style="2" customWidth="1"/>
    <col min="5439" max="5439" width="8.625" style="2" customWidth="1"/>
    <col min="5440" max="5441" width="5.625" style="2" customWidth="1"/>
    <col min="5442" max="5442" width="6.625" style="2" customWidth="1"/>
    <col min="5443" max="5443" width="9.875" style="2" customWidth="1"/>
    <col min="5444" max="5445" width="8.625" style="2" customWidth="1"/>
    <col min="5446" max="5446" width="5.5" style="2" bestFit="1" customWidth="1"/>
    <col min="5447" max="5488" width="6.75" style="2" customWidth="1"/>
    <col min="5489" max="5489" width="9" style="2" customWidth="1"/>
    <col min="5490" max="5490" width="9.875" style="2" customWidth="1"/>
    <col min="5491" max="5491" width="2.875" style="2" customWidth="1"/>
    <col min="5492" max="5492" width="12.25" style="2" customWidth="1"/>
    <col min="5493" max="5493" width="6.375" style="2" customWidth="1"/>
    <col min="5494" max="5495" width="3.125" style="2" customWidth="1"/>
    <col min="5496" max="5496" width="1.125" style="2" customWidth="1"/>
    <col min="5497" max="5497" width="9" style="2" customWidth="1"/>
    <col min="5498" max="5498" width="2.375" style="2" customWidth="1"/>
    <col min="5499" max="5516" width="7.625" style="2" customWidth="1"/>
    <col min="5517" max="5679" width="9" style="2" customWidth="1"/>
    <col min="5680" max="5681" width="3.125" style="2" customWidth="1"/>
    <col min="5682" max="5682" width="5.875" style="2" bestFit="1" customWidth="1"/>
    <col min="5683" max="5683" width="5.625" style="2" customWidth="1"/>
    <col min="5684" max="5684" width="10.625" style="2" customWidth="1"/>
    <col min="5685" max="5685" width="12.625" style="2" customWidth="1"/>
    <col min="5686" max="5686" width="8.625" style="2" customWidth="1"/>
    <col min="5687" max="5687" width="5.625" style="2" customWidth="1"/>
    <col min="5688" max="5688" width="4.625" style="2" customWidth="1"/>
    <col min="5689" max="5689" width="5.625" style="2" customWidth="1"/>
    <col min="5690" max="5693" width="4.625" style="2" customWidth="1"/>
    <col min="5694" max="5694" width="7.625" style="2" customWidth="1"/>
    <col min="5695" max="5695" width="8.625" style="2" customWidth="1"/>
    <col min="5696" max="5697" width="5.625" style="2" customWidth="1"/>
    <col min="5698" max="5698" width="6.625" style="2" customWidth="1"/>
    <col min="5699" max="5699" width="9.875" style="2" customWidth="1"/>
    <col min="5700" max="5701" width="8.625" style="2" customWidth="1"/>
    <col min="5702" max="5702" width="5.5" style="2" bestFit="1" customWidth="1"/>
    <col min="5703" max="5744" width="6.75" style="2" customWidth="1"/>
    <col min="5745" max="5745" width="9" style="2" customWidth="1"/>
    <col min="5746" max="5746" width="9.875" style="2" customWidth="1"/>
    <col min="5747" max="5747" width="2.875" style="2" customWidth="1"/>
    <col min="5748" max="5748" width="12.25" style="2" customWidth="1"/>
    <col min="5749" max="5749" width="6.375" style="2" customWidth="1"/>
    <col min="5750" max="5751" width="3.125" style="2" customWidth="1"/>
    <col min="5752" max="5752" width="1.125" style="2" customWidth="1"/>
    <col min="5753" max="5753" width="9" style="2" customWidth="1"/>
    <col min="5754" max="5754" width="2.375" style="2" customWidth="1"/>
    <col min="5755" max="5772" width="7.625" style="2" customWidth="1"/>
    <col min="5773" max="5935" width="9" style="2" customWidth="1"/>
    <col min="5936" max="5937" width="3.125" style="2" customWidth="1"/>
    <col min="5938" max="5938" width="5.875" style="2" bestFit="1" customWidth="1"/>
    <col min="5939" max="5939" width="5.625" style="2" customWidth="1"/>
    <col min="5940" max="5940" width="10.625" style="2" customWidth="1"/>
    <col min="5941" max="5941" width="12.625" style="2" customWidth="1"/>
    <col min="5942" max="5942" width="8.625" style="2" customWidth="1"/>
    <col min="5943" max="5943" width="5.625" style="2" customWidth="1"/>
    <col min="5944" max="5944" width="4.625" style="2" customWidth="1"/>
    <col min="5945" max="5945" width="5.625" style="2" customWidth="1"/>
    <col min="5946" max="5949" width="4.625" style="2" customWidth="1"/>
    <col min="5950" max="5950" width="7.625" style="2" customWidth="1"/>
    <col min="5951" max="5951" width="8.625" style="2" customWidth="1"/>
    <col min="5952" max="5953" width="5.625" style="2" customWidth="1"/>
    <col min="5954" max="5954" width="6.625" style="2" customWidth="1"/>
    <col min="5955" max="5955" width="9.875" style="2" customWidth="1"/>
    <col min="5956" max="5957" width="8.625" style="2" customWidth="1"/>
    <col min="5958" max="5958" width="5.5" style="2" bestFit="1" customWidth="1"/>
    <col min="5959" max="6000" width="6.75" style="2" customWidth="1"/>
    <col min="6001" max="6001" width="9" style="2" customWidth="1"/>
    <col min="6002" max="6002" width="9.875" style="2" customWidth="1"/>
    <col min="6003" max="6003" width="2.875" style="2" customWidth="1"/>
    <col min="6004" max="6004" width="12.25" style="2" customWidth="1"/>
    <col min="6005" max="6005" width="6.375" style="2" customWidth="1"/>
    <col min="6006" max="6007" width="3.125" style="2" customWidth="1"/>
    <col min="6008" max="6008" width="1.125" style="2" customWidth="1"/>
    <col min="6009" max="6009" width="9" style="2" customWidth="1"/>
    <col min="6010" max="6010" width="2.375" style="2" customWidth="1"/>
    <col min="6011" max="6028" width="7.625" style="2" customWidth="1"/>
    <col min="6029" max="6191" width="9" style="2" customWidth="1"/>
    <col min="6192" max="6193" width="3.125" style="2" customWidth="1"/>
    <col min="6194" max="6194" width="5.875" style="2" bestFit="1" customWidth="1"/>
    <col min="6195" max="6195" width="5.625" style="2" customWidth="1"/>
    <col min="6196" max="6196" width="10.625" style="2" customWidth="1"/>
    <col min="6197" max="6197" width="12.625" style="2" customWidth="1"/>
    <col min="6198" max="6198" width="8.625" style="2" customWidth="1"/>
    <col min="6199" max="6199" width="5.625" style="2" customWidth="1"/>
    <col min="6200" max="6200" width="4.625" style="2" customWidth="1"/>
    <col min="6201" max="6201" width="5.625" style="2" customWidth="1"/>
    <col min="6202" max="6205" width="4.625" style="2" customWidth="1"/>
    <col min="6206" max="6206" width="7.625" style="2" customWidth="1"/>
    <col min="6207" max="6207" width="8.625" style="2" customWidth="1"/>
    <col min="6208" max="6209" width="5.625" style="2" customWidth="1"/>
    <col min="6210" max="6210" width="6.625" style="2" customWidth="1"/>
    <col min="6211" max="6211" width="9.875" style="2" customWidth="1"/>
    <col min="6212" max="6213" width="8.625" style="2" customWidth="1"/>
    <col min="6214" max="6214" width="5.5" style="2" bestFit="1" customWidth="1"/>
    <col min="6215" max="6256" width="6.75" style="2" customWidth="1"/>
    <col min="6257" max="6257" width="9" style="2" customWidth="1"/>
    <col min="6258" max="6258" width="9.875" style="2" customWidth="1"/>
    <col min="6259" max="6259" width="2.875" style="2" customWidth="1"/>
    <col min="6260" max="6260" width="12.25" style="2" customWidth="1"/>
    <col min="6261" max="6261" width="6.375" style="2" customWidth="1"/>
    <col min="6262" max="6263" width="3.125" style="2" customWidth="1"/>
    <col min="6264" max="6264" width="1.125" style="2" customWidth="1"/>
    <col min="6265" max="6265" width="9" style="2" customWidth="1"/>
    <col min="6266" max="6266" width="2.375" style="2" customWidth="1"/>
    <col min="6267" max="6284" width="7.625" style="2" customWidth="1"/>
    <col min="6285" max="6447" width="9" style="2" customWidth="1"/>
    <col min="6448" max="6449" width="3.125" style="2" customWidth="1"/>
    <col min="6450" max="6450" width="5.875" style="2" bestFit="1" customWidth="1"/>
    <col min="6451" max="6451" width="5.625" style="2" customWidth="1"/>
    <col min="6452" max="6452" width="10.625" style="2" customWidth="1"/>
    <col min="6453" max="6453" width="12.625" style="2" customWidth="1"/>
    <col min="6454" max="6454" width="8.625" style="2" customWidth="1"/>
    <col min="6455" max="6455" width="5.625" style="2" customWidth="1"/>
    <col min="6456" max="6456" width="4.625" style="2" customWidth="1"/>
    <col min="6457" max="6457" width="5.625" style="2" customWidth="1"/>
    <col min="6458" max="6461" width="4.625" style="2" customWidth="1"/>
    <col min="6462" max="6462" width="7.625" style="2" customWidth="1"/>
    <col min="6463" max="6463" width="8.625" style="2" customWidth="1"/>
    <col min="6464" max="6465" width="5.625" style="2" customWidth="1"/>
    <col min="6466" max="6466" width="6.625" style="2" customWidth="1"/>
    <col min="6467" max="6467" width="9.875" style="2" customWidth="1"/>
    <col min="6468" max="6469" width="8.625" style="2" customWidth="1"/>
    <col min="6470" max="6470" width="5.5" style="2" bestFit="1" customWidth="1"/>
    <col min="6471" max="6512" width="6.75" style="2" customWidth="1"/>
    <col min="6513" max="6513" width="9" style="2" customWidth="1"/>
    <col min="6514" max="6514" width="9.875" style="2" customWidth="1"/>
    <col min="6515" max="6515" width="2.875" style="2" customWidth="1"/>
    <col min="6516" max="6516" width="12.25" style="2" customWidth="1"/>
    <col min="6517" max="6517" width="6.375" style="2" customWidth="1"/>
    <col min="6518" max="6519" width="3.125" style="2" customWidth="1"/>
    <col min="6520" max="6520" width="1.125" style="2" customWidth="1"/>
    <col min="6521" max="6521" width="9" style="2" customWidth="1"/>
    <col min="6522" max="6522" width="2.375" style="2" customWidth="1"/>
    <col min="6523" max="6540" width="7.625" style="2" customWidth="1"/>
    <col min="6541" max="6703" width="9" style="2" customWidth="1"/>
    <col min="6704" max="6705" width="3.125" style="2" customWidth="1"/>
    <col min="6706" max="6706" width="5.875" style="2" bestFit="1" customWidth="1"/>
    <col min="6707" max="6707" width="5.625" style="2" customWidth="1"/>
    <col min="6708" max="6708" width="10.625" style="2" customWidth="1"/>
    <col min="6709" max="6709" width="12.625" style="2" customWidth="1"/>
    <col min="6710" max="6710" width="8.625" style="2" customWidth="1"/>
    <col min="6711" max="6711" width="5.625" style="2" customWidth="1"/>
    <col min="6712" max="6712" width="4.625" style="2" customWidth="1"/>
    <col min="6713" max="6713" width="5.625" style="2" customWidth="1"/>
    <col min="6714" max="6717" width="4.625" style="2" customWidth="1"/>
    <col min="6718" max="6718" width="7.625" style="2" customWidth="1"/>
    <col min="6719" max="6719" width="8.625" style="2" customWidth="1"/>
    <col min="6720" max="6721" width="5.625" style="2" customWidth="1"/>
    <col min="6722" max="6722" width="6.625" style="2" customWidth="1"/>
    <col min="6723" max="6723" width="9.875" style="2" customWidth="1"/>
    <col min="6724" max="6725" width="8.625" style="2" customWidth="1"/>
    <col min="6726" max="6726" width="5.5" style="2" bestFit="1" customWidth="1"/>
    <col min="6727" max="6768" width="6.75" style="2" customWidth="1"/>
    <col min="6769" max="6769" width="9" style="2" customWidth="1"/>
    <col min="6770" max="6770" width="9.875" style="2" customWidth="1"/>
    <col min="6771" max="6771" width="2.875" style="2" customWidth="1"/>
    <col min="6772" max="6772" width="12.25" style="2" customWidth="1"/>
    <col min="6773" max="6773" width="6.375" style="2" customWidth="1"/>
    <col min="6774" max="6775" width="3.125" style="2" customWidth="1"/>
    <col min="6776" max="6776" width="1.125" style="2" customWidth="1"/>
    <col min="6777" max="6777" width="9" style="2" customWidth="1"/>
    <col min="6778" max="6778" width="2.375" style="2" customWidth="1"/>
    <col min="6779" max="6796" width="7.625" style="2" customWidth="1"/>
    <col min="6797" max="6959" width="9" style="2" customWidth="1"/>
    <col min="6960" max="6961" width="3.125" style="2" customWidth="1"/>
    <col min="6962" max="6962" width="5.875" style="2" bestFit="1" customWidth="1"/>
    <col min="6963" max="6963" width="5.625" style="2" customWidth="1"/>
    <col min="6964" max="6964" width="10.625" style="2" customWidth="1"/>
    <col min="6965" max="6965" width="12.625" style="2" customWidth="1"/>
    <col min="6966" max="6966" width="8.625" style="2" customWidth="1"/>
    <col min="6967" max="6967" width="5.625" style="2" customWidth="1"/>
    <col min="6968" max="6968" width="4.625" style="2" customWidth="1"/>
    <col min="6969" max="6969" width="5.625" style="2" customWidth="1"/>
    <col min="6970" max="6973" width="4.625" style="2" customWidth="1"/>
    <col min="6974" max="6974" width="7.625" style="2" customWidth="1"/>
    <col min="6975" max="6975" width="8.625" style="2" customWidth="1"/>
    <col min="6976" max="6977" width="5.625" style="2" customWidth="1"/>
    <col min="6978" max="6978" width="6.625" style="2" customWidth="1"/>
    <col min="6979" max="6979" width="9.875" style="2" customWidth="1"/>
    <col min="6980" max="6981" width="8.625" style="2" customWidth="1"/>
    <col min="6982" max="6982" width="5.5" style="2" bestFit="1" customWidth="1"/>
    <col min="6983" max="7024" width="6.75" style="2" customWidth="1"/>
    <col min="7025" max="7025" width="9" style="2" customWidth="1"/>
    <col min="7026" max="7026" width="9.875" style="2" customWidth="1"/>
    <col min="7027" max="7027" width="2.875" style="2" customWidth="1"/>
    <col min="7028" max="7028" width="12.25" style="2" customWidth="1"/>
    <col min="7029" max="7029" width="6.375" style="2" customWidth="1"/>
    <col min="7030" max="7031" width="3.125" style="2" customWidth="1"/>
    <col min="7032" max="7032" width="1.125" style="2" customWidth="1"/>
    <col min="7033" max="7033" width="9" style="2" customWidth="1"/>
    <col min="7034" max="7034" width="2.375" style="2" customWidth="1"/>
    <col min="7035" max="7052" width="7.625" style="2" customWidth="1"/>
    <col min="7053" max="7215" width="9" style="2" customWidth="1"/>
    <col min="7216" max="7217" width="3.125" style="2" customWidth="1"/>
    <col min="7218" max="7218" width="5.875" style="2" bestFit="1" customWidth="1"/>
    <col min="7219" max="7219" width="5.625" style="2" customWidth="1"/>
    <col min="7220" max="7220" width="10.625" style="2" customWidth="1"/>
    <col min="7221" max="7221" width="12.625" style="2" customWidth="1"/>
    <col min="7222" max="7222" width="8.625" style="2" customWidth="1"/>
    <col min="7223" max="7223" width="5.625" style="2" customWidth="1"/>
    <col min="7224" max="7224" width="4.625" style="2" customWidth="1"/>
    <col min="7225" max="7225" width="5.625" style="2" customWidth="1"/>
    <col min="7226" max="7229" width="4.625" style="2" customWidth="1"/>
    <col min="7230" max="7230" width="7.625" style="2" customWidth="1"/>
    <col min="7231" max="7231" width="8.625" style="2" customWidth="1"/>
    <col min="7232" max="7233" width="5.625" style="2" customWidth="1"/>
    <col min="7234" max="7234" width="6.625" style="2" customWidth="1"/>
    <col min="7235" max="7235" width="9.875" style="2" customWidth="1"/>
    <col min="7236" max="7237" width="8.625" style="2" customWidth="1"/>
    <col min="7238" max="7238" width="5.5" style="2" bestFit="1" customWidth="1"/>
    <col min="7239" max="7280" width="6.75" style="2" customWidth="1"/>
    <col min="7281" max="7281" width="9" style="2" customWidth="1"/>
    <col min="7282" max="7282" width="9.875" style="2" customWidth="1"/>
    <col min="7283" max="7283" width="2.875" style="2" customWidth="1"/>
    <col min="7284" max="7284" width="12.25" style="2" customWidth="1"/>
    <col min="7285" max="7285" width="6.375" style="2" customWidth="1"/>
    <col min="7286" max="7287" width="3.125" style="2" customWidth="1"/>
    <col min="7288" max="7288" width="1.125" style="2" customWidth="1"/>
    <col min="7289" max="7289" width="9" style="2" customWidth="1"/>
    <col min="7290" max="7290" width="2.375" style="2" customWidth="1"/>
    <col min="7291" max="7308" width="7.625" style="2" customWidth="1"/>
    <col min="7309" max="7471" width="9" style="2" customWidth="1"/>
    <col min="7472" max="7473" width="3.125" style="2" customWidth="1"/>
    <col min="7474" max="7474" width="5.875" style="2" bestFit="1" customWidth="1"/>
    <col min="7475" max="7475" width="5.625" style="2" customWidth="1"/>
    <col min="7476" max="7476" width="10.625" style="2" customWidth="1"/>
    <col min="7477" max="7477" width="12.625" style="2" customWidth="1"/>
    <col min="7478" max="7478" width="8.625" style="2" customWidth="1"/>
    <col min="7479" max="7479" width="5.625" style="2" customWidth="1"/>
    <col min="7480" max="7480" width="4.625" style="2" customWidth="1"/>
    <col min="7481" max="7481" width="5.625" style="2" customWidth="1"/>
    <col min="7482" max="7485" width="4.625" style="2" customWidth="1"/>
    <col min="7486" max="7486" width="7.625" style="2" customWidth="1"/>
    <col min="7487" max="7487" width="8.625" style="2" customWidth="1"/>
    <col min="7488" max="7489" width="5.625" style="2" customWidth="1"/>
    <col min="7490" max="7490" width="6.625" style="2" customWidth="1"/>
    <col min="7491" max="7491" width="9.875" style="2" customWidth="1"/>
    <col min="7492" max="7493" width="8.625" style="2" customWidth="1"/>
    <col min="7494" max="7494" width="5.5" style="2" bestFit="1" customWidth="1"/>
    <col min="7495" max="7536" width="6.75" style="2" customWidth="1"/>
    <col min="7537" max="7537" width="9" style="2" customWidth="1"/>
    <col min="7538" max="7538" width="9.875" style="2" customWidth="1"/>
    <col min="7539" max="7539" width="2.875" style="2" customWidth="1"/>
    <col min="7540" max="7540" width="12.25" style="2" customWidth="1"/>
    <col min="7541" max="7541" width="6.375" style="2" customWidth="1"/>
    <col min="7542" max="7543" width="3.125" style="2" customWidth="1"/>
    <col min="7544" max="7544" width="1.125" style="2" customWidth="1"/>
    <col min="7545" max="7545" width="9" style="2" customWidth="1"/>
    <col min="7546" max="7546" width="2.375" style="2" customWidth="1"/>
    <col min="7547" max="7564" width="7.625" style="2" customWidth="1"/>
    <col min="7565" max="7727" width="9" style="2" customWidth="1"/>
    <col min="7728" max="7729" width="3.125" style="2" customWidth="1"/>
    <col min="7730" max="7730" width="5.875" style="2" bestFit="1" customWidth="1"/>
    <col min="7731" max="7731" width="5.625" style="2" customWidth="1"/>
    <col min="7732" max="7732" width="10.625" style="2" customWidth="1"/>
    <col min="7733" max="7733" width="12.625" style="2" customWidth="1"/>
    <col min="7734" max="7734" width="8.625" style="2" customWidth="1"/>
    <col min="7735" max="7735" width="5.625" style="2" customWidth="1"/>
    <col min="7736" max="7736" width="4.625" style="2" customWidth="1"/>
    <col min="7737" max="7737" width="5.625" style="2" customWidth="1"/>
    <col min="7738" max="7741" width="4.625" style="2" customWidth="1"/>
    <col min="7742" max="7742" width="7.625" style="2" customWidth="1"/>
    <col min="7743" max="7743" width="8.625" style="2" customWidth="1"/>
    <col min="7744" max="7745" width="5.625" style="2" customWidth="1"/>
    <col min="7746" max="7746" width="6.625" style="2" customWidth="1"/>
    <col min="7747" max="7747" width="9.875" style="2" customWidth="1"/>
    <col min="7748" max="7749" width="8.625" style="2" customWidth="1"/>
    <col min="7750" max="7750" width="5.5" style="2" bestFit="1" customWidth="1"/>
    <col min="7751" max="7792" width="6.75" style="2" customWidth="1"/>
    <col min="7793" max="7793" width="9" style="2" customWidth="1"/>
    <col min="7794" max="7794" width="9.875" style="2" customWidth="1"/>
    <col min="7795" max="7795" width="2.875" style="2" customWidth="1"/>
    <col min="7796" max="7796" width="12.25" style="2" customWidth="1"/>
    <col min="7797" max="7797" width="6.375" style="2" customWidth="1"/>
    <col min="7798" max="7799" width="3.125" style="2" customWidth="1"/>
    <col min="7800" max="7800" width="1.125" style="2" customWidth="1"/>
    <col min="7801" max="7801" width="9" style="2" customWidth="1"/>
    <col min="7802" max="7802" width="2.375" style="2" customWidth="1"/>
    <col min="7803" max="7820" width="7.625" style="2" customWidth="1"/>
    <col min="7821" max="7983" width="9" style="2" customWidth="1"/>
    <col min="7984" max="7985" width="3.125" style="2" customWidth="1"/>
    <col min="7986" max="7986" width="5.875" style="2" bestFit="1" customWidth="1"/>
    <col min="7987" max="7987" width="5.625" style="2" customWidth="1"/>
    <col min="7988" max="7988" width="10.625" style="2" customWidth="1"/>
    <col min="7989" max="7989" width="12.625" style="2" customWidth="1"/>
    <col min="7990" max="7990" width="8.625" style="2" customWidth="1"/>
    <col min="7991" max="7991" width="5.625" style="2" customWidth="1"/>
    <col min="7992" max="7992" width="4.625" style="2" customWidth="1"/>
    <col min="7993" max="7993" width="5.625" style="2" customWidth="1"/>
    <col min="7994" max="7997" width="4.625" style="2" customWidth="1"/>
    <col min="7998" max="7998" width="7.625" style="2" customWidth="1"/>
    <col min="7999" max="7999" width="8.625" style="2" customWidth="1"/>
    <col min="8000" max="8001" width="5.625" style="2" customWidth="1"/>
    <col min="8002" max="8002" width="6.625" style="2" customWidth="1"/>
    <col min="8003" max="8003" width="9.875" style="2" customWidth="1"/>
    <col min="8004" max="8005" width="8.625" style="2" customWidth="1"/>
    <col min="8006" max="8006" width="5.5" style="2" bestFit="1" customWidth="1"/>
    <col min="8007" max="8048" width="6.75" style="2" customWidth="1"/>
    <col min="8049" max="8049" width="9" style="2" customWidth="1"/>
    <col min="8050" max="8050" width="9.875" style="2" customWidth="1"/>
    <col min="8051" max="8051" width="2.875" style="2" customWidth="1"/>
    <col min="8052" max="8052" width="12.25" style="2" customWidth="1"/>
    <col min="8053" max="8053" width="6.375" style="2" customWidth="1"/>
    <col min="8054" max="8055" width="3.125" style="2" customWidth="1"/>
    <col min="8056" max="8056" width="1.125" style="2" customWidth="1"/>
    <col min="8057" max="8057" width="9" style="2" customWidth="1"/>
    <col min="8058" max="8058" width="2.375" style="2" customWidth="1"/>
    <col min="8059" max="8076" width="7.625" style="2" customWidth="1"/>
    <col min="8077" max="8239" width="9" style="2" customWidth="1"/>
    <col min="8240" max="8241" width="3.125" style="2" customWidth="1"/>
    <col min="8242" max="8242" width="5.875" style="2" bestFit="1" customWidth="1"/>
    <col min="8243" max="8243" width="5.625" style="2" customWidth="1"/>
    <col min="8244" max="8244" width="10.625" style="2" customWidth="1"/>
    <col min="8245" max="8245" width="12.625" style="2" customWidth="1"/>
    <col min="8246" max="8246" width="8.625" style="2" customWidth="1"/>
    <col min="8247" max="8247" width="5.625" style="2" customWidth="1"/>
    <col min="8248" max="8248" width="4.625" style="2" customWidth="1"/>
    <col min="8249" max="8249" width="5.625" style="2" customWidth="1"/>
    <col min="8250" max="8253" width="4.625" style="2" customWidth="1"/>
    <col min="8254" max="8254" width="7.625" style="2" customWidth="1"/>
    <col min="8255" max="8255" width="8.625" style="2" customWidth="1"/>
    <col min="8256" max="8257" width="5.625" style="2" customWidth="1"/>
    <col min="8258" max="8258" width="6.625" style="2" customWidth="1"/>
    <col min="8259" max="8259" width="9.875" style="2" customWidth="1"/>
    <col min="8260" max="8261" width="8.625" style="2" customWidth="1"/>
    <col min="8262" max="8262" width="5.5" style="2" bestFit="1" customWidth="1"/>
    <col min="8263" max="8304" width="6.75" style="2" customWidth="1"/>
    <col min="8305" max="8305" width="9" style="2" customWidth="1"/>
    <col min="8306" max="8306" width="9.875" style="2" customWidth="1"/>
    <col min="8307" max="8307" width="2.875" style="2" customWidth="1"/>
    <col min="8308" max="8308" width="12.25" style="2" customWidth="1"/>
    <col min="8309" max="8309" width="6.375" style="2" customWidth="1"/>
    <col min="8310" max="8311" width="3.125" style="2" customWidth="1"/>
    <col min="8312" max="8312" width="1.125" style="2" customWidth="1"/>
    <col min="8313" max="8313" width="9" style="2" customWidth="1"/>
    <col min="8314" max="8314" width="2.375" style="2" customWidth="1"/>
    <col min="8315" max="8332" width="7.625" style="2" customWidth="1"/>
    <col min="8333" max="8495" width="9" style="2" customWidth="1"/>
    <col min="8496" max="8497" width="3.125" style="2" customWidth="1"/>
    <col min="8498" max="8498" width="5.875" style="2" bestFit="1" customWidth="1"/>
    <col min="8499" max="8499" width="5.625" style="2" customWidth="1"/>
    <col min="8500" max="8500" width="10.625" style="2" customWidth="1"/>
    <col min="8501" max="8501" width="12.625" style="2" customWidth="1"/>
    <col min="8502" max="8502" width="8.625" style="2" customWidth="1"/>
    <col min="8503" max="8503" width="5.625" style="2" customWidth="1"/>
    <col min="8504" max="8504" width="4.625" style="2" customWidth="1"/>
    <col min="8505" max="8505" width="5.625" style="2" customWidth="1"/>
    <col min="8506" max="8509" width="4.625" style="2" customWidth="1"/>
    <col min="8510" max="8510" width="7.625" style="2" customWidth="1"/>
    <col min="8511" max="8511" width="8.625" style="2" customWidth="1"/>
    <col min="8512" max="8513" width="5.625" style="2" customWidth="1"/>
    <col min="8514" max="8514" width="6.625" style="2" customWidth="1"/>
    <col min="8515" max="8515" width="9.875" style="2" customWidth="1"/>
    <col min="8516" max="8517" width="8.625" style="2" customWidth="1"/>
    <col min="8518" max="8518" width="5.5" style="2" bestFit="1" customWidth="1"/>
    <col min="8519" max="8560" width="6.75" style="2" customWidth="1"/>
    <col min="8561" max="8561" width="9" style="2" customWidth="1"/>
    <col min="8562" max="8562" width="9.875" style="2" customWidth="1"/>
    <col min="8563" max="8563" width="2.875" style="2" customWidth="1"/>
    <col min="8564" max="8564" width="12.25" style="2" customWidth="1"/>
    <col min="8565" max="8565" width="6.375" style="2" customWidth="1"/>
    <col min="8566" max="8567" width="3.125" style="2" customWidth="1"/>
    <col min="8568" max="8568" width="1.125" style="2" customWidth="1"/>
    <col min="8569" max="8569" width="9" style="2" customWidth="1"/>
    <col min="8570" max="8570" width="2.375" style="2" customWidth="1"/>
    <col min="8571" max="8588" width="7.625" style="2" customWidth="1"/>
    <col min="8589" max="8751" width="9" style="2" customWidth="1"/>
    <col min="8752" max="8753" width="3.125" style="2" customWidth="1"/>
    <col min="8754" max="8754" width="5.875" style="2" bestFit="1" customWidth="1"/>
    <col min="8755" max="8755" width="5.625" style="2" customWidth="1"/>
    <col min="8756" max="8756" width="10.625" style="2" customWidth="1"/>
    <col min="8757" max="8757" width="12.625" style="2" customWidth="1"/>
    <col min="8758" max="8758" width="8.625" style="2" customWidth="1"/>
    <col min="8759" max="8759" width="5.625" style="2" customWidth="1"/>
    <col min="8760" max="8760" width="4.625" style="2" customWidth="1"/>
    <col min="8761" max="8761" width="5.625" style="2" customWidth="1"/>
    <col min="8762" max="8765" width="4.625" style="2" customWidth="1"/>
    <col min="8766" max="8766" width="7.625" style="2" customWidth="1"/>
    <col min="8767" max="8767" width="8.625" style="2" customWidth="1"/>
    <col min="8768" max="8769" width="5.625" style="2" customWidth="1"/>
    <col min="8770" max="8770" width="6.625" style="2" customWidth="1"/>
    <col min="8771" max="8771" width="9.875" style="2" customWidth="1"/>
    <col min="8772" max="8773" width="8.625" style="2" customWidth="1"/>
    <col min="8774" max="8774" width="5.5" style="2" bestFit="1" customWidth="1"/>
    <col min="8775" max="8816" width="6.75" style="2" customWidth="1"/>
    <col min="8817" max="8817" width="9" style="2" customWidth="1"/>
    <col min="8818" max="8818" width="9.875" style="2" customWidth="1"/>
    <col min="8819" max="8819" width="2.875" style="2" customWidth="1"/>
    <col min="8820" max="8820" width="12.25" style="2" customWidth="1"/>
    <col min="8821" max="8821" width="6.375" style="2" customWidth="1"/>
    <col min="8822" max="8823" width="3.125" style="2" customWidth="1"/>
    <col min="8824" max="8824" width="1.125" style="2" customWidth="1"/>
    <col min="8825" max="8825" width="9" style="2" customWidth="1"/>
    <col min="8826" max="8826" width="2.375" style="2" customWidth="1"/>
    <col min="8827" max="8844" width="7.625" style="2" customWidth="1"/>
    <col min="8845" max="9007" width="9" style="2" customWidth="1"/>
    <col min="9008" max="9009" width="3.125" style="2" customWidth="1"/>
    <col min="9010" max="9010" width="5.875" style="2" bestFit="1" customWidth="1"/>
    <col min="9011" max="9011" width="5.625" style="2" customWidth="1"/>
    <col min="9012" max="9012" width="10.625" style="2" customWidth="1"/>
    <col min="9013" max="9013" width="12.625" style="2" customWidth="1"/>
    <col min="9014" max="9014" width="8.625" style="2" customWidth="1"/>
    <col min="9015" max="9015" width="5.625" style="2" customWidth="1"/>
    <col min="9016" max="9016" width="4.625" style="2" customWidth="1"/>
    <col min="9017" max="9017" width="5.625" style="2" customWidth="1"/>
    <col min="9018" max="9021" width="4.625" style="2" customWidth="1"/>
    <col min="9022" max="9022" width="7.625" style="2" customWidth="1"/>
    <col min="9023" max="9023" width="8.625" style="2" customWidth="1"/>
    <col min="9024" max="9025" width="5.625" style="2" customWidth="1"/>
    <col min="9026" max="9026" width="6.625" style="2" customWidth="1"/>
    <col min="9027" max="9027" width="9.875" style="2" customWidth="1"/>
    <col min="9028" max="9029" width="8.625" style="2" customWidth="1"/>
    <col min="9030" max="9030" width="5.5" style="2" bestFit="1" customWidth="1"/>
    <col min="9031" max="9072" width="6.75" style="2" customWidth="1"/>
    <col min="9073" max="9073" width="9" style="2" customWidth="1"/>
    <col min="9074" max="9074" width="9.875" style="2" customWidth="1"/>
    <col min="9075" max="9075" width="2.875" style="2" customWidth="1"/>
    <col min="9076" max="9076" width="12.25" style="2" customWidth="1"/>
    <col min="9077" max="9077" width="6.375" style="2" customWidth="1"/>
    <col min="9078" max="9079" width="3.125" style="2" customWidth="1"/>
    <col min="9080" max="9080" width="1.125" style="2" customWidth="1"/>
    <col min="9081" max="9081" width="9" style="2" customWidth="1"/>
    <col min="9082" max="9082" width="2.375" style="2" customWidth="1"/>
    <col min="9083" max="9100" width="7.625" style="2" customWidth="1"/>
    <col min="9101" max="9263" width="9" style="2" customWidth="1"/>
    <col min="9264" max="9265" width="3.125" style="2" customWidth="1"/>
    <col min="9266" max="9266" width="5.875" style="2" bestFit="1" customWidth="1"/>
    <col min="9267" max="9267" width="5.625" style="2" customWidth="1"/>
    <col min="9268" max="9268" width="10.625" style="2" customWidth="1"/>
    <col min="9269" max="9269" width="12.625" style="2" customWidth="1"/>
    <col min="9270" max="9270" width="8.625" style="2" customWidth="1"/>
    <col min="9271" max="9271" width="5.625" style="2" customWidth="1"/>
    <col min="9272" max="9272" width="4.625" style="2" customWidth="1"/>
    <col min="9273" max="9273" width="5.625" style="2" customWidth="1"/>
    <col min="9274" max="9277" width="4.625" style="2" customWidth="1"/>
    <col min="9278" max="9278" width="7.625" style="2" customWidth="1"/>
    <col min="9279" max="9279" width="8.625" style="2" customWidth="1"/>
    <col min="9280" max="9281" width="5.625" style="2" customWidth="1"/>
    <col min="9282" max="9282" width="6.625" style="2" customWidth="1"/>
    <col min="9283" max="9283" width="9.875" style="2" customWidth="1"/>
    <col min="9284" max="9285" width="8.625" style="2" customWidth="1"/>
    <col min="9286" max="9286" width="5.5" style="2" bestFit="1" customWidth="1"/>
    <col min="9287" max="9328" width="6.75" style="2" customWidth="1"/>
    <col min="9329" max="9329" width="9" style="2" customWidth="1"/>
    <col min="9330" max="9330" width="9.875" style="2" customWidth="1"/>
    <col min="9331" max="9331" width="2.875" style="2" customWidth="1"/>
    <col min="9332" max="9332" width="12.25" style="2" customWidth="1"/>
    <col min="9333" max="9333" width="6.375" style="2" customWidth="1"/>
    <col min="9334" max="9335" width="3.125" style="2" customWidth="1"/>
    <col min="9336" max="9336" width="1.125" style="2" customWidth="1"/>
    <col min="9337" max="9337" width="9" style="2" customWidth="1"/>
    <col min="9338" max="9338" width="2.375" style="2" customWidth="1"/>
    <col min="9339" max="9356" width="7.625" style="2" customWidth="1"/>
    <col min="9357" max="9519" width="9" style="2" customWidth="1"/>
    <col min="9520" max="9521" width="3.125" style="2" customWidth="1"/>
    <col min="9522" max="9522" width="5.875" style="2" bestFit="1" customWidth="1"/>
    <col min="9523" max="9523" width="5.625" style="2" customWidth="1"/>
    <col min="9524" max="9524" width="10.625" style="2" customWidth="1"/>
    <col min="9525" max="9525" width="12.625" style="2" customWidth="1"/>
    <col min="9526" max="9526" width="8.625" style="2" customWidth="1"/>
    <col min="9527" max="9527" width="5.625" style="2" customWidth="1"/>
    <col min="9528" max="9528" width="4.625" style="2" customWidth="1"/>
    <col min="9529" max="9529" width="5.625" style="2" customWidth="1"/>
    <col min="9530" max="9533" width="4.625" style="2" customWidth="1"/>
    <col min="9534" max="9534" width="7.625" style="2" customWidth="1"/>
    <col min="9535" max="9535" width="8.625" style="2" customWidth="1"/>
    <col min="9536" max="9537" width="5.625" style="2" customWidth="1"/>
    <col min="9538" max="9538" width="6.625" style="2" customWidth="1"/>
    <col min="9539" max="9539" width="9.875" style="2" customWidth="1"/>
    <col min="9540" max="9541" width="8.625" style="2" customWidth="1"/>
    <col min="9542" max="9542" width="5.5" style="2" bestFit="1" customWidth="1"/>
    <col min="9543" max="9584" width="6.75" style="2" customWidth="1"/>
    <col min="9585" max="9585" width="9" style="2" customWidth="1"/>
    <col min="9586" max="9586" width="9.875" style="2" customWidth="1"/>
    <col min="9587" max="9587" width="2.875" style="2" customWidth="1"/>
    <col min="9588" max="9588" width="12.25" style="2" customWidth="1"/>
    <col min="9589" max="9589" width="6.375" style="2" customWidth="1"/>
    <col min="9590" max="9591" width="3.125" style="2" customWidth="1"/>
    <col min="9592" max="9592" width="1.125" style="2" customWidth="1"/>
    <col min="9593" max="9593" width="9" style="2" customWidth="1"/>
    <col min="9594" max="9594" width="2.375" style="2" customWidth="1"/>
    <col min="9595" max="9612" width="7.625" style="2" customWidth="1"/>
    <col min="9613" max="9775" width="9" style="2" customWidth="1"/>
    <col min="9776" max="9777" width="3.125" style="2" customWidth="1"/>
    <col min="9778" max="9778" width="5.875" style="2" bestFit="1" customWidth="1"/>
    <col min="9779" max="9779" width="5.625" style="2" customWidth="1"/>
    <col min="9780" max="9780" width="10.625" style="2" customWidth="1"/>
    <col min="9781" max="9781" width="12.625" style="2" customWidth="1"/>
    <col min="9782" max="9782" width="8.625" style="2" customWidth="1"/>
    <col min="9783" max="9783" width="5.625" style="2" customWidth="1"/>
    <col min="9784" max="9784" width="4.625" style="2" customWidth="1"/>
    <col min="9785" max="9785" width="5.625" style="2" customWidth="1"/>
    <col min="9786" max="9789" width="4.625" style="2" customWidth="1"/>
    <col min="9790" max="9790" width="7.625" style="2" customWidth="1"/>
    <col min="9791" max="9791" width="8.625" style="2" customWidth="1"/>
    <col min="9792" max="9793" width="5.625" style="2" customWidth="1"/>
    <col min="9794" max="9794" width="6.625" style="2" customWidth="1"/>
    <col min="9795" max="9795" width="9.875" style="2" customWidth="1"/>
    <col min="9796" max="9797" width="8.625" style="2" customWidth="1"/>
    <col min="9798" max="9798" width="5.5" style="2" bestFit="1" customWidth="1"/>
    <col min="9799" max="9840" width="6.75" style="2" customWidth="1"/>
    <col min="9841" max="9841" width="9" style="2" customWidth="1"/>
    <col min="9842" max="9842" width="9.875" style="2" customWidth="1"/>
    <col min="9843" max="9843" width="2.875" style="2" customWidth="1"/>
    <col min="9844" max="9844" width="12.25" style="2" customWidth="1"/>
    <col min="9845" max="9845" width="6.375" style="2" customWidth="1"/>
    <col min="9846" max="9847" width="3.125" style="2" customWidth="1"/>
    <col min="9848" max="9848" width="1.125" style="2" customWidth="1"/>
    <col min="9849" max="9849" width="9" style="2" customWidth="1"/>
    <col min="9850" max="9850" width="2.375" style="2" customWidth="1"/>
    <col min="9851" max="9868" width="7.625" style="2" customWidth="1"/>
    <col min="9869" max="10031" width="9" style="2" customWidth="1"/>
    <col min="10032" max="10033" width="3.125" style="2" customWidth="1"/>
    <col min="10034" max="10034" width="5.875" style="2" bestFit="1" customWidth="1"/>
    <col min="10035" max="10035" width="5.625" style="2" customWidth="1"/>
    <col min="10036" max="10036" width="10.625" style="2" customWidth="1"/>
    <col min="10037" max="10037" width="12.625" style="2" customWidth="1"/>
    <col min="10038" max="10038" width="8.625" style="2" customWidth="1"/>
    <col min="10039" max="10039" width="5.625" style="2" customWidth="1"/>
    <col min="10040" max="10040" width="4.625" style="2" customWidth="1"/>
    <col min="10041" max="10041" width="5.625" style="2" customWidth="1"/>
    <col min="10042" max="10045" width="4.625" style="2" customWidth="1"/>
    <col min="10046" max="10046" width="7.625" style="2" customWidth="1"/>
    <col min="10047" max="10047" width="8.625" style="2" customWidth="1"/>
    <col min="10048" max="10049" width="5.625" style="2" customWidth="1"/>
    <col min="10050" max="10050" width="6.625" style="2" customWidth="1"/>
    <col min="10051" max="10051" width="9.875" style="2" customWidth="1"/>
    <col min="10052" max="10053" width="8.625" style="2" customWidth="1"/>
    <col min="10054" max="10054" width="5.5" style="2" bestFit="1" customWidth="1"/>
    <col min="10055" max="10096" width="6.75" style="2" customWidth="1"/>
    <col min="10097" max="10097" width="9" style="2" customWidth="1"/>
    <col min="10098" max="10098" width="9.875" style="2" customWidth="1"/>
    <col min="10099" max="10099" width="2.875" style="2" customWidth="1"/>
    <col min="10100" max="10100" width="12.25" style="2" customWidth="1"/>
    <col min="10101" max="10101" width="6.375" style="2" customWidth="1"/>
    <col min="10102" max="10103" width="3.125" style="2" customWidth="1"/>
    <col min="10104" max="10104" width="1.125" style="2" customWidth="1"/>
    <col min="10105" max="10105" width="9" style="2" customWidth="1"/>
    <col min="10106" max="10106" width="2.375" style="2" customWidth="1"/>
    <col min="10107" max="10124" width="7.625" style="2" customWidth="1"/>
    <col min="10125" max="10287" width="9" style="2" customWidth="1"/>
    <col min="10288" max="10289" width="3.125" style="2" customWidth="1"/>
    <col min="10290" max="10290" width="5.875" style="2" bestFit="1" customWidth="1"/>
    <col min="10291" max="10291" width="5.625" style="2" customWidth="1"/>
    <col min="10292" max="10292" width="10.625" style="2" customWidth="1"/>
    <col min="10293" max="10293" width="12.625" style="2" customWidth="1"/>
    <col min="10294" max="10294" width="8.625" style="2" customWidth="1"/>
    <col min="10295" max="10295" width="5.625" style="2" customWidth="1"/>
    <col min="10296" max="10296" width="4.625" style="2" customWidth="1"/>
    <col min="10297" max="10297" width="5.625" style="2" customWidth="1"/>
    <col min="10298" max="10301" width="4.625" style="2" customWidth="1"/>
    <col min="10302" max="10302" width="7.625" style="2" customWidth="1"/>
    <col min="10303" max="10303" width="8.625" style="2" customWidth="1"/>
    <col min="10304" max="10305" width="5.625" style="2" customWidth="1"/>
    <col min="10306" max="10306" width="6.625" style="2" customWidth="1"/>
    <col min="10307" max="10307" width="9.875" style="2" customWidth="1"/>
    <col min="10308" max="10309" width="8.625" style="2" customWidth="1"/>
    <col min="10310" max="10310" width="5.5" style="2" bestFit="1" customWidth="1"/>
    <col min="10311" max="10352" width="6.75" style="2" customWidth="1"/>
    <col min="10353" max="10353" width="9" style="2" customWidth="1"/>
    <col min="10354" max="10354" width="9.875" style="2" customWidth="1"/>
    <col min="10355" max="10355" width="2.875" style="2" customWidth="1"/>
    <col min="10356" max="10356" width="12.25" style="2" customWidth="1"/>
    <col min="10357" max="10357" width="6.375" style="2" customWidth="1"/>
    <col min="10358" max="10359" width="3.125" style="2" customWidth="1"/>
    <col min="10360" max="10360" width="1.125" style="2" customWidth="1"/>
    <col min="10361" max="10361" width="9" style="2" customWidth="1"/>
    <col min="10362" max="10362" width="2.375" style="2" customWidth="1"/>
    <col min="10363" max="10380" width="7.625" style="2" customWidth="1"/>
    <col min="10381" max="10543" width="9" style="2" customWidth="1"/>
    <col min="10544" max="10545" width="3.125" style="2" customWidth="1"/>
    <col min="10546" max="10546" width="5.875" style="2" bestFit="1" customWidth="1"/>
    <col min="10547" max="10547" width="5.625" style="2" customWidth="1"/>
    <col min="10548" max="10548" width="10.625" style="2" customWidth="1"/>
    <col min="10549" max="10549" width="12.625" style="2" customWidth="1"/>
    <col min="10550" max="10550" width="8.625" style="2" customWidth="1"/>
    <col min="10551" max="10551" width="5.625" style="2" customWidth="1"/>
    <col min="10552" max="10552" width="4.625" style="2" customWidth="1"/>
    <col min="10553" max="10553" width="5.625" style="2" customWidth="1"/>
    <col min="10554" max="10557" width="4.625" style="2" customWidth="1"/>
    <col min="10558" max="10558" width="7.625" style="2" customWidth="1"/>
    <col min="10559" max="10559" width="8.625" style="2" customWidth="1"/>
    <col min="10560" max="10561" width="5.625" style="2" customWidth="1"/>
    <col min="10562" max="10562" width="6.625" style="2" customWidth="1"/>
    <col min="10563" max="10563" width="9.875" style="2" customWidth="1"/>
    <col min="10564" max="10565" width="8.625" style="2" customWidth="1"/>
    <col min="10566" max="10566" width="5.5" style="2" bestFit="1" customWidth="1"/>
    <col min="10567" max="10608" width="6.75" style="2" customWidth="1"/>
    <col min="10609" max="10609" width="9" style="2" customWidth="1"/>
    <col min="10610" max="10610" width="9.875" style="2" customWidth="1"/>
    <col min="10611" max="10611" width="2.875" style="2" customWidth="1"/>
    <col min="10612" max="10612" width="12.25" style="2" customWidth="1"/>
    <col min="10613" max="10613" width="6.375" style="2" customWidth="1"/>
    <col min="10614" max="10615" width="3.125" style="2" customWidth="1"/>
    <col min="10616" max="10616" width="1.125" style="2" customWidth="1"/>
    <col min="10617" max="10617" width="9" style="2" customWidth="1"/>
    <col min="10618" max="10618" width="2.375" style="2" customWidth="1"/>
    <col min="10619" max="10636" width="7.625" style="2" customWidth="1"/>
    <col min="10637" max="10799" width="9" style="2" customWidth="1"/>
    <col min="10800" max="10801" width="3.125" style="2" customWidth="1"/>
    <col min="10802" max="10802" width="5.875" style="2" bestFit="1" customWidth="1"/>
    <col min="10803" max="10803" width="5.625" style="2" customWidth="1"/>
    <col min="10804" max="10804" width="10.625" style="2" customWidth="1"/>
    <col min="10805" max="10805" width="12.625" style="2" customWidth="1"/>
    <col min="10806" max="10806" width="8.625" style="2" customWidth="1"/>
    <col min="10807" max="10807" width="5.625" style="2" customWidth="1"/>
    <col min="10808" max="10808" width="4.625" style="2" customWidth="1"/>
    <col min="10809" max="10809" width="5.625" style="2" customWidth="1"/>
    <col min="10810" max="10813" width="4.625" style="2" customWidth="1"/>
    <col min="10814" max="10814" width="7.625" style="2" customWidth="1"/>
    <col min="10815" max="10815" width="8.625" style="2" customWidth="1"/>
    <col min="10816" max="10817" width="5.625" style="2" customWidth="1"/>
    <col min="10818" max="10818" width="6.625" style="2" customWidth="1"/>
    <col min="10819" max="10819" width="9.875" style="2" customWidth="1"/>
    <col min="10820" max="10821" width="8.625" style="2" customWidth="1"/>
    <col min="10822" max="10822" width="5.5" style="2" bestFit="1" customWidth="1"/>
    <col min="10823" max="10864" width="6.75" style="2" customWidth="1"/>
    <col min="10865" max="10865" width="9" style="2" customWidth="1"/>
    <col min="10866" max="10866" width="9.875" style="2" customWidth="1"/>
    <col min="10867" max="10867" width="2.875" style="2" customWidth="1"/>
    <col min="10868" max="10868" width="12.25" style="2" customWidth="1"/>
    <col min="10869" max="10869" width="6.375" style="2" customWidth="1"/>
    <col min="10870" max="10871" width="3.125" style="2" customWidth="1"/>
    <col min="10872" max="10872" width="1.125" style="2" customWidth="1"/>
    <col min="10873" max="10873" width="9" style="2" customWidth="1"/>
    <col min="10874" max="10874" width="2.375" style="2" customWidth="1"/>
    <col min="10875" max="10892" width="7.625" style="2" customWidth="1"/>
    <col min="10893" max="11055" width="9" style="2" customWidth="1"/>
    <col min="11056" max="11057" width="3.125" style="2" customWidth="1"/>
    <col min="11058" max="11058" width="5.875" style="2" bestFit="1" customWidth="1"/>
    <col min="11059" max="11059" width="5.625" style="2" customWidth="1"/>
    <col min="11060" max="11060" width="10.625" style="2" customWidth="1"/>
    <col min="11061" max="11061" width="12.625" style="2" customWidth="1"/>
    <col min="11062" max="11062" width="8.625" style="2" customWidth="1"/>
    <col min="11063" max="11063" width="5.625" style="2" customWidth="1"/>
    <col min="11064" max="11064" width="4.625" style="2" customWidth="1"/>
    <col min="11065" max="11065" width="5.625" style="2" customWidth="1"/>
    <col min="11066" max="11069" width="4.625" style="2" customWidth="1"/>
    <col min="11070" max="11070" width="7.625" style="2" customWidth="1"/>
    <col min="11071" max="11071" width="8.625" style="2" customWidth="1"/>
    <col min="11072" max="11073" width="5.625" style="2" customWidth="1"/>
    <col min="11074" max="11074" width="6.625" style="2" customWidth="1"/>
    <col min="11075" max="11075" width="9.875" style="2" customWidth="1"/>
    <col min="11076" max="11077" width="8.625" style="2" customWidth="1"/>
    <col min="11078" max="11078" width="5.5" style="2" bestFit="1" customWidth="1"/>
    <col min="11079" max="11120" width="6.75" style="2" customWidth="1"/>
    <col min="11121" max="11121" width="9" style="2" customWidth="1"/>
    <col min="11122" max="11122" width="9.875" style="2" customWidth="1"/>
    <col min="11123" max="11123" width="2.875" style="2" customWidth="1"/>
    <col min="11124" max="11124" width="12.25" style="2" customWidth="1"/>
    <col min="11125" max="11125" width="6.375" style="2" customWidth="1"/>
    <col min="11126" max="11127" width="3.125" style="2" customWidth="1"/>
    <col min="11128" max="11128" width="1.125" style="2" customWidth="1"/>
    <col min="11129" max="11129" width="9" style="2" customWidth="1"/>
    <col min="11130" max="11130" width="2.375" style="2" customWidth="1"/>
    <col min="11131" max="11148" width="7.625" style="2" customWidth="1"/>
    <col min="11149" max="11311" width="9" style="2" customWidth="1"/>
    <col min="11312" max="11313" width="3.125" style="2" customWidth="1"/>
    <col min="11314" max="11314" width="5.875" style="2" bestFit="1" customWidth="1"/>
    <col min="11315" max="11315" width="5.625" style="2" customWidth="1"/>
    <col min="11316" max="11316" width="10.625" style="2" customWidth="1"/>
    <col min="11317" max="11317" width="12.625" style="2" customWidth="1"/>
    <col min="11318" max="11318" width="8.625" style="2" customWidth="1"/>
    <col min="11319" max="11319" width="5.625" style="2" customWidth="1"/>
    <col min="11320" max="11320" width="4.625" style="2" customWidth="1"/>
    <col min="11321" max="11321" width="5.625" style="2" customWidth="1"/>
    <col min="11322" max="11325" width="4.625" style="2" customWidth="1"/>
    <col min="11326" max="11326" width="7.625" style="2" customWidth="1"/>
    <col min="11327" max="11327" width="8.625" style="2" customWidth="1"/>
    <col min="11328" max="11329" width="5.625" style="2" customWidth="1"/>
    <col min="11330" max="11330" width="6.625" style="2" customWidth="1"/>
    <col min="11331" max="11331" width="9.875" style="2" customWidth="1"/>
    <col min="11332" max="11333" width="8.625" style="2" customWidth="1"/>
    <col min="11334" max="11334" width="5.5" style="2" bestFit="1" customWidth="1"/>
    <col min="11335" max="11376" width="6.75" style="2" customWidth="1"/>
    <col min="11377" max="11377" width="9" style="2" customWidth="1"/>
    <col min="11378" max="11378" width="9.875" style="2" customWidth="1"/>
    <col min="11379" max="11379" width="2.875" style="2" customWidth="1"/>
    <col min="11380" max="11380" width="12.25" style="2" customWidth="1"/>
    <col min="11381" max="11381" width="6.375" style="2" customWidth="1"/>
    <col min="11382" max="11383" width="3.125" style="2" customWidth="1"/>
    <col min="11384" max="11384" width="1.125" style="2" customWidth="1"/>
    <col min="11385" max="11385" width="9" style="2" customWidth="1"/>
    <col min="11386" max="11386" width="2.375" style="2" customWidth="1"/>
    <col min="11387" max="11404" width="7.625" style="2" customWidth="1"/>
    <col min="11405" max="11567" width="9" style="2" customWidth="1"/>
    <col min="11568" max="11569" width="3.125" style="2" customWidth="1"/>
    <col min="11570" max="11570" width="5.875" style="2" bestFit="1" customWidth="1"/>
    <col min="11571" max="11571" width="5.625" style="2" customWidth="1"/>
    <col min="11572" max="11572" width="10.625" style="2" customWidth="1"/>
    <col min="11573" max="11573" width="12.625" style="2" customWidth="1"/>
    <col min="11574" max="11574" width="8.625" style="2" customWidth="1"/>
    <col min="11575" max="11575" width="5.625" style="2" customWidth="1"/>
    <col min="11576" max="11576" width="4.625" style="2" customWidth="1"/>
    <col min="11577" max="11577" width="5.625" style="2" customWidth="1"/>
    <col min="11578" max="11581" width="4.625" style="2" customWidth="1"/>
    <col min="11582" max="11582" width="7.625" style="2" customWidth="1"/>
    <col min="11583" max="11583" width="8.625" style="2" customWidth="1"/>
    <col min="11584" max="11585" width="5.625" style="2" customWidth="1"/>
    <col min="11586" max="11586" width="6.625" style="2" customWidth="1"/>
    <col min="11587" max="11587" width="9.875" style="2" customWidth="1"/>
    <col min="11588" max="11589" width="8.625" style="2" customWidth="1"/>
    <col min="11590" max="11590" width="5.5" style="2" bestFit="1" customWidth="1"/>
    <col min="11591" max="11632" width="6.75" style="2" customWidth="1"/>
    <col min="11633" max="11633" width="9" style="2" customWidth="1"/>
    <col min="11634" max="11634" width="9.875" style="2" customWidth="1"/>
    <col min="11635" max="11635" width="2.875" style="2" customWidth="1"/>
    <col min="11636" max="11636" width="12.25" style="2" customWidth="1"/>
    <col min="11637" max="11637" width="6.375" style="2" customWidth="1"/>
    <col min="11638" max="11639" width="3.125" style="2" customWidth="1"/>
    <col min="11640" max="11640" width="1.125" style="2" customWidth="1"/>
    <col min="11641" max="11641" width="9" style="2" customWidth="1"/>
    <col min="11642" max="11642" width="2.375" style="2" customWidth="1"/>
    <col min="11643" max="11660" width="7.625" style="2" customWidth="1"/>
    <col min="11661" max="11823" width="9" style="2" customWidth="1"/>
    <col min="11824" max="11825" width="3.125" style="2" customWidth="1"/>
    <col min="11826" max="11826" width="5.875" style="2" bestFit="1" customWidth="1"/>
    <col min="11827" max="11827" width="5.625" style="2" customWidth="1"/>
    <col min="11828" max="11828" width="10.625" style="2" customWidth="1"/>
    <col min="11829" max="11829" width="12.625" style="2" customWidth="1"/>
    <col min="11830" max="11830" width="8.625" style="2" customWidth="1"/>
    <col min="11831" max="11831" width="5.625" style="2" customWidth="1"/>
    <col min="11832" max="11832" width="4.625" style="2" customWidth="1"/>
    <col min="11833" max="11833" width="5.625" style="2" customWidth="1"/>
    <col min="11834" max="11837" width="4.625" style="2" customWidth="1"/>
    <col min="11838" max="11838" width="7.625" style="2" customWidth="1"/>
    <col min="11839" max="11839" width="8.625" style="2" customWidth="1"/>
    <col min="11840" max="11841" width="5.625" style="2" customWidth="1"/>
    <col min="11842" max="11842" width="6.625" style="2" customWidth="1"/>
    <col min="11843" max="11843" width="9.875" style="2" customWidth="1"/>
    <col min="11844" max="11845" width="8.625" style="2" customWidth="1"/>
    <col min="11846" max="11846" width="5.5" style="2" bestFit="1" customWidth="1"/>
    <col min="11847" max="11888" width="6.75" style="2" customWidth="1"/>
    <col min="11889" max="11889" width="9" style="2" customWidth="1"/>
    <col min="11890" max="11890" width="9.875" style="2" customWidth="1"/>
    <col min="11891" max="11891" width="2.875" style="2" customWidth="1"/>
    <col min="11892" max="11892" width="12.25" style="2" customWidth="1"/>
    <col min="11893" max="11893" width="6.375" style="2" customWidth="1"/>
    <col min="11894" max="11895" width="3.125" style="2" customWidth="1"/>
    <col min="11896" max="11896" width="1.125" style="2" customWidth="1"/>
    <col min="11897" max="11897" width="9" style="2" customWidth="1"/>
    <col min="11898" max="11898" width="2.375" style="2" customWidth="1"/>
    <col min="11899" max="11916" width="7.625" style="2" customWidth="1"/>
    <col min="11917" max="12079" width="9" style="2" customWidth="1"/>
    <col min="12080" max="12081" width="3.125" style="2" customWidth="1"/>
    <col min="12082" max="12082" width="5.875" style="2" bestFit="1" customWidth="1"/>
    <col min="12083" max="12083" width="5.625" style="2" customWidth="1"/>
    <col min="12084" max="12084" width="10.625" style="2" customWidth="1"/>
    <col min="12085" max="12085" width="12.625" style="2" customWidth="1"/>
    <col min="12086" max="12086" width="8.625" style="2" customWidth="1"/>
    <col min="12087" max="12087" width="5.625" style="2" customWidth="1"/>
    <col min="12088" max="12088" width="4.625" style="2" customWidth="1"/>
    <col min="12089" max="12089" width="5.625" style="2" customWidth="1"/>
    <col min="12090" max="12093" width="4.625" style="2" customWidth="1"/>
    <col min="12094" max="12094" width="7.625" style="2" customWidth="1"/>
    <col min="12095" max="12095" width="8.625" style="2" customWidth="1"/>
    <col min="12096" max="12097" width="5.625" style="2" customWidth="1"/>
    <col min="12098" max="12098" width="6.625" style="2" customWidth="1"/>
    <col min="12099" max="12099" width="9.875" style="2" customWidth="1"/>
    <col min="12100" max="12101" width="8.625" style="2" customWidth="1"/>
    <col min="12102" max="12102" width="5.5" style="2" bestFit="1" customWidth="1"/>
    <col min="12103" max="12144" width="6.75" style="2" customWidth="1"/>
    <col min="12145" max="12145" width="9" style="2" customWidth="1"/>
    <col min="12146" max="12146" width="9.875" style="2" customWidth="1"/>
    <col min="12147" max="12147" width="2.875" style="2" customWidth="1"/>
    <col min="12148" max="12148" width="12.25" style="2" customWidth="1"/>
    <col min="12149" max="12149" width="6.375" style="2" customWidth="1"/>
    <col min="12150" max="12151" width="3.125" style="2" customWidth="1"/>
    <col min="12152" max="12152" width="1.125" style="2" customWidth="1"/>
    <col min="12153" max="12153" width="9" style="2" customWidth="1"/>
    <col min="12154" max="12154" width="2.375" style="2" customWidth="1"/>
    <col min="12155" max="12172" width="7.625" style="2" customWidth="1"/>
    <col min="12173" max="12335" width="9" style="2" customWidth="1"/>
    <col min="12336" max="12337" width="3.125" style="2" customWidth="1"/>
    <col min="12338" max="12338" width="5.875" style="2" bestFit="1" customWidth="1"/>
    <col min="12339" max="12339" width="5.625" style="2" customWidth="1"/>
    <col min="12340" max="12340" width="10.625" style="2" customWidth="1"/>
    <col min="12341" max="12341" width="12.625" style="2" customWidth="1"/>
    <col min="12342" max="12342" width="8.625" style="2" customWidth="1"/>
    <col min="12343" max="12343" width="5.625" style="2" customWidth="1"/>
    <col min="12344" max="12344" width="4.625" style="2" customWidth="1"/>
    <col min="12345" max="12345" width="5.625" style="2" customWidth="1"/>
    <col min="12346" max="12349" width="4.625" style="2" customWidth="1"/>
    <col min="12350" max="12350" width="7.625" style="2" customWidth="1"/>
    <col min="12351" max="12351" width="8.625" style="2" customWidth="1"/>
    <col min="12352" max="12353" width="5.625" style="2" customWidth="1"/>
    <col min="12354" max="12354" width="6.625" style="2" customWidth="1"/>
    <col min="12355" max="12355" width="9.875" style="2" customWidth="1"/>
    <col min="12356" max="12357" width="8.625" style="2" customWidth="1"/>
    <col min="12358" max="12358" width="5.5" style="2" bestFit="1" customWidth="1"/>
    <col min="12359" max="12400" width="6.75" style="2" customWidth="1"/>
    <col min="12401" max="12401" width="9" style="2" customWidth="1"/>
    <col min="12402" max="12402" width="9.875" style="2" customWidth="1"/>
    <col min="12403" max="12403" width="2.875" style="2" customWidth="1"/>
    <col min="12404" max="12404" width="12.25" style="2" customWidth="1"/>
    <col min="12405" max="12405" width="6.375" style="2" customWidth="1"/>
    <col min="12406" max="12407" width="3.125" style="2" customWidth="1"/>
    <col min="12408" max="12408" width="1.125" style="2" customWidth="1"/>
    <col min="12409" max="12409" width="9" style="2" customWidth="1"/>
    <col min="12410" max="12410" width="2.375" style="2" customWidth="1"/>
    <col min="12411" max="12428" width="7.625" style="2" customWidth="1"/>
    <col min="12429" max="12591" width="9" style="2" customWidth="1"/>
    <col min="12592" max="12593" width="3.125" style="2" customWidth="1"/>
    <col min="12594" max="12594" width="5.875" style="2" bestFit="1" customWidth="1"/>
    <col min="12595" max="12595" width="5.625" style="2" customWidth="1"/>
    <col min="12596" max="12596" width="10.625" style="2" customWidth="1"/>
    <col min="12597" max="12597" width="12.625" style="2" customWidth="1"/>
    <col min="12598" max="12598" width="8.625" style="2" customWidth="1"/>
    <col min="12599" max="12599" width="5.625" style="2" customWidth="1"/>
    <col min="12600" max="12600" width="4.625" style="2" customWidth="1"/>
    <col min="12601" max="12601" width="5.625" style="2" customWidth="1"/>
    <col min="12602" max="12605" width="4.625" style="2" customWidth="1"/>
    <col min="12606" max="12606" width="7.625" style="2" customWidth="1"/>
    <col min="12607" max="12607" width="8.625" style="2" customWidth="1"/>
    <col min="12608" max="12609" width="5.625" style="2" customWidth="1"/>
    <col min="12610" max="12610" width="6.625" style="2" customWidth="1"/>
    <col min="12611" max="12611" width="9.875" style="2" customWidth="1"/>
    <col min="12612" max="12613" width="8.625" style="2" customWidth="1"/>
    <col min="12614" max="12614" width="5.5" style="2" bestFit="1" customWidth="1"/>
    <col min="12615" max="12656" width="6.75" style="2" customWidth="1"/>
    <col min="12657" max="12657" width="9" style="2" customWidth="1"/>
    <col min="12658" max="12658" width="9.875" style="2" customWidth="1"/>
    <col min="12659" max="12659" width="2.875" style="2" customWidth="1"/>
    <col min="12660" max="12660" width="12.25" style="2" customWidth="1"/>
    <col min="12661" max="12661" width="6.375" style="2" customWidth="1"/>
    <col min="12662" max="12663" width="3.125" style="2" customWidth="1"/>
    <col min="12664" max="12664" width="1.125" style="2" customWidth="1"/>
    <col min="12665" max="12665" width="9" style="2" customWidth="1"/>
    <col min="12666" max="12666" width="2.375" style="2" customWidth="1"/>
    <col min="12667" max="12684" width="7.625" style="2" customWidth="1"/>
    <col min="12685" max="12847" width="9" style="2" customWidth="1"/>
    <col min="12848" max="12849" width="3.125" style="2" customWidth="1"/>
    <col min="12850" max="12850" width="5.875" style="2" bestFit="1" customWidth="1"/>
    <col min="12851" max="12851" width="5.625" style="2" customWidth="1"/>
    <col min="12852" max="12852" width="10.625" style="2" customWidth="1"/>
    <col min="12853" max="12853" width="12.625" style="2" customWidth="1"/>
    <col min="12854" max="12854" width="8.625" style="2" customWidth="1"/>
    <col min="12855" max="12855" width="5.625" style="2" customWidth="1"/>
    <col min="12856" max="12856" width="4.625" style="2" customWidth="1"/>
    <col min="12857" max="12857" width="5.625" style="2" customWidth="1"/>
    <col min="12858" max="12861" width="4.625" style="2" customWidth="1"/>
    <col min="12862" max="12862" width="7.625" style="2" customWidth="1"/>
    <col min="12863" max="12863" width="8.625" style="2" customWidth="1"/>
    <col min="12864" max="12865" width="5.625" style="2" customWidth="1"/>
    <col min="12866" max="12866" width="6.625" style="2" customWidth="1"/>
    <col min="12867" max="12867" width="9.875" style="2" customWidth="1"/>
    <col min="12868" max="12869" width="8.625" style="2" customWidth="1"/>
    <col min="12870" max="12870" width="5.5" style="2" bestFit="1" customWidth="1"/>
    <col min="12871" max="12912" width="6.75" style="2" customWidth="1"/>
    <col min="12913" max="12913" width="9" style="2" customWidth="1"/>
    <col min="12914" max="12914" width="9.875" style="2" customWidth="1"/>
    <col min="12915" max="12915" width="2.875" style="2" customWidth="1"/>
    <col min="12916" max="12916" width="12.25" style="2" customWidth="1"/>
    <col min="12917" max="12917" width="6.375" style="2" customWidth="1"/>
    <col min="12918" max="12919" width="3.125" style="2" customWidth="1"/>
    <col min="12920" max="12920" width="1.125" style="2" customWidth="1"/>
    <col min="12921" max="12921" width="9" style="2" customWidth="1"/>
    <col min="12922" max="12922" width="2.375" style="2" customWidth="1"/>
    <col min="12923" max="12940" width="7.625" style="2" customWidth="1"/>
    <col min="12941" max="13103" width="9" style="2" customWidth="1"/>
    <col min="13104" max="13105" width="3.125" style="2" customWidth="1"/>
    <col min="13106" max="13106" width="5.875" style="2" bestFit="1" customWidth="1"/>
    <col min="13107" max="13107" width="5.625" style="2" customWidth="1"/>
    <col min="13108" max="13108" width="10.625" style="2" customWidth="1"/>
    <col min="13109" max="13109" width="12.625" style="2" customWidth="1"/>
    <col min="13110" max="13110" width="8.625" style="2" customWidth="1"/>
    <col min="13111" max="13111" width="5.625" style="2" customWidth="1"/>
    <col min="13112" max="13112" width="4.625" style="2" customWidth="1"/>
    <col min="13113" max="13113" width="5.625" style="2" customWidth="1"/>
    <col min="13114" max="13117" width="4.625" style="2" customWidth="1"/>
    <col min="13118" max="13118" width="7.625" style="2" customWidth="1"/>
    <col min="13119" max="13119" width="8.625" style="2" customWidth="1"/>
    <col min="13120" max="13121" width="5.625" style="2" customWidth="1"/>
    <col min="13122" max="13122" width="6.625" style="2" customWidth="1"/>
    <col min="13123" max="13123" width="9.875" style="2" customWidth="1"/>
    <col min="13124" max="13125" width="8.625" style="2" customWidth="1"/>
    <col min="13126" max="13126" width="5.5" style="2" bestFit="1" customWidth="1"/>
    <col min="13127" max="13168" width="6.75" style="2" customWidth="1"/>
    <col min="13169" max="13169" width="9" style="2" customWidth="1"/>
    <col min="13170" max="13170" width="9.875" style="2" customWidth="1"/>
    <col min="13171" max="13171" width="2.875" style="2" customWidth="1"/>
    <col min="13172" max="13172" width="12.25" style="2" customWidth="1"/>
    <col min="13173" max="13173" width="6.375" style="2" customWidth="1"/>
    <col min="13174" max="13175" width="3.125" style="2" customWidth="1"/>
    <col min="13176" max="13176" width="1.125" style="2" customWidth="1"/>
    <col min="13177" max="13177" width="9" style="2" customWidth="1"/>
    <col min="13178" max="13178" width="2.375" style="2" customWidth="1"/>
    <col min="13179" max="13196" width="7.625" style="2" customWidth="1"/>
    <col min="13197" max="13359" width="9" style="2" customWidth="1"/>
    <col min="13360" max="13361" width="3.125" style="2" customWidth="1"/>
    <col min="13362" max="13362" width="5.875" style="2" bestFit="1" customWidth="1"/>
    <col min="13363" max="13363" width="5.625" style="2" customWidth="1"/>
    <col min="13364" max="13364" width="10.625" style="2" customWidth="1"/>
    <col min="13365" max="13365" width="12.625" style="2" customWidth="1"/>
    <col min="13366" max="13366" width="8.625" style="2" customWidth="1"/>
    <col min="13367" max="13367" width="5.625" style="2" customWidth="1"/>
    <col min="13368" max="13368" width="4.625" style="2" customWidth="1"/>
    <col min="13369" max="13369" width="5.625" style="2" customWidth="1"/>
    <col min="13370" max="13373" width="4.625" style="2" customWidth="1"/>
    <col min="13374" max="13374" width="7.625" style="2" customWidth="1"/>
    <col min="13375" max="13375" width="8.625" style="2" customWidth="1"/>
    <col min="13376" max="13377" width="5.625" style="2" customWidth="1"/>
    <col min="13378" max="13378" width="6.625" style="2" customWidth="1"/>
    <col min="13379" max="13379" width="9.875" style="2" customWidth="1"/>
    <col min="13380" max="13381" width="8.625" style="2" customWidth="1"/>
    <col min="13382" max="13382" width="5.5" style="2" bestFit="1" customWidth="1"/>
    <col min="13383" max="13424" width="6.75" style="2" customWidth="1"/>
    <col min="13425" max="13425" width="9" style="2" customWidth="1"/>
    <col min="13426" max="13426" width="9.875" style="2" customWidth="1"/>
    <col min="13427" max="13427" width="2.875" style="2" customWidth="1"/>
    <col min="13428" max="13428" width="12.25" style="2" customWidth="1"/>
    <col min="13429" max="13429" width="6.375" style="2" customWidth="1"/>
    <col min="13430" max="13431" width="3.125" style="2" customWidth="1"/>
    <col min="13432" max="13432" width="1.125" style="2" customWidth="1"/>
    <col min="13433" max="13433" width="9" style="2" customWidth="1"/>
    <col min="13434" max="13434" width="2.375" style="2" customWidth="1"/>
    <col min="13435" max="13452" width="7.625" style="2" customWidth="1"/>
    <col min="13453" max="13615" width="9" style="2" customWidth="1"/>
    <col min="13616" max="13617" width="3.125" style="2" customWidth="1"/>
    <col min="13618" max="13618" width="5.875" style="2" bestFit="1" customWidth="1"/>
    <col min="13619" max="13619" width="5.625" style="2" customWidth="1"/>
    <col min="13620" max="13620" width="10.625" style="2" customWidth="1"/>
    <col min="13621" max="13621" width="12.625" style="2" customWidth="1"/>
    <col min="13622" max="13622" width="8.625" style="2" customWidth="1"/>
    <col min="13623" max="13623" width="5.625" style="2" customWidth="1"/>
    <col min="13624" max="13624" width="4.625" style="2" customWidth="1"/>
    <col min="13625" max="13625" width="5.625" style="2" customWidth="1"/>
    <col min="13626" max="13629" width="4.625" style="2" customWidth="1"/>
    <col min="13630" max="13630" width="7.625" style="2" customWidth="1"/>
    <col min="13631" max="13631" width="8.625" style="2" customWidth="1"/>
    <col min="13632" max="13633" width="5.625" style="2" customWidth="1"/>
    <col min="13634" max="13634" width="6.625" style="2" customWidth="1"/>
    <col min="13635" max="13635" width="9.875" style="2" customWidth="1"/>
    <col min="13636" max="13637" width="8.625" style="2" customWidth="1"/>
    <col min="13638" max="13638" width="5.5" style="2" bestFit="1" customWidth="1"/>
    <col min="13639" max="13680" width="6.75" style="2" customWidth="1"/>
    <col min="13681" max="13681" width="9" style="2" customWidth="1"/>
    <col min="13682" max="13682" width="9.875" style="2" customWidth="1"/>
    <col min="13683" max="13683" width="2.875" style="2" customWidth="1"/>
    <col min="13684" max="13684" width="12.25" style="2" customWidth="1"/>
    <col min="13685" max="13685" width="6.375" style="2" customWidth="1"/>
    <col min="13686" max="13687" width="3.125" style="2" customWidth="1"/>
    <col min="13688" max="13688" width="1.125" style="2" customWidth="1"/>
    <col min="13689" max="13689" width="9" style="2" customWidth="1"/>
    <col min="13690" max="13690" width="2.375" style="2" customWidth="1"/>
    <col min="13691" max="13708" width="7.625" style="2" customWidth="1"/>
    <col min="13709" max="13871" width="9" style="2" customWidth="1"/>
    <col min="13872" max="13873" width="3.125" style="2" customWidth="1"/>
    <col min="13874" max="13874" width="5.875" style="2" bestFit="1" customWidth="1"/>
    <col min="13875" max="13875" width="5.625" style="2" customWidth="1"/>
    <col min="13876" max="13876" width="10.625" style="2" customWidth="1"/>
    <col min="13877" max="13877" width="12.625" style="2" customWidth="1"/>
    <col min="13878" max="13878" width="8.625" style="2" customWidth="1"/>
    <col min="13879" max="13879" width="5.625" style="2" customWidth="1"/>
    <col min="13880" max="13880" width="4.625" style="2" customWidth="1"/>
    <col min="13881" max="13881" width="5.625" style="2" customWidth="1"/>
    <col min="13882" max="13885" width="4.625" style="2" customWidth="1"/>
    <col min="13886" max="13886" width="7.625" style="2" customWidth="1"/>
    <col min="13887" max="13887" width="8.625" style="2" customWidth="1"/>
    <col min="13888" max="13889" width="5.625" style="2" customWidth="1"/>
    <col min="13890" max="13890" width="6.625" style="2" customWidth="1"/>
    <col min="13891" max="13891" width="9.875" style="2" customWidth="1"/>
    <col min="13892" max="13893" width="8.625" style="2" customWidth="1"/>
    <col min="13894" max="13894" width="5.5" style="2" bestFit="1" customWidth="1"/>
    <col min="13895" max="13936" width="6.75" style="2" customWidth="1"/>
    <col min="13937" max="13937" width="9" style="2" customWidth="1"/>
    <col min="13938" max="13938" width="9.875" style="2" customWidth="1"/>
    <col min="13939" max="13939" width="2.875" style="2" customWidth="1"/>
    <col min="13940" max="13940" width="12.25" style="2" customWidth="1"/>
    <col min="13941" max="13941" width="6.375" style="2" customWidth="1"/>
    <col min="13942" max="13943" width="3.125" style="2" customWidth="1"/>
    <col min="13944" max="13944" width="1.125" style="2" customWidth="1"/>
    <col min="13945" max="13945" width="9" style="2" customWidth="1"/>
    <col min="13946" max="13946" width="2.375" style="2" customWidth="1"/>
    <col min="13947" max="13964" width="7.625" style="2" customWidth="1"/>
    <col min="13965" max="14127" width="9" style="2" customWidth="1"/>
    <col min="14128" max="14129" width="3.125" style="2" customWidth="1"/>
    <col min="14130" max="14130" width="5.875" style="2" bestFit="1" customWidth="1"/>
    <col min="14131" max="14131" width="5.625" style="2" customWidth="1"/>
    <col min="14132" max="14132" width="10.625" style="2" customWidth="1"/>
    <col min="14133" max="14133" width="12.625" style="2" customWidth="1"/>
    <col min="14134" max="14134" width="8.625" style="2" customWidth="1"/>
    <col min="14135" max="14135" width="5.625" style="2" customWidth="1"/>
    <col min="14136" max="14136" width="4.625" style="2" customWidth="1"/>
    <col min="14137" max="14137" width="5.625" style="2" customWidth="1"/>
    <col min="14138" max="14141" width="4.625" style="2" customWidth="1"/>
    <col min="14142" max="14142" width="7.625" style="2" customWidth="1"/>
    <col min="14143" max="14143" width="8.625" style="2" customWidth="1"/>
    <col min="14144" max="14145" width="5.625" style="2" customWidth="1"/>
    <col min="14146" max="14146" width="6.625" style="2" customWidth="1"/>
    <col min="14147" max="14147" width="9.875" style="2" customWidth="1"/>
    <col min="14148" max="14149" width="8.625" style="2" customWidth="1"/>
    <col min="14150" max="14150" width="5.5" style="2" bestFit="1" customWidth="1"/>
    <col min="14151" max="14192" width="6.75" style="2" customWidth="1"/>
    <col min="14193" max="14193" width="9" style="2" customWidth="1"/>
    <col min="14194" max="14194" width="9.875" style="2" customWidth="1"/>
    <col min="14195" max="14195" width="2.875" style="2" customWidth="1"/>
    <col min="14196" max="14196" width="12.25" style="2" customWidth="1"/>
    <col min="14197" max="14197" width="6.375" style="2" customWidth="1"/>
    <col min="14198" max="14199" width="3.125" style="2" customWidth="1"/>
    <col min="14200" max="14200" width="1.125" style="2" customWidth="1"/>
    <col min="14201" max="14201" width="9" style="2" customWidth="1"/>
    <col min="14202" max="14202" width="2.375" style="2" customWidth="1"/>
    <col min="14203" max="14220" width="7.625" style="2" customWidth="1"/>
    <col min="14221" max="14383" width="9" style="2" customWidth="1"/>
    <col min="14384" max="14385" width="3.125" style="2" customWidth="1"/>
    <col min="14386" max="14386" width="5.875" style="2" bestFit="1" customWidth="1"/>
    <col min="14387" max="14387" width="5.625" style="2" customWidth="1"/>
    <col min="14388" max="14388" width="10.625" style="2" customWidth="1"/>
    <col min="14389" max="14389" width="12.625" style="2" customWidth="1"/>
    <col min="14390" max="14390" width="8.625" style="2" customWidth="1"/>
    <col min="14391" max="14391" width="5.625" style="2" customWidth="1"/>
    <col min="14392" max="14392" width="4.625" style="2" customWidth="1"/>
    <col min="14393" max="14393" width="5.625" style="2" customWidth="1"/>
    <col min="14394" max="14397" width="4.625" style="2" customWidth="1"/>
    <col min="14398" max="14398" width="7.625" style="2" customWidth="1"/>
    <col min="14399" max="14399" width="8.625" style="2" customWidth="1"/>
    <col min="14400" max="14401" width="5.625" style="2" customWidth="1"/>
    <col min="14402" max="14402" width="6.625" style="2" customWidth="1"/>
    <col min="14403" max="14403" width="9.875" style="2" customWidth="1"/>
    <col min="14404" max="14405" width="8.625" style="2" customWidth="1"/>
    <col min="14406" max="14406" width="5.5" style="2" bestFit="1" customWidth="1"/>
    <col min="14407" max="14448" width="6.75" style="2" customWidth="1"/>
    <col min="14449" max="14449" width="9" style="2" customWidth="1"/>
    <col min="14450" max="14450" width="9.875" style="2" customWidth="1"/>
    <col min="14451" max="14451" width="2.875" style="2" customWidth="1"/>
    <col min="14452" max="14452" width="12.25" style="2" customWidth="1"/>
    <col min="14453" max="14453" width="6.375" style="2" customWidth="1"/>
    <col min="14454" max="14455" width="3.125" style="2" customWidth="1"/>
    <col min="14456" max="14456" width="1.125" style="2" customWidth="1"/>
    <col min="14457" max="14457" width="9" style="2" customWidth="1"/>
    <col min="14458" max="14458" width="2.375" style="2" customWidth="1"/>
    <col min="14459" max="14476" width="7.625" style="2" customWidth="1"/>
    <col min="14477" max="14639" width="9" style="2" customWidth="1"/>
    <col min="14640" max="14641" width="3.125" style="2" customWidth="1"/>
    <col min="14642" max="14642" width="5.875" style="2" bestFit="1" customWidth="1"/>
    <col min="14643" max="14643" width="5.625" style="2" customWidth="1"/>
    <col min="14644" max="14644" width="10.625" style="2" customWidth="1"/>
    <col min="14645" max="14645" width="12.625" style="2" customWidth="1"/>
    <col min="14646" max="14646" width="8.625" style="2" customWidth="1"/>
    <col min="14647" max="14647" width="5.625" style="2" customWidth="1"/>
    <col min="14648" max="14648" width="4.625" style="2" customWidth="1"/>
    <col min="14649" max="14649" width="5.625" style="2" customWidth="1"/>
    <col min="14650" max="14653" width="4.625" style="2" customWidth="1"/>
    <col min="14654" max="14654" width="7.625" style="2" customWidth="1"/>
    <col min="14655" max="14655" width="8.625" style="2" customWidth="1"/>
    <col min="14656" max="14657" width="5.625" style="2" customWidth="1"/>
    <col min="14658" max="14658" width="6.625" style="2" customWidth="1"/>
    <col min="14659" max="14659" width="9.875" style="2" customWidth="1"/>
    <col min="14660" max="14661" width="8.625" style="2" customWidth="1"/>
    <col min="14662" max="14662" width="5.5" style="2" bestFit="1" customWidth="1"/>
    <col min="14663" max="14704" width="6.75" style="2" customWidth="1"/>
    <col min="14705" max="14705" width="9" style="2" customWidth="1"/>
    <col min="14706" max="14706" width="9.875" style="2" customWidth="1"/>
    <col min="14707" max="14707" width="2.875" style="2" customWidth="1"/>
    <col min="14708" max="14708" width="12.25" style="2" customWidth="1"/>
    <col min="14709" max="14709" width="6.375" style="2" customWidth="1"/>
    <col min="14710" max="14711" width="3.125" style="2" customWidth="1"/>
    <col min="14712" max="14712" width="1.125" style="2" customWidth="1"/>
    <col min="14713" max="14713" width="9" style="2" customWidth="1"/>
    <col min="14714" max="14714" width="2.375" style="2" customWidth="1"/>
    <col min="14715" max="14732" width="7.625" style="2" customWidth="1"/>
    <col min="14733" max="14895" width="9" style="2" customWidth="1"/>
    <col min="14896" max="14897" width="3.125" style="2" customWidth="1"/>
    <col min="14898" max="14898" width="5.875" style="2" bestFit="1" customWidth="1"/>
    <col min="14899" max="14899" width="5.625" style="2" customWidth="1"/>
    <col min="14900" max="14900" width="10.625" style="2" customWidth="1"/>
    <col min="14901" max="14901" width="12.625" style="2" customWidth="1"/>
    <col min="14902" max="14902" width="8.625" style="2" customWidth="1"/>
    <col min="14903" max="14903" width="5.625" style="2" customWidth="1"/>
    <col min="14904" max="14904" width="4.625" style="2" customWidth="1"/>
    <col min="14905" max="14905" width="5.625" style="2" customWidth="1"/>
    <col min="14906" max="14909" width="4.625" style="2" customWidth="1"/>
    <col min="14910" max="14910" width="7.625" style="2" customWidth="1"/>
    <col min="14911" max="14911" width="8.625" style="2" customWidth="1"/>
    <col min="14912" max="14913" width="5.625" style="2" customWidth="1"/>
    <col min="14914" max="14914" width="6.625" style="2" customWidth="1"/>
    <col min="14915" max="14915" width="9.875" style="2" customWidth="1"/>
    <col min="14916" max="14917" width="8.625" style="2" customWidth="1"/>
    <col min="14918" max="14918" width="5.5" style="2" bestFit="1" customWidth="1"/>
    <col min="14919" max="14960" width="6.75" style="2" customWidth="1"/>
    <col min="14961" max="14961" width="9" style="2" customWidth="1"/>
    <col min="14962" max="14962" width="9.875" style="2" customWidth="1"/>
    <col min="14963" max="14963" width="2.875" style="2" customWidth="1"/>
    <col min="14964" max="14964" width="12.25" style="2" customWidth="1"/>
    <col min="14965" max="14965" width="6.375" style="2" customWidth="1"/>
    <col min="14966" max="14967" width="3.125" style="2" customWidth="1"/>
    <col min="14968" max="14968" width="1.125" style="2" customWidth="1"/>
    <col min="14969" max="14969" width="9" style="2" customWidth="1"/>
    <col min="14970" max="14970" width="2.375" style="2" customWidth="1"/>
    <col min="14971" max="14988" width="7.625" style="2" customWidth="1"/>
    <col min="14989" max="15151" width="9" style="2" customWidth="1"/>
    <col min="15152" max="15153" width="3.125" style="2" customWidth="1"/>
    <col min="15154" max="15154" width="5.875" style="2" bestFit="1" customWidth="1"/>
    <col min="15155" max="15155" width="5.625" style="2" customWidth="1"/>
    <col min="15156" max="15156" width="10.625" style="2" customWidth="1"/>
    <col min="15157" max="15157" width="12.625" style="2" customWidth="1"/>
    <col min="15158" max="15158" width="8.625" style="2" customWidth="1"/>
    <col min="15159" max="15159" width="5.625" style="2" customWidth="1"/>
    <col min="15160" max="15160" width="4.625" style="2" customWidth="1"/>
    <col min="15161" max="15161" width="5.625" style="2" customWidth="1"/>
    <col min="15162" max="15165" width="4.625" style="2" customWidth="1"/>
    <col min="15166" max="15166" width="7.625" style="2" customWidth="1"/>
    <col min="15167" max="15167" width="8.625" style="2" customWidth="1"/>
    <col min="15168" max="15169" width="5.625" style="2" customWidth="1"/>
    <col min="15170" max="15170" width="6.625" style="2" customWidth="1"/>
    <col min="15171" max="15171" width="9.875" style="2" customWidth="1"/>
    <col min="15172" max="15173" width="8.625" style="2" customWidth="1"/>
    <col min="15174" max="15174" width="5.5" style="2" bestFit="1" customWidth="1"/>
    <col min="15175" max="15216" width="6.75" style="2" customWidth="1"/>
    <col min="15217" max="15217" width="9" style="2" customWidth="1"/>
    <col min="15218" max="15218" width="9.875" style="2" customWidth="1"/>
    <col min="15219" max="15219" width="2.875" style="2" customWidth="1"/>
    <col min="15220" max="15220" width="12.25" style="2" customWidth="1"/>
    <col min="15221" max="15221" width="6.375" style="2" customWidth="1"/>
    <col min="15222" max="15223" width="3.125" style="2" customWidth="1"/>
    <col min="15224" max="15224" width="1.125" style="2" customWidth="1"/>
    <col min="15225" max="15225" width="9" style="2" customWidth="1"/>
    <col min="15226" max="15226" width="2.375" style="2" customWidth="1"/>
    <col min="15227" max="15244" width="7.625" style="2" customWidth="1"/>
    <col min="15245" max="15407" width="9" style="2" customWidth="1"/>
    <col min="15408" max="15409" width="3.125" style="2" customWidth="1"/>
    <col min="15410" max="15410" width="5.875" style="2" bestFit="1" customWidth="1"/>
    <col min="15411" max="15411" width="5.625" style="2" customWidth="1"/>
    <col min="15412" max="15412" width="10.625" style="2" customWidth="1"/>
    <col min="15413" max="15413" width="12.625" style="2" customWidth="1"/>
    <col min="15414" max="15414" width="8.625" style="2" customWidth="1"/>
    <col min="15415" max="15415" width="5.625" style="2" customWidth="1"/>
    <col min="15416" max="15416" width="4.625" style="2" customWidth="1"/>
    <col min="15417" max="15417" width="5.625" style="2" customWidth="1"/>
    <col min="15418" max="15421" width="4.625" style="2" customWidth="1"/>
    <col min="15422" max="15422" width="7.625" style="2" customWidth="1"/>
    <col min="15423" max="15423" width="8.625" style="2" customWidth="1"/>
    <col min="15424" max="15425" width="5.625" style="2" customWidth="1"/>
    <col min="15426" max="15426" width="6.625" style="2" customWidth="1"/>
    <col min="15427" max="15427" width="9.875" style="2" customWidth="1"/>
    <col min="15428" max="15429" width="8.625" style="2" customWidth="1"/>
    <col min="15430" max="15430" width="5.5" style="2" bestFit="1" customWidth="1"/>
    <col min="15431" max="15472" width="6.75" style="2" customWidth="1"/>
    <col min="15473" max="15473" width="9" style="2" customWidth="1"/>
    <col min="15474" max="15474" width="9.875" style="2" customWidth="1"/>
    <col min="15475" max="15475" width="2.875" style="2" customWidth="1"/>
    <col min="15476" max="15476" width="12.25" style="2" customWidth="1"/>
    <col min="15477" max="15477" width="6.375" style="2" customWidth="1"/>
    <col min="15478" max="15479" width="3.125" style="2" customWidth="1"/>
    <col min="15480" max="15480" width="1.125" style="2" customWidth="1"/>
    <col min="15481" max="15481" width="9" style="2" customWidth="1"/>
    <col min="15482" max="15482" width="2.375" style="2" customWidth="1"/>
    <col min="15483" max="15500" width="7.625" style="2" customWidth="1"/>
    <col min="15501" max="15663" width="9" style="2" customWidth="1"/>
    <col min="15664" max="15665" width="3.125" style="2" customWidth="1"/>
    <col min="15666" max="15666" width="5.875" style="2" bestFit="1" customWidth="1"/>
    <col min="15667" max="15667" width="5.625" style="2" customWidth="1"/>
    <col min="15668" max="15668" width="10.625" style="2" customWidth="1"/>
    <col min="15669" max="15669" width="12.625" style="2" customWidth="1"/>
    <col min="15670" max="15670" width="8.625" style="2" customWidth="1"/>
    <col min="15671" max="15671" width="5.625" style="2" customWidth="1"/>
    <col min="15672" max="15672" width="4.625" style="2" customWidth="1"/>
    <col min="15673" max="15673" width="5.625" style="2" customWidth="1"/>
    <col min="15674" max="15677" width="4.625" style="2" customWidth="1"/>
    <col min="15678" max="15678" width="7.625" style="2" customWidth="1"/>
    <col min="15679" max="15679" width="8.625" style="2" customWidth="1"/>
    <col min="15680" max="15681" width="5.625" style="2" customWidth="1"/>
    <col min="15682" max="15682" width="6.625" style="2" customWidth="1"/>
    <col min="15683" max="15683" width="9.875" style="2" customWidth="1"/>
    <col min="15684" max="15685" width="8.625" style="2" customWidth="1"/>
    <col min="15686" max="15686" width="5.5" style="2" bestFit="1" customWidth="1"/>
    <col min="15687" max="15728" width="6.75" style="2" customWidth="1"/>
    <col min="15729" max="15729" width="9" style="2" customWidth="1"/>
    <col min="15730" max="15730" width="9.875" style="2" customWidth="1"/>
    <col min="15731" max="15731" width="2.875" style="2" customWidth="1"/>
    <col min="15732" max="15732" width="12.25" style="2" customWidth="1"/>
    <col min="15733" max="15733" width="6.375" style="2" customWidth="1"/>
    <col min="15734" max="15735" width="3.125" style="2" customWidth="1"/>
    <col min="15736" max="15736" width="1.125" style="2" customWidth="1"/>
    <col min="15737" max="15737" width="9" style="2" customWidth="1"/>
    <col min="15738" max="15738" width="2.375" style="2" customWidth="1"/>
    <col min="15739" max="15756" width="7.625" style="2" customWidth="1"/>
    <col min="15757" max="15919" width="9" style="2" customWidth="1"/>
    <col min="15920" max="15921" width="3.125" style="2" customWidth="1"/>
    <col min="15922" max="15922" width="5.875" style="2" bestFit="1" customWidth="1"/>
    <col min="15923" max="15923" width="5.625" style="2" customWidth="1"/>
    <col min="15924" max="15924" width="10.625" style="2" customWidth="1"/>
    <col min="15925" max="15925" width="12.625" style="2" customWidth="1"/>
    <col min="15926" max="15926" width="8.625" style="2" customWidth="1"/>
    <col min="15927" max="15927" width="5.625" style="2" customWidth="1"/>
    <col min="15928" max="15928" width="4.625" style="2" customWidth="1"/>
    <col min="15929" max="15929" width="5.625" style="2" customWidth="1"/>
    <col min="15930" max="15933" width="4.625" style="2" customWidth="1"/>
    <col min="15934" max="15934" width="7.625" style="2" customWidth="1"/>
    <col min="15935" max="15935" width="8.625" style="2" customWidth="1"/>
    <col min="15936" max="15937" width="5.625" style="2" customWidth="1"/>
    <col min="15938" max="15938" width="6.625" style="2" customWidth="1"/>
    <col min="15939" max="15939" width="9.875" style="2" customWidth="1"/>
    <col min="15940" max="15941" width="8.625" style="2" customWidth="1"/>
    <col min="15942" max="15942" width="5.5" style="2" bestFit="1" customWidth="1"/>
    <col min="15943" max="15984" width="6.75" style="2" customWidth="1"/>
    <col min="15985" max="15985" width="9" style="2" customWidth="1"/>
    <col min="15986" max="15986" width="9.875" style="2" customWidth="1"/>
    <col min="15987" max="15987" width="2.875" style="2" customWidth="1"/>
    <col min="15988" max="15988" width="12.25" style="2" customWidth="1"/>
    <col min="15989" max="15989" width="6.375" style="2" customWidth="1"/>
    <col min="15990" max="15991" width="3.125" style="2" customWidth="1"/>
    <col min="15992" max="15992" width="1.125" style="2" customWidth="1"/>
    <col min="15993" max="15993" width="9" style="2" customWidth="1"/>
    <col min="15994" max="15994" width="2.375" style="2" customWidth="1"/>
    <col min="15995" max="16012" width="7.625" style="2" customWidth="1"/>
    <col min="16013" max="16175" width="9" style="2" customWidth="1"/>
    <col min="16176" max="16177" width="3.125" style="2" customWidth="1"/>
    <col min="16178" max="16178" width="5.875" style="2" bestFit="1" customWidth="1"/>
    <col min="16179" max="16179" width="5.625" style="2" customWidth="1"/>
    <col min="16180" max="16180" width="10.625" style="2" customWidth="1"/>
    <col min="16181" max="16181" width="12.625" style="2" customWidth="1"/>
    <col min="16182" max="16182" width="8.625" style="2" customWidth="1"/>
    <col min="16183" max="16183" width="5.625" style="2" customWidth="1"/>
    <col min="16184" max="16184" width="4.625" style="2" customWidth="1"/>
    <col min="16185" max="16185" width="5.625" style="2" customWidth="1"/>
    <col min="16186" max="16189" width="4.625" style="2" customWidth="1"/>
    <col min="16190" max="16190" width="7.625" style="2" customWidth="1"/>
    <col min="16191" max="16191" width="8.625" style="2" customWidth="1"/>
    <col min="16192" max="16193" width="5.625" style="2" customWidth="1"/>
    <col min="16194" max="16194" width="6.625" style="2" customWidth="1"/>
    <col min="16195" max="16195" width="9.875" style="2" customWidth="1"/>
    <col min="16196" max="16197" width="8.625" style="2" customWidth="1"/>
    <col min="16198" max="16198" width="5.5" style="2" bestFit="1" customWidth="1"/>
    <col min="16199" max="16240" width="6.75" style="2" customWidth="1"/>
    <col min="16241" max="16241" width="9" style="2" customWidth="1"/>
    <col min="16242" max="16242" width="9.875" style="2" customWidth="1"/>
    <col min="16243" max="16243" width="2.875" style="2" customWidth="1"/>
    <col min="16244" max="16244" width="12.25" style="2" customWidth="1"/>
    <col min="16245" max="16245" width="6.375" style="2" customWidth="1"/>
    <col min="16246" max="16247" width="3.125" style="2" customWidth="1"/>
    <col min="16248" max="16248" width="1.125" style="2" customWidth="1"/>
    <col min="16249" max="16249" width="9" style="2" customWidth="1"/>
    <col min="16250" max="16250" width="2.375" style="2" customWidth="1"/>
    <col min="16251" max="16268" width="7.625" style="2" customWidth="1"/>
    <col min="16269" max="16384" width="9" style="2" customWidth="1"/>
  </cols>
  <sheetData>
    <row r="1" spans="1:132" ht="13.5" customHeight="1" x14ac:dyDescent="0.4">
      <c r="A1" s="203" t="s">
        <v>143</v>
      </c>
      <c r="B1" s="193"/>
      <c r="C1" s="193"/>
      <c r="D1" s="193"/>
      <c r="E1" s="193"/>
      <c r="F1" s="192" t="s">
        <v>0</v>
      </c>
      <c r="G1" s="195" t="s">
        <v>1</v>
      </c>
      <c r="H1" s="194" t="s">
        <v>2</v>
      </c>
      <c r="I1" s="193"/>
      <c r="J1" s="193"/>
      <c r="K1" s="193"/>
      <c r="L1" s="159"/>
      <c r="M1" s="194" t="s">
        <v>3</v>
      </c>
      <c r="N1" s="159"/>
      <c r="O1" s="159"/>
      <c r="P1" s="159"/>
      <c r="Q1" s="159"/>
      <c r="R1" s="159"/>
      <c r="S1" s="159"/>
      <c r="T1" s="159"/>
      <c r="U1" s="1"/>
      <c r="V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U1" s="162"/>
      <c r="AX1" s="204" t="s">
        <v>4</v>
      </c>
      <c r="AY1" s="199"/>
      <c r="AZ1" s="199"/>
      <c r="BA1" s="199"/>
      <c r="BB1" s="199"/>
      <c r="BC1" s="199"/>
      <c r="BD1" s="4"/>
    </row>
    <row r="2" spans="1:132" ht="13.5" customHeight="1" x14ac:dyDescent="0.4">
      <c r="A2" s="193"/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59"/>
      <c r="M2" s="193"/>
      <c r="N2" s="159"/>
      <c r="O2" s="159"/>
      <c r="P2" s="159"/>
      <c r="Q2" s="159"/>
      <c r="R2" s="159"/>
      <c r="S2" s="159"/>
      <c r="T2" s="159"/>
      <c r="U2" s="1"/>
      <c r="V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U2" s="162"/>
      <c r="AX2" s="199"/>
      <c r="AY2" s="199"/>
      <c r="AZ2" s="199"/>
      <c r="BA2" s="199"/>
      <c r="BB2" s="199"/>
      <c r="BC2" s="199"/>
      <c r="BD2" s="4"/>
    </row>
    <row r="3" spans="1:132" ht="15" customHeight="1" thickBot="1" x14ac:dyDescent="0.45">
      <c r="T3" s="150"/>
      <c r="U3" s="151"/>
      <c r="AC3" s="7"/>
      <c r="AV3" s="2">
        <v>95</v>
      </c>
      <c r="AW3" s="2">
        <v>1</v>
      </c>
      <c r="AY3" s="2">
        <v>2</v>
      </c>
      <c r="BA3" s="2">
        <v>3</v>
      </c>
      <c r="BC3" s="2">
        <v>4</v>
      </c>
      <c r="BE3" s="2">
        <v>6</v>
      </c>
      <c r="BG3" s="2">
        <v>7</v>
      </c>
      <c r="BI3" s="2">
        <v>8</v>
      </c>
      <c r="BK3" s="2">
        <v>9</v>
      </c>
      <c r="BM3" s="2">
        <v>10</v>
      </c>
      <c r="BO3" s="2">
        <v>11</v>
      </c>
      <c r="BQ3" s="2">
        <v>12</v>
      </c>
      <c r="BS3" s="2">
        <v>15</v>
      </c>
      <c r="BU3" s="2">
        <v>28</v>
      </c>
      <c r="BW3" s="2">
        <v>33</v>
      </c>
      <c r="BY3" s="2">
        <v>40</v>
      </c>
      <c r="CA3" s="2">
        <v>41</v>
      </c>
      <c r="CC3" s="2">
        <v>45</v>
      </c>
      <c r="CE3" s="2">
        <v>46</v>
      </c>
      <c r="CG3" s="2">
        <v>36</v>
      </c>
      <c r="CI3" s="2">
        <v>47</v>
      </c>
      <c r="CK3" s="2">
        <v>31</v>
      </c>
      <c r="CM3" s="2">
        <v>48</v>
      </c>
    </row>
    <row r="4" spans="1:132" ht="26.45" customHeight="1" thickTop="1" thickBot="1" x14ac:dyDescent="0.45">
      <c r="A4" s="106" t="s">
        <v>5</v>
      </c>
      <c r="B4" s="94" t="s">
        <v>6</v>
      </c>
      <c r="C4" s="131" t="s">
        <v>7</v>
      </c>
      <c r="D4" s="131" t="s">
        <v>8</v>
      </c>
      <c r="E4" s="107" t="s">
        <v>9</v>
      </c>
      <c r="F4" s="108" t="s">
        <v>10</v>
      </c>
      <c r="G4" s="109" t="s">
        <v>11</v>
      </c>
      <c r="H4" s="110" t="s">
        <v>12</v>
      </c>
      <c r="I4" s="147" t="s">
        <v>13</v>
      </c>
      <c r="J4" s="111" t="s">
        <v>14</v>
      </c>
      <c r="K4" s="112" t="s">
        <v>15</v>
      </c>
      <c r="L4" s="113" t="s">
        <v>16</v>
      </c>
      <c r="M4" s="114" t="s">
        <v>17</v>
      </c>
      <c r="N4" s="115" t="s">
        <v>16</v>
      </c>
      <c r="O4" s="116" t="s">
        <v>18</v>
      </c>
      <c r="P4" s="117" t="s">
        <v>19</v>
      </c>
      <c r="Q4" s="118" t="s">
        <v>20</v>
      </c>
      <c r="R4" s="129" t="s">
        <v>21</v>
      </c>
      <c r="S4" s="130" t="s">
        <v>22</v>
      </c>
      <c r="T4" s="144" t="s">
        <v>23</v>
      </c>
      <c r="U4" s="145" t="s">
        <v>24</v>
      </c>
      <c r="V4" s="10" t="s">
        <v>25</v>
      </c>
      <c r="W4" s="11" t="s">
        <v>26</v>
      </c>
      <c r="X4" s="12" t="s">
        <v>27</v>
      </c>
      <c r="Y4" s="13" t="s">
        <v>28</v>
      </c>
      <c r="Z4" s="119" t="s">
        <v>29</v>
      </c>
      <c r="AA4" s="14" t="s">
        <v>30</v>
      </c>
      <c r="AB4" s="15" t="s">
        <v>31</v>
      </c>
      <c r="AC4" s="16" t="s">
        <v>32</v>
      </c>
      <c r="AD4" s="17" t="s">
        <v>33</v>
      </c>
      <c r="AE4" s="18" t="s">
        <v>34</v>
      </c>
      <c r="AF4" s="18" t="s">
        <v>35</v>
      </c>
      <c r="AG4" s="18" t="s">
        <v>36</v>
      </c>
      <c r="AH4" s="18" t="s">
        <v>37</v>
      </c>
      <c r="AI4" s="18" t="s">
        <v>38</v>
      </c>
      <c r="AJ4" s="18" t="s">
        <v>39</v>
      </c>
      <c r="AK4" s="18" t="s">
        <v>40</v>
      </c>
      <c r="AL4" s="17" t="s">
        <v>41</v>
      </c>
      <c r="AM4" s="18" t="s">
        <v>42</v>
      </c>
      <c r="AN4" s="132" t="s">
        <v>43</v>
      </c>
      <c r="AO4" s="18" t="s">
        <v>44</v>
      </c>
      <c r="AP4" s="18" t="s">
        <v>45</v>
      </c>
      <c r="AQ4" s="78" t="s">
        <v>46</v>
      </c>
      <c r="AR4" s="19" t="s">
        <v>47</v>
      </c>
      <c r="AS4" s="20" t="s">
        <v>48</v>
      </c>
      <c r="AT4" s="21" t="s">
        <v>49</v>
      </c>
      <c r="AU4" s="163"/>
      <c r="AV4" s="80" t="s">
        <v>144</v>
      </c>
      <c r="AW4" s="76" t="s">
        <v>145</v>
      </c>
      <c r="AX4" s="75" t="s">
        <v>146</v>
      </c>
      <c r="AY4" s="76" t="s">
        <v>147</v>
      </c>
      <c r="AZ4" s="75" t="s">
        <v>146</v>
      </c>
      <c r="BA4" s="76" t="s">
        <v>52</v>
      </c>
      <c r="BB4" s="75" t="s">
        <v>146</v>
      </c>
      <c r="BC4" s="76" t="s">
        <v>53</v>
      </c>
      <c r="BD4" s="75" t="s">
        <v>146</v>
      </c>
      <c r="BE4" s="76" t="s">
        <v>148</v>
      </c>
      <c r="BF4" s="75" t="s">
        <v>146</v>
      </c>
      <c r="BG4" s="76" t="s">
        <v>149</v>
      </c>
      <c r="BH4" s="75" t="s">
        <v>146</v>
      </c>
      <c r="BI4" s="76" t="s">
        <v>150</v>
      </c>
      <c r="BJ4" s="75" t="s">
        <v>146</v>
      </c>
      <c r="BK4" s="76" t="s">
        <v>57</v>
      </c>
      <c r="BL4" s="75" t="s">
        <v>146</v>
      </c>
      <c r="BM4" s="76" t="s">
        <v>58</v>
      </c>
      <c r="BN4" s="75" t="s">
        <v>146</v>
      </c>
      <c r="BO4" s="76" t="s">
        <v>151</v>
      </c>
      <c r="BP4" s="75" t="s">
        <v>146</v>
      </c>
      <c r="BQ4" s="76" t="s">
        <v>60</v>
      </c>
      <c r="BR4" s="75" t="s">
        <v>146</v>
      </c>
      <c r="BS4" s="76" t="s">
        <v>152</v>
      </c>
      <c r="BT4" s="75" t="s">
        <v>146</v>
      </c>
      <c r="BU4" s="76" t="s">
        <v>153</v>
      </c>
      <c r="BV4" s="75" t="s">
        <v>146</v>
      </c>
      <c r="BW4" s="76" t="s">
        <v>154</v>
      </c>
      <c r="BX4" s="75" t="s">
        <v>48</v>
      </c>
      <c r="BY4" s="76" t="s">
        <v>155</v>
      </c>
      <c r="BZ4" s="75" t="s">
        <v>156</v>
      </c>
      <c r="CA4" s="76" t="s">
        <v>157</v>
      </c>
      <c r="CB4" s="75" t="s">
        <v>48</v>
      </c>
      <c r="CC4" s="76" t="s">
        <v>158</v>
      </c>
      <c r="CD4" s="81" t="s">
        <v>48</v>
      </c>
      <c r="CE4" s="76" t="s">
        <v>159</v>
      </c>
      <c r="CF4" s="81" t="s">
        <v>48</v>
      </c>
      <c r="CG4" s="76" t="s">
        <v>160</v>
      </c>
      <c r="CH4" s="75" t="s">
        <v>48</v>
      </c>
      <c r="CI4" s="76" t="s">
        <v>161</v>
      </c>
      <c r="CJ4" s="81" t="s">
        <v>48</v>
      </c>
      <c r="CK4" s="76" t="s">
        <v>162</v>
      </c>
      <c r="CL4" s="81" t="s">
        <v>48</v>
      </c>
      <c r="CM4" s="76" t="s">
        <v>163</v>
      </c>
      <c r="CN4" s="75" t="s">
        <v>48</v>
      </c>
      <c r="CO4" s="76" t="s">
        <v>67</v>
      </c>
      <c r="CP4" s="81" t="s">
        <v>48</v>
      </c>
      <c r="CQ4" s="76" t="s">
        <v>68</v>
      </c>
      <c r="CR4" s="81" t="s">
        <v>48</v>
      </c>
      <c r="CS4" s="76" t="s">
        <v>69</v>
      </c>
      <c r="CT4" s="20" t="s">
        <v>48</v>
      </c>
      <c r="CU4" s="85" t="s">
        <v>70</v>
      </c>
      <c r="CV4" s="86" t="s">
        <v>71</v>
      </c>
      <c r="CW4" s="89"/>
      <c r="CX4" s="85" t="s">
        <v>72</v>
      </c>
      <c r="CY4" s="153" t="s">
        <v>15</v>
      </c>
      <c r="CZ4" s="155" t="s">
        <v>73</v>
      </c>
      <c r="DA4" s="93" t="s">
        <v>15</v>
      </c>
      <c r="DB4" s="94" t="s">
        <v>5</v>
      </c>
      <c r="DC4" s="95" t="s">
        <v>6</v>
      </c>
      <c r="DD4" s="2" t="s">
        <v>164</v>
      </c>
      <c r="DF4" s="121" t="s">
        <v>74</v>
      </c>
      <c r="DG4" s="122" t="s">
        <v>75</v>
      </c>
      <c r="DH4" s="122" t="s">
        <v>76</v>
      </c>
      <c r="DI4" s="122" t="s">
        <v>77</v>
      </c>
      <c r="DJ4" s="122" t="s">
        <v>78</v>
      </c>
      <c r="DK4" s="122" t="s">
        <v>42</v>
      </c>
      <c r="DL4" s="122" t="s">
        <v>43</v>
      </c>
      <c r="DM4" s="122" t="s">
        <v>44</v>
      </c>
      <c r="DN4" s="122" t="s">
        <v>45</v>
      </c>
      <c r="DO4" s="122" t="s">
        <v>46</v>
      </c>
      <c r="DP4" s="123" t="s">
        <v>79</v>
      </c>
      <c r="DQ4" s="124" t="s">
        <v>48</v>
      </c>
      <c r="DS4" s="205" t="s">
        <v>80</v>
      </c>
      <c r="DT4" s="206"/>
      <c r="DU4" s="206"/>
      <c r="DV4" s="207"/>
      <c r="DW4" s="160" t="s">
        <v>81</v>
      </c>
      <c r="DX4" s="160" t="s">
        <v>82</v>
      </c>
      <c r="DY4" s="22"/>
      <c r="DZ4" s="22"/>
      <c r="EA4" s="22"/>
    </row>
    <row r="5" spans="1:132" ht="13.5" customHeight="1" x14ac:dyDescent="0.4">
      <c r="A5" s="104">
        <v>1</v>
      </c>
      <c r="B5" s="23" t="s">
        <v>83</v>
      </c>
      <c r="C5" s="164">
        <v>24</v>
      </c>
      <c r="D5" s="164">
        <v>20</v>
      </c>
      <c r="E5" s="24" t="s">
        <v>114</v>
      </c>
      <c r="F5" s="29">
        <v>131517</v>
      </c>
      <c r="G5" s="25">
        <f>IF(SUM($F$5:F5)=0,"",SUM($F$5:F5))</f>
        <v>131517</v>
      </c>
      <c r="H5" s="43">
        <f t="shared" ref="H5:H35" si="0">IF(ISERROR(G5/V5),"",(G5/V5))</f>
        <v>1.1980378403490712</v>
      </c>
      <c r="I5" s="148">
        <f ca="1">IF($A6="",$G5/($V5-$U$5+INDIRECT(IF(_xlfn.SHEET()&lt;6,"令和8年"&amp;_xlfn.SHEET()+7&amp;"月","令和9年"&amp;_xlfn.SHEET()-5&amp;"月")&amp;"!$U$5")),$G5/($V6-$U$5))</f>
        <v>1.7692949295736753</v>
      </c>
      <c r="J5" s="26">
        <f t="shared" ref="J5:J35" si="1">IFERROR(G5/AC5,"")</f>
        <v>0.65758499999999998</v>
      </c>
      <c r="K5" s="27">
        <v>83</v>
      </c>
      <c r="L5" s="165">
        <f t="shared" ref="L5:L37" si="2">IF(ISERROR(K5/W5),"",(K5/W5))</f>
        <v>1.3833333333333333</v>
      </c>
      <c r="M5" s="28">
        <f t="shared" ref="M5:M35" si="3">IF(ISERROR(F5/K5),"",(F5/K5))</f>
        <v>1584.5421686746988</v>
      </c>
      <c r="N5" s="166">
        <f t="shared" ref="N5:N37" si="4">IF(ISERROR(M5/X5),"",(M5/X5))</f>
        <v>0.86605145085475044</v>
      </c>
      <c r="O5" s="167">
        <f t="shared" ref="O5:O35" si="5">IF(ISERROR(F5/P5),"",(F5/P5))</f>
        <v>56.036216446527483</v>
      </c>
      <c r="P5" s="168">
        <v>2347</v>
      </c>
      <c r="Q5" s="169">
        <f t="shared" ref="Q5:Q35" si="6">IF(ISERROR(P5/K5),"",(P5/K5))</f>
        <v>28.277108433734941</v>
      </c>
      <c r="R5" s="170">
        <v>35</v>
      </c>
      <c r="S5" s="171">
        <v>25</v>
      </c>
      <c r="T5" s="24" t="s">
        <v>84</v>
      </c>
      <c r="U5" s="29">
        <v>109777</v>
      </c>
      <c r="V5" s="30">
        <f>SUM(U5)</f>
        <v>109777</v>
      </c>
      <c r="W5" s="27">
        <v>60</v>
      </c>
      <c r="X5" s="31">
        <f t="shared" ref="X5:X35" si="7">IF(ISERROR(U5/W5),"",(U5/W5))</f>
        <v>1829.6166666666666</v>
      </c>
      <c r="Y5" s="29">
        <v>250044</v>
      </c>
      <c r="Z5" s="32">
        <f>SUM(Y5)</f>
        <v>250044</v>
      </c>
      <c r="AA5" s="33">
        <f t="shared" ref="AA5:AA35" si="8">IF(ISERROR(V5/Z5),"",(V5/Z5))</f>
        <v>0.4390307305914159</v>
      </c>
      <c r="AB5" s="158">
        <v>200000</v>
      </c>
      <c r="AC5" s="34">
        <f>AB5</f>
        <v>200000</v>
      </c>
      <c r="AD5" s="158">
        <v>20333</v>
      </c>
      <c r="AE5" s="25">
        <v>3922</v>
      </c>
      <c r="AF5" s="25">
        <v>5922</v>
      </c>
      <c r="AG5" s="25">
        <v>0</v>
      </c>
      <c r="AH5" s="25">
        <v>0</v>
      </c>
      <c r="AI5" s="25">
        <v>1011</v>
      </c>
      <c r="AJ5" s="25">
        <v>0</v>
      </c>
      <c r="AK5" s="25">
        <v>0</v>
      </c>
      <c r="AL5" s="158">
        <v>0</v>
      </c>
      <c r="AM5" s="25">
        <v>0</v>
      </c>
      <c r="AN5" s="158">
        <v>0</v>
      </c>
      <c r="AO5" s="25"/>
      <c r="AP5" s="25"/>
      <c r="AQ5" s="158"/>
      <c r="AR5" s="35">
        <f t="shared" ref="AR5:AR35" si="9">SUM(AD5:AQ5)</f>
        <v>31188</v>
      </c>
      <c r="AS5" s="172">
        <f t="shared" ref="AS5:AS35" si="10">IF(ISERROR((AR5/F5)),"",AR5/F5)</f>
        <v>0.23714044572184584</v>
      </c>
      <c r="AT5" s="36">
        <f t="shared" ref="AT5:AT35" si="11">F5-AR5+DW5</f>
        <v>100329</v>
      </c>
      <c r="AU5" s="173"/>
      <c r="AV5" s="82">
        <f t="shared" ref="AV5:AV35" si="12">A5</f>
        <v>1</v>
      </c>
      <c r="AW5" s="37">
        <v>31070</v>
      </c>
      <c r="AX5" s="174">
        <f t="shared" ref="AX5:AX35" si="13">IF(ISERROR((AW5/$F5)),"",AW5/$F5)</f>
        <v>0.23624322330953412</v>
      </c>
      <c r="AY5" s="37">
        <v>1996</v>
      </c>
      <c r="AZ5" s="174">
        <f t="shared" ref="AZ5:AZ35" si="14">IF(ISERROR((AY5/$F5)),"",AY5/$F5)</f>
        <v>1.5176745211645642E-2</v>
      </c>
      <c r="BA5" s="37">
        <v>48495</v>
      </c>
      <c r="BB5" s="174">
        <f t="shared" ref="BB5:BB35" si="15">IF(ISERROR((BA5/$F5)),"",BA5/$F5)</f>
        <v>0.36873560072081935</v>
      </c>
      <c r="BC5" s="37">
        <v>2628</v>
      </c>
      <c r="BD5" s="174">
        <f t="shared" ref="BD5:BD35" si="16">IF(ISERROR((BC5/$F5)),"",BC5/$F5)</f>
        <v>1.9982207623349072E-2</v>
      </c>
      <c r="BE5" s="37">
        <v>0</v>
      </c>
      <c r="BF5" s="174">
        <f t="shared" ref="BF5:BF35" si="17">IF(ISERROR((BE5/$F5)),"",BE5/$F5)</f>
        <v>0</v>
      </c>
      <c r="BG5" s="37">
        <v>2455</v>
      </c>
      <c r="BH5" s="174">
        <f t="shared" ref="BH5:BH35" si="18">IF(ISERROR((BG5/$F5)),"",BG5/$F5)</f>
        <v>1.8666788323942911E-2</v>
      </c>
      <c r="BI5" s="37">
        <v>794</v>
      </c>
      <c r="BJ5" s="174">
        <f t="shared" ref="BJ5:BJ35" si="19">IF(ISERROR((BI5/$F5)),"",BI5/$F5)</f>
        <v>6.0372423336907018E-3</v>
      </c>
      <c r="BK5" s="37">
        <v>2308</v>
      </c>
      <c r="BL5" s="174">
        <f t="shared" ref="BL5:BL35" si="20">IF(ISERROR((BK5/$F5)),"",BK5/$F5)</f>
        <v>1.7549062098435944E-2</v>
      </c>
      <c r="BM5" s="37">
        <v>19895</v>
      </c>
      <c r="BN5" s="174">
        <f t="shared" ref="BN5:BN35" si="21">IF(ISERROR((BM5/$F5)),"",BM5/$F5)</f>
        <v>0.15127321943170846</v>
      </c>
      <c r="BO5" s="37">
        <v>1022</v>
      </c>
      <c r="BP5" s="174">
        <f t="shared" ref="BP5:BP35" si="22">IF(ISERROR((BO5/$F5)),"",BO5/$F5)</f>
        <v>7.7708585201913061E-3</v>
      </c>
      <c r="BQ5" s="37">
        <v>1208</v>
      </c>
      <c r="BR5" s="174">
        <f t="shared" ref="BR5:BR35" si="23">IF(ISERROR((BQ5/$F5)),"",BQ5/$F5)</f>
        <v>9.1851243565470621E-3</v>
      </c>
      <c r="BS5" s="37">
        <v>125</v>
      </c>
      <c r="BT5" s="174">
        <f t="shared" ref="BT5:BT35" si="24">IF(ISERROR((BS5/$F5)),"",BS5/$F5)</f>
        <v>9.50447470669191E-4</v>
      </c>
      <c r="BU5" s="37">
        <v>0</v>
      </c>
      <c r="BV5" s="174">
        <f t="shared" ref="BV5:BV35" si="25">IF(ISERROR((BU5/$F5)),"",BU5/$F5)</f>
        <v>0</v>
      </c>
      <c r="BW5" s="37">
        <v>295</v>
      </c>
      <c r="BX5" s="174">
        <f t="shared" ref="BX5:BX35" si="26">IF(ISERROR((BW5/$F5)),"",BW5/$F5)</f>
        <v>2.2430560307792908E-3</v>
      </c>
      <c r="BY5" s="37">
        <v>0</v>
      </c>
      <c r="BZ5" s="174">
        <f t="shared" ref="BZ5:BZ35" si="27">IF(ISERROR((BY5/$F5)),"",BY5/$F5)</f>
        <v>0</v>
      </c>
      <c r="CA5" s="37">
        <v>0</v>
      </c>
      <c r="CB5" s="174">
        <f t="shared" ref="CB5:CB35" si="28">IF(ISERROR((CA5/$F5)),"",CA5/$F5)</f>
        <v>0</v>
      </c>
      <c r="CC5" s="37">
        <v>625</v>
      </c>
      <c r="CD5" s="174">
        <f t="shared" ref="CD5:CD35" si="29">IF(ISERROR((CC5/$F5)),"",CC5/$F5)</f>
        <v>4.7522373533459552E-3</v>
      </c>
      <c r="CE5" s="37">
        <v>700</v>
      </c>
      <c r="CF5" s="174">
        <f t="shared" ref="CF5:CF35" si="30">IF(ISERROR((CE5/$F5)),"",CE5/$F5)</f>
        <v>5.3225058357474703E-3</v>
      </c>
      <c r="CG5" s="37">
        <v>0</v>
      </c>
      <c r="CH5" s="174">
        <f t="shared" ref="CH5:CH35" si="31">IF(ISERROR((CG5/$F5)),"",CG5/$F5)</f>
        <v>0</v>
      </c>
      <c r="CI5" s="37">
        <v>590</v>
      </c>
      <c r="CJ5" s="174">
        <f t="shared" ref="CJ5:CJ35" si="32">IF(ISERROR((CI5/$F5)),"",CI5/$F5)</f>
        <v>4.4861120615585816E-3</v>
      </c>
      <c r="CK5" s="37">
        <v>0</v>
      </c>
      <c r="CL5" s="174">
        <f t="shared" ref="CL5:CL35" si="33">IF(ISERROR((CK5/$F5)),"",CK5/$F5)</f>
        <v>0</v>
      </c>
      <c r="CM5" s="37">
        <v>0</v>
      </c>
      <c r="CN5" s="174">
        <f t="shared" ref="CN5:CN35" si="34">IF(ISERROR((CM5/$F5)),"",CM5/$F5)</f>
        <v>0</v>
      </c>
      <c r="CO5" s="37"/>
      <c r="CP5" s="174">
        <f t="shared" ref="CP5:CP35" si="35">IF(ISERROR((CO5/$F5)),"",CO5/$F5)</f>
        <v>0</v>
      </c>
      <c r="CQ5" s="37"/>
      <c r="CR5" s="174">
        <f t="shared" ref="CR5:CR35" si="36">IF(ISERROR((CQ5/$F5)),"",CQ5/$F5)</f>
        <v>0</v>
      </c>
      <c r="CS5" s="37"/>
      <c r="CT5" s="174">
        <f t="shared" ref="CT5:CT35" si="37">IF(ISERROR((CS5/$F5)),"",CS5/$F5)</f>
        <v>0</v>
      </c>
      <c r="CU5" s="38"/>
      <c r="CV5" s="87"/>
      <c r="CW5" s="90"/>
      <c r="CX5" s="38">
        <v>25550</v>
      </c>
      <c r="CY5" s="39">
        <v>11</v>
      </c>
      <c r="CZ5" s="37">
        <v>5386</v>
      </c>
      <c r="DA5" s="39">
        <v>18</v>
      </c>
      <c r="DB5" s="24">
        <v>1</v>
      </c>
      <c r="DC5" s="96" t="str">
        <f t="shared" ref="DC5:DC35" si="38">B5</f>
        <v>水</v>
      </c>
      <c r="DF5" s="125"/>
      <c r="DG5" s="40"/>
      <c r="DH5" s="40"/>
      <c r="DI5" s="40"/>
      <c r="DJ5" s="40"/>
      <c r="DK5" s="40"/>
      <c r="DL5" s="40"/>
      <c r="DM5" s="40"/>
      <c r="DN5" s="40"/>
      <c r="DO5" s="40"/>
      <c r="DP5" s="40">
        <f t="shared" ref="DP5:DP35" si="39">SUM(DF5:DO5)</f>
        <v>0</v>
      </c>
      <c r="DQ5" s="172">
        <f t="shared" ref="DQ5:DQ35" si="40">IF(ISERROR((DP5/F5)),"",DP5/F5)</f>
        <v>0</v>
      </c>
      <c r="DS5" s="189"/>
      <c r="DT5" s="190"/>
      <c r="DU5" s="190"/>
      <c r="DV5" s="191"/>
      <c r="DW5" s="41"/>
      <c r="DX5" s="42"/>
      <c r="DY5" s="22"/>
      <c r="DZ5" s="22"/>
      <c r="EA5" s="22"/>
    </row>
    <row r="6" spans="1:132" ht="13.5" customHeight="1" x14ac:dyDescent="0.4">
      <c r="A6" s="104">
        <v>2</v>
      </c>
      <c r="B6" s="23" t="s">
        <v>85</v>
      </c>
      <c r="C6" s="164">
        <v>25</v>
      </c>
      <c r="D6" s="164">
        <v>21</v>
      </c>
      <c r="E6" s="24" t="s">
        <v>93</v>
      </c>
      <c r="F6" s="29">
        <v>89893</v>
      </c>
      <c r="G6" s="25">
        <f>IF(SUM($F$5:F6)=0,"",SUM($F$5:F6))</f>
        <v>221410</v>
      </c>
      <c r="H6" s="43">
        <f>IF(ISERROR(G6/V6),"",(G6/V6))</f>
        <v>1.2025962739666505</v>
      </c>
      <c r="I6" s="148">
        <f ca="1">IF($A7="",$G6/($V6-$U$5+INDIRECT(IF(_xlfn.SHEET()&lt;6,"令和8年"&amp;_xlfn.SHEET()+7&amp;"月","令和9年"&amp;_xlfn.SHEET()-5&amp;"月")&amp;"!$U$5")),$G6/($V7-$U$5))</f>
        <v>1.3174696680292997</v>
      </c>
      <c r="J6" s="26">
        <f t="shared" si="1"/>
        <v>0.55352500000000004</v>
      </c>
      <c r="K6" s="27">
        <v>82</v>
      </c>
      <c r="L6" s="165">
        <f t="shared" si="2"/>
        <v>1.64</v>
      </c>
      <c r="M6" s="28">
        <f t="shared" si="3"/>
        <v>1096.2560975609756</v>
      </c>
      <c r="N6" s="166">
        <f t="shared" si="4"/>
        <v>0.73739530058047942</v>
      </c>
      <c r="O6" s="167">
        <f t="shared" si="5"/>
        <v>48.071122994652406</v>
      </c>
      <c r="P6" s="168">
        <v>1870</v>
      </c>
      <c r="Q6" s="169">
        <f t="shared" si="6"/>
        <v>22.804878048780488</v>
      </c>
      <c r="R6" s="170">
        <v>35</v>
      </c>
      <c r="S6" s="171">
        <v>26</v>
      </c>
      <c r="T6" s="24" t="s">
        <v>84</v>
      </c>
      <c r="U6" s="29">
        <v>74333</v>
      </c>
      <c r="V6" s="30">
        <f t="shared" ref="V6:V35" si="41">SUM(V5+U6)</f>
        <v>184110</v>
      </c>
      <c r="W6" s="27">
        <v>50</v>
      </c>
      <c r="X6" s="31">
        <f t="shared" si="7"/>
        <v>1486.66</v>
      </c>
      <c r="Y6" s="29">
        <v>165632</v>
      </c>
      <c r="Z6" s="32">
        <f t="shared" ref="Z6:Z35" si="42">SUM(Z5+Y6)</f>
        <v>415676</v>
      </c>
      <c r="AA6" s="33">
        <f t="shared" si="8"/>
        <v>0.44291707964857246</v>
      </c>
      <c r="AB6" s="158">
        <v>200000</v>
      </c>
      <c r="AC6" s="34">
        <f t="shared" ref="AC6:AC35" si="43">AB6+AC5</f>
        <v>400000</v>
      </c>
      <c r="AD6" s="158">
        <v>10552</v>
      </c>
      <c r="AE6" s="25">
        <v>7684</v>
      </c>
      <c r="AF6" s="25">
        <v>2311</v>
      </c>
      <c r="AG6" s="25">
        <v>0</v>
      </c>
      <c r="AH6" s="25">
        <v>0</v>
      </c>
      <c r="AI6" s="25">
        <v>2047</v>
      </c>
      <c r="AJ6" s="25">
        <v>0</v>
      </c>
      <c r="AK6" s="25">
        <v>0</v>
      </c>
      <c r="AL6" s="158">
        <v>0</v>
      </c>
      <c r="AM6" s="25">
        <v>0</v>
      </c>
      <c r="AN6" s="158">
        <v>0</v>
      </c>
      <c r="AO6" s="25"/>
      <c r="AP6" s="25"/>
      <c r="AQ6" s="158"/>
      <c r="AR6" s="35">
        <f t="shared" si="9"/>
        <v>22594</v>
      </c>
      <c r="AS6" s="172">
        <f t="shared" si="10"/>
        <v>0.25134326365790438</v>
      </c>
      <c r="AT6" s="36">
        <f t="shared" si="11"/>
        <v>67299</v>
      </c>
      <c r="AU6" s="173"/>
      <c r="AV6" s="82">
        <f t="shared" si="12"/>
        <v>2</v>
      </c>
      <c r="AW6" s="37">
        <v>16559</v>
      </c>
      <c r="AX6" s="174">
        <f t="shared" si="13"/>
        <v>0.18420789160446308</v>
      </c>
      <c r="AY6" s="37">
        <v>0</v>
      </c>
      <c r="AZ6" s="174">
        <f t="shared" si="14"/>
        <v>0</v>
      </c>
      <c r="BA6" s="37">
        <v>38140</v>
      </c>
      <c r="BB6" s="174">
        <f t="shared" si="15"/>
        <v>0.42428220217369539</v>
      </c>
      <c r="BC6" s="37">
        <v>386</v>
      </c>
      <c r="BD6" s="174">
        <f t="shared" si="16"/>
        <v>4.2939939706095028E-3</v>
      </c>
      <c r="BE6" s="37">
        <v>0</v>
      </c>
      <c r="BF6" s="174">
        <f t="shared" si="17"/>
        <v>0</v>
      </c>
      <c r="BG6" s="37">
        <v>960</v>
      </c>
      <c r="BH6" s="174">
        <f t="shared" si="18"/>
        <v>1.0679363242966639E-2</v>
      </c>
      <c r="BI6" s="37">
        <v>856</v>
      </c>
      <c r="BJ6" s="174">
        <f t="shared" si="19"/>
        <v>9.5224322249785852E-3</v>
      </c>
      <c r="BK6" s="37">
        <v>1455</v>
      </c>
      <c r="BL6" s="174">
        <f t="shared" si="20"/>
        <v>1.618590991512131E-2</v>
      </c>
      <c r="BM6" s="37">
        <v>17365</v>
      </c>
      <c r="BN6" s="174">
        <f t="shared" si="21"/>
        <v>0.1931741069938705</v>
      </c>
      <c r="BO6" s="37">
        <v>1073</v>
      </c>
      <c r="BP6" s="174">
        <f t="shared" si="22"/>
        <v>1.1936413291357502E-2</v>
      </c>
      <c r="BQ6" s="37">
        <v>138</v>
      </c>
      <c r="BR6" s="174">
        <f t="shared" si="23"/>
        <v>1.5351584661764542E-3</v>
      </c>
      <c r="BS6" s="37">
        <v>145</v>
      </c>
      <c r="BT6" s="174">
        <f t="shared" si="24"/>
        <v>1.6130288231564194E-3</v>
      </c>
      <c r="BU6" s="37">
        <v>0</v>
      </c>
      <c r="BV6" s="174">
        <f t="shared" si="25"/>
        <v>0</v>
      </c>
      <c r="BW6" s="37">
        <v>0</v>
      </c>
      <c r="BX6" s="174">
        <f t="shared" si="26"/>
        <v>0</v>
      </c>
      <c r="BY6" s="37">
        <v>0</v>
      </c>
      <c r="BZ6" s="174">
        <f t="shared" si="27"/>
        <v>0</v>
      </c>
      <c r="CA6" s="37">
        <v>0</v>
      </c>
      <c r="CB6" s="174">
        <f t="shared" si="28"/>
        <v>0</v>
      </c>
      <c r="CC6" s="37">
        <v>730</v>
      </c>
      <c r="CD6" s="174">
        <f t="shared" si="29"/>
        <v>8.1207657993392149E-3</v>
      </c>
      <c r="CE6" s="37">
        <v>320</v>
      </c>
      <c r="CF6" s="174">
        <f t="shared" si="30"/>
        <v>3.559787747655546E-3</v>
      </c>
      <c r="CG6" s="37">
        <v>0</v>
      </c>
      <c r="CH6" s="174">
        <f t="shared" si="31"/>
        <v>0</v>
      </c>
      <c r="CI6" s="37">
        <v>354</v>
      </c>
      <c r="CJ6" s="174">
        <f t="shared" si="32"/>
        <v>3.9380151958439474E-3</v>
      </c>
      <c r="CK6" s="37">
        <v>0</v>
      </c>
      <c r="CL6" s="174">
        <f t="shared" si="33"/>
        <v>0</v>
      </c>
      <c r="CM6" s="37">
        <v>0</v>
      </c>
      <c r="CN6" s="174">
        <f t="shared" si="34"/>
        <v>0</v>
      </c>
      <c r="CO6" s="37"/>
      <c r="CP6" s="174">
        <f t="shared" si="35"/>
        <v>0</v>
      </c>
      <c r="CQ6" s="37"/>
      <c r="CR6" s="174">
        <f t="shared" si="36"/>
        <v>0</v>
      </c>
      <c r="CS6" s="37"/>
      <c r="CT6" s="174">
        <f t="shared" si="37"/>
        <v>0</v>
      </c>
      <c r="CU6" s="38"/>
      <c r="CV6" s="87"/>
      <c r="CW6" s="90"/>
      <c r="CX6" s="38">
        <v>7305</v>
      </c>
      <c r="CY6" s="39">
        <v>2</v>
      </c>
      <c r="CZ6" s="37">
        <v>6562</v>
      </c>
      <c r="DA6" s="39">
        <v>14</v>
      </c>
      <c r="DB6" s="24">
        <v>2</v>
      </c>
      <c r="DC6" s="96" t="str">
        <f t="shared" si="38"/>
        <v>木</v>
      </c>
      <c r="DF6" s="125"/>
      <c r="DG6" s="40"/>
      <c r="DH6" s="40"/>
      <c r="DI6" s="40"/>
      <c r="DJ6" s="40"/>
      <c r="DK6" s="40"/>
      <c r="DL6" s="40"/>
      <c r="DM6" s="40"/>
      <c r="DN6" s="40"/>
      <c r="DO6" s="40"/>
      <c r="DP6" s="40">
        <f t="shared" si="39"/>
        <v>0</v>
      </c>
      <c r="DQ6" s="172">
        <f t="shared" si="40"/>
        <v>0</v>
      </c>
      <c r="DS6" s="189"/>
      <c r="DT6" s="190"/>
      <c r="DU6" s="190"/>
      <c r="DV6" s="191"/>
      <c r="DW6" s="41"/>
      <c r="DX6" s="42"/>
      <c r="DY6" s="22"/>
      <c r="DZ6" s="22"/>
      <c r="EA6" s="22"/>
    </row>
    <row r="7" spans="1:132" ht="13.5" customHeight="1" x14ac:dyDescent="0.4">
      <c r="A7" s="104">
        <v>3</v>
      </c>
      <c r="B7" s="23" t="s">
        <v>86</v>
      </c>
      <c r="C7" s="164">
        <v>31</v>
      </c>
      <c r="D7" s="164">
        <v>20</v>
      </c>
      <c r="E7" s="24" t="s">
        <v>84</v>
      </c>
      <c r="F7" s="29">
        <v>127666</v>
      </c>
      <c r="G7" s="25">
        <f>IF(SUM($F$5:F7)=0,"",SUM($F$5:F7))</f>
        <v>349076</v>
      </c>
      <c r="H7" s="43">
        <f t="shared" si="0"/>
        <v>1.2564193007335316</v>
      </c>
      <c r="I7" s="148">
        <f t="array" aca="1" ref="I7" ca="1">IF($A8="",$G7/($V7-$U$5+INDIRECT(IF(_xlfn.SHEET()&lt;6,"令和8年"&amp;_xlfn.SHEET()+7&amp;"月","令和9年"&amp;_xlfn.SHEET()-5&amp;"月")&amp;"!$U$5")),$G7/($V8-$U$5))</f>
        <v>1.2823304680038203</v>
      </c>
      <c r="J7" s="26">
        <f t="shared" si="1"/>
        <v>0.58179333333333338</v>
      </c>
      <c r="K7" s="27">
        <v>91</v>
      </c>
      <c r="L7" s="165">
        <f t="shared" si="2"/>
        <v>1.4918032786885247</v>
      </c>
      <c r="M7" s="28">
        <f t="shared" si="3"/>
        <v>1402.9230769230769</v>
      </c>
      <c r="N7" s="166">
        <f t="shared" si="4"/>
        <v>0.91308851193192453</v>
      </c>
      <c r="O7" s="167">
        <f t="shared" si="5"/>
        <v>55.314558058925478</v>
      </c>
      <c r="P7" s="168">
        <v>2308</v>
      </c>
      <c r="Q7" s="169">
        <f t="shared" si="6"/>
        <v>25.362637362637361</v>
      </c>
      <c r="R7" s="170">
        <v>35</v>
      </c>
      <c r="S7" s="171">
        <v>26</v>
      </c>
      <c r="T7" s="24" t="s">
        <v>87</v>
      </c>
      <c r="U7" s="29">
        <v>93724</v>
      </c>
      <c r="V7" s="30">
        <f t="shared" si="41"/>
        <v>277834</v>
      </c>
      <c r="W7" s="27">
        <v>61</v>
      </c>
      <c r="X7" s="31">
        <f t="shared" si="7"/>
        <v>1536.4590163934427</v>
      </c>
      <c r="Y7" s="29">
        <v>180988</v>
      </c>
      <c r="Z7" s="32">
        <f t="shared" si="42"/>
        <v>596664</v>
      </c>
      <c r="AA7" s="33">
        <f t="shared" si="8"/>
        <v>0.46564565651690065</v>
      </c>
      <c r="AB7" s="158">
        <v>200000</v>
      </c>
      <c r="AC7" s="34">
        <f t="shared" si="43"/>
        <v>600000</v>
      </c>
      <c r="AD7" s="158">
        <v>20565</v>
      </c>
      <c r="AE7" s="25">
        <v>2778</v>
      </c>
      <c r="AF7" s="25">
        <v>0</v>
      </c>
      <c r="AG7" s="25">
        <v>0</v>
      </c>
      <c r="AH7" s="25">
        <v>0</v>
      </c>
      <c r="AI7" s="25">
        <v>208</v>
      </c>
      <c r="AJ7" s="25">
        <v>0</v>
      </c>
      <c r="AK7" s="25">
        <v>0</v>
      </c>
      <c r="AL7" s="158">
        <v>2586</v>
      </c>
      <c r="AM7" s="25">
        <v>0</v>
      </c>
      <c r="AN7" s="158">
        <v>0</v>
      </c>
      <c r="AO7" s="25"/>
      <c r="AP7" s="25"/>
      <c r="AQ7" s="158"/>
      <c r="AR7" s="35">
        <f t="shared" si="9"/>
        <v>26137</v>
      </c>
      <c r="AS7" s="172">
        <f t="shared" si="10"/>
        <v>0.20472952861372645</v>
      </c>
      <c r="AT7" s="36">
        <f t="shared" si="11"/>
        <v>101529</v>
      </c>
      <c r="AU7" s="173"/>
      <c r="AV7" s="82">
        <f t="shared" si="12"/>
        <v>3</v>
      </c>
      <c r="AW7" s="37">
        <v>30940</v>
      </c>
      <c r="AX7" s="174">
        <f t="shared" si="13"/>
        <v>0.24235113499287203</v>
      </c>
      <c r="AY7" s="37">
        <v>1836</v>
      </c>
      <c r="AZ7" s="174">
        <f t="shared" si="14"/>
        <v>1.4381276142434164E-2</v>
      </c>
      <c r="BA7" s="37">
        <v>43491</v>
      </c>
      <c r="BB7" s="174">
        <f t="shared" si="15"/>
        <v>0.34066235332821582</v>
      </c>
      <c r="BC7" s="37">
        <v>1274</v>
      </c>
      <c r="BD7" s="174">
        <f t="shared" si="16"/>
        <v>9.9791643820594366E-3</v>
      </c>
      <c r="BE7" s="37">
        <v>0</v>
      </c>
      <c r="BF7" s="174">
        <f t="shared" si="17"/>
        <v>0</v>
      </c>
      <c r="BG7" s="37">
        <v>3782</v>
      </c>
      <c r="BH7" s="174">
        <f t="shared" si="18"/>
        <v>2.9624175583162313E-2</v>
      </c>
      <c r="BI7" s="37">
        <v>1006</v>
      </c>
      <c r="BJ7" s="174">
        <f t="shared" si="19"/>
        <v>7.8799367098522713E-3</v>
      </c>
      <c r="BK7" s="37">
        <v>1658</v>
      </c>
      <c r="BL7" s="174">
        <f t="shared" si="20"/>
        <v>1.2987012987012988E-2</v>
      </c>
      <c r="BM7" s="37">
        <v>23938</v>
      </c>
      <c r="BN7" s="174">
        <f t="shared" si="21"/>
        <v>0.18750489558692213</v>
      </c>
      <c r="BO7" s="37">
        <v>796</v>
      </c>
      <c r="BP7" s="174">
        <f t="shared" si="22"/>
        <v>6.2350195040182981E-3</v>
      </c>
      <c r="BQ7" s="37">
        <v>892</v>
      </c>
      <c r="BR7" s="174">
        <f t="shared" si="23"/>
        <v>6.9869816552566855E-3</v>
      </c>
      <c r="BS7" s="37">
        <v>260</v>
      </c>
      <c r="BT7" s="174">
        <f t="shared" si="24"/>
        <v>2.0365641596039666E-3</v>
      </c>
      <c r="BU7" s="37">
        <v>0</v>
      </c>
      <c r="BV7" s="174">
        <f t="shared" si="25"/>
        <v>0</v>
      </c>
      <c r="BW7" s="37">
        <v>390</v>
      </c>
      <c r="BX7" s="174">
        <f t="shared" si="26"/>
        <v>3.0548462394059499E-3</v>
      </c>
      <c r="BY7" s="37">
        <v>0</v>
      </c>
      <c r="BZ7" s="174">
        <f t="shared" si="27"/>
        <v>0</v>
      </c>
      <c r="CA7" s="37">
        <v>0</v>
      </c>
      <c r="CB7" s="174">
        <f t="shared" si="28"/>
        <v>0</v>
      </c>
      <c r="CC7" s="37">
        <v>100</v>
      </c>
      <c r="CD7" s="174">
        <f t="shared" si="29"/>
        <v>7.8329390753998718E-4</v>
      </c>
      <c r="CE7" s="37">
        <v>0</v>
      </c>
      <c r="CF7" s="174">
        <f t="shared" si="30"/>
        <v>0</v>
      </c>
      <c r="CG7" s="37">
        <v>0</v>
      </c>
      <c r="CH7" s="174">
        <f t="shared" si="31"/>
        <v>0</v>
      </c>
      <c r="CI7" s="37">
        <v>472</v>
      </c>
      <c r="CJ7" s="174">
        <f t="shared" si="32"/>
        <v>3.6971472435887395E-3</v>
      </c>
      <c r="CK7" s="37">
        <v>0</v>
      </c>
      <c r="CL7" s="174">
        <f t="shared" si="33"/>
        <v>0</v>
      </c>
      <c r="CM7" s="37">
        <v>0</v>
      </c>
      <c r="CN7" s="174">
        <f t="shared" si="34"/>
        <v>0</v>
      </c>
      <c r="CO7" s="37"/>
      <c r="CP7" s="174">
        <f t="shared" si="35"/>
        <v>0</v>
      </c>
      <c r="CQ7" s="37"/>
      <c r="CR7" s="174">
        <f t="shared" si="36"/>
        <v>0</v>
      </c>
      <c r="CS7" s="37"/>
      <c r="CT7" s="174">
        <f t="shared" si="37"/>
        <v>0</v>
      </c>
      <c r="CU7" s="38"/>
      <c r="CV7" s="87"/>
      <c r="CW7" s="90"/>
      <c r="CX7" s="38">
        <v>5692</v>
      </c>
      <c r="CY7" s="39">
        <v>21</v>
      </c>
      <c r="CZ7" s="37">
        <v>1703</v>
      </c>
      <c r="DA7" s="39">
        <v>12</v>
      </c>
      <c r="DB7" s="24">
        <v>3</v>
      </c>
      <c r="DC7" s="96" t="str">
        <f t="shared" si="38"/>
        <v>金</v>
      </c>
      <c r="DF7" s="125"/>
      <c r="DG7" s="40"/>
      <c r="DH7" s="40"/>
      <c r="DI7" s="40"/>
      <c r="DJ7" s="40"/>
      <c r="DK7" s="40"/>
      <c r="DL7" s="40"/>
      <c r="DM7" s="40"/>
      <c r="DN7" s="40"/>
      <c r="DO7" s="40"/>
      <c r="DP7" s="40">
        <f t="shared" si="39"/>
        <v>0</v>
      </c>
      <c r="DQ7" s="172">
        <f t="shared" si="40"/>
        <v>0</v>
      </c>
      <c r="DS7" s="189"/>
      <c r="DT7" s="190"/>
      <c r="DU7" s="190"/>
      <c r="DV7" s="191"/>
      <c r="DW7" s="138"/>
      <c r="DX7" s="42"/>
      <c r="DY7" s="139"/>
      <c r="DZ7" s="139"/>
      <c r="EA7" s="139"/>
      <c r="EB7" s="139"/>
    </row>
    <row r="8" spans="1:132" ht="13.5" customHeight="1" x14ac:dyDescent="0.4">
      <c r="A8" s="104">
        <v>4</v>
      </c>
      <c r="B8" s="23" t="s">
        <v>88</v>
      </c>
      <c r="C8" s="164">
        <v>28</v>
      </c>
      <c r="D8" s="164">
        <v>22</v>
      </c>
      <c r="E8" s="24" t="s">
        <v>141</v>
      </c>
      <c r="F8" s="29">
        <v>390664</v>
      </c>
      <c r="G8" s="25">
        <f>IF(SUM($F$5:F8)=0,"",SUM($F$5:F8))</f>
        <v>739740</v>
      </c>
      <c r="H8" s="43">
        <f t="shared" si="0"/>
        <v>1.936507354769802</v>
      </c>
      <c r="I8" s="148">
        <f t="array" aca="1" ref="I8" ca="1">IF($A9="",$G8/($V8-$U$5+INDIRECT(IF(_xlfn.SHEET()&lt;6,"令和8年"&amp;_xlfn.SHEET()+7&amp;"月","令和9年"&amp;_xlfn.SHEET()-5&amp;"月")&amp;"!$U$5")),$G8/($V9-$U$5))</f>
        <v>0.97011646800703455</v>
      </c>
      <c r="J8" s="26">
        <f t="shared" si="1"/>
        <v>0.64325217391304346</v>
      </c>
      <c r="K8" s="27">
        <v>255</v>
      </c>
      <c r="L8" s="165">
        <f t="shared" si="2"/>
        <v>3.4459459459459461</v>
      </c>
      <c r="M8" s="28">
        <f t="shared" si="3"/>
        <v>1532.0156862745098</v>
      </c>
      <c r="N8" s="166">
        <f t="shared" si="4"/>
        <v>1.0883822545847732</v>
      </c>
      <c r="O8" s="167">
        <f t="shared" si="5"/>
        <v>57.248534583821808</v>
      </c>
      <c r="P8" s="168">
        <v>6824</v>
      </c>
      <c r="Q8" s="169">
        <f t="shared" si="6"/>
        <v>26.760784313725491</v>
      </c>
      <c r="R8" s="170">
        <v>35</v>
      </c>
      <c r="S8" s="171">
        <v>25</v>
      </c>
      <c r="T8" s="24" t="s">
        <v>84</v>
      </c>
      <c r="U8" s="29">
        <v>104163</v>
      </c>
      <c r="V8" s="30">
        <f t="shared" si="41"/>
        <v>381997</v>
      </c>
      <c r="W8" s="27">
        <v>74</v>
      </c>
      <c r="X8" s="31">
        <f t="shared" si="7"/>
        <v>1407.6081081081081</v>
      </c>
      <c r="Y8" s="29">
        <v>149991</v>
      </c>
      <c r="Z8" s="32">
        <f t="shared" si="42"/>
        <v>746655</v>
      </c>
      <c r="AA8" s="33">
        <f t="shared" si="8"/>
        <v>0.51161111892373323</v>
      </c>
      <c r="AB8" s="158">
        <v>550000</v>
      </c>
      <c r="AC8" s="34">
        <f t="shared" si="43"/>
        <v>1150000</v>
      </c>
      <c r="AD8" s="158">
        <v>52789</v>
      </c>
      <c r="AE8" s="25">
        <v>59063</v>
      </c>
      <c r="AF8" s="25">
        <v>8402</v>
      </c>
      <c r="AG8" s="25">
        <v>2218</v>
      </c>
      <c r="AH8" s="25">
        <v>1331</v>
      </c>
      <c r="AI8" s="25">
        <v>6814</v>
      </c>
      <c r="AJ8" s="25">
        <v>0</v>
      </c>
      <c r="AK8" s="79">
        <v>0</v>
      </c>
      <c r="AL8" s="120">
        <v>14489</v>
      </c>
      <c r="AM8" s="79">
        <v>0</v>
      </c>
      <c r="AN8" s="120">
        <v>0</v>
      </c>
      <c r="AO8" s="79"/>
      <c r="AP8" s="79"/>
      <c r="AQ8" s="158"/>
      <c r="AR8" s="35">
        <f t="shared" si="9"/>
        <v>145106</v>
      </c>
      <c r="AS8" s="172">
        <f t="shared" si="10"/>
        <v>0.37143427600188395</v>
      </c>
      <c r="AT8" s="36">
        <f t="shared" si="11"/>
        <v>245558</v>
      </c>
      <c r="AU8" s="173"/>
      <c r="AV8" s="82">
        <f t="shared" si="12"/>
        <v>4</v>
      </c>
      <c r="AW8" s="37">
        <v>69870</v>
      </c>
      <c r="AX8" s="174">
        <f t="shared" si="13"/>
        <v>0.17884934368152683</v>
      </c>
      <c r="AY8" s="37">
        <v>3270</v>
      </c>
      <c r="AZ8" s="174">
        <f t="shared" si="14"/>
        <v>8.3703643028280057E-3</v>
      </c>
      <c r="BA8" s="37">
        <v>133875</v>
      </c>
      <c r="BB8" s="174">
        <f t="shared" si="15"/>
        <v>0.34268578625110069</v>
      </c>
      <c r="BC8" s="37">
        <v>7366</v>
      </c>
      <c r="BD8" s="174">
        <f t="shared" si="16"/>
        <v>1.8855077509061496E-2</v>
      </c>
      <c r="BE8" s="37">
        <v>0</v>
      </c>
      <c r="BF8" s="174">
        <f t="shared" si="17"/>
        <v>0</v>
      </c>
      <c r="BG8" s="37">
        <v>6095</v>
      </c>
      <c r="BH8" s="174">
        <f t="shared" si="18"/>
        <v>1.5601642332029569E-2</v>
      </c>
      <c r="BI8" s="37">
        <v>3398</v>
      </c>
      <c r="BJ8" s="174">
        <f t="shared" si="19"/>
        <v>8.6980115905228028E-3</v>
      </c>
      <c r="BK8" s="37">
        <v>16497</v>
      </c>
      <c r="BL8" s="174">
        <f t="shared" si="20"/>
        <v>4.2228103946102019E-2</v>
      </c>
      <c r="BM8" s="37">
        <v>81018</v>
      </c>
      <c r="BN8" s="174">
        <f t="shared" si="21"/>
        <v>0.20738537464419551</v>
      </c>
      <c r="BO8" s="37">
        <v>2275</v>
      </c>
      <c r="BP8" s="174">
        <f t="shared" si="22"/>
        <v>5.8234185898879852E-3</v>
      </c>
      <c r="BQ8" s="37">
        <v>1246</v>
      </c>
      <c r="BR8" s="174">
        <f t="shared" si="23"/>
        <v>3.189441566154035E-3</v>
      </c>
      <c r="BS8" s="37">
        <v>540</v>
      </c>
      <c r="BT8" s="174">
        <f t="shared" si="24"/>
        <v>1.3822619949624229E-3</v>
      </c>
      <c r="BU8" s="37">
        <v>0</v>
      </c>
      <c r="BV8" s="174">
        <f t="shared" si="25"/>
        <v>0</v>
      </c>
      <c r="BW8" s="37">
        <v>395</v>
      </c>
      <c r="BX8" s="174">
        <f t="shared" si="26"/>
        <v>1.0110990518706613E-3</v>
      </c>
      <c r="BY8" s="37">
        <v>0</v>
      </c>
      <c r="BZ8" s="174">
        <f t="shared" si="27"/>
        <v>0</v>
      </c>
      <c r="CA8" s="37">
        <v>0</v>
      </c>
      <c r="CB8" s="174">
        <f t="shared" si="28"/>
        <v>0</v>
      </c>
      <c r="CC8" s="37">
        <v>7179</v>
      </c>
      <c r="CD8" s="174">
        <f t="shared" si="29"/>
        <v>1.8376405299694878E-2</v>
      </c>
      <c r="CE8" s="37">
        <v>1040</v>
      </c>
      <c r="CF8" s="174">
        <f t="shared" si="30"/>
        <v>2.6621342125202219E-3</v>
      </c>
      <c r="CG8" s="37">
        <v>0</v>
      </c>
      <c r="CH8" s="174">
        <f t="shared" si="31"/>
        <v>0</v>
      </c>
      <c r="CI8" s="37">
        <v>1298</v>
      </c>
      <c r="CJ8" s="174">
        <f t="shared" si="32"/>
        <v>3.3225482767800462E-3</v>
      </c>
      <c r="CK8" s="37">
        <v>0</v>
      </c>
      <c r="CL8" s="174">
        <f t="shared" si="33"/>
        <v>0</v>
      </c>
      <c r="CM8" s="37">
        <v>0</v>
      </c>
      <c r="CN8" s="174">
        <f t="shared" si="34"/>
        <v>0</v>
      </c>
      <c r="CO8" s="37"/>
      <c r="CP8" s="174">
        <f t="shared" si="35"/>
        <v>0</v>
      </c>
      <c r="CQ8" s="37"/>
      <c r="CR8" s="174">
        <f t="shared" si="36"/>
        <v>0</v>
      </c>
      <c r="CS8" s="37"/>
      <c r="CT8" s="174">
        <f t="shared" si="37"/>
        <v>0</v>
      </c>
      <c r="CU8" s="38"/>
      <c r="CV8" s="87"/>
      <c r="CW8" s="90"/>
      <c r="CX8" s="38">
        <v>19714</v>
      </c>
      <c r="CY8" s="39">
        <v>20</v>
      </c>
      <c r="CZ8" s="37">
        <v>8566</v>
      </c>
      <c r="DA8" s="39">
        <v>17</v>
      </c>
      <c r="DB8" s="24">
        <v>4</v>
      </c>
      <c r="DC8" s="96" t="str">
        <f t="shared" si="38"/>
        <v>土</v>
      </c>
      <c r="DF8" s="125"/>
      <c r="DG8" s="40"/>
      <c r="DH8" s="40"/>
      <c r="DI8" s="40"/>
      <c r="DJ8" s="40"/>
      <c r="DK8" s="40"/>
      <c r="DL8" s="40"/>
      <c r="DM8" s="40"/>
      <c r="DN8" s="40"/>
      <c r="DO8" s="40"/>
      <c r="DP8" s="40">
        <f t="shared" si="39"/>
        <v>0</v>
      </c>
      <c r="DQ8" s="172">
        <f t="shared" si="40"/>
        <v>0</v>
      </c>
      <c r="DS8" s="189"/>
      <c r="DT8" s="190"/>
      <c r="DU8" s="190"/>
      <c r="DV8" s="191"/>
      <c r="DW8" s="41"/>
      <c r="DX8" s="42"/>
      <c r="DY8" s="139"/>
      <c r="DZ8" s="139"/>
      <c r="EA8" s="139"/>
      <c r="EB8" s="139"/>
    </row>
    <row r="9" spans="1:132" ht="13.5" customHeight="1" x14ac:dyDescent="0.4">
      <c r="A9" s="104">
        <v>5</v>
      </c>
      <c r="B9" s="23" t="s">
        <v>89</v>
      </c>
      <c r="C9" s="164">
        <v>27</v>
      </c>
      <c r="D9" s="164">
        <v>21</v>
      </c>
      <c r="E9" s="24" t="s">
        <v>93</v>
      </c>
      <c r="F9" s="29">
        <v>588878</v>
      </c>
      <c r="G9" s="25">
        <f>IF(SUM($F$5:F9)=0,"",SUM($F$5:F9))</f>
        <v>1328618</v>
      </c>
      <c r="H9" s="43">
        <f t="shared" si="0"/>
        <v>1.5231135017149984</v>
      </c>
      <c r="I9" s="148">
        <f t="array" aca="1" ref="I9" ca="1">IF($A10="",$G9/($V9-$U$5+INDIRECT(IF(_xlfn.SHEET()&lt;6,"令和8年"&amp;_xlfn.SHEET()+7&amp;"月","令和9年"&amp;_xlfn.SHEET()-5&amp;"月")&amp;"!$U$5")),$G9/($V10-$U$5))</f>
        <v>0.99469642180666051</v>
      </c>
      <c r="J9" s="26">
        <f t="shared" si="1"/>
        <v>0.78154000000000001</v>
      </c>
      <c r="K9" s="27">
        <v>347</v>
      </c>
      <c r="L9" s="165">
        <f t="shared" si="2"/>
        <v>1.5917431192660549</v>
      </c>
      <c r="M9" s="28">
        <f t="shared" si="3"/>
        <v>1697.0547550432277</v>
      </c>
      <c r="N9" s="166">
        <f t="shared" si="4"/>
        <v>0.75454345257037658</v>
      </c>
      <c r="O9" s="167">
        <f t="shared" si="5"/>
        <v>53.872289817948953</v>
      </c>
      <c r="P9" s="168">
        <v>10931</v>
      </c>
      <c r="Q9" s="169">
        <f t="shared" si="6"/>
        <v>31.501440922190202</v>
      </c>
      <c r="R9" s="170">
        <v>35</v>
      </c>
      <c r="S9" s="171">
        <v>26</v>
      </c>
      <c r="T9" s="24" t="s">
        <v>84</v>
      </c>
      <c r="U9" s="29">
        <v>490307</v>
      </c>
      <c r="V9" s="30">
        <f t="shared" si="41"/>
        <v>872304</v>
      </c>
      <c r="W9" s="27">
        <v>218</v>
      </c>
      <c r="X9" s="31">
        <f t="shared" si="7"/>
        <v>2249.1146788990827</v>
      </c>
      <c r="Y9" s="29">
        <v>192510</v>
      </c>
      <c r="Z9" s="32">
        <f t="shared" si="42"/>
        <v>939165</v>
      </c>
      <c r="AA9" s="33">
        <f t="shared" si="8"/>
        <v>0.92880803692641867</v>
      </c>
      <c r="AB9" s="158">
        <v>550000</v>
      </c>
      <c r="AC9" s="34">
        <f t="shared" si="43"/>
        <v>1700000</v>
      </c>
      <c r="AD9" s="158">
        <v>76000</v>
      </c>
      <c r="AE9" s="25">
        <v>138853</v>
      </c>
      <c r="AF9" s="25">
        <v>8261</v>
      </c>
      <c r="AG9" s="25">
        <v>0</v>
      </c>
      <c r="AH9" s="25">
        <v>0</v>
      </c>
      <c r="AI9" s="25">
        <v>1397</v>
      </c>
      <c r="AJ9" s="25">
        <v>0</v>
      </c>
      <c r="AK9" s="25">
        <v>0</v>
      </c>
      <c r="AL9" s="158">
        <v>22582</v>
      </c>
      <c r="AM9" s="25">
        <v>0</v>
      </c>
      <c r="AN9" s="158">
        <v>0</v>
      </c>
      <c r="AO9" s="25"/>
      <c r="AP9" s="25"/>
      <c r="AQ9" s="158"/>
      <c r="AR9" s="35">
        <f t="shared" si="9"/>
        <v>247093</v>
      </c>
      <c r="AS9" s="172">
        <f t="shared" si="10"/>
        <v>0.41959964542740602</v>
      </c>
      <c r="AT9" s="36">
        <f t="shared" si="11"/>
        <v>341785</v>
      </c>
      <c r="AU9" s="173"/>
      <c r="AV9" s="82">
        <f t="shared" si="12"/>
        <v>5</v>
      </c>
      <c r="AW9" s="37">
        <v>106050</v>
      </c>
      <c r="AX9" s="174">
        <f t="shared" si="13"/>
        <v>0.18008823559379022</v>
      </c>
      <c r="AY9" s="37">
        <v>2966</v>
      </c>
      <c r="AZ9" s="174">
        <f t="shared" si="14"/>
        <v>5.0366969049616388E-3</v>
      </c>
      <c r="BA9" s="37">
        <v>214969</v>
      </c>
      <c r="BB9" s="174">
        <f t="shared" si="15"/>
        <v>0.36504844806564346</v>
      </c>
      <c r="BC9" s="37">
        <v>6790</v>
      </c>
      <c r="BD9" s="174">
        <f t="shared" si="16"/>
        <v>1.153040188290274E-2</v>
      </c>
      <c r="BE9" s="37">
        <v>0</v>
      </c>
      <c r="BF9" s="174">
        <f t="shared" si="17"/>
        <v>0</v>
      </c>
      <c r="BG9" s="37">
        <v>8048</v>
      </c>
      <c r="BH9" s="174">
        <f t="shared" si="18"/>
        <v>1.3666667798763072E-2</v>
      </c>
      <c r="BI9" s="37">
        <v>3086</v>
      </c>
      <c r="BJ9" s="174">
        <f t="shared" si="19"/>
        <v>5.2404742578258997E-3</v>
      </c>
      <c r="BK9" s="37">
        <v>21834</v>
      </c>
      <c r="BL9" s="174">
        <f t="shared" si="20"/>
        <v>3.7077289353652197E-2</v>
      </c>
      <c r="BM9" s="37">
        <v>130459</v>
      </c>
      <c r="BN9" s="174">
        <f t="shared" si="21"/>
        <v>0.22153824731098801</v>
      </c>
      <c r="BO9" s="37">
        <v>2691</v>
      </c>
      <c r="BP9" s="174">
        <f t="shared" si="22"/>
        <v>4.5697071379810416E-3</v>
      </c>
      <c r="BQ9" s="37">
        <v>2286</v>
      </c>
      <c r="BR9" s="174">
        <f t="shared" si="23"/>
        <v>3.8819585720641626E-3</v>
      </c>
      <c r="BS9" s="37">
        <v>705</v>
      </c>
      <c r="BT9" s="174">
        <f t="shared" si="24"/>
        <v>1.1971919480775306E-3</v>
      </c>
      <c r="BU9" s="37">
        <v>0</v>
      </c>
      <c r="BV9" s="174">
        <f t="shared" si="25"/>
        <v>0</v>
      </c>
      <c r="BW9" s="37">
        <v>900</v>
      </c>
      <c r="BX9" s="174">
        <f t="shared" si="26"/>
        <v>1.5283301464819538E-3</v>
      </c>
      <c r="BY9" s="37">
        <v>0</v>
      </c>
      <c r="BZ9" s="174">
        <f t="shared" si="27"/>
        <v>0</v>
      </c>
      <c r="CA9" s="37">
        <v>0</v>
      </c>
      <c r="CB9" s="174">
        <f t="shared" si="28"/>
        <v>0</v>
      </c>
      <c r="CC9" s="37">
        <v>8532</v>
      </c>
      <c r="CD9" s="174">
        <f t="shared" si="29"/>
        <v>1.4488569788648922E-2</v>
      </c>
      <c r="CE9" s="37">
        <v>1680</v>
      </c>
      <c r="CF9" s="174">
        <f t="shared" si="30"/>
        <v>2.8528829400996472E-3</v>
      </c>
      <c r="CG9" s="37">
        <v>0</v>
      </c>
      <c r="CH9" s="174">
        <f t="shared" si="31"/>
        <v>0</v>
      </c>
      <c r="CI9" s="37">
        <v>1770</v>
      </c>
      <c r="CJ9" s="174">
        <f t="shared" si="32"/>
        <v>3.0057159547478424E-3</v>
      </c>
      <c r="CK9" s="37">
        <v>0</v>
      </c>
      <c r="CL9" s="174">
        <f t="shared" si="33"/>
        <v>0</v>
      </c>
      <c r="CM9" s="37">
        <v>0</v>
      </c>
      <c r="CN9" s="174">
        <f t="shared" si="34"/>
        <v>0</v>
      </c>
      <c r="CO9" s="37"/>
      <c r="CP9" s="174">
        <f t="shared" si="35"/>
        <v>0</v>
      </c>
      <c r="CQ9" s="37"/>
      <c r="CR9" s="174">
        <f t="shared" si="36"/>
        <v>0</v>
      </c>
      <c r="CS9" s="37"/>
      <c r="CT9" s="174">
        <f t="shared" si="37"/>
        <v>0</v>
      </c>
      <c r="CU9" s="38"/>
      <c r="CV9" s="87"/>
      <c r="CW9" s="90"/>
      <c r="CX9" s="38">
        <v>31809</v>
      </c>
      <c r="CY9" s="39">
        <v>32</v>
      </c>
      <c r="CZ9" s="37">
        <v>4110</v>
      </c>
      <c r="DA9" s="39">
        <v>10</v>
      </c>
      <c r="DB9" s="24">
        <v>5</v>
      </c>
      <c r="DC9" s="96" t="str">
        <f t="shared" si="38"/>
        <v>日</v>
      </c>
      <c r="DF9" s="125"/>
      <c r="DG9" s="40"/>
      <c r="DH9" s="40"/>
      <c r="DI9" s="40"/>
      <c r="DJ9" s="40"/>
      <c r="DK9" s="40"/>
      <c r="DL9" s="40"/>
      <c r="DM9" s="40"/>
      <c r="DN9" s="40"/>
      <c r="DO9" s="40"/>
      <c r="DP9" s="40">
        <f t="shared" si="39"/>
        <v>0</v>
      </c>
      <c r="DQ9" s="172">
        <f t="shared" si="40"/>
        <v>0</v>
      </c>
      <c r="DS9" s="189"/>
      <c r="DT9" s="190"/>
      <c r="DU9" s="190"/>
      <c r="DV9" s="191"/>
      <c r="DW9" s="41"/>
      <c r="DX9" s="42"/>
      <c r="DY9" s="139"/>
      <c r="DZ9" s="139"/>
      <c r="EA9" s="139"/>
      <c r="EB9" s="139"/>
    </row>
    <row r="10" spans="1:132" ht="13.5" customHeight="1" x14ac:dyDescent="0.4">
      <c r="A10" s="104">
        <v>6</v>
      </c>
      <c r="B10" s="23" t="s">
        <v>90</v>
      </c>
      <c r="C10" s="164">
        <v>25</v>
      </c>
      <c r="D10" s="164">
        <v>22</v>
      </c>
      <c r="E10" s="24" t="s">
        <v>93</v>
      </c>
      <c r="F10" s="29">
        <v>150303</v>
      </c>
      <c r="G10" s="25">
        <f>IF(SUM($F$5:F10)=0,"",SUM($F$5:F10))</f>
        <v>1478921</v>
      </c>
      <c r="H10" s="43">
        <f t="shared" si="0"/>
        <v>1.0231355834294376</v>
      </c>
      <c r="I10" s="148">
        <f t="array" aca="1" ref="I10" ca="1">IF($A11="",$G10/($V10-$U$5+INDIRECT(IF(_xlfn.SHEET()&lt;6,"令和8年"&amp;_xlfn.SHEET()+7&amp;"月","令和9年"&amp;_xlfn.SHEET()-5&amp;"月")&amp;"!$U$5")),$G10/($V11-$U$5))</f>
        <v>1.0097608602884698</v>
      </c>
      <c r="J10" s="26">
        <f t="shared" si="1"/>
        <v>0.77837947368421057</v>
      </c>
      <c r="K10" s="27">
        <v>89</v>
      </c>
      <c r="L10" s="165">
        <f t="shared" si="2"/>
        <v>0.28990228013029318</v>
      </c>
      <c r="M10" s="28">
        <f t="shared" si="3"/>
        <v>1688.7977528089887</v>
      </c>
      <c r="N10" s="166">
        <f t="shared" si="4"/>
        <v>0.90454208594645524</v>
      </c>
      <c r="O10" s="167">
        <f t="shared" si="5"/>
        <v>81.465040650406507</v>
      </c>
      <c r="P10" s="168">
        <v>1845</v>
      </c>
      <c r="Q10" s="169">
        <f t="shared" si="6"/>
        <v>20.730337078651687</v>
      </c>
      <c r="R10" s="170">
        <v>35</v>
      </c>
      <c r="S10" s="171">
        <v>25</v>
      </c>
      <c r="T10" s="24" t="s">
        <v>84</v>
      </c>
      <c r="U10" s="29">
        <v>573175</v>
      </c>
      <c r="V10" s="30">
        <f t="shared" si="41"/>
        <v>1445479</v>
      </c>
      <c r="W10" s="27">
        <v>307</v>
      </c>
      <c r="X10" s="31">
        <f t="shared" si="7"/>
        <v>1867.0195439739414</v>
      </c>
      <c r="Y10" s="29">
        <v>527692</v>
      </c>
      <c r="Z10" s="32">
        <f t="shared" si="42"/>
        <v>1466857</v>
      </c>
      <c r="AA10" s="33">
        <f t="shared" si="8"/>
        <v>0.9854259822191257</v>
      </c>
      <c r="AB10" s="158">
        <v>200000</v>
      </c>
      <c r="AC10" s="34">
        <f t="shared" si="43"/>
        <v>1900000</v>
      </c>
      <c r="AD10" s="158">
        <v>22217</v>
      </c>
      <c r="AE10" s="25">
        <v>21088</v>
      </c>
      <c r="AF10" s="25">
        <v>8078</v>
      </c>
      <c r="AG10" s="25">
        <v>0</v>
      </c>
      <c r="AH10" s="25">
        <v>0</v>
      </c>
      <c r="AI10" s="25">
        <v>0</v>
      </c>
      <c r="AJ10" s="25">
        <v>0</v>
      </c>
      <c r="AK10" s="25">
        <v>0</v>
      </c>
      <c r="AL10" s="158">
        <v>0</v>
      </c>
      <c r="AM10" s="25">
        <v>0</v>
      </c>
      <c r="AN10" s="158">
        <v>0</v>
      </c>
      <c r="AO10" s="25"/>
      <c r="AP10" s="25"/>
      <c r="AQ10" s="158"/>
      <c r="AR10" s="35">
        <f t="shared" si="9"/>
        <v>51383</v>
      </c>
      <c r="AS10" s="172">
        <f t="shared" si="10"/>
        <v>0.34186277053684888</v>
      </c>
      <c r="AT10" s="36">
        <f t="shared" si="11"/>
        <v>98920</v>
      </c>
      <c r="AU10" s="173"/>
      <c r="AV10" s="82">
        <f t="shared" si="12"/>
        <v>6</v>
      </c>
      <c r="AW10" s="37">
        <v>33307</v>
      </c>
      <c r="AX10" s="174">
        <f t="shared" si="13"/>
        <v>0.22159903661270899</v>
      </c>
      <c r="AY10" s="37">
        <v>644</v>
      </c>
      <c r="AZ10" s="174">
        <f t="shared" si="14"/>
        <v>4.2846782832012664E-3</v>
      </c>
      <c r="BA10" s="37">
        <v>36365</v>
      </c>
      <c r="BB10" s="174">
        <f t="shared" si="15"/>
        <v>0.24194460523076719</v>
      </c>
      <c r="BC10" s="37">
        <v>880</v>
      </c>
      <c r="BD10" s="174">
        <f t="shared" si="16"/>
        <v>5.8548398900886874E-3</v>
      </c>
      <c r="BE10" s="37">
        <v>0</v>
      </c>
      <c r="BF10" s="174">
        <f t="shared" si="17"/>
        <v>0</v>
      </c>
      <c r="BG10" s="37">
        <v>1691</v>
      </c>
      <c r="BH10" s="174">
        <f t="shared" si="18"/>
        <v>1.1250607106977239E-2</v>
      </c>
      <c r="BI10" s="37">
        <v>3026</v>
      </c>
      <c r="BJ10" s="174">
        <f t="shared" si="19"/>
        <v>2.0132665349327693E-2</v>
      </c>
      <c r="BK10" s="37">
        <v>12599</v>
      </c>
      <c r="BL10" s="174">
        <f t="shared" si="20"/>
        <v>8.3824008835485658E-2</v>
      </c>
      <c r="BM10" s="37">
        <v>35576</v>
      </c>
      <c r="BN10" s="174">
        <f t="shared" si="21"/>
        <v>0.23669520901113084</v>
      </c>
      <c r="BO10" s="37">
        <v>1748</v>
      </c>
      <c r="BP10" s="174">
        <f t="shared" si="22"/>
        <v>1.1629841054403438E-2</v>
      </c>
      <c r="BQ10" s="37">
        <v>514</v>
      </c>
      <c r="BR10" s="174">
        <f t="shared" si="23"/>
        <v>3.4197587539836196E-3</v>
      </c>
      <c r="BS10" s="37">
        <v>135</v>
      </c>
      <c r="BT10" s="174">
        <f t="shared" si="24"/>
        <v>8.9818566495678724E-4</v>
      </c>
      <c r="BU10" s="37">
        <v>0</v>
      </c>
      <c r="BV10" s="174">
        <f t="shared" si="25"/>
        <v>0</v>
      </c>
      <c r="BW10" s="37">
        <v>195</v>
      </c>
      <c r="BX10" s="174">
        <f t="shared" si="26"/>
        <v>1.2973792938264705E-3</v>
      </c>
      <c r="BY10" s="37">
        <v>0</v>
      </c>
      <c r="BZ10" s="174">
        <f t="shared" si="27"/>
        <v>0</v>
      </c>
      <c r="CA10" s="37">
        <v>0</v>
      </c>
      <c r="CB10" s="174">
        <f t="shared" si="28"/>
        <v>0</v>
      </c>
      <c r="CC10" s="37">
        <v>2226</v>
      </c>
      <c r="CD10" s="174">
        <f t="shared" si="29"/>
        <v>1.4810083631065249E-2</v>
      </c>
      <c r="CE10" s="37">
        <v>400</v>
      </c>
      <c r="CF10" s="174">
        <f t="shared" si="30"/>
        <v>2.6612908591312216E-3</v>
      </c>
      <c r="CG10" s="37">
        <v>0</v>
      </c>
      <c r="CH10" s="174">
        <f t="shared" si="31"/>
        <v>0</v>
      </c>
      <c r="CI10" s="37">
        <v>236</v>
      </c>
      <c r="CJ10" s="174">
        <f t="shared" si="32"/>
        <v>1.5701616068874208E-3</v>
      </c>
      <c r="CK10" s="37">
        <v>0</v>
      </c>
      <c r="CL10" s="174">
        <f t="shared" si="33"/>
        <v>0</v>
      </c>
      <c r="CM10" s="37">
        <v>0</v>
      </c>
      <c r="CN10" s="174">
        <f t="shared" si="34"/>
        <v>0</v>
      </c>
      <c r="CO10" s="37"/>
      <c r="CP10" s="174">
        <f t="shared" si="35"/>
        <v>0</v>
      </c>
      <c r="CQ10" s="37"/>
      <c r="CR10" s="174">
        <f t="shared" si="36"/>
        <v>0</v>
      </c>
      <c r="CS10" s="37"/>
      <c r="CT10" s="174">
        <f t="shared" si="37"/>
        <v>0</v>
      </c>
      <c r="CU10" s="38"/>
      <c r="CV10" s="87"/>
      <c r="CW10" s="90"/>
      <c r="CX10" s="38">
        <v>1211</v>
      </c>
      <c r="CY10" s="39">
        <v>6</v>
      </c>
      <c r="CZ10" s="37">
        <v>5394</v>
      </c>
      <c r="DA10" s="39">
        <v>3</v>
      </c>
      <c r="DB10" s="24">
        <v>6</v>
      </c>
      <c r="DC10" s="96" t="str">
        <f t="shared" si="38"/>
        <v>月</v>
      </c>
      <c r="DF10" s="125"/>
      <c r="DG10" s="40"/>
      <c r="DH10" s="40"/>
      <c r="DI10" s="40"/>
      <c r="DJ10" s="40"/>
      <c r="DK10" s="40"/>
      <c r="DL10" s="40"/>
      <c r="DM10" s="40"/>
      <c r="DN10" s="40"/>
      <c r="DO10" s="40"/>
      <c r="DP10" s="40">
        <f t="shared" si="39"/>
        <v>0</v>
      </c>
      <c r="DQ10" s="172">
        <f t="shared" si="40"/>
        <v>0</v>
      </c>
      <c r="DS10" s="189"/>
      <c r="DT10" s="190"/>
      <c r="DU10" s="190"/>
      <c r="DV10" s="191"/>
      <c r="DW10" s="138"/>
      <c r="DX10" s="42"/>
      <c r="DY10" s="139"/>
      <c r="DZ10" s="139"/>
      <c r="EA10" s="139"/>
      <c r="EB10" s="139"/>
    </row>
    <row r="11" spans="1:132" ht="13.5" customHeight="1" x14ac:dyDescent="0.4">
      <c r="A11" s="104">
        <v>7</v>
      </c>
      <c r="B11" s="23" t="s">
        <v>91</v>
      </c>
      <c r="C11" s="164">
        <v>30</v>
      </c>
      <c r="D11" s="164">
        <v>21</v>
      </c>
      <c r="E11" s="24" t="s">
        <v>114</v>
      </c>
      <c r="F11" s="29">
        <v>145759</v>
      </c>
      <c r="G11" s="25">
        <f>IF(SUM($F$5:F11)=0,"",SUM($F$5:F11))</f>
        <v>1624680</v>
      </c>
      <c r="H11" s="43">
        <f t="shared" si="0"/>
        <v>1.0319346647171435</v>
      </c>
      <c r="I11" s="148">
        <f t="array" aca="1" ref="I11" ca="1">IF($A12="",$G11/($V11-$U$5+INDIRECT(IF(_xlfn.SHEET()&lt;6,"令和8年"&amp;_xlfn.SHEET()+7&amp;"月","令和9年"&amp;_xlfn.SHEET()-5&amp;"月")&amp;"!$U$5")),$G11/($V12-$U$5))</f>
        <v>0.9817634009906584</v>
      </c>
      <c r="J11" s="26">
        <f t="shared" si="1"/>
        <v>0.77365714285714282</v>
      </c>
      <c r="K11" s="27">
        <v>94</v>
      </c>
      <c r="L11" s="165">
        <f t="shared" si="2"/>
        <v>1.5666666666666667</v>
      </c>
      <c r="M11" s="28">
        <f t="shared" si="3"/>
        <v>1550.627659574468</v>
      </c>
      <c r="N11" s="166">
        <f t="shared" si="4"/>
        <v>0.72165292131324965</v>
      </c>
      <c r="O11" s="167">
        <f t="shared" si="5"/>
        <v>67.668987929433612</v>
      </c>
      <c r="P11" s="168">
        <v>2154</v>
      </c>
      <c r="Q11" s="169">
        <f t="shared" si="6"/>
        <v>22.914893617021278</v>
      </c>
      <c r="R11" s="170">
        <v>35</v>
      </c>
      <c r="S11" s="171">
        <v>20</v>
      </c>
      <c r="T11" s="24" t="s">
        <v>84</v>
      </c>
      <c r="U11" s="29">
        <v>128923</v>
      </c>
      <c r="V11" s="30">
        <f t="shared" si="41"/>
        <v>1574402</v>
      </c>
      <c r="W11" s="27">
        <v>60</v>
      </c>
      <c r="X11" s="31">
        <f t="shared" si="7"/>
        <v>2148.7166666666667</v>
      </c>
      <c r="Y11" s="29">
        <v>647488</v>
      </c>
      <c r="Z11" s="32">
        <f t="shared" si="42"/>
        <v>2114345</v>
      </c>
      <c r="AA11" s="33">
        <f t="shared" si="8"/>
        <v>0.74462871480292947</v>
      </c>
      <c r="AB11" s="158">
        <v>200000</v>
      </c>
      <c r="AC11" s="34">
        <f t="shared" si="43"/>
        <v>2100000</v>
      </c>
      <c r="AD11" s="158">
        <v>24128</v>
      </c>
      <c r="AE11" s="25">
        <v>23699</v>
      </c>
      <c r="AF11" s="25">
        <v>2893</v>
      </c>
      <c r="AG11" s="25">
        <v>0</v>
      </c>
      <c r="AH11" s="25">
        <v>1182</v>
      </c>
      <c r="AI11" s="25">
        <v>1968</v>
      </c>
      <c r="AJ11" s="25">
        <v>0</v>
      </c>
      <c r="AK11" s="25">
        <v>0</v>
      </c>
      <c r="AL11" s="158">
        <v>545</v>
      </c>
      <c r="AM11" s="25">
        <v>0</v>
      </c>
      <c r="AN11" s="158">
        <v>0</v>
      </c>
      <c r="AO11" s="25"/>
      <c r="AP11" s="25"/>
      <c r="AQ11" s="158"/>
      <c r="AR11" s="35">
        <f t="shared" si="9"/>
        <v>54415</v>
      </c>
      <c r="AS11" s="172">
        <f t="shared" si="10"/>
        <v>0.3733217159832326</v>
      </c>
      <c r="AT11" s="36">
        <f t="shared" si="11"/>
        <v>91344</v>
      </c>
      <c r="AU11" s="173"/>
      <c r="AV11" s="82">
        <f t="shared" si="12"/>
        <v>7</v>
      </c>
      <c r="AW11" s="37">
        <v>19384</v>
      </c>
      <c r="AX11" s="174">
        <f t="shared" si="13"/>
        <v>0.1329866423342641</v>
      </c>
      <c r="AY11" s="37">
        <v>932</v>
      </c>
      <c r="AZ11" s="174">
        <f t="shared" si="14"/>
        <v>6.3941163152875635E-3</v>
      </c>
      <c r="BA11" s="37">
        <v>36139</v>
      </c>
      <c r="BB11" s="174">
        <f t="shared" si="15"/>
        <v>0.24793666257315158</v>
      </c>
      <c r="BC11" s="37">
        <v>8955</v>
      </c>
      <c r="BD11" s="174">
        <f t="shared" si="16"/>
        <v>6.1437029617382115E-2</v>
      </c>
      <c r="BE11" s="37">
        <v>0</v>
      </c>
      <c r="BF11" s="174">
        <f t="shared" si="17"/>
        <v>0</v>
      </c>
      <c r="BG11" s="37">
        <v>1204</v>
      </c>
      <c r="BH11" s="174">
        <f t="shared" si="18"/>
        <v>8.2602103472169813E-3</v>
      </c>
      <c r="BI11" s="37">
        <v>1050</v>
      </c>
      <c r="BJ11" s="174">
        <f t="shared" si="19"/>
        <v>7.203671814433414E-3</v>
      </c>
      <c r="BK11" s="37">
        <v>35091</v>
      </c>
      <c r="BL11" s="174">
        <f t="shared" si="20"/>
        <v>0.2407467120383647</v>
      </c>
      <c r="BM11" s="37">
        <v>19553</v>
      </c>
      <c r="BN11" s="174">
        <f t="shared" si="21"/>
        <v>0.13414609046439671</v>
      </c>
      <c r="BO11" s="37">
        <v>933</v>
      </c>
      <c r="BP11" s="174">
        <f t="shared" si="22"/>
        <v>6.4009769551108334E-3</v>
      </c>
      <c r="BQ11" s="37">
        <v>901</v>
      </c>
      <c r="BR11" s="174">
        <f t="shared" si="23"/>
        <v>6.1814364807661962E-3</v>
      </c>
      <c r="BS11" s="37">
        <v>120</v>
      </c>
      <c r="BT11" s="174">
        <f t="shared" si="24"/>
        <v>8.2327677879239012E-4</v>
      </c>
      <c r="BU11" s="37">
        <v>0</v>
      </c>
      <c r="BV11" s="174">
        <f t="shared" si="25"/>
        <v>0</v>
      </c>
      <c r="BW11" s="37">
        <v>390</v>
      </c>
      <c r="BX11" s="174">
        <f t="shared" si="26"/>
        <v>2.675649531075268E-3</v>
      </c>
      <c r="BY11" s="37">
        <v>0</v>
      </c>
      <c r="BZ11" s="174">
        <f t="shared" si="27"/>
        <v>0</v>
      </c>
      <c r="CA11" s="37">
        <v>0</v>
      </c>
      <c r="CB11" s="174">
        <f t="shared" si="28"/>
        <v>0</v>
      </c>
      <c r="CC11" s="37">
        <v>810</v>
      </c>
      <c r="CD11" s="174">
        <f t="shared" si="29"/>
        <v>5.5571182568486333E-3</v>
      </c>
      <c r="CE11" s="37">
        <v>0</v>
      </c>
      <c r="CF11" s="174">
        <f t="shared" si="30"/>
        <v>0</v>
      </c>
      <c r="CG11" s="37">
        <v>0</v>
      </c>
      <c r="CH11" s="174">
        <f t="shared" si="31"/>
        <v>0</v>
      </c>
      <c r="CI11" s="37">
        <v>236</v>
      </c>
      <c r="CJ11" s="174">
        <f t="shared" si="32"/>
        <v>1.6191109982917006E-3</v>
      </c>
      <c r="CK11" s="37">
        <v>0</v>
      </c>
      <c r="CL11" s="174">
        <f t="shared" si="33"/>
        <v>0</v>
      </c>
      <c r="CM11" s="37">
        <v>0</v>
      </c>
      <c r="CN11" s="174">
        <f t="shared" si="34"/>
        <v>0</v>
      </c>
      <c r="CO11" s="37"/>
      <c r="CP11" s="174">
        <f t="shared" si="35"/>
        <v>0</v>
      </c>
      <c r="CQ11" s="37"/>
      <c r="CR11" s="174">
        <f t="shared" si="36"/>
        <v>0</v>
      </c>
      <c r="CS11" s="37"/>
      <c r="CT11" s="174">
        <f t="shared" si="37"/>
        <v>0</v>
      </c>
      <c r="CU11" s="38"/>
      <c r="CV11" s="87"/>
      <c r="CW11" s="90"/>
      <c r="CX11" s="38">
        <v>5106</v>
      </c>
      <c r="CY11" s="39">
        <v>15</v>
      </c>
      <c r="CZ11" s="37">
        <v>7679</v>
      </c>
      <c r="DA11" s="39">
        <v>18</v>
      </c>
      <c r="DB11" s="24">
        <v>157</v>
      </c>
      <c r="DC11" s="96" t="str">
        <f t="shared" si="38"/>
        <v>火</v>
      </c>
      <c r="DF11" s="125"/>
      <c r="DG11" s="40"/>
      <c r="DH11" s="40"/>
      <c r="DI11" s="40"/>
      <c r="DJ11" s="40"/>
      <c r="DK11" s="40"/>
      <c r="DL11" s="40"/>
      <c r="DM11" s="40"/>
      <c r="DN11" s="40"/>
      <c r="DO11" s="40"/>
      <c r="DP11" s="40">
        <f t="shared" si="39"/>
        <v>0</v>
      </c>
      <c r="DQ11" s="172">
        <f t="shared" si="40"/>
        <v>0</v>
      </c>
      <c r="DS11" s="189"/>
      <c r="DT11" s="190"/>
      <c r="DU11" s="190"/>
      <c r="DV11" s="191"/>
      <c r="DW11" s="41"/>
      <c r="DX11" s="42"/>
    </row>
    <row r="12" spans="1:132" ht="13.5" customHeight="1" x14ac:dyDescent="0.4">
      <c r="A12" s="104">
        <v>8</v>
      </c>
      <c r="B12" s="23" t="s">
        <v>83</v>
      </c>
      <c r="C12" s="164">
        <v>26</v>
      </c>
      <c r="D12" s="164">
        <v>22</v>
      </c>
      <c r="E12" s="24" t="s">
        <v>114</v>
      </c>
      <c r="F12" s="29">
        <v>155805</v>
      </c>
      <c r="G12" s="25">
        <f>IF(SUM($F$5:F12)=0,"",SUM($F$5:F12))</f>
        <v>1780485</v>
      </c>
      <c r="H12" s="43">
        <f t="shared" si="0"/>
        <v>1.0089814556656445</v>
      </c>
      <c r="I12" s="148">
        <f t="array" aca="1" ref="I12" ca="1">IF($A13="",$G12/($V12-$U$5+INDIRECT(IF(_xlfn.SHEET()&lt;6,"令和8年"&amp;_xlfn.SHEET()+7&amp;"月","令和9年"&amp;_xlfn.SHEET()-5&amp;"月")&amp;"!$U$5")),$G12/($V13-$U$5))</f>
        <v>0.97104669407762878</v>
      </c>
      <c r="J12" s="26">
        <f t="shared" si="1"/>
        <v>0.77412391304347827</v>
      </c>
      <c r="K12" s="27">
        <v>115</v>
      </c>
      <c r="L12" s="165">
        <f t="shared" si="2"/>
        <v>1.4024390243902438</v>
      </c>
      <c r="M12" s="28">
        <f t="shared" si="3"/>
        <v>1354.8260869565217</v>
      </c>
      <c r="N12" s="166">
        <f t="shared" si="4"/>
        <v>0.58399518030654241</v>
      </c>
      <c r="O12" s="167">
        <f t="shared" si="5"/>
        <v>64.891711786755522</v>
      </c>
      <c r="P12" s="168">
        <v>2401</v>
      </c>
      <c r="Q12" s="169">
        <f t="shared" si="6"/>
        <v>20.878260869565217</v>
      </c>
      <c r="R12" s="170">
        <v>35</v>
      </c>
      <c r="S12" s="171">
        <v>27</v>
      </c>
      <c r="T12" s="24" t="s">
        <v>84</v>
      </c>
      <c r="U12" s="29">
        <v>190234</v>
      </c>
      <c r="V12" s="30">
        <f t="shared" si="41"/>
        <v>1764636</v>
      </c>
      <c r="W12" s="27">
        <v>82</v>
      </c>
      <c r="X12" s="31">
        <f t="shared" si="7"/>
        <v>2319.9268292682927</v>
      </c>
      <c r="Y12" s="29">
        <v>242006</v>
      </c>
      <c r="Z12" s="32">
        <f t="shared" si="42"/>
        <v>2356351</v>
      </c>
      <c r="AA12" s="33">
        <f t="shared" si="8"/>
        <v>0.74888503453008481</v>
      </c>
      <c r="AB12" s="158">
        <v>200000</v>
      </c>
      <c r="AC12" s="34">
        <f t="shared" si="43"/>
        <v>2300000</v>
      </c>
      <c r="AD12" s="158">
        <v>31762</v>
      </c>
      <c r="AE12" s="25">
        <v>41451</v>
      </c>
      <c r="AF12" s="25">
        <v>9712</v>
      </c>
      <c r="AG12" s="25">
        <v>584</v>
      </c>
      <c r="AH12" s="25">
        <v>0</v>
      </c>
      <c r="AI12" s="25">
        <v>1543</v>
      </c>
      <c r="AJ12" s="25">
        <v>0</v>
      </c>
      <c r="AK12" s="25">
        <v>0</v>
      </c>
      <c r="AL12" s="158">
        <v>0</v>
      </c>
      <c r="AM12" s="25">
        <v>0</v>
      </c>
      <c r="AN12" s="158">
        <v>0</v>
      </c>
      <c r="AO12" s="25"/>
      <c r="AP12" s="25"/>
      <c r="AQ12" s="158"/>
      <c r="AR12" s="35">
        <f t="shared" si="9"/>
        <v>85052</v>
      </c>
      <c r="AS12" s="172">
        <f t="shared" si="10"/>
        <v>0.54588748756458394</v>
      </c>
      <c r="AT12" s="36">
        <f t="shared" si="11"/>
        <v>70753</v>
      </c>
      <c r="AU12" s="173"/>
      <c r="AV12" s="82">
        <f t="shared" si="12"/>
        <v>8</v>
      </c>
      <c r="AW12" s="37">
        <v>25150</v>
      </c>
      <c r="AX12" s="174">
        <f t="shared" si="13"/>
        <v>0.16141972337216393</v>
      </c>
      <c r="AY12" s="37">
        <v>974</v>
      </c>
      <c r="AZ12" s="174">
        <f t="shared" si="14"/>
        <v>6.2514039985879788E-3</v>
      </c>
      <c r="BA12" s="37">
        <v>50985</v>
      </c>
      <c r="BB12" s="174">
        <f t="shared" si="15"/>
        <v>0.3272359680369693</v>
      </c>
      <c r="BC12" s="37">
        <v>2938</v>
      </c>
      <c r="BD12" s="174">
        <f t="shared" si="16"/>
        <v>1.8856904463913225E-2</v>
      </c>
      <c r="BE12" s="37">
        <v>0</v>
      </c>
      <c r="BF12" s="174">
        <f t="shared" si="17"/>
        <v>0</v>
      </c>
      <c r="BG12" s="37">
        <v>2111</v>
      </c>
      <c r="BH12" s="174">
        <f t="shared" si="18"/>
        <v>1.354898751644684E-2</v>
      </c>
      <c r="BI12" s="37">
        <v>435</v>
      </c>
      <c r="BJ12" s="174">
        <f t="shared" si="19"/>
        <v>2.7919514778087995E-3</v>
      </c>
      <c r="BK12" s="37">
        <v>27422</v>
      </c>
      <c r="BL12" s="174">
        <f t="shared" si="20"/>
        <v>0.17600205384936299</v>
      </c>
      <c r="BM12" s="37">
        <v>20014</v>
      </c>
      <c r="BN12" s="174">
        <f t="shared" si="21"/>
        <v>0.1284554410962421</v>
      </c>
      <c r="BO12" s="37">
        <v>338</v>
      </c>
      <c r="BP12" s="174">
        <f t="shared" si="22"/>
        <v>2.1693783896537338E-3</v>
      </c>
      <c r="BQ12" s="37">
        <v>1164</v>
      </c>
      <c r="BR12" s="174">
        <f t="shared" si="23"/>
        <v>7.4708770578607872E-3</v>
      </c>
      <c r="BS12" s="37">
        <v>415</v>
      </c>
      <c r="BT12" s="174">
        <f t="shared" si="24"/>
        <v>2.663585892622188E-3</v>
      </c>
      <c r="BU12" s="37">
        <v>0</v>
      </c>
      <c r="BV12" s="174">
        <f t="shared" si="25"/>
        <v>0</v>
      </c>
      <c r="BW12" s="37">
        <v>400</v>
      </c>
      <c r="BX12" s="174">
        <f t="shared" si="26"/>
        <v>2.5673117037322292E-3</v>
      </c>
      <c r="BY12" s="37">
        <v>0</v>
      </c>
      <c r="BZ12" s="174">
        <f t="shared" si="27"/>
        <v>0</v>
      </c>
      <c r="CA12" s="37">
        <v>0</v>
      </c>
      <c r="CB12" s="174">
        <f t="shared" si="28"/>
        <v>0</v>
      </c>
      <c r="CC12" s="37">
        <v>5495</v>
      </c>
      <c r="CD12" s="174">
        <f t="shared" si="29"/>
        <v>3.5268444530021502E-2</v>
      </c>
      <c r="CE12" s="37">
        <v>0</v>
      </c>
      <c r="CF12" s="174">
        <f t="shared" si="30"/>
        <v>0</v>
      </c>
      <c r="CG12" s="37">
        <v>0</v>
      </c>
      <c r="CH12" s="174">
        <f t="shared" si="31"/>
        <v>0</v>
      </c>
      <c r="CI12" s="37">
        <v>236</v>
      </c>
      <c r="CJ12" s="174">
        <f t="shared" si="32"/>
        <v>1.5147139052020153E-3</v>
      </c>
      <c r="CK12" s="37">
        <v>0</v>
      </c>
      <c r="CL12" s="174">
        <f t="shared" si="33"/>
        <v>0</v>
      </c>
      <c r="CM12" s="37">
        <v>0</v>
      </c>
      <c r="CN12" s="174">
        <f t="shared" si="34"/>
        <v>0</v>
      </c>
      <c r="CO12" s="37"/>
      <c r="CP12" s="174">
        <f t="shared" si="35"/>
        <v>0</v>
      </c>
      <c r="CQ12" s="37"/>
      <c r="CR12" s="174">
        <f t="shared" si="36"/>
        <v>0</v>
      </c>
      <c r="CS12" s="37"/>
      <c r="CT12" s="174">
        <f t="shared" si="37"/>
        <v>0</v>
      </c>
      <c r="CU12" s="38"/>
      <c r="CV12" s="87"/>
      <c r="CW12" s="90"/>
      <c r="CX12" s="38">
        <v>3416</v>
      </c>
      <c r="CY12" s="39">
        <v>9</v>
      </c>
      <c r="CZ12" s="37">
        <v>10485</v>
      </c>
      <c r="DA12" s="39">
        <v>24</v>
      </c>
      <c r="DB12" s="24">
        <v>8</v>
      </c>
      <c r="DC12" s="96" t="str">
        <f t="shared" si="38"/>
        <v>水</v>
      </c>
      <c r="DF12" s="125"/>
      <c r="DG12" s="40"/>
      <c r="DH12" s="40"/>
      <c r="DI12" s="40"/>
      <c r="DJ12" s="40"/>
      <c r="DK12" s="40"/>
      <c r="DL12" s="40"/>
      <c r="DM12" s="40"/>
      <c r="DN12" s="40"/>
      <c r="DO12" s="40"/>
      <c r="DP12" s="40">
        <f t="shared" si="39"/>
        <v>0</v>
      </c>
      <c r="DQ12" s="172">
        <f t="shared" si="40"/>
        <v>0</v>
      </c>
      <c r="DS12" s="189"/>
      <c r="DT12" s="190"/>
      <c r="DU12" s="190"/>
      <c r="DV12" s="191"/>
      <c r="DW12" s="41"/>
      <c r="DX12" s="42"/>
    </row>
    <row r="13" spans="1:132" ht="13.5" customHeight="1" x14ac:dyDescent="0.4">
      <c r="A13" s="104">
        <v>9</v>
      </c>
      <c r="B13" s="23" t="s">
        <v>85</v>
      </c>
      <c r="C13" s="164">
        <v>33</v>
      </c>
      <c r="D13" s="164">
        <v>22</v>
      </c>
      <c r="E13" s="24" t="s">
        <v>106</v>
      </c>
      <c r="F13" s="29">
        <v>167814</v>
      </c>
      <c r="G13" s="25">
        <f>IF(SUM($F$5:F13)=0,"",SUM($F$5:F13))</f>
        <v>1948299</v>
      </c>
      <c r="H13" s="43">
        <f t="shared" si="0"/>
        <v>1.0025466333907942</v>
      </c>
      <c r="I13" s="148">
        <f t="array" aca="1" ref="I13" ca="1">IF($A14="",$G13/($V13-$U$5+INDIRECT(IF(_xlfn.SHEET()&lt;6,"令和8年"&amp;_xlfn.SHEET()+7&amp;"月","令和9年"&amp;_xlfn.SHEET()-5&amp;"月")&amp;"!$U$5")),$G13/($V14-$U$5))</f>
        <v>0.99461113762886988</v>
      </c>
      <c r="J13" s="26">
        <f t="shared" si="1"/>
        <v>0.7793196</v>
      </c>
      <c r="K13" s="27">
        <v>66</v>
      </c>
      <c r="L13" s="165">
        <f t="shared" si="2"/>
        <v>0.8571428571428571</v>
      </c>
      <c r="M13" s="28">
        <f t="shared" si="3"/>
        <v>2542.6363636363635</v>
      </c>
      <c r="N13" s="166">
        <f t="shared" si="4"/>
        <v>1.0955101447004711</v>
      </c>
      <c r="O13" s="167">
        <f t="shared" si="5"/>
        <v>41.292814960629919</v>
      </c>
      <c r="P13" s="168">
        <v>4064</v>
      </c>
      <c r="Q13" s="169">
        <f t="shared" si="6"/>
        <v>61.575757575757578</v>
      </c>
      <c r="R13" s="170">
        <v>35</v>
      </c>
      <c r="S13" s="171">
        <v>25</v>
      </c>
      <c r="T13" s="24" t="s">
        <v>92</v>
      </c>
      <c r="U13" s="29">
        <v>178714</v>
      </c>
      <c r="V13" s="30">
        <f t="shared" si="41"/>
        <v>1943350</v>
      </c>
      <c r="W13" s="27">
        <v>77</v>
      </c>
      <c r="X13" s="31">
        <f t="shared" si="7"/>
        <v>2320.9610389610389</v>
      </c>
      <c r="Y13" s="29">
        <v>202267</v>
      </c>
      <c r="Z13" s="32">
        <f t="shared" si="42"/>
        <v>2558618</v>
      </c>
      <c r="AA13" s="33">
        <f t="shared" si="8"/>
        <v>0.7595311218790769</v>
      </c>
      <c r="AB13" s="158">
        <v>200000</v>
      </c>
      <c r="AC13" s="34">
        <f t="shared" si="43"/>
        <v>2500000</v>
      </c>
      <c r="AD13" s="158">
        <v>3403</v>
      </c>
      <c r="AE13" s="25">
        <v>8779</v>
      </c>
      <c r="AF13" s="25">
        <v>23264</v>
      </c>
      <c r="AG13" s="25">
        <v>0</v>
      </c>
      <c r="AH13" s="25">
        <v>0</v>
      </c>
      <c r="AI13" s="25">
        <v>674</v>
      </c>
      <c r="AJ13" s="25">
        <v>0</v>
      </c>
      <c r="AK13" s="25">
        <v>0</v>
      </c>
      <c r="AL13" s="158">
        <v>3079</v>
      </c>
      <c r="AM13" s="25">
        <v>5074</v>
      </c>
      <c r="AN13" s="158">
        <v>0</v>
      </c>
      <c r="AO13" s="25"/>
      <c r="AP13" s="25"/>
      <c r="AQ13" s="158"/>
      <c r="AR13" s="35">
        <f t="shared" si="9"/>
        <v>44273</v>
      </c>
      <c r="AS13" s="172">
        <f t="shared" si="10"/>
        <v>0.26382185038197054</v>
      </c>
      <c r="AT13" s="36">
        <f t="shared" si="11"/>
        <v>123541</v>
      </c>
      <c r="AU13" s="173"/>
      <c r="AV13" s="82">
        <f t="shared" si="12"/>
        <v>9</v>
      </c>
      <c r="AW13" s="37">
        <v>21982</v>
      </c>
      <c r="AX13" s="174">
        <f t="shared" si="13"/>
        <v>0.13099026302930625</v>
      </c>
      <c r="AY13" s="37">
        <v>724</v>
      </c>
      <c r="AZ13" s="174">
        <f t="shared" si="14"/>
        <v>4.3143003563469078E-3</v>
      </c>
      <c r="BA13" s="37">
        <v>83114</v>
      </c>
      <c r="BB13" s="174">
        <f t="shared" si="15"/>
        <v>0.49527453013455375</v>
      </c>
      <c r="BC13" s="37">
        <v>970</v>
      </c>
      <c r="BD13" s="174">
        <f t="shared" si="16"/>
        <v>5.7802090409620173E-3</v>
      </c>
      <c r="BE13" s="37">
        <v>0</v>
      </c>
      <c r="BF13" s="174">
        <f t="shared" si="17"/>
        <v>0</v>
      </c>
      <c r="BG13" s="37">
        <v>5079</v>
      </c>
      <c r="BH13" s="174">
        <f t="shared" si="18"/>
        <v>3.0265651256748544E-2</v>
      </c>
      <c r="BI13" s="37">
        <v>1118</v>
      </c>
      <c r="BJ13" s="174">
        <f t="shared" si="19"/>
        <v>6.6621378430881811E-3</v>
      </c>
      <c r="BK13" s="37">
        <v>1621</v>
      </c>
      <c r="BL13" s="174">
        <f t="shared" si="20"/>
        <v>9.6595039746385884E-3</v>
      </c>
      <c r="BM13" s="37">
        <v>26067</v>
      </c>
      <c r="BN13" s="174">
        <f t="shared" si="21"/>
        <v>0.1553326897636669</v>
      </c>
      <c r="BO13" s="37">
        <v>542</v>
      </c>
      <c r="BP13" s="174">
        <f t="shared" si="22"/>
        <v>3.2297662888674367E-3</v>
      </c>
      <c r="BQ13" s="37">
        <v>1758</v>
      </c>
      <c r="BR13" s="174">
        <f t="shared" si="23"/>
        <v>1.0475884014444563E-2</v>
      </c>
      <c r="BS13" s="37">
        <v>90</v>
      </c>
      <c r="BT13" s="174">
        <f t="shared" si="24"/>
        <v>5.363080553469913E-4</v>
      </c>
      <c r="BU13" s="37">
        <v>0</v>
      </c>
      <c r="BV13" s="174">
        <f t="shared" si="25"/>
        <v>0</v>
      </c>
      <c r="BW13" s="37">
        <v>200</v>
      </c>
      <c r="BX13" s="174">
        <f t="shared" si="26"/>
        <v>1.1917956785488695E-3</v>
      </c>
      <c r="BY13" s="37">
        <v>0</v>
      </c>
      <c r="BZ13" s="174">
        <f t="shared" si="27"/>
        <v>0</v>
      </c>
      <c r="CA13" s="37">
        <v>0</v>
      </c>
      <c r="CB13" s="174">
        <f t="shared" si="28"/>
        <v>0</v>
      </c>
      <c r="CC13" s="37">
        <v>2410</v>
      </c>
      <c r="CD13" s="174">
        <f t="shared" si="29"/>
        <v>1.4361137926513879E-2</v>
      </c>
      <c r="CE13" s="37">
        <v>1920</v>
      </c>
      <c r="CF13" s="174">
        <f t="shared" si="30"/>
        <v>1.1441238514069148E-2</v>
      </c>
      <c r="CG13" s="37">
        <v>0</v>
      </c>
      <c r="CH13" s="174">
        <f t="shared" si="31"/>
        <v>0</v>
      </c>
      <c r="CI13" s="37">
        <v>0</v>
      </c>
      <c r="CJ13" s="174">
        <f t="shared" si="32"/>
        <v>0</v>
      </c>
      <c r="CK13" s="37">
        <v>0</v>
      </c>
      <c r="CL13" s="174">
        <f t="shared" si="33"/>
        <v>0</v>
      </c>
      <c r="CM13" s="37">
        <v>0</v>
      </c>
      <c r="CN13" s="174">
        <f t="shared" si="34"/>
        <v>0</v>
      </c>
      <c r="CO13" s="37"/>
      <c r="CP13" s="174">
        <f t="shared" si="35"/>
        <v>0</v>
      </c>
      <c r="CQ13" s="37"/>
      <c r="CR13" s="174">
        <f t="shared" si="36"/>
        <v>0</v>
      </c>
      <c r="CS13" s="37"/>
      <c r="CT13" s="174">
        <f t="shared" si="37"/>
        <v>0</v>
      </c>
      <c r="CU13" s="38"/>
      <c r="CV13" s="87"/>
      <c r="CW13" s="90"/>
      <c r="CX13" s="38">
        <v>14308</v>
      </c>
      <c r="CY13" s="39">
        <v>13</v>
      </c>
      <c r="CZ13" s="37">
        <v>976</v>
      </c>
      <c r="DA13" s="39">
        <v>1</v>
      </c>
      <c r="DB13" s="24">
        <v>9</v>
      </c>
      <c r="DC13" s="96" t="str">
        <f t="shared" si="38"/>
        <v>木</v>
      </c>
      <c r="DF13" s="125"/>
      <c r="DG13" s="40"/>
      <c r="DH13" s="40"/>
      <c r="DI13" s="40"/>
      <c r="DJ13" s="40"/>
      <c r="DK13" s="40"/>
      <c r="DL13" s="40"/>
      <c r="DM13" s="40"/>
      <c r="DN13" s="40"/>
      <c r="DO13" s="40"/>
      <c r="DP13" s="40">
        <f t="shared" si="39"/>
        <v>0</v>
      </c>
      <c r="DQ13" s="172">
        <f t="shared" si="40"/>
        <v>0</v>
      </c>
      <c r="DS13" s="189"/>
      <c r="DT13" s="190"/>
      <c r="DU13" s="190"/>
      <c r="DV13" s="191"/>
      <c r="DW13" s="138"/>
      <c r="DX13" s="42"/>
    </row>
    <row r="14" spans="1:132" ht="13.5" customHeight="1" x14ac:dyDescent="0.4">
      <c r="A14" s="104">
        <v>10</v>
      </c>
      <c r="B14" s="23" t="s">
        <v>86</v>
      </c>
      <c r="C14" s="164">
        <v>30</v>
      </c>
      <c r="D14" s="164">
        <v>23</v>
      </c>
      <c r="E14" s="24" t="s">
        <v>84</v>
      </c>
      <c r="F14" s="29">
        <v>149370</v>
      </c>
      <c r="G14" s="25">
        <f>IF(SUM($F$5:F14)=0,"",SUM($F$5:F14))</f>
        <v>2097669</v>
      </c>
      <c r="H14" s="43">
        <f t="shared" si="0"/>
        <v>1.0140368127342128</v>
      </c>
      <c r="I14" s="148">
        <f t="array" aca="1" ref="I14" ca="1">IF($A15="",$G14/($V14-$U$5+INDIRECT(IF(_xlfn.SHEET()&lt;6,"令和8年"&amp;_xlfn.SHEET()+7&amp;"月","令和9年"&amp;_xlfn.SHEET()-5&amp;"月")&amp;"!$U$5")),$G14/($V15-$U$5))</f>
        <v>1.0097253142652223</v>
      </c>
      <c r="J14" s="26">
        <f t="shared" si="1"/>
        <v>0.77691444444444446</v>
      </c>
      <c r="K14" s="27">
        <v>80</v>
      </c>
      <c r="L14" s="165">
        <f t="shared" si="2"/>
        <v>1.095890410958904</v>
      </c>
      <c r="M14" s="28">
        <f t="shared" si="3"/>
        <v>1867.125</v>
      </c>
      <c r="N14" s="166">
        <f t="shared" si="4"/>
        <v>1.0879465924873486</v>
      </c>
      <c r="O14" s="167">
        <f t="shared" si="5"/>
        <v>43.421511627906973</v>
      </c>
      <c r="P14" s="168">
        <v>3440</v>
      </c>
      <c r="Q14" s="169">
        <f t="shared" si="6"/>
        <v>43</v>
      </c>
      <c r="R14" s="170">
        <v>35</v>
      </c>
      <c r="S14" s="171">
        <v>24</v>
      </c>
      <c r="T14" s="24" t="s">
        <v>84</v>
      </c>
      <c r="U14" s="29">
        <v>125282</v>
      </c>
      <c r="V14" s="30">
        <f t="shared" si="41"/>
        <v>2068632</v>
      </c>
      <c r="W14" s="27">
        <v>73</v>
      </c>
      <c r="X14" s="31">
        <f t="shared" si="7"/>
        <v>1716.1917808219177</v>
      </c>
      <c r="Y14" s="29">
        <v>262451</v>
      </c>
      <c r="Z14" s="32">
        <f t="shared" si="42"/>
        <v>2821069</v>
      </c>
      <c r="AA14" s="33">
        <f t="shared" si="8"/>
        <v>0.73327947668064841</v>
      </c>
      <c r="AB14" s="158">
        <v>200000</v>
      </c>
      <c r="AC14" s="34">
        <f t="shared" si="43"/>
        <v>2700000</v>
      </c>
      <c r="AD14" s="158">
        <v>23756</v>
      </c>
      <c r="AE14" s="25">
        <v>41970</v>
      </c>
      <c r="AF14" s="25">
        <v>1458</v>
      </c>
      <c r="AG14" s="25">
        <v>0</v>
      </c>
      <c r="AH14" s="25">
        <v>0</v>
      </c>
      <c r="AI14" s="25">
        <v>4437</v>
      </c>
      <c r="AJ14" s="25">
        <v>0</v>
      </c>
      <c r="AK14" s="25">
        <v>0</v>
      </c>
      <c r="AL14" s="158">
        <v>2154</v>
      </c>
      <c r="AM14" s="25">
        <v>0</v>
      </c>
      <c r="AN14" s="158">
        <v>0</v>
      </c>
      <c r="AO14" s="25"/>
      <c r="AP14" s="25"/>
      <c r="AQ14" s="158"/>
      <c r="AR14" s="35">
        <f t="shared" si="9"/>
        <v>73775</v>
      </c>
      <c r="AS14" s="172">
        <f t="shared" si="10"/>
        <v>0.49390774586597042</v>
      </c>
      <c r="AT14" s="36">
        <f t="shared" si="11"/>
        <v>75595</v>
      </c>
      <c r="AU14" s="173"/>
      <c r="AV14" s="82">
        <f t="shared" si="12"/>
        <v>10</v>
      </c>
      <c r="AW14" s="37">
        <v>26071</v>
      </c>
      <c r="AX14" s="174">
        <f t="shared" si="13"/>
        <v>0.17453973354756644</v>
      </c>
      <c r="AY14" s="37">
        <v>1264</v>
      </c>
      <c r="AZ14" s="174">
        <f t="shared" si="14"/>
        <v>8.4622079400147286E-3</v>
      </c>
      <c r="BA14" s="37">
        <v>70190</v>
      </c>
      <c r="BB14" s="174">
        <f t="shared" si="15"/>
        <v>0.46990694249179887</v>
      </c>
      <c r="BC14" s="37">
        <v>2122</v>
      </c>
      <c r="BD14" s="174">
        <f t="shared" si="16"/>
        <v>1.4206333266385486E-2</v>
      </c>
      <c r="BE14" s="37">
        <v>0</v>
      </c>
      <c r="BF14" s="174">
        <f t="shared" si="17"/>
        <v>0</v>
      </c>
      <c r="BG14" s="37">
        <v>500</v>
      </c>
      <c r="BH14" s="174">
        <f t="shared" si="18"/>
        <v>3.34739238133494E-3</v>
      </c>
      <c r="BI14" s="37">
        <v>1313</v>
      </c>
      <c r="BJ14" s="174">
        <f t="shared" si="19"/>
        <v>8.7902523933855534E-3</v>
      </c>
      <c r="BK14" s="37">
        <v>1963</v>
      </c>
      <c r="BL14" s="174">
        <f t="shared" si="20"/>
        <v>1.3141862489120975E-2</v>
      </c>
      <c r="BM14" s="37">
        <v>19749</v>
      </c>
      <c r="BN14" s="174">
        <f t="shared" si="21"/>
        <v>0.13221530427796746</v>
      </c>
      <c r="BO14" s="37">
        <v>1641</v>
      </c>
      <c r="BP14" s="174">
        <f t="shared" si="22"/>
        <v>1.0986141795541273E-2</v>
      </c>
      <c r="BQ14" s="37">
        <v>2011</v>
      </c>
      <c r="BR14" s="174">
        <f t="shared" si="23"/>
        <v>1.3463212157729129E-2</v>
      </c>
      <c r="BS14" s="37">
        <v>135</v>
      </c>
      <c r="BT14" s="174">
        <f t="shared" si="24"/>
        <v>9.0379594296043379E-4</v>
      </c>
      <c r="BU14" s="37">
        <v>0</v>
      </c>
      <c r="BV14" s="174">
        <f t="shared" si="25"/>
        <v>0</v>
      </c>
      <c r="BW14" s="37">
        <v>200</v>
      </c>
      <c r="BX14" s="174">
        <f t="shared" si="26"/>
        <v>1.338956952533976E-3</v>
      </c>
      <c r="BY14" s="37">
        <v>0</v>
      </c>
      <c r="BZ14" s="174">
        <f t="shared" si="27"/>
        <v>0</v>
      </c>
      <c r="CA14" s="37">
        <v>0</v>
      </c>
      <c r="CB14" s="174">
        <f t="shared" si="28"/>
        <v>0</v>
      </c>
      <c r="CC14" s="37">
        <v>1615</v>
      </c>
      <c r="CD14" s="174">
        <f t="shared" si="29"/>
        <v>1.0812077391711857E-2</v>
      </c>
      <c r="CE14" s="37">
        <v>640</v>
      </c>
      <c r="CF14" s="174">
        <f t="shared" si="30"/>
        <v>4.2846622481087235E-3</v>
      </c>
      <c r="CG14" s="37">
        <v>0</v>
      </c>
      <c r="CH14" s="174">
        <f t="shared" si="31"/>
        <v>0</v>
      </c>
      <c r="CI14" s="37">
        <v>354</v>
      </c>
      <c r="CJ14" s="174">
        <f t="shared" si="32"/>
        <v>2.3699538059851377E-3</v>
      </c>
      <c r="CK14" s="37">
        <v>0</v>
      </c>
      <c r="CL14" s="174">
        <f t="shared" si="33"/>
        <v>0</v>
      </c>
      <c r="CM14" s="37">
        <v>0</v>
      </c>
      <c r="CN14" s="174">
        <f t="shared" si="34"/>
        <v>0</v>
      </c>
      <c r="CO14" s="37"/>
      <c r="CP14" s="174">
        <f t="shared" si="35"/>
        <v>0</v>
      </c>
      <c r="CQ14" s="37"/>
      <c r="CR14" s="174">
        <f t="shared" si="36"/>
        <v>0</v>
      </c>
      <c r="CS14" s="37"/>
      <c r="CT14" s="174">
        <f t="shared" si="37"/>
        <v>0</v>
      </c>
      <c r="CU14" s="38"/>
      <c r="CV14" s="87"/>
      <c r="CW14" s="90"/>
      <c r="CX14" s="38">
        <v>3699</v>
      </c>
      <c r="CY14" s="39">
        <v>9</v>
      </c>
      <c r="CZ14" s="37">
        <v>11260</v>
      </c>
      <c r="DA14" s="39">
        <v>27</v>
      </c>
      <c r="DB14" s="24">
        <v>10</v>
      </c>
      <c r="DC14" s="96" t="str">
        <f t="shared" si="38"/>
        <v>金</v>
      </c>
      <c r="DF14" s="125"/>
      <c r="DG14" s="40"/>
      <c r="DH14" s="40"/>
      <c r="DI14" s="40"/>
      <c r="DJ14" s="40"/>
      <c r="DK14" s="40"/>
      <c r="DL14" s="40"/>
      <c r="DM14" s="40"/>
      <c r="DN14" s="40"/>
      <c r="DO14" s="40"/>
      <c r="DP14" s="40">
        <f t="shared" si="39"/>
        <v>0</v>
      </c>
      <c r="DQ14" s="172">
        <f t="shared" si="40"/>
        <v>0</v>
      </c>
      <c r="DS14" s="189"/>
      <c r="DT14" s="190"/>
      <c r="DU14" s="190"/>
      <c r="DV14" s="191"/>
      <c r="DW14" s="41"/>
      <c r="DX14" s="42"/>
    </row>
    <row r="15" spans="1:132" ht="13.5" customHeight="1" x14ac:dyDescent="0.4">
      <c r="A15" s="104">
        <v>11</v>
      </c>
      <c r="B15" s="23" t="s">
        <v>88</v>
      </c>
      <c r="C15" s="164">
        <v>31</v>
      </c>
      <c r="D15" s="164">
        <v>22</v>
      </c>
      <c r="E15" s="24" t="s">
        <v>84</v>
      </c>
      <c r="F15" s="29">
        <v>429003</v>
      </c>
      <c r="G15" s="25">
        <f>IF(SUM($F$5:F15)=0,"",SUM($F$5:F15))</f>
        <v>2526672</v>
      </c>
      <c r="H15" s="43">
        <f t="shared" si="0"/>
        <v>1.155186303115979</v>
      </c>
      <c r="I15" s="148">
        <f t="array" aca="1" ref="I15" ca="1">IF($A16="",$G15/($V15-$U$5+INDIRECT(IF(_xlfn.SHEET()&lt;6,"令和8年"&amp;_xlfn.SHEET()+7&amp;"月","令和9年"&amp;_xlfn.SHEET()-5&amp;"月")&amp;"!$U$5")),$G15/($V16-$U$5))</f>
        <v>1.0386666836580118</v>
      </c>
      <c r="J15" s="26">
        <f t="shared" si="1"/>
        <v>0.77743753846153851</v>
      </c>
      <c r="K15" s="27">
        <v>235</v>
      </c>
      <c r="L15" s="165">
        <f t="shared" si="2"/>
        <v>3.671875</v>
      </c>
      <c r="M15" s="28">
        <f t="shared" si="3"/>
        <v>1825.5446808510637</v>
      </c>
      <c r="N15" s="166">
        <f t="shared" si="4"/>
        <v>0.98503380469157809</v>
      </c>
      <c r="O15" s="167">
        <f t="shared" si="5"/>
        <v>57.809324888828996</v>
      </c>
      <c r="P15" s="168">
        <v>7421</v>
      </c>
      <c r="Q15" s="169">
        <f t="shared" si="6"/>
        <v>31.578723404255321</v>
      </c>
      <c r="R15" s="170">
        <v>36</v>
      </c>
      <c r="S15" s="171">
        <v>25</v>
      </c>
      <c r="T15" s="24" t="s">
        <v>92</v>
      </c>
      <c r="U15" s="29">
        <v>118610</v>
      </c>
      <c r="V15" s="30">
        <f t="shared" si="41"/>
        <v>2187242</v>
      </c>
      <c r="W15" s="27">
        <v>64</v>
      </c>
      <c r="X15" s="31">
        <f t="shared" si="7"/>
        <v>1853.28125</v>
      </c>
      <c r="Y15" s="29">
        <v>206129</v>
      </c>
      <c r="Z15" s="32">
        <f t="shared" si="42"/>
        <v>3027198</v>
      </c>
      <c r="AA15" s="33">
        <f t="shared" si="8"/>
        <v>0.72253020780272714</v>
      </c>
      <c r="AB15" s="158">
        <v>550000</v>
      </c>
      <c r="AC15" s="34">
        <f t="shared" si="43"/>
        <v>3250000</v>
      </c>
      <c r="AD15" s="158">
        <v>100194</v>
      </c>
      <c r="AE15" s="25">
        <v>88269</v>
      </c>
      <c r="AF15" s="25">
        <v>9040</v>
      </c>
      <c r="AG15" s="25">
        <v>0</v>
      </c>
      <c r="AH15" s="25">
        <v>0</v>
      </c>
      <c r="AI15" s="25">
        <v>1251</v>
      </c>
      <c r="AJ15" s="25">
        <v>461</v>
      </c>
      <c r="AK15" s="25">
        <v>0</v>
      </c>
      <c r="AL15" s="158">
        <v>5947</v>
      </c>
      <c r="AM15" s="25">
        <v>0</v>
      </c>
      <c r="AN15" s="158">
        <v>0</v>
      </c>
      <c r="AO15" s="25"/>
      <c r="AP15" s="25"/>
      <c r="AQ15" s="158"/>
      <c r="AR15" s="35">
        <f t="shared" si="9"/>
        <v>205162</v>
      </c>
      <c r="AS15" s="172">
        <f t="shared" si="10"/>
        <v>0.47822975596907247</v>
      </c>
      <c r="AT15" s="36">
        <f t="shared" si="11"/>
        <v>223841</v>
      </c>
      <c r="AU15" s="173"/>
      <c r="AV15" s="82">
        <f t="shared" si="12"/>
        <v>11</v>
      </c>
      <c r="AW15" s="37">
        <v>81901</v>
      </c>
      <c r="AX15" s="174">
        <f t="shared" si="13"/>
        <v>0.19091008687584934</v>
      </c>
      <c r="AY15" s="37">
        <v>3876</v>
      </c>
      <c r="AZ15" s="174">
        <f t="shared" si="14"/>
        <v>9.0349018538331896E-3</v>
      </c>
      <c r="BA15" s="37">
        <v>143341</v>
      </c>
      <c r="BB15" s="174">
        <f t="shared" si="15"/>
        <v>0.33412586858366961</v>
      </c>
      <c r="BC15" s="37">
        <v>6349</v>
      </c>
      <c r="BD15" s="174">
        <f t="shared" si="16"/>
        <v>1.479943030701417E-2</v>
      </c>
      <c r="BE15" s="37">
        <v>0</v>
      </c>
      <c r="BF15" s="174">
        <f t="shared" si="17"/>
        <v>0</v>
      </c>
      <c r="BG15" s="37">
        <v>1928</v>
      </c>
      <c r="BH15" s="174">
        <f t="shared" si="18"/>
        <v>4.4941410666125879E-3</v>
      </c>
      <c r="BI15" s="37">
        <v>4614</v>
      </c>
      <c r="BJ15" s="174">
        <f t="shared" si="19"/>
        <v>1.0755169544268922E-2</v>
      </c>
      <c r="BK15" s="37">
        <v>14852</v>
      </c>
      <c r="BL15" s="174">
        <f t="shared" si="20"/>
        <v>3.4619804523511488E-2</v>
      </c>
      <c r="BM15" s="37">
        <v>99538</v>
      </c>
      <c r="BN15" s="174">
        <f t="shared" si="21"/>
        <v>0.23202168749402685</v>
      </c>
      <c r="BO15" s="37">
        <v>3954</v>
      </c>
      <c r="BP15" s="174">
        <f t="shared" si="22"/>
        <v>9.2167187642044467E-3</v>
      </c>
      <c r="BQ15" s="37">
        <v>3912</v>
      </c>
      <c r="BR15" s="174">
        <f t="shared" si="23"/>
        <v>9.1188173509276164E-3</v>
      </c>
      <c r="BS15" s="37">
        <v>595</v>
      </c>
      <c r="BT15" s="174">
        <f t="shared" si="24"/>
        <v>1.3869366880884283E-3</v>
      </c>
      <c r="BU15" s="37">
        <v>0</v>
      </c>
      <c r="BV15" s="174">
        <f t="shared" si="25"/>
        <v>0</v>
      </c>
      <c r="BW15" s="37">
        <v>1285</v>
      </c>
      <c r="BX15" s="174">
        <f t="shared" si="26"/>
        <v>2.9953170490649248E-3</v>
      </c>
      <c r="BY15" s="37">
        <v>0</v>
      </c>
      <c r="BZ15" s="174">
        <f t="shared" si="27"/>
        <v>0</v>
      </c>
      <c r="CA15" s="37">
        <v>0</v>
      </c>
      <c r="CB15" s="174">
        <f t="shared" si="28"/>
        <v>0</v>
      </c>
      <c r="CC15" s="37">
        <v>5054</v>
      </c>
      <c r="CD15" s="174">
        <f t="shared" si="29"/>
        <v>1.1780803397645237E-2</v>
      </c>
      <c r="CE15" s="37">
        <v>320</v>
      </c>
      <c r="CF15" s="174">
        <f t="shared" si="30"/>
        <v>7.4591552972823035E-4</v>
      </c>
      <c r="CG15" s="37">
        <v>0</v>
      </c>
      <c r="CH15" s="174">
        <f t="shared" si="31"/>
        <v>0</v>
      </c>
      <c r="CI15" s="37">
        <v>2596</v>
      </c>
      <c r="CJ15" s="174">
        <f t="shared" si="32"/>
        <v>6.0512397349202687E-3</v>
      </c>
      <c r="CK15" s="37">
        <v>0</v>
      </c>
      <c r="CL15" s="174">
        <f t="shared" si="33"/>
        <v>0</v>
      </c>
      <c r="CM15" s="37">
        <v>0</v>
      </c>
      <c r="CN15" s="174">
        <f t="shared" si="34"/>
        <v>0</v>
      </c>
      <c r="CO15" s="37"/>
      <c r="CP15" s="174">
        <f t="shared" si="35"/>
        <v>0</v>
      </c>
      <c r="CQ15" s="37"/>
      <c r="CR15" s="174">
        <f t="shared" si="36"/>
        <v>0</v>
      </c>
      <c r="CS15" s="37"/>
      <c r="CT15" s="174">
        <f t="shared" si="37"/>
        <v>0</v>
      </c>
      <c r="CU15" s="38"/>
      <c r="CV15" s="87"/>
      <c r="CW15" s="90"/>
      <c r="CX15" s="38">
        <v>25151</v>
      </c>
      <c r="CY15" s="39">
        <v>37</v>
      </c>
      <c r="CZ15" s="37">
        <v>5958</v>
      </c>
      <c r="DA15" s="39">
        <v>20</v>
      </c>
      <c r="DB15" s="24">
        <v>11</v>
      </c>
      <c r="DC15" s="96" t="str">
        <f t="shared" si="38"/>
        <v>土</v>
      </c>
      <c r="DF15" s="125"/>
      <c r="DG15" s="40"/>
      <c r="DH15" s="40"/>
      <c r="DI15" s="40"/>
      <c r="DJ15" s="40"/>
      <c r="DK15" s="40"/>
      <c r="DL15" s="40"/>
      <c r="DM15" s="40"/>
      <c r="DN15" s="40"/>
      <c r="DO15" s="40"/>
      <c r="DP15" s="40">
        <f t="shared" si="39"/>
        <v>0</v>
      </c>
      <c r="DQ15" s="172">
        <f t="shared" si="40"/>
        <v>0</v>
      </c>
      <c r="DS15" s="189"/>
      <c r="DT15" s="190"/>
      <c r="DU15" s="190"/>
      <c r="DV15" s="191"/>
      <c r="DW15" s="41"/>
      <c r="DX15" s="42"/>
    </row>
    <row r="16" spans="1:132" ht="13.5" customHeight="1" x14ac:dyDescent="0.4">
      <c r="A16" s="104">
        <v>12</v>
      </c>
      <c r="B16" s="23" t="s">
        <v>89</v>
      </c>
      <c r="C16" s="164">
        <v>33</v>
      </c>
      <c r="D16" s="164">
        <v>24</v>
      </c>
      <c r="E16" s="24" t="s">
        <v>84</v>
      </c>
      <c r="F16" s="29">
        <v>632758</v>
      </c>
      <c r="G16" s="25">
        <f>IF(SUM($F$5:F16)=0,"",SUM($F$5:F16))</f>
        <v>3159430</v>
      </c>
      <c r="H16" s="43">
        <f t="shared" si="0"/>
        <v>1.2427017434002992</v>
      </c>
      <c r="I16" s="148">
        <f t="array" aca="1" ref="I16" ca="1">IF($A17="",$G16/($V16-$U$5+INDIRECT(IF(_xlfn.SHEET()&lt;6,"令和8年"&amp;_xlfn.SHEET()+7&amp;"月","令和9年"&amp;_xlfn.SHEET()-5&amp;"月")&amp;"!$U$5")),$G16/($V17-$U$5))</f>
        <v>1.0553638188081056</v>
      </c>
      <c r="J16" s="26">
        <f t="shared" si="1"/>
        <v>0.8314289473684211</v>
      </c>
      <c r="K16" s="27">
        <v>325</v>
      </c>
      <c r="L16" s="165">
        <f t="shared" si="2"/>
        <v>1.7567567567567568</v>
      </c>
      <c r="M16" s="28">
        <f t="shared" si="3"/>
        <v>1946.9476923076923</v>
      </c>
      <c r="N16" s="166">
        <f t="shared" si="4"/>
        <v>1.0141894406157554</v>
      </c>
      <c r="O16" s="167">
        <f t="shared" si="5"/>
        <v>52.598337489609307</v>
      </c>
      <c r="P16" s="168">
        <v>12030</v>
      </c>
      <c r="Q16" s="169">
        <f t="shared" si="6"/>
        <v>37.015384615384619</v>
      </c>
      <c r="R16" s="170">
        <v>35</v>
      </c>
      <c r="S16" s="171">
        <v>25</v>
      </c>
      <c r="T16" s="24" t="s">
        <v>84</v>
      </c>
      <c r="U16" s="29">
        <v>355146</v>
      </c>
      <c r="V16" s="30">
        <f t="shared" si="41"/>
        <v>2542388</v>
      </c>
      <c r="W16" s="27">
        <v>185</v>
      </c>
      <c r="X16" s="31">
        <f t="shared" si="7"/>
        <v>1919.708108108108</v>
      </c>
      <c r="Y16" s="29">
        <v>181461</v>
      </c>
      <c r="Z16" s="32">
        <f t="shared" si="42"/>
        <v>3208659</v>
      </c>
      <c r="AA16" s="33">
        <f t="shared" si="8"/>
        <v>0.79235219448373917</v>
      </c>
      <c r="AB16" s="158">
        <v>550000</v>
      </c>
      <c r="AC16" s="34">
        <f t="shared" si="43"/>
        <v>3800000</v>
      </c>
      <c r="AD16" s="158">
        <v>149533</v>
      </c>
      <c r="AE16" s="25">
        <v>124812</v>
      </c>
      <c r="AF16" s="25">
        <v>7185</v>
      </c>
      <c r="AG16" s="25">
        <v>0</v>
      </c>
      <c r="AH16" s="25">
        <v>962</v>
      </c>
      <c r="AI16" s="25">
        <v>6445</v>
      </c>
      <c r="AJ16" s="25">
        <v>2123</v>
      </c>
      <c r="AK16" s="25">
        <v>0</v>
      </c>
      <c r="AL16" s="158">
        <v>10233</v>
      </c>
      <c r="AM16" s="25">
        <v>1976</v>
      </c>
      <c r="AN16" s="158">
        <v>0</v>
      </c>
      <c r="AO16" s="25"/>
      <c r="AP16" s="25"/>
      <c r="AQ16" s="158"/>
      <c r="AR16" s="35">
        <f t="shared" si="9"/>
        <v>303269</v>
      </c>
      <c r="AS16" s="172">
        <f t="shared" si="10"/>
        <v>0.4792811785864422</v>
      </c>
      <c r="AT16" s="36">
        <f t="shared" si="11"/>
        <v>329489</v>
      </c>
      <c r="AU16" s="173"/>
      <c r="AV16" s="82">
        <f t="shared" si="12"/>
        <v>12</v>
      </c>
      <c r="AW16" s="37">
        <v>138741</v>
      </c>
      <c r="AX16" s="174">
        <f t="shared" si="13"/>
        <v>0.21926392080384602</v>
      </c>
      <c r="AY16" s="37">
        <v>7636</v>
      </c>
      <c r="AZ16" s="174">
        <f t="shared" si="14"/>
        <v>1.2067804753159975E-2</v>
      </c>
      <c r="BA16" s="37">
        <v>227055</v>
      </c>
      <c r="BB16" s="174">
        <f t="shared" si="15"/>
        <v>0.35883386697600028</v>
      </c>
      <c r="BC16" s="37">
        <v>5562</v>
      </c>
      <c r="BD16" s="174">
        <f t="shared" si="16"/>
        <v>8.7900903663011773E-3</v>
      </c>
      <c r="BE16" s="37">
        <v>0</v>
      </c>
      <c r="BF16" s="174">
        <f t="shared" si="17"/>
        <v>0</v>
      </c>
      <c r="BG16" s="37">
        <v>5614</v>
      </c>
      <c r="BH16" s="174">
        <f t="shared" si="18"/>
        <v>8.8722702834258919E-3</v>
      </c>
      <c r="BI16" s="37">
        <v>4314</v>
      </c>
      <c r="BJ16" s="174">
        <f t="shared" si="19"/>
        <v>6.8177723553080327E-3</v>
      </c>
      <c r="BK16" s="37">
        <v>24447</v>
      </c>
      <c r="BL16" s="174">
        <f t="shared" si="20"/>
        <v>3.8635623729767143E-2</v>
      </c>
      <c r="BM16" s="37">
        <v>109704</v>
      </c>
      <c r="BN16" s="174">
        <f t="shared" si="21"/>
        <v>0.1733743390048012</v>
      </c>
      <c r="BO16" s="37">
        <v>2891</v>
      </c>
      <c r="BP16" s="174">
        <f t="shared" si="22"/>
        <v>4.5688873155297922E-3</v>
      </c>
      <c r="BQ16" s="37">
        <v>5551</v>
      </c>
      <c r="BR16" s="174">
        <f t="shared" si="23"/>
        <v>8.7727061530632564E-3</v>
      </c>
      <c r="BS16" s="37">
        <v>830</v>
      </c>
      <c r="BT16" s="174">
        <f t="shared" si="24"/>
        <v>1.3117179079521714E-3</v>
      </c>
      <c r="BU16" s="37">
        <v>0</v>
      </c>
      <c r="BV16" s="174">
        <f t="shared" si="25"/>
        <v>0</v>
      </c>
      <c r="BW16" s="37">
        <v>2655</v>
      </c>
      <c r="BX16" s="174">
        <f t="shared" si="26"/>
        <v>4.1959169224253193E-3</v>
      </c>
      <c r="BY16" s="37">
        <v>0</v>
      </c>
      <c r="BZ16" s="174">
        <f t="shared" si="27"/>
        <v>0</v>
      </c>
      <c r="CA16" s="37">
        <v>0</v>
      </c>
      <c r="CB16" s="174">
        <f t="shared" si="28"/>
        <v>0</v>
      </c>
      <c r="CC16" s="37">
        <v>8442</v>
      </c>
      <c r="CD16" s="174">
        <f t="shared" si="29"/>
        <v>1.3341593468593049E-2</v>
      </c>
      <c r="CE16" s="37">
        <v>1280</v>
      </c>
      <c r="CF16" s="174">
        <f t="shared" si="30"/>
        <v>2.0228902676852761E-3</v>
      </c>
      <c r="CG16" s="37">
        <v>0</v>
      </c>
      <c r="CH16" s="174">
        <f t="shared" si="31"/>
        <v>0</v>
      </c>
      <c r="CI16" s="37">
        <v>4484</v>
      </c>
      <c r="CJ16" s="174">
        <f t="shared" si="32"/>
        <v>7.0864374689849829E-3</v>
      </c>
      <c r="CK16" s="37">
        <v>0</v>
      </c>
      <c r="CL16" s="174">
        <f t="shared" si="33"/>
        <v>0</v>
      </c>
      <c r="CM16" s="37">
        <v>0</v>
      </c>
      <c r="CN16" s="174">
        <f t="shared" si="34"/>
        <v>0</v>
      </c>
      <c r="CO16" s="37"/>
      <c r="CP16" s="174">
        <f t="shared" si="35"/>
        <v>0</v>
      </c>
      <c r="CQ16" s="37"/>
      <c r="CR16" s="174">
        <f t="shared" si="36"/>
        <v>0</v>
      </c>
      <c r="CS16" s="37"/>
      <c r="CT16" s="174">
        <f t="shared" si="37"/>
        <v>0</v>
      </c>
      <c r="CU16" s="38"/>
      <c r="CV16" s="87"/>
      <c r="CW16" s="90"/>
      <c r="CX16" s="38">
        <v>5719</v>
      </c>
      <c r="CY16" s="39">
        <v>13</v>
      </c>
      <c r="CZ16" s="37">
        <v>17298</v>
      </c>
      <c r="DA16" s="39">
        <v>34</v>
      </c>
      <c r="DB16" s="24">
        <v>12</v>
      </c>
      <c r="DC16" s="96" t="str">
        <f t="shared" si="38"/>
        <v>日</v>
      </c>
      <c r="DF16" s="125"/>
      <c r="DG16" s="40"/>
      <c r="DH16" s="40"/>
      <c r="DI16" s="40"/>
      <c r="DJ16" s="40"/>
      <c r="DK16" s="40"/>
      <c r="DL16" s="40"/>
      <c r="DM16" s="40"/>
      <c r="DN16" s="40"/>
      <c r="DO16" s="40"/>
      <c r="DP16" s="40">
        <f t="shared" si="39"/>
        <v>0</v>
      </c>
      <c r="DQ16" s="172">
        <f t="shared" si="40"/>
        <v>0</v>
      </c>
      <c r="DS16" s="189"/>
      <c r="DT16" s="190"/>
      <c r="DU16" s="190"/>
      <c r="DV16" s="191"/>
      <c r="DW16" s="138"/>
      <c r="DX16" s="42"/>
    </row>
    <row r="17" spans="1:128" ht="13.5" customHeight="1" x14ac:dyDescent="0.4">
      <c r="A17" s="104">
        <v>13</v>
      </c>
      <c r="B17" s="23" t="s">
        <v>90</v>
      </c>
      <c r="C17" s="164"/>
      <c r="D17" s="164"/>
      <c r="E17" s="24"/>
      <c r="F17" s="29"/>
      <c r="G17" s="25">
        <f>IF(SUM($F$5:F17)=0,"",SUM($F$5:F17))</f>
        <v>3159430</v>
      </c>
      <c r="H17" s="43">
        <f t="shared" si="0"/>
        <v>1.018033069488459</v>
      </c>
      <c r="I17" s="148">
        <f t="array" aca="1" ref="I17" ca="1">IF($A18="",$G17/($V17-$U$5+INDIRECT(IF(_xlfn.SHEET()&lt;6,"令和8年"&amp;_xlfn.SHEET()+7&amp;"月","令和9年"&amp;_xlfn.SHEET()-5&amp;"月")&amp;"!$U$5")),$G17/($V18-$U$5))</f>
        <v>1.021468943358381</v>
      </c>
      <c r="J17" s="26">
        <f t="shared" si="1"/>
        <v>0.78985749999999999</v>
      </c>
      <c r="K17" s="27"/>
      <c r="L17" s="165">
        <f t="shared" si="2"/>
        <v>0</v>
      </c>
      <c r="M17" s="28" t="str">
        <f t="shared" si="3"/>
        <v/>
      </c>
      <c r="N17" s="166" t="str">
        <f t="shared" si="4"/>
        <v/>
      </c>
      <c r="O17" s="167" t="str">
        <f t="shared" si="5"/>
        <v/>
      </c>
      <c r="P17" s="168"/>
      <c r="Q17" s="169" t="str">
        <f t="shared" si="6"/>
        <v/>
      </c>
      <c r="R17" s="170">
        <v>36</v>
      </c>
      <c r="S17" s="171">
        <v>26</v>
      </c>
      <c r="T17" s="24" t="s">
        <v>84</v>
      </c>
      <c r="U17" s="29">
        <v>561077</v>
      </c>
      <c r="V17" s="30">
        <f t="shared" si="41"/>
        <v>3103465</v>
      </c>
      <c r="W17" s="27">
        <v>260</v>
      </c>
      <c r="X17" s="31">
        <f t="shared" si="7"/>
        <v>2157.9884615384617</v>
      </c>
      <c r="Y17" s="29">
        <v>731687</v>
      </c>
      <c r="Z17" s="32">
        <f t="shared" si="42"/>
        <v>3940346</v>
      </c>
      <c r="AA17" s="33">
        <f t="shared" si="8"/>
        <v>0.78761230612743149</v>
      </c>
      <c r="AB17" s="158">
        <v>200000</v>
      </c>
      <c r="AC17" s="34">
        <f t="shared" si="43"/>
        <v>4000000</v>
      </c>
      <c r="AD17" s="158"/>
      <c r="AE17" s="25"/>
      <c r="AF17" s="25"/>
      <c r="AG17" s="25"/>
      <c r="AH17" s="25"/>
      <c r="AI17" s="25"/>
      <c r="AJ17" s="25"/>
      <c r="AK17" s="25"/>
      <c r="AL17" s="158"/>
      <c r="AM17" s="25"/>
      <c r="AN17" s="158"/>
      <c r="AO17" s="25"/>
      <c r="AP17" s="25"/>
      <c r="AQ17" s="158"/>
      <c r="AR17" s="35">
        <f t="shared" si="9"/>
        <v>0</v>
      </c>
      <c r="AS17" s="172" t="str">
        <f t="shared" si="10"/>
        <v/>
      </c>
      <c r="AT17" s="36">
        <f t="shared" si="11"/>
        <v>0</v>
      </c>
      <c r="AU17" s="173"/>
      <c r="AV17" s="82">
        <f t="shared" si="12"/>
        <v>13</v>
      </c>
      <c r="AW17" s="37"/>
      <c r="AX17" s="174" t="str">
        <f t="shared" si="13"/>
        <v/>
      </c>
      <c r="AY17" s="37"/>
      <c r="AZ17" s="174" t="str">
        <f t="shared" si="14"/>
        <v/>
      </c>
      <c r="BA17" s="37"/>
      <c r="BB17" s="174" t="str">
        <f t="shared" si="15"/>
        <v/>
      </c>
      <c r="BC17" s="37"/>
      <c r="BD17" s="174" t="str">
        <f t="shared" si="16"/>
        <v/>
      </c>
      <c r="BE17" s="37"/>
      <c r="BF17" s="174" t="str">
        <f t="shared" si="17"/>
        <v/>
      </c>
      <c r="BG17" s="37"/>
      <c r="BH17" s="174" t="str">
        <f t="shared" si="18"/>
        <v/>
      </c>
      <c r="BI17" s="37"/>
      <c r="BJ17" s="174" t="str">
        <f t="shared" si="19"/>
        <v/>
      </c>
      <c r="BK17" s="37"/>
      <c r="BL17" s="174" t="str">
        <f t="shared" si="20"/>
        <v/>
      </c>
      <c r="BM17" s="37"/>
      <c r="BN17" s="174" t="str">
        <f t="shared" si="21"/>
        <v/>
      </c>
      <c r="BO17" s="37"/>
      <c r="BP17" s="174" t="str">
        <f t="shared" si="22"/>
        <v/>
      </c>
      <c r="BQ17" s="37"/>
      <c r="BR17" s="174" t="str">
        <f t="shared" si="23"/>
        <v/>
      </c>
      <c r="BS17" s="37"/>
      <c r="BT17" s="174" t="str">
        <f t="shared" si="24"/>
        <v/>
      </c>
      <c r="BU17" s="37"/>
      <c r="BV17" s="174" t="str">
        <f t="shared" si="25"/>
        <v/>
      </c>
      <c r="BW17" s="37"/>
      <c r="BX17" s="174" t="str">
        <f t="shared" si="26"/>
        <v/>
      </c>
      <c r="BY17" s="37"/>
      <c r="BZ17" s="174" t="str">
        <f t="shared" si="27"/>
        <v/>
      </c>
      <c r="CA17" s="37"/>
      <c r="CB17" s="174" t="str">
        <f t="shared" si="28"/>
        <v/>
      </c>
      <c r="CC17" s="37"/>
      <c r="CD17" s="174" t="str">
        <f t="shared" si="29"/>
        <v/>
      </c>
      <c r="CE17" s="37"/>
      <c r="CF17" s="174" t="str">
        <f t="shared" si="30"/>
        <v/>
      </c>
      <c r="CG17" s="37"/>
      <c r="CH17" s="174" t="str">
        <f t="shared" si="31"/>
        <v/>
      </c>
      <c r="CI17" s="37"/>
      <c r="CJ17" s="174" t="str">
        <f t="shared" si="32"/>
        <v/>
      </c>
      <c r="CK17" s="37"/>
      <c r="CL17" s="174" t="str">
        <f t="shared" si="33"/>
        <v/>
      </c>
      <c r="CM17" s="37"/>
      <c r="CN17" s="174" t="str">
        <f t="shared" si="34"/>
        <v/>
      </c>
      <c r="CO17" s="37"/>
      <c r="CP17" s="174" t="str">
        <f t="shared" si="35"/>
        <v/>
      </c>
      <c r="CQ17" s="37"/>
      <c r="CR17" s="174" t="str">
        <f t="shared" si="36"/>
        <v/>
      </c>
      <c r="CS17" s="37"/>
      <c r="CT17" s="174" t="str">
        <f t="shared" si="37"/>
        <v/>
      </c>
      <c r="CU17" s="38"/>
      <c r="CV17" s="87"/>
      <c r="CW17" s="90"/>
      <c r="CX17" s="38"/>
      <c r="CY17" s="39"/>
      <c r="CZ17" s="37"/>
      <c r="DA17" s="39"/>
      <c r="DB17" s="24">
        <v>13</v>
      </c>
      <c r="DC17" s="96" t="str">
        <f t="shared" si="38"/>
        <v>月</v>
      </c>
      <c r="DF17" s="125"/>
      <c r="DG17" s="40"/>
      <c r="DH17" s="40"/>
      <c r="DI17" s="40"/>
      <c r="DJ17" s="40"/>
      <c r="DK17" s="40"/>
      <c r="DL17" s="40"/>
      <c r="DM17" s="40"/>
      <c r="DN17" s="40"/>
      <c r="DO17" s="40"/>
      <c r="DP17" s="40">
        <f t="shared" si="39"/>
        <v>0</v>
      </c>
      <c r="DQ17" s="172" t="str">
        <f t="shared" si="40"/>
        <v/>
      </c>
      <c r="DS17" s="189"/>
      <c r="DT17" s="190"/>
      <c r="DU17" s="190"/>
      <c r="DV17" s="191"/>
      <c r="DW17" s="41"/>
      <c r="DX17" s="42"/>
    </row>
    <row r="18" spans="1:128" ht="13.5" customHeight="1" x14ac:dyDescent="0.4">
      <c r="A18" s="104">
        <v>14</v>
      </c>
      <c r="B18" s="23" t="s">
        <v>91</v>
      </c>
      <c r="C18" s="164"/>
      <c r="D18" s="164"/>
      <c r="E18" s="24"/>
      <c r="F18" s="29"/>
      <c r="G18" s="25">
        <f>IF(SUM($F$5:F18)=0,"",SUM($F$5:F18))</f>
        <v>3159430</v>
      </c>
      <c r="H18" s="43">
        <f t="shared" si="0"/>
        <v>0.98645779962114433</v>
      </c>
      <c r="I18" s="148">
        <f t="array" aca="1" ref="I18" ca="1">IF($A19="",$G18/($V18-$U$5+INDIRECT(IF(_xlfn.SHEET()&lt;6,"令和8年"&amp;_xlfn.SHEET()+7&amp;"月","令和9年"&amp;_xlfn.SHEET()-5&amp;"月")&amp;"!$U$5")),$G18/($V19-$U$5))</f>
        <v>0.96741193279070925</v>
      </c>
      <c r="J18" s="26">
        <f t="shared" si="1"/>
        <v>0.75224523809523813</v>
      </c>
      <c r="K18" s="27"/>
      <c r="L18" s="165">
        <f t="shared" si="2"/>
        <v>0</v>
      </c>
      <c r="M18" s="28" t="str">
        <f t="shared" si="3"/>
        <v/>
      </c>
      <c r="N18" s="166" t="str">
        <f t="shared" si="4"/>
        <v/>
      </c>
      <c r="O18" s="167" t="str">
        <f t="shared" si="5"/>
        <v/>
      </c>
      <c r="P18" s="168"/>
      <c r="Q18" s="169" t="str">
        <f t="shared" si="6"/>
        <v/>
      </c>
      <c r="R18" s="170">
        <v>35</v>
      </c>
      <c r="S18" s="171">
        <v>25</v>
      </c>
      <c r="T18" s="24" t="s">
        <v>87</v>
      </c>
      <c r="U18" s="29">
        <v>99338</v>
      </c>
      <c r="V18" s="30">
        <f t="shared" si="41"/>
        <v>3202803</v>
      </c>
      <c r="W18" s="27">
        <v>81</v>
      </c>
      <c r="X18" s="31">
        <f t="shared" si="7"/>
        <v>1226.3950617283951</v>
      </c>
      <c r="Y18" s="29">
        <v>1135665</v>
      </c>
      <c r="Z18" s="32">
        <f t="shared" si="42"/>
        <v>5076011</v>
      </c>
      <c r="AA18" s="33">
        <f t="shared" si="8"/>
        <v>0.63096849080902306</v>
      </c>
      <c r="AB18" s="158">
        <v>200000</v>
      </c>
      <c r="AC18" s="34">
        <f t="shared" si="43"/>
        <v>4200000</v>
      </c>
      <c r="AD18" s="158"/>
      <c r="AE18" s="25"/>
      <c r="AF18" s="25"/>
      <c r="AG18" s="25"/>
      <c r="AH18" s="25"/>
      <c r="AI18" s="25"/>
      <c r="AJ18" s="25"/>
      <c r="AK18" s="25"/>
      <c r="AL18" s="158"/>
      <c r="AM18" s="25"/>
      <c r="AN18" s="158"/>
      <c r="AO18" s="25"/>
      <c r="AP18" s="25"/>
      <c r="AQ18" s="158"/>
      <c r="AR18" s="35">
        <f t="shared" si="9"/>
        <v>0</v>
      </c>
      <c r="AS18" s="172" t="str">
        <f t="shared" si="10"/>
        <v/>
      </c>
      <c r="AT18" s="36">
        <f t="shared" si="11"/>
        <v>0</v>
      </c>
      <c r="AU18" s="173"/>
      <c r="AV18" s="82">
        <f t="shared" si="12"/>
        <v>14</v>
      </c>
      <c r="AW18" s="37"/>
      <c r="AX18" s="174" t="str">
        <f t="shared" si="13"/>
        <v/>
      </c>
      <c r="AY18" s="37"/>
      <c r="AZ18" s="174" t="str">
        <f t="shared" si="14"/>
        <v/>
      </c>
      <c r="BA18" s="37"/>
      <c r="BB18" s="174" t="str">
        <f t="shared" si="15"/>
        <v/>
      </c>
      <c r="BC18" s="37"/>
      <c r="BD18" s="174" t="str">
        <f t="shared" si="16"/>
        <v/>
      </c>
      <c r="BE18" s="37"/>
      <c r="BF18" s="174" t="str">
        <f t="shared" si="17"/>
        <v/>
      </c>
      <c r="BG18" s="37"/>
      <c r="BH18" s="174" t="str">
        <f t="shared" si="18"/>
        <v/>
      </c>
      <c r="BI18" s="37"/>
      <c r="BJ18" s="174" t="str">
        <f t="shared" si="19"/>
        <v/>
      </c>
      <c r="BK18" s="37"/>
      <c r="BL18" s="174" t="str">
        <f t="shared" si="20"/>
        <v/>
      </c>
      <c r="BM18" s="37"/>
      <c r="BN18" s="174" t="str">
        <f t="shared" si="21"/>
        <v/>
      </c>
      <c r="BO18" s="37"/>
      <c r="BP18" s="174" t="str">
        <f t="shared" si="22"/>
        <v/>
      </c>
      <c r="BQ18" s="37"/>
      <c r="BR18" s="174" t="str">
        <f t="shared" si="23"/>
        <v/>
      </c>
      <c r="BS18" s="37"/>
      <c r="BT18" s="174" t="str">
        <f t="shared" si="24"/>
        <v/>
      </c>
      <c r="BU18" s="37"/>
      <c r="BV18" s="174" t="str">
        <f t="shared" si="25"/>
        <v/>
      </c>
      <c r="BW18" s="37"/>
      <c r="BX18" s="174" t="str">
        <f t="shared" si="26"/>
        <v/>
      </c>
      <c r="BY18" s="37"/>
      <c r="BZ18" s="174" t="str">
        <f t="shared" si="27"/>
        <v/>
      </c>
      <c r="CA18" s="37"/>
      <c r="CB18" s="174" t="str">
        <f t="shared" si="28"/>
        <v/>
      </c>
      <c r="CC18" s="37"/>
      <c r="CD18" s="174" t="str">
        <f t="shared" si="29"/>
        <v/>
      </c>
      <c r="CE18" s="37"/>
      <c r="CF18" s="174" t="str">
        <f t="shared" si="30"/>
        <v/>
      </c>
      <c r="CG18" s="37"/>
      <c r="CH18" s="174" t="str">
        <f t="shared" si="31"/>
        <v/>
      </c>
      <c r="CI18" s="37"/>
      <c r="CJ18" s="174" t="str">
        <f t="shared" si="32"/>
        <v/>
      </c>
      <c r="CK18" s="37"/>
      <c r="CL18" s="174" t="str">
        <f t="shared" si="33"/>
        <v/>
      </c>
      <c r="CM18" s="37"/>
      <c r="CN18" s="174" t="str">
        <f t="shared" si="34"/>
        <v/>
      </c>
      <c r="CO18" s="37"/>
      <c r="CP18" s="174" t="str">
        <f t="shared" si="35"/>
        <v/>
      </c>
      <c r="CQ18" s="37"/>
      <c r="CR18" s="174" t="str">
        <f t="shared" si="36"/>
        <v/>
      </c>
      <c r="CS18" s="37"/>
      <c r="CT18" s="174" t="str">
        <f t="shared" si="37"/>
        <v/>
      </c>
      <c r="CU18" s="38"/>
      <c r="CV18" s="87"/>
      <c r="CW18" s="90"/>
      <c r="CX18" s="38"/>
      <c r="CY18" s="39"/>
      <c r="CZ18" s="37"/>
      <c r="DA18" s="39"/>
      <c r="DB18" s="24">
        <v>14</v>
      </c>
      <c r="DC18" s="96" t="str">
        <f t="shared" si="38"/>
        <v>火</v>
      </c>
      <c r="DF18" s="125"/>
      <c r="DG18" s="40"/>
      <c r="DH18" s="40"/>
      <c r="DI18" s="40"/>
      <c r="DJ18" s="40"/>
      <c r="DK18" s="40"/>
      <c r="DL18" s="40"/>
      <c r="DM18" s="40"/>
      <c r="DN18" s="40"/>
      <c r="DO18" s="40"/>
      <c r="DP18" s="40">
        <f t="shared" si="39"/>
        <v>0</v>
      </c>
      <c r="DQ18" s="172" t="str">
        <f t="shared" si="40"/>
        <v/>
      </c>
      <c r="DS18" s="189"/>
      <c r="DT18" s="190"/>
      <c r="DU18" s="190"/>
      <c r="DV18" s="191"/>
      <c r="DW18" s="41"/>
      <c r="DX18" s="42"/>
    </row>
    <row r="19" spans="1:128" ht="13.5" customHeight="1" x14ac:dyDescent="0.4">
      <c r="A19" s="104">
        <v>15</v>
      </c>
      <c r="B19" s="23" t="s">
        <v>83</v>
      </c>
      <c r="C19" s="164"/>
      <c r="D19" s="164"/>
      <c r="E19" s="24"/>
      <c r="F19" s="29"/>
      <c r="G19" s="25">
        <f>IF(SUM($F$5:F19)=0,"",SUM($F$5:F19))</f>
        <v>3159430</v>
      </c>
      <c r="H19" s="43">
        <f t="shared" si="0"/>
        <v>0.93595130990169262</v>
      </c>
      <c r="I19" s="148">
        <f t="array" aca="1" ref="I19" ca="1">IF($A20="",$G19/($V19-$U$5+INDIRECT(IF(_xlfn.SHEET()&lt;6,"令和8年"&amp;_xlfn.SHEET()+7&amp;"月","令和9年"&amp;_xlfn.SHEET()-5&amp;"月")&amp;"!$U$5")),$G19/($V20-$U$5))</f>
        <v>0.91309363961784185</v>
      </c>
      <c r="J19" s="26">
        <f t="shared" si="1"/>
        <v>0.71805227272727268</v>
      </c>
      <c r="K19" s="27"/>
      <c r="L19" s="165">
        <f t="shared" si="2"/>
        <v>0</v>
      </c>
      <c r="M19" s="28" t="str">
        <f t="shared" si="3"/>
        <v/>
      </c>
      <c r="N19" s="166" t="str">
        <f t="shared" si="4"/>
        <v/>
      </c>
      <c r="O19" s="167" t="str">
        <f t="shared" si="5"/>
        <v/>
      </c>
      <c r="P19" s="168"/>
      <c r="Q19" s="169" t="str">
        <f t="shared" si="6"/>
        <v/>
      </c>
      <c r="R19" s="170">
        <v>37</v>
      </c>
      <c r="S19" s="171">
        <v>26</v>
      </c>
      <c r="T19" s="24" t="s">
        <v>84</v>
      </c>
      <c r="U19" s="29">
        <v>172832</v>
      </c>
      <c r="V19" s="30">
        <f t="shared" si="41"/>
        <v>3375635</v>
      </c>
      <c r="W19" s="27">
        <v>98</v>
      </c>
      <c r="X19" s="31">
        <f t="shared" si="7"/>
        <v>1763.591836734694</v>
      </c>
      <c r="Y19" s="29">
        <v>672231</v>
      </c>
      <c r="Z19" s="32">
        <f t="shared" si="42"/>
        <v>5748242</v>
      </c>
      <c r="AA19" s="33">
        <f t="shared" si="8"/>
        <v>0.58724650075623119</v>
      </c>
      <c r="AB19" s="158">
        <v>200000</v>
      </c>
      <c r="AC19" s="34">
        <f t="shared" si="43"/>
        <v>4400000</v>
      </c>
      <c r="AD19" s="158"/>
      <c r="AE19" s="25"/>
      <c r="AF19" s="25"/>
      <c r="AG19" s="25"/>
      <c r="AH19" s="25"/>
      <c r="AI19" s="25"/>
      <c r="AJ19" s="25"/>
      <c r="AK19" s="25"/>
      <c r="AL19" s="158"/>
      <c r="AM19" s="25"/>
      <c r="AN19" s="158"/>
      <c r="AO19" s="25"/>
      <c r="AP19" s="25"/>
      <c r="AQ19" s="158"/>
      <c r="AR19" s="35">
        <f t="shared" si="9"/>
        <v>0</v>
      </c>
      <c r="AS19" s="172" t="str">
        <f t="shared" si="10"/>
        <v/>
      </c>
      <c r="AT19" s="36">
        <f t="shared" si="11"/>
        <v>0</v>
      </c>
      <c r="AU19" s="173"/>
      <c r="AV19" s="82">
        <f t="shared" si="12"/>
        <v>15</v>
      </c>
      <c r="AW19" s="37"/>
      <c r="AX19" s="174" t="str">
        <f t="shared" si="13"/>
        <v/>
      </c>
      <c r="AY19" s="37"/>
      <c r="AZ19" s="174" t="str">
        <f t="shared" si="14"/>
        <v/>
      </c>
      <c r="BA19" s="37"/>
      <c r="BB19" s="174" t="str">
        <f t="shared" si="15"/>
        <v/>
      </c>
      <c r="BC19" s="37"/>
      <c r="BD19" s="174" t="str">
        <f t="shared" si="16"/>
        <v/>
      </c>
      <c r="BE19" s="37"/>
      <c r="BF19" s="174" t="str">
        <f t="shared" si="17"/>
        <v/>
      </c>
      <c r="BG19" s="37"/>
      <c r="BH19" s="174" t="str">
        <f t="shared" si="18"/>
        <v/>
      </c>
      <c r="BI19" s="37"/>
      <c r="BJ19" s="174" t="str">
        <f t="shared" si="19"/>
        <v/>
      </c>
      <c r="BK19" s="37"/>
      <c r="BL19" s="174" t="str">
        <f t="shared" si="20"/>
        <v/>
      </c>
      <c r="BM19" s="37"/>
      <c r="BN19" s="174" t="str">
        <f t="shared" si="21"/>
        <v/>
      </c>
      <c r="BO19" s="37"/>
      <c r="BP19" s="174" t="str">
        <f t="shared" si="22"/>
        <v/>
      </c>
      <c r="BQ19" s="37"/>
      <c r="BR19" s="174" t="str">
        <f t="shared" si="23"/>
        <v/>
      </c>
      <c r="BS19" s="37"/>
      <c r="BT19" s="174" t="str">
        <f t="shared" si="24"/>
        <v/>
      </c>
      <c r="BU19" s="37"/>
      <c r="BV19" s="174" t="str">
        <f t="shared" si="25"/>
        <v/>
      </c>
      <c r="BW19" s="37"/>
      <c r="BX19" s="174" t="str">
        <f t="shared" si="26"/>
        <v/>
      </c>
      <c r="BY19" s="37"/>
      <c r="BZ19" s="174" t="str">
        <f t="shared" si="27"/>
        <v/>
      </c>
      <c r="CA19" s="37"/>
      <c r="CB19" s="174" t="str">
        <f t="shared" si="28"/>
        <v/>
      </c>
      <c r="CC19" s="37"/>
      <c r="CD19" s="174" t="str">
        <f t="shared" si="29"/>
        <v/>
      </c>
      <c r="CE19" s="37"/>
      <c r="CF19" s="174" t="str">
        <f t="shared" si="30"/>
        <v/>
      </c>
      <c r="CG19" s="37"/>
      <c r="CH19" s="174" t="str">
        <f t="shared" si="31"/>
        <v/>
      </c>
      <c r="CI19" s="37"/>
      <c r="CJ19" s="174" t="str">
        <f t="shared" si="32"/>
        <v/>
      </c>
      <c r="CK19" s="37"/>
      <c r="CL19" s="174" t="str">
        <f t="shared" si="33"/>
        <v/>
      </c>
      <c r="CM19" s="37"/>
      <c r="CN19" s="174" t="str">
        <f t="shared" si="34"/>
        <v/>
      </c>
      <c r="CO19" s="37"/>
      <c r="CP19" s="174" t="str">
        <f t="shared" si="35"/>
        <v/>
      </c>
      <c r="CQ19" s="37"/>
      <c r="CR19" s="174" t="str">
        <f t="shared" si="36"/>
        <v/>
      </c>
      <c r="CS19" s="37"/>
      <c r="CT19" s="174" t="str">
        <f t="shared" si="37"/>
        <v/>
      </c>
      <c r="CU19" s="38"/>
      <c r="CV19" s="87"/>
      <c r="CW19" s="90"/>
      <c r="CX19" s="38"/>
      <c r="CY19" s="39"/>
      <c r="CZ19" s="37"/>
      <c r="DA19" s="39"/>
      <c r="DB19" s="24">
        <v>15</v>
      </c>
      <c r="DC19" s="96" t="str">
        <f t="shared" si="38"/>
        <v>水</v>
      </c>
      <c r="DF19" s="125"/>
      <c r="DG19" s="40"/>
      <c r="DH19" s="40"/>
      <c r="DI19" s="40"/>
      <c r="DJ19" s="40"/>
      <c r="DK19" s="40"/>
      <c r="DL19" s="40"/>
      <c r="DM19" s="40"/>
      <c r="DN19" s="40"/>
      <c r="DO19" s="40"/>
      <c r="DP19" s="40">
        <f t="shared" si="39"/>
        <v>0</v>
      </c>
      <c r="DQ19" s="172" t="str">
        <f t="shared" si="40"/>
        <v/>
      </c>
      <c r="DS19" s="189"/>
      <c r="DT19" s="190"/>
      <c r="DU19" s="190"/>
      <c r="DV19" s="191"/>
      <c r="DW19" s="138"/>
      <c r="DX19" s="42"/>
    </row>
    <row r="20" spans="1:128" ht="13.5" customHeight="1" x14ac:dyDescent="0.4">
      <c r="A20" s="104">
        <v>16</v>
      </c>
      <c r="B20" s="23" t="s">
        <v>85</v>
      </c>
      <c r="C20" s="164"/>
      <c r="D20" s="164"/>
      <c r="E20" s="24"/>
      <c r="F20" s="29"/>
      <c r="G20" s="25">
        <f>IF(SUM($F$5:F20)=0,"",SUM($F$5:F20))</f>
        <v>3159430</v>
      </c>
      <c r="H20" s="43">
        <f t="shared" si="0"/>
        <v>0.88501546955599786</v>
      </c>
      <c r="I20" s="148">
        <f t="array" aca="1" ref="I20" ca="1">IF($A21="",$G20/($V20-$U$5+INDIRECT(IF(_xlfn.SHEET()&lt;6,"令和8年"&amp;_xlfn.SHEET()+7&amp;"月","令和9年"&amp;_xlfn.SHEET()-5&amp;"月")&amp;"!$U$5")),$G20/($V21-$U$5))</f>
        <v>0.85582723040100028</v>
      </c>
      <c r="J20" s="26">
        <f t="shared" si="1"/>
        <v>0.68683260869565221</v>
      </c>
      <c r="K20" s="27"/>
      <c r="L20" s="165">
        <f t="shared" si="2"/>
        <v>0</v>
      </c>
      <c r="M20" s="28" t="str">
        <f t="shared" si="3"/>
        <v/>
      </c>
      <c r="N20" s="166" t="str">
        <f t="shared" si="4"/>
        <v/>
      </c>
      <c r="O20" s="167" t="str">
        <f t="shared" si="5"/>
        <v/>
      </c>
      <c r="P20" s="168"/>
      <c r="Q20" s="169" t="str">
        <f t="shared" si="6"/>
        <v/>
      </c>
      <c r="R20" s="170">
        <v>30</v>
      </c>
      <c r="S20" s="171">
        <v>25</v>
      </c>
      <c r="T20" s="24" t="s">
        <v>92</v>
      </c>
      <c r="U20" s="29">
        <v>194280</v>
      </c>
      <c r="V20" s="30">
        <f t="shared" si="41"/>
        <v>3569915</v>
      </c>
      <c r="W20" s="27">
        <v>74</v>
      </c>
      <c r="X20" s="31">
        <f t="shared" si="7"/>
        <v>2625.4054054054054</v>
      </c>
      <c r="Y20" s="29">
        <v>313296</v>
      </c>
      <c r="Z20" s="32">
        <f t="shared" si="42"/>
        <v>6061538</v>
      </c>
      <c r="AA20" s="33">
        <f t="shared" si="8"/>
        <v>0.58894541286386393</v>
      </c>
      <c r="AB20" s="158">
        <v>200000</v>
      </c>
      <c r="AC20" s="34">
        <f t="shared" si="43"/>
        <v>4600000</v>
      </c>
      <c r="AD20" s="158"/>
      <c r="AE20" s="25"/>
      <c r="AF20" s="25"/>
      <c r="AG20" s="25"/>
      <c r="AH20" s="25"/>
      <c r="AI20" s="25"/>
      <c r="AJ20" s="25"/>
      <c r="AK20" s="25"/>
      <c r="AL20" s="158"/>
      <c r="AM20" s="25"/>
      <c r="AN20" s="158"/>
      <c r="AO20" s="25"/>
      <c r="AP20" s="25"/>
      <c r="AQ20" s="158"/>
      <c r="AR20" s="35">
        <f t="shared" si="9"/>
        <v>0</v>
      </c>
      <c r="AS20" s="172" t="str">
        <f t="shared" si="10"/>
        <v/>
      </c>
      <c r="AT20" s="36">
        <f t="shared" si="11"/>
        <v>0</v>
      </c>
      <c r="AU20" s="173"/>
      <c r="AV20" s="82">
        <f t="shared" si="12"/>
        <v>16</v>
      </c>
      <c r="AW20" s="37"/>
      <c r="AX20" s="174" t="str">
        <f t="shared" si="13"/>
        <v/>
      </c>
      <c r="AY20" s="37"/>
      <c r="AZ20" s="174" t="str">
        <f t="shared" si="14"/>
        <v/>
      </c>
      <c r="BA20" s="37"/>
      <c r="BB20" s="174" t="str">
        <f t="shared" si="15"/>
        <v/>
      </c>
      <c r="BC20" s="37"/>
      <c r="BD20" s="174" t="str">
        <f t="shared" si="16"/>
        <v/>
      </c>
      <c r="BE20" s="37"/>
      <c r="BF20" s="174" t="str">
        <f t="shared" si="17"/>
        <v/>
      </c>
      <c r="BG20" s="37"/>
      <c r="BH20" s="174" t="str">
        <f t="shared" si="18"/>
        <v/>
      </c>
      <c r="BI20" s="37"/>
      <c r="BJ20" s="174" t="str">
        <f t="shared" si="19"/>
        <v/>
      </c>
      <c r="BK20" s="37"/>
      <c r="BL20" s="174" t="str">
        <f t="shared" si="20"/>
        <v/>
      </c>
      <c r="BM20" s="37"/>
      <c r="BN20" s="174" t="str">
        <f t="shared" si="21"/>
        <v/>
      </c>
      <c r="BO20" s="37"/>
      <c r="BP20" s="174" t="str">
        <f t="shared" si="22"/>
        <v/>
      </c>
      <c r="BQ20" s="37"/>
      <c r="BR20" s="174" t="str">
        <f t="shared" si="23"/>
        <v/>
      </c>
      <c r="BS20" s="37"/>
      <c r="BT20" s="174" t="str">
        <f t="shared" si="24"/>
        <v/>
      </c>
      <c r="BU20" s="37"/>
      <c r="BV20" s="174" t="str">
        <f t="shared" si="25"/>
        <v/>
      </c>
      <c r="BW20" s="37"/>
      <c r="BX20" s="174" t="str">
        <f t="shared" si="26"/>
        <v/>
      </c>
      <c r="BY20" s="37"/>
      <c r="BZ20" s="174" t="str">
        <f t="shared" si="27"/>
        <v/>
      </c>
      <c r="CA20" s="37"/>
      <c r="CB20" s="174" t="str">
        <f t="shared" si="28"/>
        <v/>
      </c>
      <c r="CC20" s="37"/>
      <c r="CD20" s="174" t="str">
        <f t="shared" si="29"/>
        <v/>
      </c>
      <c r="CE20" s="37"/>
      <c r="CF20" s="174" t="str">
        <f t="shared" si="30"/>
        <v/>
      </c>
      <c r="CG20" s="37"/>
      <c r="CH20" s="174" t="str">
        <f t="shared" si="31"/>
        <v/>
      </c>
      <c r="CI20" s="37"/>
      <c r="CJ20" s="174" t="str">
        <f t="shared" si="32"/>
        <v/>
      </c>
      <c r="CK20" s="37"/>
      <c r="CL20" s="174" t="str">
        <f t="shared" si="33"/>
        <v/>
      </c>
      <c r="CM20" s="37"/>
      <c r="CN20" s="174" t="str">
        <f t="shared" si="34"/>
        <v/>
      </c>
      <c r="CO20" s="37"/>
      <c r="CP20" s="174" t="str">
        <f t="shared" si="35"/>
        <v/>
      </c>
      <c r="CQ20" s="37"/>
      <c r="CR20" s="174" t="str">
        <f t="shared" si="36"/>
        <v/>
      </c>
      <c r="CS20" s="37"/>
      <c r="CT20" s="174" t="str">
        <f t="shared" si="37"/>
        <v/>
      </c>
      <c r="CU20" s="38"/>
      <c r="CV20" s="87"/>
      <c r="CW20" s="90"/>
      <c r="CX20" s="38"/>
      <c r="CY20" s="39"/>
      <c r="CZ20" s="37"/>
      <c r="DA20" s="39"/>
      <c r="DB20" s="24">
        <v>16</v>
      </c>
      <c r="DC20" s="96" t="str">
        <f t="shared" si="38"/>
        <v>木</v>
      </c>
      <c r="DF20" s="125"/>
      <c r="DG20" s="40"/>
      <c r="DH20" s="40"/>
      <c r="DI20" s="40"/>
      <c r="DJ20" s="40"/>
      <c r="DK20" s="40"/>
      <c r="DL20" s="40"/>
      <c r="DM20" s="40"/>
      <c r="DN20" s="40"/>
      <c r="DO20" s="40"/>
      <c r="DP20" s="40">
        <f t="shared" si="39"/>
        <v>0</v>
      </c>
      <c r="DQ20" s="172" t="str">
        <f t="shared" si="40"/>
        <v/>
      </c>
      <c r="DS20" s="189"/>
      <c r="DT20" s="190"/>
      <c r="DU20" s="190"/>
      <c r="DV20" s="191"/>
      <c r="DW20" s="41"/>
      <c r="DX20" s="42"/>
    </row>
    <row r="21" spans="1:128" ht="13.5" customHeight="1" x14ac:dyDescent="0.4">
      <c r="A21" s="104">
        <v>17</v>
      </c>
      <c r="B21" s="23" t="s">
        <v>86</v>
      </c>
      <c r="C21" s="164"/>
      <c r="D21" s="164"/>
      <c r="E21" s="24"/>
      <c r="F21" s="29"/>
      <c r="G21" s="25">
        <f>IF(SUM($F$5:F21)=0,"",SUM($F$5:F21))</f>
        <v>3159430</v>
      </c>
      <c r="H21" s="43">
        <f t="shared" si="0"/>
        <v>0.83111290575031338</v>
      </c>
      <c r="I21" s="148">
        <f t="array" aca="1" ref="I21" ca="1">IF($A22="",$G21/($V21-$U$5+INDIRECT(IF(_xlfn.SHEET()&lt;6,"令和8年"&amp;_xlfn.SHEET()+7&amp;"月","令和9年"&amp;_xlfn.SHEET()-5&amp;"月")&amp;"!$U$5")),$G21/($V22-$U$5))</f>
        <v>0.80888779879843131</v>
      </c>
      <c r="J21" s="26">
        <f t="shared" si="1"/>
        <v>0.65821458333333338</v>
      </c>
      <c r="K21" s="27"/>
      <c r="L21" s="165">
        <f t="shared" si="2"/>
        <v>0</v>
      </c>
      <c r="M21" s="28" t="str">
        <f t="shared" si="3"/>
        <v/>
      </c>
      <c r="N21" s="166" t="str">
        <f t="shared" si="4"/>
        <v/>
      </c>
      <c r="O21" s="167" t="str">
        <f t="shared" si="5"/>
        <v/>
      </c>
      <c r="P21" s="168"/>
      <c r="Q21" s="169" t="str">
        <f t="shared" si="6"/>
        <v/>
      </c>
      <c r="R21" s="170">
        <v>33</v>
      </c>
      <c r="S21" s="171">
        <v>25</v>
      </c>
      <c r="T21" s="24" t="s">
        <v>93</v>
      </c>
      <c r="U21" s="29">
        <v>231530</v>
      </c>
      <c r="V21" s="30">
        <f t="shared" si="41"/>
        <v>3801445</v>
      </c>
      <c r="W21" s="27">
        <v>99</v>
      </c>
      <c r="X21" s="31">
        <f t="shared" si="7"/>
        <v>2338.6868686868688</v>
      </c>
      <c r="Y21" s="29">
        <v>235048</v>
      </c>
      <c r="Z21" s="32">
        <f t="shared" si="42"/>
        <v>6296586</v>
      </c>
      <c r="AA21" s="33">
        <f t="shared" si="8"/>
        <v>0.60373113302986725</v>
      </c>
      <c r="AB21" s="158">
        <v>200000</v>
      </c>
      <c r="AC21" s="34">
        <f t="shared" si="43"/>
        <v>4800000</v>
      </c>
      <c r="AD21" s="158"/>
      <c r="AE21" s="25"/>
      <c r="AF21" s="25"/>
      <c r="AG21" s="25"/>
      <c r="AH21" s="25"/>
      <c r="AI21" s="25"/>
      <c r="AJ21" s="25"/>
      <c r="AK21" s="25"/>
      <c r="AL21" s="158"/>
      <c r="AM21" s="25"/>
      <c r="AN21" s="158"/>
      <c r="AO21" s="25"/>
      <c r="AP21" s="25"/>
      <c r="AQ21" s="158"/>
      <c r="AR21" s="35">
        <f t="shared" si="9"/>
        <v>0</v>
      </c>
      <c r="AS21" s="172" t="str">
        <f t="shared" si="10"/>
        <v/>
      </c>
      <c r="AT21" s="36">
        <f t="shared" si="11"/>
        <v>0</v>
      </c>
      <c r="AU21" s="173"/>
      <c r="AV21" s="82">
        <f t="shared" si="12"/>
        <v>17</v>
      </c>
      <c r="AW21" s="37"/>
      <c r="AX21" s="174" t="str">
        <f t="shared" si="13"/>
        <v/>
      </c>
      <c r="AY21" s="37"/>
      <c r="AZ21" s="174" t="str">
        <f t="shared" si="14"/>
        <v/>
      </c>
      <c r="BA21" s="37"/>
      <c r="BB21" s="174" t="str">
        <f t="shared" si="15"/>
        <v/>
      </c>
      <c r="BC21" s="37"/>
      <c r="BD21" s="174" t="str">
        <f t="shared" si="16"/>
        <v/>
      </c>
      <c r="BE21" s="37"/>
      <c r="BF21" s="174" t="str">
        <f t="shared" si="17"/>
        <v/>
      </c>
      <c r="BG21" s="37"/>
      <c r="BH21" s="174" t="str">
        <f t="shared" si="18"/>
        <v/>
      </c>
      <c r="BI21" s="37"/>
      <c r="BJ21" s="174" t="str">
        <f t="shared" si="19"/>
        <v/>
      </c>
      <c r="BK21" s="37"/>
      <c r="BL21" s="174" t="str">
        <f t="shared" si="20"/>
        <v/>
      </c>
      <c r="BM21" s="37"/>
      <c r="BN21" s="174" t="str">
        <f t="shared" si="21"/>
        <v/>
      </c>
      <c r="BO21" s="37"/>
      <c r="BP21" s="174" t="str">
        <f t="shared" si="22"/>
        <v/>
      </c>
      <c r="BQ21" s="37"/>
      <c r="BR21" s="174" t="str">
        <f t="shared" si="23"/>
        <v/>
      </c>
      <c r="BS21" s="37"/>
      <c r="BT21" s="174" t="str">
        <f t="shared" si="24"/>
        <v/>
      </c>
      <c r="BU21" s="37"/>
      <c r="BV21" s="174" t="str">
        <f t="shared" si="25"/>
        <v/>
      </c>
      <c r="BW21" s="37"/>
      <c r="BX21" s="174" t="str">
        <f t="shared" si="26"/>
        <v/>
      </c>
      <c r="BY21" s="37"/>
      <c r="BZ21" s="174" t="str">
        <f t="shared" si="27"/>
        <v/>
      </c>
      <c r="CA21" s="37"/>
      <c r="CB21" s="174" t="str">
        <f t="shared" si="28"/>
        <v/>
      </c>
      <c r="CC21" s="37"/>
      <c r="CD21" s="174" t="str">
        <f t="shared" si="29"/>
        <v/>
      </c>
      <c r="CE21" s="37"/>
      <c r="CF21" s="174" t="str">
        <f t="shared" si="30"/>
        <v/>
      </c>
      <c r="CG21" s="37"/>
      <c r="CH21" s="174" t="str">
        <f t="shared" si="31"/>
        <v/>
      </c>
      <c r="CI21" s="37"/>
      <c r="CJ21" s="174" t="str">
        <f t="shared" si="32"/>
        <v/>
      </c>
      <c r="CK21" s="37"/>
      <c r="CL21" s="174" t="str">
        <f t="shared" si="33"/>
        <v/>
      </c>
      <c r="CM21" s="37"/>
      <c r="CN21" s="174" t="str">
        <f t="shared" si="34"/>
        <v/>
      </c>
      <c r="CO21" s="37"/>
      <c r="CP21" s="174" t="str">
        <f t="shared" si="35"/>
        <v/>
      </c>
      <c r="CQ21" s="37"/>
      <c r="CR21" s="174" t="str">
        <f t="shared" si="36"/>
        <v/>
      </c>
      <c r="CS21" s="37"/>
      <c r="CT21" s="174" t="str">
        <f t="shared" si="37"/>
        <v/>
      </c>
      <c r="CU21" s="38"/>
      <c r="CV21" s="87"/>
      <c r="CW21" s="90"/>
      <c r="CX21" s="38"/>
      <c r="CY21" s="39"/>
      <c r="CZ21" s="37"/>
      <c r="DA21" s="39"/>
      <c r="DB21" s="24">
        <v>17</v>
      </c>
      <c r="DC21" s="96" t="str">
        <f t="shared" si="38"/>
        <v>金</v>
      </c>
      <c r="DF21" s="125"/>
      <c r="DG21" s="40"/>
      <c r="DH21" s="40"/>
      <c r="DI21" s="40"/>
      <c r="DJ21" s="40"/>
      <c r="DK21" s="40"/>
      <c r="DL21" s="40"/>
      <c r="DM21" s="40"/>
      <c r="DN21" s="40"/>
      <c r="DO21" s="40"/>
      <c r="DP21" s="40">
        <f t="shared" si="39"/>
        <v>0</v>
      </c>
      <c r="DQ21" s="172" t="str">
        <f t="shared" si="40"/>
        <v/>
      </c>
      <c r="DS21" s="189"/>
      <c r="DT21" s="190"/>
      <c r="DU21" s="190"/>
      <c r="DV21" s="191"/>
      <c r="DW21" s="41"/>
      <c r="DX21" s="42"/>
    </row>
    <row r="22" spans="1:128" ht="13.5" customHeight="1" x14ac:dyDescent="0.4">
      <c r="A22" s="104">
        <v>18</v>
      </c>
      <c r="B22" s="23" t="s">
        <v>88</v>
      </c>
      <c r="C22" s="164"/>
      <c r="D22" s="164"/>
      <c r="E22" s="24"/>
      <c r="F22" s="29"/>
      <c r="G22" s="25">
        <f>IF(SUM($F$5:F22)=0,"",SUM($F$5:F22))</f>
        <v>3159430</v>
      </c>
      <c r="H22" s="43">
        <f t="shared" si="0"/>
        <v>0.78677511180572313</v>
      </c>
      <c r="I22" s="148">
        <f t="array" aca="1" ref="I22" ca="1">IF($A23="",$G22/($V22-$U$5+INDIRECT(IF(_xlfn.SHEET()&lt;6,"令和8年"&amp;_xlfn.SHEET()+7&amp;"月","令和9年"&amp;_xlfn.SHEET()-5&amp;"月")&amp;"!$U$5")),$G22/($V23-$U$5))</f>
        <v>0.71342973447722469</v>
      </c>
      <c r="J22" s="26">
        <f t="shared" si="1"/>
        <v>0.59054766355140187</v>
      </c>
      <c r="K22" s="27"/>
      <c r="L22" s="165">
        <f t="shared" si="2"/>
        <v>0</v>
      </c>
      <c r="M22" s="28" t="str">
        <f t="shared" si="3"/>
        <v/>
      </c>
      <c r="N22" s="166" t="str">
        <f t="shared" si="4"/>
        <v/>
      </c>
      <c r="O22" s="167" t="str">
        <f t="shared" si="5"/>
        <v/>
      </c>
      <c r="P22" s="168"/>
      <c r="Q22" s="169" t="str">
        <f t="shared" si="6"/>
        <v/>
      </c>
      <c r="R22" s="170">
        <v>34</v>
      </c>
      <c r="S22" s="171">
        <v>26</v>
      </c>
      <c r="T22" s="24" t="s">
        <v>94</v>
      </c>
      <c r="U22" s="29">
        <v>214226</v>
      </c>
      <c r="V22" s="30">
        <f t="shared" si="41"/>
        <v>4015671</v>
      </c>
      <c r="W22" s="27">
        <v>78</v>
      </c>
      <c r="X22" s="31">
        <f t="shared" si="7"/>
        <v>2746.4871794871797</v>
      </c>
      <c r="Y22" s="29">
        <v>282999</v>
      </c>
      <c r="Z22" s="32">
        <f t="shared" si="42"/>
        <v>6579585</v>
      </c>
      <c r="AA22" s="33">
        <f t="shared" si="8"/>
        <v>0.61032283951039468</v>
      </c>
      <c r="AB22" s="158">
        <v>550000</v>
      </c>
      <c r="AC22" s="34">
        <f t="shared" si="43"/>
        <v>5350000</v>
      </c>
      <c r="AD22" s="158"/>
      <c r="AE22" s="25"/>
      <c r="AF22" s="25"/>
      <c r="AG22" s="25"/>
      <c r="AH22" s="25"/>
      <c r="AI22" s="25"/>
      <c r="AJ22" s="25"/>
      <c r="AK22" s="25"/>
      <c r="AL22" s="158"/>
      <c r="AM22" s="25"/>
      <c r="AN22" s="158"/>
      <c r="AO22" s="25"/>
      <c r="AP22" s="25"/>
      <c r="AQ22" s="158"/>
      <c r="AR22" s="35">
        <f t="shared" si="9"/>
        <v>0</v>
      </c>
      <c r="AS22" s="172" t="str">
        <f t="shared" si="10"/>
        <v/>
      </c>
      <c r="AT22" s="36">
        <f t="shared" si="11"/>
        <v>0</v>
      </c>
      <c r="AU22" s="173"/>
      <c r="AV22" s="82">
        <f t="shared" si="12"/>
        <v>18</v>
      </c>
      <c r="AW22" s="37"/>
      <c r="AX22" s="174" t="str">
        <f t="shared" si="13"/>
        <v/>
      </c>
      <c r="AY22" s="37"/>
      <c r="AZ22" s="174" t="str">
        <f t="shared" si="14"/>
        <v/>
      </c>
      <c r="BA22" s="37"/>
      <c r="BB22" s="174" t="str">
        <f t="shared" si="15"/>
        <v/>
      </c>
      <c r="BC22" s="37"/>
      <c r="BD22" s="174" t="str">
        <f t="shared" si="16"/>
        <v/>
      </c>
      <c r="BE22" s="37"/>
      <c r="BF22" s="174" t="str">
        <f t="shared" si="17"/>
        <v/>
      </c>
      <c r="BG22" s="37"/>
      <c r="BH22" s="174" t="str">
        <f t="shared" si="18"/>
        <v/>
      </c>
      <c r="BI22" s="37"/>
      <c r="BJ22" s="174" t="str">
        <f t="shared" si="19"/>
        <v/>
      </c>
      <c r="BK22" s="37"/>
      <c r="BL22" s="174" t="str">
        <f t="shared" si="20"/>
        <v/>
      </c>
      <c r="BM22" s="37"/>
      <c r="BN22" s="174" t="str">
        <f t="shared" si="21"/>
        <v/>
      </c>
      <c r="BO22" s="37"/>
      <c r="BP22" s="174" t="str">
        <f t="shared" si="22"/>
        <v/>
      </c>
      <c r="BQ22" s="37"/>
      <c r="BR22" s="174" t="str">
        <f t="shared" si="23"/>
        <v/>
      </c>
      <c r="BS22" s="37"/>
      <c r="BT22" s="174" t="str">
        <f t="shared" si="24"/>
        <v/>
      </c>
      <c r="BU22" s="37"/>
      <c r="BV22" s="174" t="str">
        <f t="shared" si="25"/>
        <v/>
      </c>
      <c r="BW22" s="37"/>
      <c r="BX22" s="174" t="str">
        <f t="shared" si="26"/>
        <v/>
      </c>
      <c r="BY22" s="37"/>
      <c r="BZ22" s="174" t="str">
        <f t="shared" si="27"/>
        <v/>
      </c>
      <c r="CA22" s="37"/>
      <c r="CB22" s="174" t="str">
        <f t="shared" si="28"/>
        <v/>
      </c>
      <c r="CC22" s="37"/>
      <c r="CD22" s="174" t="str">
        <f t="shared" si="29"/>
        <v/>
      </c>
      <c r="CE22" s="37"/>
      <c r="CF22" s="174" t="str">
        <f t="shared" si="30"/>
        <v/>
      </c>
      <c r="CG22" s="37"/>
      <c r="CH22" s="174" t="str">
        <f t="shared" si="31"/>
        <v/>
      </c>
      <c r="CI22" s="37"/>
      <c r="CJ22" s="174" t="str">
        <f t="shared" si="32"/>
        <v/>
      </c>
      <c r="CK22" s="37"/>
      <c r="CL22" s="174" t="str">
        <f t="shared" si="33"/>
        <v/>
      </c>
      <c r="CM22" s="37"/>
      <c r="CN22" s="174" t="str">
        <f t="shared" si="34"/>
        <v/>
      </c>
      <c r="CO22" s="37"/>
      <c r="CP22" s="174" t="str">
        <f t="shared" si="35"/>
        <v/>
      </c>
      <c r="CQ22" s="37"/>
      <c r="CR22" s="174" t="str">
        <f t="shared" si="36"/>
        <v/>
      </c>
      <c r="CS22" s="37"/>
      <c r="CT22" s="174" t="str">
        <f t="shared" si="37"/>
        <v/>
      </c>
      <c r="CU22" s="38"/>
      <c r="CV22" s="87"/>
      <c r="CW22" s="90"/>
      <c r="CX22" s="38"/>
      <c r="CY22" s="39"/>
      <c r="CZ22" s="37"/>
      <c r="DA22" s="39"/>
      <c r="DB22" s="24">
        <v>18</v>
      </c>
      <c r="DC22" s="96" t="str">
        <f t="shared" si="38"/>
        <v>土</v>
      </c>
      <c r="DF22" s="125"/>
      <c r="DG22" s="40"/>
      <c r="DH22" s="40"/>
      <c r="DI22" s="40"/>
      <c r="DJ22" s="40"/>
      <c r="DK22" s="40"/>
      <c r="DL22" s="40"/>
      <c r="DM22" s="40"/>
      <c r="DN22" s="40"/>
      <c r="DO22" s="40"/>
      <c r="DP22" s="40">
        <f t="shared" si="39"/>
        <v>0</v>
      </c>
      <c r="DQ22" s="172" t="str">
        <f t="shared" si="40"/>
        <v/>
      </c>
      <c r="DS22" s="189"/>
      <c r="DT22" s="190"/>
      <c r="DU22" s="190"/>
      <c r="DV22" s="191"/>
      <c r="DW22" s="138"/>
      <c r="DX22" s="42"/>
    </row>
    <row r="23" spans="1:128" ht="13.5" customHeight="1" x14ac:dyDescent="0.4">
      <c r="A23" s="104">
        <v>19</v>
      </c>
      <c r="B23" s="23" t="s">
        <v>89</v>
      </c>
      <c r="C23" s="164"/>
      <c r="D23" s="164"/>
      <c r="E23" s="24"/>
      <c r="F23" s="29"/>
      <c r="G23" s="25">
        <f>IF(SUM($F$5:F23)=0,"",SUM($F$5:F23))</f>
        <v>3159430</v>
      </c>
      <c r="H23" s="43">
        <f t="shared" si="0"/>
        <v>0.69617251975745909</v>
      </c>
      <c r="I23" s="148">
        <f t="array" aca="1" ref="I23" ca="1">IF($A24="",$G23/($V23-$U$5+INDIRECT(IF(_xlfn.SHEET()&lt;6,"令和8年"&amp;_xlfn.SHEET()+7&amp;"月","令和9年"&amp;_xlfn.SHEET()-5&amp;"月")&amp;"!$U$5")),$G23/($V24-$U$5))</f>
        <v>0.62482398934285133</v>
      </c>
      <c r="J23" s="26">
        <f t="shared" si="1"/>
        <v>0.53549661016949157</v>
      </c>
      <c r="K23" s="27"/>
      <c r="L23" s="165">
        <f t="shared" si="2"/>
        <v>0</v>
      </c>
      <c r="M23" s="28" t="str">
        <f t="shared" si="3"/>
        <v/>
      </c>
      <c r="N23" s="166" t="str">
        <f t="shared" si="4"/>
        <v/>
      </c>
      <c r="O23" s="167" t="str">
        <f t="shared" si="5"/>
        <v/>
      </c>
      <c r="P23" s="168"/>
      <c r="Q23" s="169" t="str">
        <f t="shared" si="6"/>
        <v/>
      </c>
      <c r="R23" s="170">
        <v>35</v>
      </c>
      <c r="S23" s="171">
        <v>26</v>
      </c>
      <c r="T23" s="24" t="s">
        <v>94</v>
      </c>
      <c r="U23" s="29">
        <v>522615</v>
      </c>
      <c r="V23" s="30">
        <f t="shared" si="41"/>
        <v>4538286</v>
      </c>
      <c r="W23" s="27">
        <v>258</v>
      </c>
      <c r="X23" s="31">
        <f t="shared" si="7"/>
        <v>2025.6395348837209</v>
      </c>
      <c r="Y23" s="29">
        <v>242441</v>
      </c>
      <c r="Z23" s="32">
        <f t="shared" si="42"/>
        <v>6822026</v>
      </c>
      <c r="AA23" s="33">
        <f t="shared" si="8"/>
        <v>0.66524020870046519</v>
      </c>
      <c r="AB23" s="158">
        <v>550000</v>
      </c>
      <c r="AC23" s="34">
        <f t="shared" si="43"/>
        <v>5900000</v>
      </c>
      <c r="AD23" s="158"/>
      <c r="AE23" s="25"/>
      <c r="AF23" s="25"/>
      <c r="AG23" s="25"/>
      <c r="AH23" s="25"/>
      <c r="AI23" s="25"/>
      <c r="AJ23" s="25"/>
      <c r="AK23" s="25"/>
      <c r="AL23" s="158"/>
      <c r="AM23" s="25"/>
      <c r="AN23" s="158"/>
      <c r="AO23" s="25"/>
      <c r="AP23" s="25"/>
      <c r="AQ23" s="158"/>
      <c r="AR23" s="35">
        <f t="shared" si="9"/>
        <v>0</v>
      </c>
      <c r="AS23" s="172" t="str">
        <f t="shared" si="10"/>
        <v/>
      </c>
      <c r="AT23" s="36">
        <f t="shared" si="11"/>
        <v>0</v>
      </c>
      <c r="AU23" s="173"/>
      <c r="AV23" s="82">
        <f t="shared" si="12"/>
        <v>19</v>
      </c>
      <c r="AW23" s="37"/>
      <c r="AX23" s="174" t="str">
        <f t="shared" si="13"/>
        <v/>
      </c>
      <c r="AY23" s="37"/>
      <c r="AZ23" s="174" t="str">
        <f t="shared" si="14"/>
        <v/>
      </c>
      <c r="BA23" s="37"/>
      <c r="BB23" s="174" t="str">
        <f t="shared" si="15"/>
        <v/>
      </c>
      <c r="BC23" s="37"/>
      <c r="BD23" s="174" t="str">
        <f t="shared" si="16"/>
        <v/>
      </c>
      <c r="BE23" s="37"/>
      <c r="BF23" s="174" t="str">
        <f t="shared" si="17"/>
        <v/>
      </c>
      <c r="BG23" s="37"/>
      <c r="BH23" s="174" t="str">
        <f t="shared" si="18"/>
        <v/>
      </c>
      <c r="BI23" s="37"/>
      <c r="BJ23" s="174" t="str">
        <f t="shared" si="19"/>
        <v/>
      </c>
      <c r="BK23" s="37"/>
      <c r="BL23" s="174" t="str">
        <f t="shared" si="20"/>
        <v/>
      </c>
      <c r="BM23" s="37"/>
      <c r="BN23" s="174" t="str">
        <f t="shared" si="21"/>
        <v/>
      </c>
      <c r="BO23" s="37"/>
      <c r="BP23" s="174" t="str">
        <f t="shared" si="22"/>
        <v/>
      </c>
      <c r="BQ23" s="37"/>
      <c r="BR23" s="174" t="str">
        <f t="shared" si="23"/>
        <v/>
      </c>
      <c r="BS23" s="37"/>
      <c r="BT23" s="174" t="str">
        <f t="shared" si="24"/>
        <v/>
      </c>
      <c r="BU23" s="37"/>
      <c r="BV23" s="174" t="str">
        <f t="shared" si="25"/>
        <v/>
      </c>
      <c r="BW23" s="37"/>
      <c r="BX23" s="174" t="str">
        <f t="shared" si="26"/>
        <v/>
      </c>
      <c r="BY23" s="37"/>
      <c r="BZ23" s="174" t="str">
        <f t="shared" si="27"/>
        <v/>
      </c>
      <c r="CA23" s="37"/>
      <c r="CB23" s="174" t="str">
        <f t="shared" si="28"/>
        <v/>
      </c>
      <c r="CC23" s="37"/>
      <c r="CD23" s="174" t="str">
        <f t="shared" si="29"/>
        <v/>
      </c>
      <c r="CE23" s="37"/>
      <c r="CF23" s="174" t="str">
        <f t="shared" si="30"/>
        <v/>
      </c>
      <c r="CG23" s="37"/>
      <c r="CH23" s="174" t="str">
        <f t="shared" si="31"/>
        <v/>
      </c>
      <c r="CI23" s="37"/>
      <c r="CJ23" s="174" t="str">
        <f t="shared" si="32"/>
        <v/>
      </c>
      <c r="CK23" s="37"/>
      <c r="CL23" s="174" t="str">
        <f t="shared" si="33"/>
        <v/>
      </c>
      <c r="CM23" s="37"/>
      <c r="CN23" s="174" t="str">
        <f t="shared" si="34"/>
        <v/>
      </c>
      <c r="CO23" s="37"/>
      <c r="CP23" s="174" t="str">
        <f t="shared" si="35"/>
        <v/>
      </c>
      <c r="CQ23" s="37"/>
      <c r="CR23" s="174" t="str">
        <f t="shared" si="36"/>
        <v/>
      </c>
      <c r="CS23" s="37"/>
      <c r="CT23" s="174" t="str">
        <f t="shared" si="37"/>
        <v/>
      </c>
      <c r="CU23" s="38"/>
      <c r="CV23" s="87"/>
      <c r="CW23" s="90"/>
      <c r="CX23" s="38"/>
      <c r="CY23" s="39"/>
      <c r="CZ23" s="37"/>
      <c r="DA23" s="39"/>
      <c r="DB23" s="24">
        <v>19</v>
      </c>
      <c r="DC23" s="96" t="str">
        <f t="shared" si="38"/>
        <v>日</v>
      </c>
      <c r="DF23" s="125"/>
      <c r="DG23" s="40"/>
      <c r="DH23" s="40"/>
      <c r="DI23" s="40"/>
      <c r="DJ23" s="40"/>
      <c r="DK23" s="40"/>
      <c r="DL23" s="40"/>
      <c r="DM23" s="40"/>
      <c r="DN23" s="40"/>
      <c r="DO23" s="40"/>
      <c r="DP23" s="40">
        <f t="shared" si="39"/>
        <v>0</v>
      </c>
      <c r="DQ23" s="172" t="str">
        <f t="shared" si="40"/>
        <v/>
      </c>
      <c r="DS23" s="189"/>
      <c r="DT23" s="190"/>
      <c r="DU23" s="190"/>
      <c r="DV23" s="191"/>
      <c r="DW23" s="41"/>
      <c r="DX23" s="42"/>
    </row>
    <row r="24" spans="1:128" ht="13.5" customHeight="1" x14ac:dyDescent="0.4">
      <c r="A24" s="104">
        <v>20</v>
      </c>
      <c r="B24" s="140" t="s">
        <v>90</v>
      </c>
      <c r="C24" s="164"/>
      <c r="D24" s="164"/>
      <c r="E24" s="24"/>
      <c r="F24" s="29"/>
      <c r="G24" s="25">
        <f>IF(SUM($F$5:F24)=0,"",SUM($F$5:F24))</f>
        <v>3159430</v>
      </c>
      <c r="H24" s="43">
        <f t="shared" si="0"/>
        <v>0.61154728277879922</v>
      </c>
      <c r="I24" s="148">
        <f t="array" aca="1" ref="I24" ca="1">IF($A25="",$G24/($V24-$U$5+INDIRECT(IF(_xlfn.SHEET()&lt;6,"令和8年"&amp;_xlfn.SHEET()+7&amp;"月","令和9年"&amp;_xlfn.SHEET()-5&amp;"月")&amp;"!$U$5")),$G24/($V25-$U$5))</f>
        <v>0.55489527886849788</v>
      </c>
      <c r="J24" s="26">
        <f t="shared" si="1"/>
        <v>0.49366093750000001</v>
      </c>
      <c r="K24" s="27"/>
      <c r="L24" s="165">
        <f t="shared" si="2"/>
        <v>0</v>
      </c>
      <c r="M24" s="28" t="str">
        <f t="shared" si="3"/>
        <v/>
      </c>
      <c r="N24" s="166" t="str">
        <f t="shared" si="4"/>
        <v/>
      </c>
      <c r="O24" s="167" t="str">
        <f t="shared" si="5"/>
        <v/>
      </c>
      <c r="P24" s="168"/>
      <c r="Q24" s="169" t="str">
        <f t="shared" si="6"/>
        <v/>
      </c>
      <c r="R24" s="170">
        <v>36</v>
      </c>
      <c r="S24" s="171">
        <v>26</v>
      </c>
      <c r="T24" s="24" t="s">
        <v>84</v>
      </c>
      <c r="U24" s="29">
        <v>628003</v>
      </c>
      <c r="V24" s="30">
        <f t="shared" si="41"/>
        <v>5166289</v>
      </c>
      <c r="W24" s="27">
        <v>343</v>
      </c>
      <c r="X24" s="31">
        <f t="shared" si="7"/>
        <v>1830.9125364431486</v>
      </c>
      <c r="Y24" s="29">
        <v>515255</v>
      </c>
      <c r="Z24" s="32">
        <f t="shared" si="42"/>
        <v>7337281</v>
      </c>
      <c r="AA24" s="33">
        <f t="shared" si="8"/>
        <v>0.70411491668371429</v>
      </c>
      <c r="AB24" s="158">
        <v>500000</v>
      </c>
      <c r="AC24" s="34">
        <f t="shared" si="43"/>
        <v>6400000</v>
      </c>
      <c r="AD24" s="158"/>
      <c r="AE24" s="25"/>
      <c r="AF24" s="25"/>
      <c r="AG24" s="25"/>
      <c r="AH24" s="25"/>
      <c r="AI24" s="25"/>
      <c r="AJ24" s="25"/>
      <c r="AK24" s="25"/>
      <c r="AL24" s="158"/>
      <c r="AM24" s="25"/>
      <c r="AN24" s="158"/>
      <c r="AO24" s="25"/>
      <c r="AP24" s="25"/>
      <c r="AQ24" s="158"/>
      <c r="AR24" s="35">
        <f t="shared" si="9"/>
        <v>0</v>
      </c>
      <c r="AS24" s="172" t="str">
        <f t="shared" si="10"/>
        <v/>
      </c>
      <c r="AT24" s="36">
        <f t="shared" si="11"/>
        <v>0</v>
      </c>
      <c r="AU24" s="173"/>
      <c r="AV24" s="82">
        <f t="shared" si="12"/>
        <v>20</v>
      </c>
      <c r="AW24" s="37"/>
      <c r="AX24" s="174" t="str">
        <f t="shared" si="13"/>
        <v/>
      </c>
      <c r="AY24" s="37"/>
      <c r="AZ24" s="174" t="str">
        <f t="shared" si="14"/>
        <v/>
      </c>
      <c r="BA24" s="37"/>
      <c r="BB24" s="174" t="str">
        <f t="shared" si="15"/>
        <v/>
      </c>
      <c r="BC24" s="37"/>
      <c r="BD24" s="174" t="str">
        <f t="shared" si="16"/>
        <v/>
      </c>
      <c r="BE24" s="37"/>
      <c r="BF24" s="174" t="str">
        <f t="shared" si="17"/>
        <v/>
      </c>
      <c r="BG24" s="37"/>
      <c r="BH24" s="174" t="str">
        <f t="shared" si="18"/>
        <v/>
      </c>
      <c r="BI24" s="37"/>
      <c r="BJ24" s="174" t="str">
        <f t="shared" si="19"/>
        <v/>
      </c>
      <c r="BK24" s="37"/>
      <c r="BL24" s="174" t="str">
        <f t="shared" si="20"/>
        <v/>
      </c>
      <c r="BM24" s="37"/>
      <c r="BN24" s="174" t="str">
        <f t="shared" si="21"/>
        <v/>
      </c>
      <c r="BO24" s="37"/>
      <c r="BP24" s="174" t="str">
        <f t="shared" si="22"/>
        <v/>
      </c>
      <c r="BQ24" s="37"/>
      <c r="BR24" s="174" t="str">
        <f t="shared" si="23"/>
        <v/>
      </c>
      <c r="BS24" s="37"/>
      <c r="BT24" s="174" t="str">
        <f t="shared" si="24"/>
        <v/>
      </c>
      <c r="BU24" s="37"/>
      <c r="BV24" s="174" t="str">
        <f t="shared" si="25"/>
        <v/>
      </c>
      <c r="BW24" s="37"/>
      <c r="BX24" s="174" t="str">
        <f t="shared" si="26"/>
        <v/>
      </c>
      <c r="BY24" s="37"/>
      <c r="BZ24" s="174" t="str">
        <f t="shared" si="27"/>
        <v/>
      </c>
      <c r="CA24" s="37"/>
      <c r="CB24" s="174" t="str">
        <f t="shared" si="28"/>
        <v/>
      </c>
      <c r="CC24" s="37"/>
      <c r="CD24" s="174" t="str">
        <f t="shared" si="29"/>
        <v/>
      </c>
      <c r="CE24" s="37"/>
      <c r="CF24" s="174" t="str">
        <f t="shared" si="30"/>
        <v/>
      </c>
      <c r="CG24" s="37"/>
      <c r="CH24" s="174" t="str">
        <f t="shared" si="31"/>
        <v/>
      </c>
      <c r="CI24" s="37"/>
      <c r="CJ24" s="174" t="str">
        <f t="shared" si="32"/>
        <v/>
      </c>
      <c r="CK24" s="37"/>
      <c r="CL24" s="174" t="str">
        <f t="shared" si="33"/>
        <v/>
      </c>
      <c r="CM24" s="37"/>
      <c r="CN24" s="174" t="str">
        <f t="shared" si="34"/>
        <v/>
      </c>
      <c r="CO24" s="37"/>
      <c r="CP24" s="174" t="str">
        <f t="shared" si="35"/>
        <v/>
      </c>
      <c r="CQ24" s="37"/>
      <c r="CR24" s="174" t="str">
        <f t="shared" si="36"/>
        <v/>
      </c>
      <c r="CS24" s="37"/>
      <c r="CT24" s="174" t="str">
        <f t="shared" si="37"/>
        <v/>
      </c>
      <c r="CU24" s="38"/>
      <c r="CV24" s="87"/>
      <c r="CW24" s="90"/>
      <c r="CX24" s="38"/>
      <c r="CY24" s="39"/>
      <c r="CZ24" s="37"/>
      <c r="DA24" s="39"/>
      <c r="DB24" s="24">
        <v>20</v>
      </c>
      <c r="DC24" s="96" t="str">
        <f t="shared" si="38"/>
        <v>月</v>
      </c>
      <c r="DF24" s="125"/>
      <c r="DG24" s="40"/>
      <c r="DH24" s="40"/>
      <c r="DI24" s="40"/>
      <c r="DJ24" s="40"/>
      <c r="DK24" s="40"/>
      <c r="DL24" s="40"/>
      <c r="DM24" s="40"/>
      <c r="DN24" s="40"/>
      <c r="DO24" s="40"/>
      <c r="DP24" s="40">
        <f t="shared" si="39"/>
        <v>0</v>
      </c>
      <c r="DQ24" s="172" t="str">
        <f t="shared" si="40"/>
        <v/>
      </c>
      <c r="DS24" s="189"/>
      <c r="DT24" s="190"/>
      <c r="DU24" s="190"/>
      <c r="DV24" s="191"/>
      <c r="DW24" s="41"/>
      <c r="DX24" s="42"/>
    </row>
    <row r="25" spans="1:128" ht="13.5" customHeight="1" x14ac:dyDescent="0.4">
      <c r="A25" s="104">
        <v>21</v>
      </c>
      <c r="B25" s="23" t="s">
        <v>91</v>
      </c>
      <c r="C25" s="164"/>
      <c r="D25" s="164"/>
      <c r="E25" s="24"/>
      <c r="F25" s="29"/>
      <c r="G25" s="25">
        <f>IF(SUM($F$5:F25)=0,"",SUM($F$5:F25))</f>
        <v>3159430</v>
      </c>
      <c r="H25" s="43">
        <f t="shared" si="0"/>
        <v>0.54439910412959869</v>
      </c>
      <c r="I25" s="148">
        <f t="array" aca="1" ref="I25" ca="1">IF($A26="",$G25/($V25-$U$5+INDIRECT(IF(_xlfn.SHEET()&lt;6,"令和8年"&amp;_xlfn.SHEET()+7&amp;"月","令和9年"&amp;_xlfn.SHEET()-5&amp;"月")&amp;"!$U$5")),$G25/($V26-$U$5))</f>
        <v>0.53572025067413731</v>
      </c>
      <c r="J25" s="26">
        <f t="shared" si="1"/>
        <v>0.47870151515151516</v>
      </c>
      <c r="K25" s="27"/>
      <c r="L25" s="165">
        <f t="shared" si="2"/>
        <v>0</v>
      </c>
      <c r="M25" s="28" t="str">
        <f t="shared" si="3"/>
        <v/>
      </c>
      <c r="N25" s="166" t="str">
        <f t="shared" si="4"/>
        <v/>
      </c>
      <c r="O25" s="167" t="str">
        <f t="shared" si="5"/>
        <v/>
      </c>
      <c r="P25" s="168"/>
      <c r="Q25" s="169" t="str">
        <f t="shared" si="6"/>
        <v/>
      </c>
      <c r="R25" s="170">
        <v>36</v>
      </c>
      <c r="S25" s="171">
        <v>28</v>
      </c>
      <c r="T25" s="24" t="s">
        <v>84</v>
      </c>
      <c r="U25" s="29">
        <v>637229</v>
      </c>
      <c r="V25" s="30">
        <f t="shared" si="41"/>
        <v>5803518</v>
      </c>
      <c r="W25" s="27">
        <v>305</v>
      </c>
      <c r="X25" s="31">
        <f t="shared" si="7"/>
        <v>2089.2754098360656</v>
      </c>
      <c r="Y25" s="29">
        <v>721646</v>
      </c>
      <c r="Z25" s="32">
        <f t="shared" si="42"/>
        <v>8058927</v>
      </c>
      <c r="AA25" s="33">
        <f t="shared" si="8"/>
        <v>0.72013532322603246</v>
      </c>
      <c r="AB25" s="158">
        <v>200000</v>
      </c>
      <c r="AC25" s="34">
        <f t="shared" si="43"/>
        <v>6600000</v>
      </c>
      <c r="AD25" s="158"/>
      <c r="AE25" s="25"/>
      <c r="AF25" s="25"/>
      <c r="AG25" s="25"/>
      <c r="AH25" s="25"/>
      <c r="AI25" s="25"/>
      <c r="AJ25" s="25"/>
      <c r="AK25" s="25"/>
      <c r="AL25" s="158"/>
      <c r="AM25" s="25"/>
      <c r="AN25" s="158"/>
      <c r="AO25" s="25"/>
      <c r="AP25" s="25"/>
      <c r="AQ25" s="158"/>
      <c r="AR25" s="35">
        <f t="shared" si="9"/>
        <v>0</v>
      </c>
      <c r="AS25" s="172" t="str">
        <f t="shared" si="10"/>
        <v/>
      </c>
      <c r="AT25" s="36">
        <f t="shared" si="11"/>
        <v>0</v>
      </c>
      <c r="AU25" s="173"/>
      <c r="AV25" s="82">
        <f t="shared" si="12"/>
        <v>21</v>
      </c>
      <c r="AW25" s="37"/>
      <c r="AX25" s="174" t="str">
        <f t="shared" si="13"/>
        <v/>
      </c>
      <c r="AY25" s="37"/>
      <c r="AZ25" s="174" t="str">
        <f t="shared" si="14"/>
        <v/>
      </c>
      <c r="BA25" s="37"/>
      <c r="BB25" s="174" t="str">
        <f t="shared" si="15"/>
        <v/>
      </c>
      <c r="BC25" s="37"/>
      <c r="BD25" s="174" t="str">
        <f t="shared" si="16"/>
        <v/>
      </c>
      <c r="BE25" s="37"/>
      <c r="BF25" s="174" t="str">
        <f t="shared" si="17"/>
        <v/>
      </c>
      <c r="BG25" s="37"/>
      <c r="BH25" s="174" t="str">
        <f t="shared" si="18"/>
        <v/>
      </c>
      <c r="BI25" s="37"/>
      <c r="BJ25" s="174" t="str">
        <f t="shared" si="19"/>
        <v/>
      </c>
      <c r="BK25" s="37"/>
      <c r="BL25" s="174" t="str">
        <f t="shared" si="20"/>
        <v/>
      </c>
      <c r="BM25" s="37"/>
      <c r="BN25" s="174" t="str">
        <f t="shared" si="21"/>
        <v/>
      </c>
      <c r="BO25" s="37"/>
      <c r="BP25" s="174" t="str">
        <f t="shared" si="22"/>
        <v/>
      </c>
      <c r="BQ25" s="37"/>
      <c r="BR25" s="174" t="str">
        <f t="shared" si="23"/>
        <v/>
      </c>
      <c r="BS25" s="37"/>
      <c r="BT25" s="174" t="str">
        <f t="shared" si="24"/>
        <v/>
      </c>
      <c r="BU25" s="37"/>
      <c r="BV25" s="174" t="str">
        <f t="shared" si="25"/>
        <v/>
      </c>
      <c r="BW25" s="37"/>
      <c r="BX25" s="174" t="str">
        <f t="shared" si="26"/>
        <v/>
      </c>
      <c r="BY25" s="37"/>
      <c r="BZ25" s="174" t="str">
        <f t="shared" si="27"/>
        <v/>
      </c>
      <c r="CA25" s="37"/>
      <c r="CB25" s="174" t="str">
        <f t="shared" si="28"/>
        <v/>
      </c>
      <c r="CC25" s="37"/>
      <c r="CD25" s="174" t="str">
        <f t="shared" si="29"/>
        <v/>
      </c>
      <c r="CE25" s="37"/>
      <c r="CF25" s="174" t="str">
        <f t="shared" si="30"/>
        <v/>
      </c>
      <c r="CG25" s="37"/>
      <c r="CH25" s="174" t="str">
        <f t="shared" si="31"/>
        <v/>
      </c>
      <c r="CI25" s="37"/>
      <c r="CJ25" s="174" t="str">
        <f t="shared" si="32"/>
        <v/>
      </c>
      <c r="CK25" s="37"/>
      <c r="CL25" s="174" t="str">
        <f t="shared" si="33"/>
        <v/>
      </c>
      <c r="CM25" s="37"/>
      <c r="CN25" s="174" t="str">
        <f t="shared" si="34"/>
        <v/>
      </c>
      <c r="CO25" s="37"/>
      <c r="CP25" s="174" t="str">
        <f t="shared" si="35"/>
        <v/>
      </c>
      <c r="CQ25" s="37"/>
      <c r="CR25" s="174" t="str">
        <f t="shared" si="36"/>
        <v/>
      </c>
      <c r="CS25" s="37"/>
      <c r="CT25" s="174" t="str">
        <f t="shared" si="37"/>
        <v/>
      </c>
      <c r="CU25" s="38"/>
      <c r="CV25" s="87"/>
      <c r="CW25" s="90"/>
      <c r="CX25" s="38"/>
      <c r="CY25" s="39"/>
      <c r="CZ25" s="37"/>
      <c r="DA25" s="39"/>
      <c r="DB25" s="24">
        <v>21</v>
      </c>
      <c r="DC25" s="96" t="str">
        <f t="shared" si="38"/>
        <v>火</v>
      </c>
      <c r="DF25" s="125"/>
      <c r="DG25" s="40"/>
      <c r="DH25" s="40"/>
      <c r="DI25" s="40"/>
      <c r="DJ25" s="40"/>
      <c r="DK25" s="40"/>
      <c r="DL25" s="40"/>
      <c r="DM25" s="40"/>
      <c r="DN25" s="40"/>
      <c r="DO25" s="40"/>
      <c r="DP25" s="40">
        <f t="shared" si="39"/>
        <v>0</v>
      </c>
      <c r="DQ25" s="172" t="str">
        <f t="shared" si="40"/>
        <v/>
      </c>
      <c r="DS25" s="189"/>
      <c r="DT25" s="190"/>
      <c r="DU25" s="190"/>
      <c r="DV25" s="191"/>
      <c r="DW25" s="138"/>
      <c r="DX25" s="42"/>
    </row>
    <row r="26" spans="1:128" ht="13.5" customHeight="1" x14ac:dyDescent="0.4">
      <c r="A26" s="104">
        <v>22</v>
      </c>
      <c r="B26" s="23" t="s">
        <v>83</v>
      </c>
      <c r="C26" s="164"/>
      <c r="D26" s="164"/>
      <c r="E26" s="24"/>
      <c r="F26" s="29"/>
      <c r="G26" s="25">
        <f>IF(SUM($F$5:F26)=0,"",SUM($F$5:F26))</f>
        <v>3159430</v>
      </c>
      <c r="H26" s="43">
        <f t="shared" si="0"/>
        <v>0.52593055731729688</v>
      </c>
      <c r="I26" s="148">
        <f t="array" aca="1" ref="I26" ca="1">IF($A27="",$G26/($V26-$U$5+INDIRECT(IF(_xlfn.SHEET()&lt;6,"令和8年"&amp;_xlfn.SHEET()+7&amp;"月","令和9年"&amp;_xlfn.SHEET()-5&amp;"月")&amp;"!$U$5")),$G26/($V27-$U$5))</f>
        <v>0.51532958010025298</v>
      </c>
      <c r="J26" s="26">
        <f t="shared" si="1"/>
        <v>0.46462205882352942</v>
      </c>
      <c r="K26" s="27"/>
      <c r="L26" s="165">
        <f t="shared" si="2"/>
        <v>0</v>
      </c>
      <c r="M26" s="28" t="str">
        <f t="shared" si="3"/>
        <v/>
      </c>
      <c r="N26" s="166" t="str">
        <f t="shared" si="4"/>
        <v/>
      </c>
      <c r="O26" s="167" t="str">
        <f t="shared" si="5"/>
        <v/>
      </c>
      <c r="P26" s="168"/>
      <c r="Q26" s="169" t="str">
        <f t="shared" si="6"/>
        <v/>
      </c>
      <c r="R26" s="170">
        <v>38</v>
      </c>
      <c r="S26" s="171">
        <v>27</v>
      </c>
      <c r="T26" s="24" t="s">
        <v>84</v>
      </c>
      <c r="U26" s="29">
        <v>203796</v>
      </c>
      <c r="V26" s="30">
        <f t="shared" si="41"/>
        <v>6007314</v>
      </c>
      <c r="W26" s="27">
        <v>107</v>
      </c>
      <c r="X26" s="31">
        <f t="shared" si="7"/>
        <v>1904.6355140186915</v>
      </c>
      <c r="Y26" s="29">
        <v>267307</v>
      </c>
      <c r="Z26" s="32">
        <f t="shared" si="42"/>
        <v>8326234</v>
      </c>
      <c r="AA26" s="33">
        <f t="shared" si="8"/>
        <v>0.72149233374896737</v>
      </c>
      <c r="AB26" s="158">
        <v>200000</v>
      </c>
      <c r="AC26" s="34">
        <f t="shared" si="43"/>
        <v>6800000</v>
      </c>
      <c r="AD26" s="158"/>
      <c r="AE26" s="25"/>
      <c r="AF26" s="25"/>
      <c r="AG26" s="25"/>
      <c r="AH26" s="25"/>
      <c r="AI26" s="25"/>
      <c r="AJ26" s="25"/>
      <c r="AK26" s="25"/>
      <c r="AL26" s="158"/>
      <c r="AM26" s="25"/>
      <c r="AN26" s="158"/>
      <c r="AO26" s="25"/>
      <c r="AP26" s="25"/>
      <c r="AQ26" s="158"/>
      <c r="AR26" s="35">
        <f t="shared" si="9"/>
        <v>0</v>
      </c>
      <c r="AS26" s="172" t="str">
        <f t="shared" si="10"/>
        <v/>
      </c>
      <c r="AT26" s="36">
        <f t="shared" si="11"/>
        <v>0</v>
      </c>
      <c r="AU26" s="173"/>
      <c r="AV26" s="82">
        <f t="shared" si="12"/>
        <v>22</v>
      </c>
      <c r="AW26" s="37"/>
      <c r="AX26" s="174" t="str">
        <f t="shared" si="13"/>
        <v/>
      </c>
      <c r="AY26" s="37"/>
      <c r="AZ26" s="174" t="str">
        <f t="shared" si="14"/>
        <v/>
      </c>
      <c r="BA26" s="37"/>
      <c r="BB26" s="174" t="str">
        <f t="shared" si="15"/>
        <v/>
      </c>
      <c r="BC26" s="37"/>
      <c r="BD26" s="174" t="str">
        <f t="shared" si="16"/>
        <v/>
      </c>
      <c r="BE26" s="37"/>
      <c r="BF26" s="174" t="str">
        <f t="shared" si="17"/>
        <v/>
      </c>
      <c r="BG26" s="37"/>
      <c r="BH26" s="174" t="str">
        <f t="shared" si="18"/>
        <v/>
      </c>
      <c r="BI26" s="37"/>
      <c r="BJ26" s="174" t="str">
        <f t="shared" si="19"/>
        <v/>
      </c>
      <c r="BK26" s="37"/>
      <c r="BL26" s="174" t="str">
        <f t="shared" si="20"/>
        <v/>
      </c>
      <c r="BM26" s="37"/>
      <c r="BN26" s="174" t="str">
        <f t="shared" si="21"/>
        <v/>
      </c>
      <c r="BO26" s="37"/>
      <c r="BP26" s="174" t="str">
        <f t="shared" si="22"/>
        <v/>
      </c>
      <c r="BQ26" s="37"/>
      <c r="BR26" s="174" t="str">
        <f t="shared" si="23"/>
        <v/>
      </c>
      <c r="BS26" s="37"/>
      <c r="BT26" s="174" t="str">
        <f t="shared" si="24"/>
        <v/>
      </c>
      <c r="BU26" s="37"/>
      <c r="BV26" s="174" t="str">
        <f t="shared" si="25"/>
        <v/>
      </c>
      <c r="BW26" s="37"/>
      <c r="BX26" s="174" t="str">
        <f t="shared" si="26"/>
        <v/>
      </c>
      <c r="BY26" s="37"/>
      <c r="BZ26" s="174" t="str">
        <f t="shared" si="27"/>
        <v/>
      </c>
      <c r="CA26" s="37"/>
      <c r="CB26" s="174" t="str">
        <f t="shared" si="28"/>
        <v/>
      </c>
      <c r="CC26" s="37"/>
      <c r="CD26" s="174" t="str">
        <f t="shared" si="29"/>
        <v/>
      </c>
      <c r="CE26" s="37"/>
      <c r="CF26" s="174" t="str">
        <f t="shared" si="30"/>
        <v/>
      </c>
      <c r="CG26" s="37"/>
      <c r="CH26" s="174" t="str">
        <f t="shared" si="31"/>
        <v/>
      </c>
      <c r="CI26" s="37"/>
      <c r="CJ26" s="174" t="str">
        <f t="shared" si="32"/>
        <v/>
      </c>
      <c r="CK26" s="37"/>
      <c r="CL26" s="174" t="str">
        <f t="shared" si="33"/>
        <v/>
      </c>
      <c r="CM26" s="37"/>
      <c r="CN26" s="174" t="str">
        <f t="shared" si="34"/>
        <v/>
      </c>
      <c r="CO26" s="37"/>
      <c r="CP26" s="174" t="str">
        <f t="shared" si="35"/>
        <v/>
      </c>
      <c r="CQ26" s="37"/>
      <c r="CR26" s="174" t="str">
        <f t="shared" si="36"/>
        <v/>
      </c>
      <c r="CS26" s="37"/>
      <c r="CT26" s="174" t="str">
        <f t="shared" si="37"/>
        <v/>
      </c>
      <c r="CU26" s="38"/>
      <c r="CV26" s="87"/>
      <c r="CW26" s="90"/>
      <c r="CX26" s="38"/>
      <c r="CY26" s="39"/>
      <c r="CZ26" s="37"/>
      <c r="DA26" s="39"/>
      <c r="DB26" s="24">
        <v>22</v>
      </c>
      <c r="DC26" s="96" t="str">
        <f t="shared" si="38"/>
        <v>水</v>
      </c>
      <c r="DF26" s="125"/>
      <c r="DG26" s="40"/>
      <c r="DH26" s="40"/>
      <c r="DI26" s="40"/>
      <c r="DJ26" s="40"/>
      <c r="DK26" s="40"/>
      <c r="DL26" s="40"/>
      <c r="DM26" s="40"/>
      <c r="DN26" s="40"/>
      <c r="DO26" s="40"/>
      <c r="DP26" s="40">
        <f t="shared" si="39"/>
        <v>0</v>
      </c>
      <c r="DQ26" s="172" t="str">
        <f t="shared" si="40"/>
        <v/>
      </c>
      <c r="DS26" s="189"/>
      <c r="DT26" s="190"/>
      <c r="DU26" s="190"/>
      <c r="DV26" s="191"/>
      <c r="DW26" s="41"/>
      <c r="DX26" s="42"/>
    </row>
    <row r="27" spans="1:128" ht="13.5" customHeight="1" x14ac:dyDescent="0.4">
      <c r="A27" s="104">
        <v>23</v>
      </c>
      <c r="B27" s="23" t="s">
        <v>85</v>
      </c>
      <c r="C27" s="164"/>
      <c r="D27" s="164"/>
      <c r="E27" s="24"/>
      <c r="F27" s="29"/>
      <c r="G27" s="25">
        <f>IF(SUM($F$5:F27)=0,"",SUM($F$5:F27))</f>
        <v>3159430</v>
      </c>
      <c r="H27" s="43">
        <f t="shared" si="0"/>
        <v>0.50626463284625411</v>
      </c>
      <c r="I27" s="148">
        <f t="array" aca="1" ref="I27" ca="1">IF($A28="",$G27/($V27-$U$5+INDIRECT(IF(_xlfn.SHEET()&lt;6,"令和8年"&amp;_xlfn.SHEET()+7&amp;"月","令和9年"&amp;_xlfn.SHEET()-5&amp;"月")&amp;"!$U$5")),$G27/($V28-$U$5))</f>
        <v>0.49985753072344807</v>
      </c>
      <c r="J27" s="26">
        <f t="shared" si="1"/>
        <v>0.45134714285714284</v>
      </c>
      <c r="K27" s="27"/>
      <c r="L27" s="165">
        <f t="shared" si="2"/>
        <v>0</v>
      </c>
      <c r="M27" s="28" t="str">
        <f t="shared" si="3"/>
        <v/>
      </c>
      <c r="N27" s="166" t="str">
        <f t="shared" si="4"/>
        <v/>
      </c>
      <c r="O27" s="167" t="str">
        <f t="shared" si="5"/>
        <v/>
      </c>
      <c r="P27" s="168"/>
      <c r="Q27" s="169" t="str">
        <f t="shared" si="6"/>
        <v/>
      </c>
      <c r="R27" s="170">
        <v>37</v>
      </c>
      <c r="S27" s="171">
        <v>26</v>
      </c>
      <c r="T27" s="24" t="s">
        <v>84</v>
      </c>
      <c r="U27" s="29">
        <v>233355</v>
      </c>
      <c r="V27" s="30">
        <f t="shared" si="41"/>
        <v>6240669</v>
      </c>
      <c r="W27" s="27">
        <v>125</v>
      </c>
      <c r="X27" s="31">
        <f t="shared" si="7"/>
        <v>1866.84</v>
      </c>
      <c r="Y27" s="29">
        <v>229913</v>
      </c>
      <c r="Z27" s="32">
        <f t="shared" si="42"/>
        <v>8556147</v>
      </c>
      <c r="AA27" s="33">
        <f t="shared" si="8"/>
        <v>0.72937842232023364</v>
      </c>
      <c r="AB27" s="158">
        <v>200000</v>
      </c>
      <c r="AC27" s="34">
        <f t="shared" si="43"/>
        <v>7000000</v>
      </c>
      <c r="AD27" s="158"/>
      <c r="AE27" s="25"/>
      <c r="AF27" s="25"/>
      <c r="AG27" s="25"/>
      <c r="AH27" s="25"/>
      <c r="AI27" s="25"/>
      <c r="AJ27" s="25"/>
      <c r="AK27" s="25"/>
      <c r="AL27" s="158"/>
      <c r="AM27" s="25"/>
      <c r="AN27" s="158"/>
      <c r="AO27" s="25"/>
      <c r="AP27" s="25"/>
      <c r="AQ27" s="158"/>
      <c r="AR27" s="35">
        <f t="shared" si="9"/>
        <v>0</v>
      </c>
      <c r="AS27" s="172" t="str">
        <f t="shared" si="10"/>
        <v/>
      </c>
      <c r="AT27" s="36">
        <f t="shared" si="11"/>
        <v>0</v>
      </c>
      <c r="AU27" s="173"/>
      <c r="AV27" s="82">
        <f t="shared" si="12"/>
        <v>23</v>
      </c>
      <c r="AW27" s="37"/>
      <c r="AX27" s="174" t="str">
        <f t="shared" si="13"/>
        <v/>
      </c>
      <c r="AY27" s="37"/>
      <c r="AZ27" s="174" t="str">
        <f t="shared" si="14"/>
        <v/>
      </c>
      <c r="BA27" s="37"/>
      <c r="BB27" s="174" t="str">
        <f t="shared" si="15"/>
        <v/>
      </c>
      <c r="BC27" s="37"/>
      <c r="BD27" s="174" t="str">
        <f t="shared" si="16"/>
        <v/>
      </c>
      <c r="BE27" s="37"/>
      <c r="BF27" s="174" t="str">
        <f t="shared" si="17"/>
        <v/>
      </c>
      <c r="BG27" s="37"/>
      <c r="BH27" s="174" t="str">
        <f t="shared" si="18"/>
        <v/>
      </c>
      <c r="BI27" s="37"/>
      <c r="BJ27" s="174" t="str">
        <f t="shared" si="19"/>
        <v/>
      </c>
      <c r="BK27" s="37"/>
      <c r="BL27" s="174" t="str">
        <f t="shared" si="20"/>
        <v/>
      </c>
      <c r="BM27" s="37"/>
      <c r="BN27" s="174" t="str">
        <f t="shared" si="21"/>
        <v/>
      </c>
      <c r="BO27" s="37"/>
      <c r="BP27" s="174" t="str">
        <f t="shared" si="22"/>
        <v/>
      </c>
      <c r="BQ27" s="37"/>
      <c r="BR27" s="174" t="str">
        <f t="shared" si="23"/>
        <v/>
      </c>
      <c r="BS27" s="37"/>
      <c r="BT27" s="174" t="str">
        <f t="shared" si="24"/>
        <v/>
      </c>
      <c r="BU27" s="37"/>
      <c r="BV27" s="174" t="str">
        <f t="shared" si="25"/>
        <v/>
      </c>
      <c r="BW27" s="37"/>
      <c r="BX27" s="174" t="str">
        <f t="shared" si="26"/>
        <v/>
      </c>
      <c r="BY27" s="37"/>
      <c r="BZ27" s="174" t="str">
        <f t="shared" si="27"/>
        <v/>
      </c>
      <c r="CA27" s="37"/>
      <c r="CB27" s="174" t="str">
        <f t="shared" si="28"/>
        <v/>
      </c>
      <c r="CC27" s="37"/>
      <c r="CD27" s="174" t="str">
        <f t="shared" si="29"/>
        <v/>
      </c>
      <c r="CE27" s="37"/>
      <c r="CF27" s="174" t="str">
        <f t="shared" si="30"/>
        <v/>
      </c>
      <c r="CG27" s="37"/>
      <c r="CH27" s="174" t="str">
        <f t="shared" si="31"/>
        <v/>
      </c>
      <c r="CI27" s="37"/>
      <c r="CJ27" s="174" t="str">
        <f t="shared" si="32"/>
        <v/>
      </c>
      <c r="CK27" s="37"/>
      <c r="CL27" s="174" t="str">
        <f t="shared" si="33"/>
        <v/>
      </c>
      <c r="CM27" s="37"/>
      <c r="CN27" s="174" t="str">
        <f t="shared" si="34"/>
        <v/>
      </c>
      <c r="CO27" s="37"/>
      <c r="CP27" s="174" t="str">
        <f t="shared" si="35"/>
        <v/>
      </c>
      <c r="CQ27" s="37"/>
      <c r="CR27" s="174" t="str">
        <f t="shared" si="36"/>
        <v/>
      </c>
      <c r="CS27" s="37"/>
      <c r="CT27" s="174" t="str">
        <f t="shared" si="37"/>
        <v/>
      </c>
      <c r="CU27" s="38"/>
      <c r="CV27" s="87"/>
      <c r="CW27" s="90"/>
      <c r="CX27" s="38"/>
      <c r="CY27" s="39"/>
      <c r="CZ27" s="37"/>
      <c r="DA27" s="39"/>
      <c r="DB27" s="24">
        <v>23</v>
      </c>
      <c r="DC27" s="96" t="str">
        <f t="shared" si="38"/>
        <v>木</v>
      </c>
      <c r="DF27" s="125"/>
      <c r="DG27" s="40"/>
      <c r="DH27" s="40"/>
      <c r="DI27" s="40"/>
      <c r="DJ27" s="40"/>
      <c r="DK27" s="40"/>
      <c r="DL27" s="40"/>
      <c r="DM27" s="40"/>
      <c r="DN27" s="40"/>
      <c r="DO27" s="40"/>
      <c r="DP27" s="40">
        <f t="shared" si="39"/>
        <v>0</v>
      </c>
      <c r="DQ27" s="172" t="str">
        <f t="shared" si="40"/>
        <v/>
      </c>
      <c r="DS27" s="189"/>
      <c r="DT27" s="190"/>
      <c r="DU27" s="190"/>
      <c r="DV27" s="191"/>
      <c r="DW27" s="41"/>
      <c r="DX27" s="42"/>
    </row>
    <row r="28" spans="1:128" ht="13.5" customHeight="1" x14ac:dyDescent="0.4">
      <c r="A28" s="104">
        <v>24</v>
      </c>
      <c r="B28" s="23" t="s">
        <v>86</v>
      </c>
      <c r="C28" s="164"/>
      <c r="D28" s="164"/>
      <c r="E28" s="24"/>
      <c r="F28" s="29"/>
      <c r="G28" s="25">
        <f>IF(SUM($F$5:F28)=0,"",SUM($F$5:F28))</f>
        <v>3159430</v>
      </c>
      <c r="H28" s="43">
        <f t="shared" si="0"/>
        <v>0.49132423016908022</v>
      </c>
      <c r="I28" s="148">
        <f t="array" aca="1" ref="I28" ca="1">IF($A29="",$G28/($V28-$U$5+INDIRECT(IF(_xlfn.SHEET()&lt;6,"令和8年"&amp;_xlfn.SHEET()+7&amp;"月","令和9年"&amp;_xlfn.SHEET()-5&amp;"月")&amp;"!$U$5")),$G28/($V29-$U$5))</f>
        <v>0.47624883365817555</v>
      </c>
      <c r="J28" s="26">
        <f t="shared" si="1"/>
        <v>0.4388097222222222</v>
      </c>
      <c r="K28" s="27"/>
      <c r="L28" s="165">
        <f t="shared" si="2"/>
        <v>0</v>
      </c>
      <c r="M28" s="28" t="str">
        <f t="shared" si="3"/>
        <v/>
      </c>
      <c r="N28" s="166" t="str">
        <f t="shared" si="4"/>
        <v/>
      </c>
      <c r="O28" s="167" t="str">
        <f t="shared" si="5"/>
        <v/>
      </c>
      <c r="P28" s="168"/>
      <c r="Q28" s="169" t="str">
        <f t="shared" si="6"/>
        <v/>
      </c>
      <c r="R28" s="170">
        <v>36</v>
      </c>
      <c r="S28" s="171">
        <v>26</v>
      </c>
      <c r="T28" s="24" t="s">
        <v>94</v>
      </c>
      <c r="U28" s="29">
        <v>189769</v>
      </c>
      <c r="V28" s="30">
        <f t="shared" si="41"/>
        <v>6430438</v>
      </c>
      <c r="W28" s="27">
        <v>112</v>
      </c>
      <c r="X28" s="31">
        <f t="shared" si="7"/>
        <v>1694.3660714285713</v>
      </c>
      <c r="Y28" s="29">
        <v>256566</v>
      </c>
      <c r="Z28" s="32">
        <f t="shared" si="42"/>
        <v>8812713</v>
      </c>
      <c r="AA28" s="33">
        <f t="shared" si="8"/>
        <v>0.72967745573922582</v>
      </c>
      <c r="AB28" s="158">
        <v>200000</v>
      </c>
      <c r="AC28" s="34">
        <f t="shared" si="43"/>
        <v>7200000</v>
      </c>
      <c r="AD28" s="158"/>
      <c r="AE28" s="25"/>
      <c r="AF28" s="25"/>
      <c r="AG28" s="25"/>
      <c r="AH28" s="25"/>
      <c r="AI28" s="25"/>
      <c r="AJ28" s="25"/>
      <c r="AK28" s="25"/>
      <c r="AL28" s="158"/>
      <c r="AM28" s="25"/>
      <c r="AN28" s="158"/>
      <c r="AO28" s="25"/>
      <c r="AP28" s="25"/>
      <c r="AQ28" s="158"/>
      <c r="AR28" s="35">
        <f t="shared" si="9"/>
        <v>0</v>
      </c>
      <c r="AS28" s="172" t="str">
        <f t="shared" si="10"/>
        <v/>
      </c>
      <c r="AT28" s="36">
        <f t="shared" si="11"/>
        <v>0</v>
      </c>
      <c r="AU28" s="173"/>
      <c r="AV28" s="82">
        <f t="shared" si="12"/>
        <v>24</v>
      </c>
      <c r="AW28" s="37"/>
      <c r="AX28" s="174" t="str">
        <f t="shared" si="13"/>
        <v/>
      </c>
      <c r="AY28" s="37"/>
      <c r="AZ28" s="174" t="str">
        <f t="shared" si="14"/>
        <v/>
      </c>
      <c r="BA28" s="37"/>
      <c r="BB28" s="174" t="str">
        <f t="shared" si="15"/>
        <v/>
      </c>
      <c r="BC28" s="37"/>
      <c r="BD28" s="174" t="str">
        <f t="shared" si="16"/>
        <v/>
      </c>
      <c r="BE28" s="37"/>
      <c r="BF28" s="174" t="str">
        <f t="shared" si="17"/>
        <v/>
      </c>
      <c r="BG28" s="37"/>
      <c r="BH28" s="174" t="str">
        <f t="shared" si="18"/>
        <v/>
      </c>
      <c r="BI28" s="37"/>
      <c r="BJ28" s="174" t="str">
        <f t="shared" si="19"/>
        <v/>
      </c>
      <c r="BK28" s="37"/>
      <c r="BL28" s="174" t="str">
        <f t="shared" si="20"/>
        <v/>
      </c>
      <c r="BM28" s="37"/>
      <c r="BN28" s="174" t="str">
        <f t="shared" si="21"/>
        <v/>
      </c>
      <c r="BO28" s="37"/>
      <c r="BP28" s="174" t="str">
        <f t="shared" si="22"/>
        <v/>
      </c>
      <c r="BQ28" s="37"/>
      <c r="BR28" s="174" t="str">
        <f t="shared" si="23"/>
        <v/>
      </c>
      <c r="BS28" s="37"/>
      <c r="BT28" s="174" t="str">
        <f t="shared" si="24"/>
        <v/>
      </c>
      <c r="BU28" s="37"/>
      <c r="BV28" s="174" t="str">
        <f t="shared" si="25"/>
        <v/>
      </c>
      <c r="BW28" s="37"/>
      <c r="BX28" s="174" t="str">
        <f t="shared" si="26"/>
        <v/>
      </c>
      <c r="BY28" s="37"/>
      <c r="BZ28" s="174" t="str">
        <f t="shared" si="27"/>
        <v/>
      </c>
      <c r="CA28" s="37"/>
      <c r="CB28" s="174" t="str">
        <f t="shared" si="28"/>
        <v/>
      </c>
      <c r="CC28" s="37"/>
      <c r="CD28" s="174" t="str">
        <f t="shared" si="29"/>
        <v/>
      </c>
      <c r="CE28" s="37"/>
      <c r="CF28" s="174" t="str">
        <f t="shared" si="30"/>
        <v/>
      </c>
      <c r="CG28" s="37"/>
      <c r="CH28" s="174" t="str">
        <f t="shared" si="31"/>
        <v/>
      </c>
      <c r="CI28" s="37"/>
      <c r="CJ28" s="174" t="str">
        <f t="shared" si="32"/>
        <v/>
      </c>
      <c r="CK28" s="37"/>
      <c r="CL28" s="174" t="str">
        <f t="shared" si="33"/>
        <v/>
      </c>
      <c r="CM28" s="37"/>
      <c r="CN28" s="174" t="str">
        <f t="shared" si="34"/>
        <v/>
      </c>
      <c r="CO28" s="37"/>
      <c r="CP28" s="174" t="str">
        <f t="shared" si="35"/>
        <v/>
      </c>
      <c r="CQ28" s="37"/>
      <c r="CR28" s="174" t="str">
        <f t="shared" si="36"/>
        <v/>
      </c>
      <c r="CS28" s="37"/>
      <c r="CT28" s="174" t="str">
        <f t="shared" si="37"/>
        <v/>
      </c>
      <c r="CU28" s="38"/>
      <c r="CV28" s="87"/>
      <c r="CW28" s="90"/>
      <c r="CX28" s="38"/>
      <c r="CY28" s="39"/>
      <c r="CZ28" s="37"/>
      <c r="DA28" s="39"/>
      <c r="DB28" s="24">
        <v>24</v>
      </c>
      <c r="DC28" s="96" t="str">
        <f t="shared" si="38"/>
        <v>金</v>
      </c>
      <c r="DF28" s="125"/>
      <c r="DG28" s="40"/>
      <c r="DH28" s="40"/>
      <c r="DI28" s="40"/>
      <c r="DJ28" s="40"/>
      <c r="DK28" s="40"/>
      <c r="DL28" s="40"/>
      <c r="DM28" s="40"/>
      <c r="DN28" s="40"/>
      <c r="DO28" s="40"/>
      <c r="DP28" s="40">
        <f t="shared" si="39"/>
        <v>0</v>
      </c>
      <c r="DQ28" s="172" t="str">
        <f t="shared" si="40"/>
        <v/>
      </c>
      <c r="DS28" s="189"/>
      <c r="DT28" s="190"/>
      <c r="DU28" s="190"/>
      <c r="DV28" s="191"/>
      <c r="DW28" s="138"/>
      <c r="DX28" s="42"/>
    </row>
    <row r="29" spans="1:128" ht="13.5" customHeight="1" x14ac:dyDescent="0.4">
      <c r="A29" s="104">
        <v>25</v>
      </c>
      <c r="B29" s="23" t="s">
        <v>88</v>
      </c>
      <c r="C29" s="164"/>
      <c r="D29" s="164"/>
      <c r="E29" s="24"/>
      <c r="F29" s="29"/>
      <c r="G29" s="25">
        <f>IF(SUM($F$5:F29)=0,"",SUM($F$5:F29))</f>
        <v>3159430</v>
      </c>
      <c r="H29" s="43">
        <f t="shared" si="0"/>
        <v>0.46849631667286251</v>
      </c>
      <c r="I29" s="148">
        <f t="array" aca="1" ref="I29" ca="1">IF($A30="",$G29/($V29-$U$5+INDIRECT(IF(_xlfn.SHEET()&lt;6,"令和8年"&amp;_xlfn.SHEET()+7&amp;"月","令和9年"&amp;_xlfn.SHEET()-5&amp;"月")&amp;"!$U$5")),$G29/($V30-$U$5))</f>
        <v>0.44333935738153585</v>
      </c>
      <c r="J29" s="26">
        <f t="shared" si="1"/>
        <v>0.40766838709677422</v>
      </c>
      <c r="K29" s="27"/>
      <c r="L29" s="165">
        <f t="shared" si="2"/>
        <v>0</v>
      </c>
      <c r="M29" s="28" t="str">
        <f t="shared" si="3"/>
        <v/>
      </c>
      <c r="N29" s="166" t="str">
        <f t="shared" si="4"/>
        <v/>
      </c>
      <c r="O29" s="167" t="str">
        <f t="shared" si="5"/>
        <v/>
      </c>
      <c r="P29" s="168"/>
      <c r="Q29" s="169" t="str">
        <f t="shared" si="6"/>
        <v/>
      </c>
      <c r="R29" s="170">
        <v>35</v>
      </c>
      <c r="S29" s="171">
        <v>25</v>
      </c>
      <c r="T29" s="24" t="s">
        <v>84</v>
      </c>
      <c r="U29" s="29">
        <v>313329</v>
      </c>
      <c r="V29" s="30">
        <f t="shared" si="41"/>
        <v>6743767</v>
      </c>
      <c r="W29" s="27">
        <v>164</v>
      </c>
      <c r="X29" s="31">
        <f t="shared" si="7"/>
        <v>1910.5426829268292</v>
      </c>
      <c r="Y29" s="29">
        <v>364519</v>
      </c>
      <c r="Z29" s="32">
        <f t="shared" si="42"/>
        <v>9177232</v>
      </c>
      <c r="AA29" s="33">
        <f t="shared" si="8"/>
        <v>0.73483671329219968</v>
      </c>
      <c r="AB29" s="158">
        <v>550000</v>
      </c>
      <c r="AC29" s="34">
        <f t="shared" si="43"/>
        <v>7750000</v>
      </c>
      <c r="AD29" s="158"/>
      <c r="AE29" s="25"/>
      <c r="AF29" s="25"/>
      <c r="AG29" s="25"/>
      <c r="AH29" s="25"/>
      <c r="AI29" s="25"/>
      <c r="AJ29" s="25"/>
      <c r="AK29" s="25"/>
      <c r="AL29" s="158"/>
      <c r="AM29" s="25"/>
      <c r="AN29" s="158"/>
      <c r="AO29" s="25"/>
      <c r="AP29" s="25"/>
      <c r="AQ29" s="158"/>
      <c r="AR29" s="35">
        <f t="shared" si="9"/>
        <v>0</v>
      </c>
      <c r="AS29" s="172" t="str">
        <f t="shared" si="10"/>
        <v/>
      </c>
      <c r="AT29" s="36">
        <f t="shared" si="11"/>
        <v>0</v>
      </c>
      <c r="AU29" s="173"/>
      <c r="AV29" s="82">
        <f t="shared" si="12"/>
        <v>25</v>
      </c>
      <c r="AW29" s="37"/>
      <c r="AX29" s="174" t="str">
        <f t="shared" si="13"/>
        <v/>
      </c>
      <c r="AY29" s="37"/>
      <c r="AZ29" s="174" t="str">
        <f t="shared" si="14"/>
        <v/>
      </c>
      <c r="BA29" s="37"/>
      <c r="BB29" s="174" t="str">
        <f t="shared" si="15"/>
        <v/>
      </c>
      <c r="BC29" s="37"/>
      <c r="BD29" s="174" t="str">
        <f t="shared" si="16"/>
        <v/>
      </c>
      <c r="BE29" s="37"/>
      <c r="BF29" s="174" t="str">
        <f t="shared" si="17"/>
        <v/>
      </c>
      <c r="BG29" s="37"/>
      <c r="BH29" s="174" t="str">
        <f t="shared" si="18"/>
        <v/>
      </c>
      <c r="BI29" s="37"/>
      <c r="BJ29" s="174" t="str">
        <f t="shared" si="19"/>
        <v/>
      </c>
      <c r="BK29" s="37"/>
      <c r="BL29" s="174" t="str">
        <f t="shared" si="20"/>
        <v/>
      </c>
      <c r="BM29" s="37"/>
      <c r="BN29" s="174" t="str">
        <f t="shared" si="21"/>
        <v/>
      </c>
      <c r="BO29" s="37"/>
      <c r="BP29" s="174" t="str">
        <f t="shared" si="22"/>
        <v/>
      </c>
      <c r="BQ29" s="37"/>
      <c r="BR29" s="174" t="str">
        <f t="shared" si="23"/>
        <v/>
      </c>
      <c r="BS29" s="37"/>
      <c r="BT29" s="174" t="str">
        <f t="shared" si="24"/>
        <v/>
      </c>
      <c r="BU29" s="37"/>
      <c r="BV29" s="174" t="str">
        <f t="shared" si="25"/>
        <v/>
      </c>
      <c r="BW29" s="37"/>
      <c r="BX29" s="174" t="str">
        <f t="shared" si="26"/>
        <v/>
      </c>
      <c r="BY29" s="37"/>
      <c r="BZ29" s="174" t="str">
        <f t="shared" si="27"/>
        <v/>
      </c>
      <c r="CA29" s="37"/>
      <c r="CB29" s="174" t="str">
        <f t="shared" si="28"/>
        <v/>
      </c>
      <c r="CC29" s="37"/>
      <c r="CD29" s="174" t="str">
        <f t="shared" si="29"/>
        <v/>
      </c>
      <c r="CE29" s="37"/>
      <c r="CF29" s="174" t="str">
        <f t="shared" si="30"/>
        <v/>
      </c>
      <c r="CG29" s="37"/>
      <c r="CH29" s="174" t="str">
        <f t="shared" si="31"/>
        <v/>
      </c>
      <c r="CI29" s="37"/>
      <c r="CJ29" s="174" t="str">
        <f t="shared" si="32"/>
        <v/>
      </c>
      <c r="CK29" s="37"/>
      <c r="CL29" s="174" t="str">
        <f t="shared" si="33"/>
        <v/>
      </c>
      <c r="CM29" s="37"/>
      <c r="CN29" s="174" t="str">
        <f t="shared" si="34"/>
        <v/>
      </c>
      <c r="CO29" s="37"/>
      <c r="CP29" s="174" t="str">
        <f t="shared" si="35"/>
        <v/>
      </c>
      <c r="CQ29" s="37"/>
      <c r="CR29" s="174" t="str">
        <f t="shared" si="36"/>
        <v/>
      </c>
      <c r="CS29" s="37"/>
      <c r="CT29" s="174" t="str">
        <f t="shared" si="37"/>
        <v/>
      </c>
      <c r="CU29" s="38"/>
      <c r="CV29" s="87"/>
      <c r="CW29" s="90"/>
      <c r="CX29" s="38"/>
      <c r="CY29" s="39"/>
      <c r="CZ29" s="37"/>
      <c r="DA29" s="39"/>
      <c r="DB29" s="24">
        <v>25</v>
      </c>
      <c r="DC29" s="96" t="str">
        <f t="shared" si="38"/>
        <v>土</v>
      </c>
      <c r="DF29" s="125"/>
      <c r="DG29" s="40"/>
      <c r="DH29" s="40"/>
      <c r="DI29" s="40"/>
      <c r="DJ29" s="40"/>
      <c r="DK29" s="40"/>
      <c r="DL29" s="40"/>
      <c r="DM29" s="40"/>
      <c r="DN29" s="40"/>
      <c r="DO29" s="40"/>
      <c r="DP29" s="40">
        <f t="shared" si="39"/>
        <v>0</v>
      </c>
      <c r="DQ29" s="172" t="str">
        <f t="shared" si="40"/>
        <v/>
      </c>
      <c r="DS29" s="189"/>
      <c r="DT29" s="190"/>
      <c r="DU29" s="190"/>
      <c r="DV29" s="191"/>
      <c r="DW29" s="41"/>
      <c r="DX29" s="42"/>
    </row>
    <row r="30" spans="1:128" ht="13.5" customHeight="1" x14ac:dyDescent="0.4">
      <c r="A30" s="104">
        <v>26</v>
      </c>
      <c r="B30" s="23" t="s">
        <v>89</v>
      </c>
      <c r="C30" s="164"/>
      <c r="D30" s="164"/>
      <c r="E30" s="24"/>
      <c r="F30" s="29"/>
      <c r="G30" s="25">
        <f>IF(SUM($F$5:F30)=0,"",SUM($F$5:F30))</f>
        <v>3159430</v>
      </c>
      <c r="H30" s="43">
        <f t="shared" si="0"/>
        <v>0.43661367670994805</v>
      </c>
      <c r="I30" s="148">
        <f t="array" aca="1" ref="I30" ca="1">IF($A31="",$G30/($V30-$U$5+INDIRECT(IF(_xlfn.SHEET()&lt;6,"令和8年"&amp;_xlfn.SHEET()+7&amp;"月","令和9年"&amp;_xlfn.SHEET()-5&amp;"月")&amp;"!$U$5")),$G30/($V31-$U$5))</f>
        <v>0.40941030910094123</v>
      </c>
      <c r="J30" s="26">
        <f t="shared" si="1"/>
        <v>0.38065421686746986</v>
      </c>
      <c r="K30" s="27"/>
      <c r="L30" s="165">
        <f t="shared" si="2"/>
        <v>0</v>
      </c>
      <c r="M30" s="28" t="str">
        <f t="shared" si="3"/>
        <v/>
      </c>
      <c r="N30" s="166" t="str">
        <f t="shared" si="4"/>
        <v/>
      </c>
      <c r="O30" s="167" t="str">
        <f t="shared" si="5"/>
        <v/>
      </c>
      <c r="P30" s="168"/>
      <c r="Q30" s="169" t="str">
        <f t="shared" si="6"/>
        <v/>
      </c>
      <c r="R30" s="170">
        <v>36</v>
      </c>
      <c r="S30" s="171">
        <v>28</v>
      </c>
      <c r="T30" s="24" t="s">
        <v>94</v>
      </c>
      <c r="U30" s="29">
        <v>492447</v>
      </c>
      <c r="V30" s="30">
        <f t="shared" si="41"/>
        <v>7236214</v>
      </c>
      <c r="W30" s="27">
        <v>208</v>
      </c>
      <c r="X30" s="31">
        <f t="shared" si="7"/>
        <v>2367.5336538461538</v>
      </c>
      <c r="Y30" s="29">
        <v>424634</v>
      </c>
      <c r="Z30" s="32">
        <f t="shared" si="42"/>
        <v>9601866</v>
      </c>
      <c r="AA30" s="33">
        <f t="shared" si="8"/>
        <v>0.75362580565069326</v>
      </c>
      <c r="AB30" s="158">
        <v>550000</v>
      </c>
      <c r="AC30" s="34">
        <f t="shared" si="43"/>
        <v>8300000</v>
      </c>
      <c r="AD30" s="158"/>
      <c r="AE30" s="25"/>
      <c r="AF30" s="25"/>
      <c r="AG30" s="25"/>
      <c r="AH30" s="25"/>
      <c r="AI30" s="25"/>
      <c r="AJ30" s="25"/>
      <c r="AK30" s="25"/>
      <c r="AL30" s="158"/>
      <c r="AM30" s="25"/>
      <c r="AN30" s="158"/>
      <c r="AO30" s="25"/>
      <c r="AP30" s="25"/>
      <c r="AQ30" s="158"/>
      <c r="AR30" s="35">
        <f t="shared" si="9"/>
        <v>0</v>
      </c>
      <c r="AS30" s="172" t="str">
        <f t="shared" si="10"/>
        <v/>
      </c>
      <c r="AT30" s="36">
        <f t="shared" si="11"/>
        <v>0</v>
      </c>
      <c r="AU30" s="173"/>
      <c r="AV30" s="82">
        <f t="shared" si="12"/>
        <v>26</v>
      </c>
      <c r="AW30" s="37"/>
      <c r="AX30" s="174" t="str">
        <f t="shared" si="13"/>
        <v/>
      </c>
      <c r="AY30" s="37"/>
      <c r="AZ30" s="174" t="str">
        <f t="shared" si="14"/>
        <v/>
      </c>
      <c r="BA30" s="37"/>
      <c r="BB30" s="174" t="str">
        <f t="shared" si="15"/>
        <v/>
      </c>
      <c r="BC30" s="37"/>
      <c r="BD30" s="174" t="str">
        <f t="shared" si="16"/>
        <v/>
      </c>
      <c r="BE30" s="37"/>
      <c r="BF30" s="174" t="str">
        <f t="shared" si="17"/>
        <v/>
      </c>
      <c r="BG30" s="37"/>
      <c r="BH30" s="174" t="str">
        <f t="shared" si="18"/>
        <v/>
      </c>
      <c r="BI30" s="37"/>
      <c r="BJ30" s="174" t="str">
        <f t="shared" si="19"/>
        <v/>
      </c>
      <c r="BK30" s="37"/>
      <c r="BL30" s="174" t="str">
        <f t="shared" si="20"/>
        <v/>
      </c>
      <c r="BM30" s="37"/>
      <c r="BN30" s="174" t="str">
        <f t="shared" si="21"/>
        <v/>
      </c>
      <c r="BO30" s="37"/>
      <c r="BP30" s="174" t="str">
        <f t="shared" si="22"/>
        <v/>
      </c>
      <c r="BQ30" s="37"/>
      <c r="BR30" s="174" t="str">
        <f t="shared" si="23"/>
        <v/>
      </c>
      <c r="BS30" s="37"/>
      <c r="BT30" s="174" t="str">
        <f t="shared" si="24"/>
        <v/>
      </c>
      <c r="BU30" s="37"/>
      <c r="BV30" s="174" t="str">
        <f t="shared" si="25"/>
        <v/>
      </c>
      <c r="BW30" s="37"/>
      <c r="BX30" s="174" t="str">
        <f t="shared" si="26"/>
        <v/>
      </c>
      <c r="BY30" s="37"/>
      <c r="BZ30" s="174" t="str">
        <f t="shared" si="27"/>
        <v/>
      </c>
      <c r="CA30" s="37"/>
      <c r="CB30" s="174" t="str">
        <f t="shared" si="28"/>
        <v/>
      </c>
      <c r="CC30" s="37"/>
      <c r="CD30" s="174" t="str">
        <f t="shared" si="29"/>
        <v/>
      </c>
      <c r="CE30" s="37"/>
      <c r="CF30" s="174" t="str">
        <f t="shared" si="30"/>
        <v/>
      </c>
      <c r="CG30" s="37"/>
      <c r="CH30" s="174" t="str">
        <f t="shared" si="31"/>
        <v/>
      </c>
      <c r="CI30" s="37"/>
      <c r="CJ30" s="174" t="str">
        <f t="shared" si="32"/>
        <v/>
      </c>
      <c r="CK30" s="37"/>
      <c r="CL30" s="174" t="str">
        <f t="shared" si="33"/>
        <v/>
      </c>
      <c r="CM30" s="37"/>
      <c r="CN30" s="174" t="str">
        <f t="shared" si="34"/>
        <v/>
      </c>
      <c r="CO30" s="37"/>
      <c r="CP30" s="174" t="str">
        <f t="shared" si="35"/>
        <v/>
      </c>
      <c r="CQ30" s="37"/>
      <c r="CR30" s="174" t="str">
        <f t="shared" si="36"/>
        <v/>
      </c>
      <c r="CS30" s="37"/>
      <c r="CT30" s="174" t="str">
        <f t="shared" si="37"/>
        <v/>
      </c>
      <c r="CU30" s="38"/>
      <c r="CV30" s="87"/>
      <c r="CW30" s="90"/>
      <c r="CX30" s="38"/>
      <c r="CY30" s="39"/>
      <c r="CZ30" s="37"/>
      <c r="DA30" s="39"/>
      <c r="DB30" s="24">
        <v>26</v>
      </c>
      <c r="DC30" s="96" t="str">
        <f t="shared" si="38"/>
        <v>日</v>
      </c>
      <c r="DF30" s="125"/>
      <c r="DG30" s="40"/>
      <c r="DH30" s="40"/>
      <c r="DI30" s="40"/>
      <c r="DJ30" s="40"/>
      <c r="DK30" s="40"/>
      <c r="DL30" s="40"/>
      <c r="DM30" s="40"/>
      <c r="DN30" s="40"/>
      <c r="DO30" s="40"/>
      <c r="DP30" s="40">
        <f t="shared" si="39"/>
        <v>0</v>
      </c>
      <c r="DQ30" s="172" t="str">
        <f t="shared" si="40"/>
        <v/>
      </c>
      <c r="DS30" s="189"/>
      <c r="DT30" s="190"/>
      <c r="DU30" s="190"/>
      <c r="DV30" s="191"/>
      <c r="DW30" s="41"/>
      <c r="DX30" s="42"/>
    </row>
    <row r="31" spans="1:128" ht="13.5" customHeight="1" x14ac:dyDescent="0.4">
      <c r="A31" s="104">
        <v>27</v>
      </c>
      <c r="B31" s="23" t="s">
        <v>90</v>
      </c>
      <c r="C31" s="164"/>
      <c r="D31" s="164"/>
      <c r="E31" s="24"/>
      <c r="F31" s="29"/>
      <c r="G31" s="25">
        <f>IF(SUM($F$5:F31)=0,"",SUM($F$5:F31))</f>
        <v>3159430</v>
      </c>
      <c r="H31" s="43">
        <f t="shared" si="0"/>
        <v>0.40366801106403216</v>
      </c>
      <c r="I31" s="148">
        <f t="array" aca="1" ref="I31" ca="1">IF($A32="",$G31/($V31-$U$5+INDIRECT(IF(_xlfn.SHEET()&lt;6,"令和8年"&amp;_xlfn.SHEET()+7&amp;"月","令和9年"&amp;_xlfn.SHEET()-5&amp;"月")&amp;"!$U$5")),$G31/($V32-$U$5))</f>
        <v>0.39488111746520577</v>
      </c>
      <c r="J31" s="26">
        <f t="shared" si="1"/>
        <v>0.37169764705882352</v>
      </c>
      <c r="K31" s="27"/>
      <c r="L31" s="165">
        <f t="shared" si="2"/>
        <v>0</v>
      </c>
      <c r="M31" s="28" t="str">
        <f t="shared" si="3"/>
        <v/>
      </c>
      <c r="N31" s="166" t="str">
        <f t="shared" si="4"/>
        <v/>
      </c>
      <c r="O31" s="167" t="str">
        <f t="shared" si="5"/>
        <v/>
      </c>
      <c r="P31" s="168"/>
      <c r="Q31" s="169" t="str">
        <f t="shared" si="6"/>
        <v/>
      </c>
      <c r="R31" s="170">
        <v>36</v>
      </c>
      <c r="S31" s="171">
        <v>25</v>
      </c>
      <c r="T31" s="24" t="s">
        <v>84</v>
      </c>
      <c r="U31" s="29">
        <v>590589</v>
      </c>
      <c r="V31" s="30">
        <f t="shared" si="41"/>
        <v>7826803</v>
      </c>
      <c r="W31" s="27">
        <v>297</v>
      </c>
      <c r="X31" s="31">
        <f t="shared" si="7"/>
        <v>1988.5151515151515</v>
      </c>
      <c r="Y31" s="29">
        <v>590180</v>
      </c>
      <c r="Z31" s="32">
        <f t="shared" si="42"/>
        <v>10192046</v>
      </c>
      <c r="AA31" s="33">
        <f t="shared" si="8"/>
        <v>0.76793246419806194</v>
      </c>
      <c r="AB31" s="158">
        <v>200000</v>
      </c>
      <c r="AC31" s="34">
        <f t="shared" si="43"/>
        <v>8500000</v>
      </c>
      <c r="AD31" s="158"/>
      <c r="AE31" s="25"/>
      <c r="AF31" s="25"/>
      <c r="AG31" s="25"/>
      <c r="AH31" s="25"/>
      <c r="AI31" s="25"/>
      <c r="AJ31" s="25"/>
      <c r="AK31" s="25"/>
      <c r="AL31" s="158"/>
      <c r="AM31" s="25"/>
      <c r="AN31" s="158"/>
      <c r="AO31" s="25"/>
      <c r="AP31" s="25"/>
      <c r="AQ31" s="158"/>
      <c r="AR31" s="35">
        <f t="shared" si="9"/>
        <v>0</v>
      </c>
      <c r="AS31" s="172" t="str">
        <f t="shared" si="10"/>
        <v/>
      </c>
      <c r="AT31" s="36">
        <f t="shared" si="11"/>
        <v>0</v>
      </c>
      <c r="AU31" s="173"/>
      <c r="AV31" s="82">
        <f t="shared" si="12"/>
        <v>27</v>
      </c>
      <c r="AW31" s="37"/>
      <c r="AX31" s="174" t="str">
        <f t="shared" si="13"/>
        <v/>
      </c>
      <c r="AY31" s="37"/>
      <c r="AZ31" s="174" t="str">
        <f t="shared" si="14"/>
        <v/>
      </c>
      <c r="BA31" s="37"/>
      <c r="BB31" s="174" t="str">
        <f t="shared" si="15"/>
        <v/>
      </c>
      <c r="BC31" s="37"/>
      <c r="BD31" s="174" t="str">
        <f t="shared" si="16"/>
        <v/>
      </c>
      <c r="BE31" s="37"/>
      <c r="BF31" s="174" t="str">
        <f t="shared" si="17"/>
        <v/>
      </c>
      <c r="BG31" s="37"/>
      <c r="BH31" s="174" t="str">
        <f t="shared" si="18"/>
        <v/>
      </c>
      <c r="BI31" s="37"/>
      <c r="BJ31" s="174" t="str">
        <f t="shared" si="19"/>
        <v/>
      </c>
      <c r="BK31" s="37"/>
      <c r="BL31" s="174" t="str">
        <f t="shared" si="20"/>
        <v/>
      </c>
      <c r="BM31" s="37"/>
      <c r="BN31" s="174" t="str">
        <f t="shared" si="21"/>
        <v/>
      </c>
      <c r="BO31" s="37"/>
      <c r="BP31" s="174" t="str">
        <f t="shared" si="22"/>
        <v/>
      </c>
      <c r="BQ31" s="37"/>
      <c r="BR31" s="174" t="str">
        <f t="shared" si="23"/>
        <v/>
      </c>
      <c r="BS31" s="37"/>
      <c r="BT31" s="174" t="str">
        <f t="shared" si="24"/>
        <v/>
      </c>
      <c r="BU31" s="37"/>
      <c r="BV31" s="174" t="str">
        <f t="shared" si="25"/>
        <v/>
      </c>
      <c r="BW31" s="37"/>
      <c r="BX31" s="174" t="str">
        <f t="shared" si="26"/>
        <v/>
      </c>
      <c r="BY31" s="37"/>
      <c r="BZ31" s="174" t="str">
        <f t="shared" si="27"/>
        <v/>
      </c>
      <c r="CA31" s="37"/>
      <c r="CB31" s="174" t="str">
        <f t="shared" si="28"/>
        <v/>
      </c>
      <c r="CC31" s="37"/>
      <c r="CD31" s="174" t="str">
        <f t="shared" si="29"/>
        <v/>
      </c>
      <c r="CE31" s="37"/>
      <c r="CF31" s="174" t="str">
        <f t="shared" si="30"/>
        <v/>
      </c>
      <c r="CG31" s="37"/>
      <c r="CH31" s="174" t="str">
        <f t="shared" si="31"/>
        <v/>
      </c>
      <c r="CI31" s="37"/>
      <c r="CJ31" s="174" t="str">
        <f t="shared" si="32"/>
        <v/>
      </c>
      <c r="CK31" s="37"/>
      <c r="CL31" s="174" t="str">
        <f t="shared" si="33"/>
        <v/>
      </c>
      <c r="CM31" s="37"/>
      <c r="CN31" s="174" t="str">
        <f t="shared" si="34"/>
        <v/>
      </c>
      <c r="CO31" s="37"/>
      <c r="CP31" s="174" t="str">
        <f t="shared" si="35"/>
        <v/>
      </c>
      <c r="CQ31" s="37"/>
      <c r="CR31" s="174" t="str">
        <f t="shared" si="36"/>
        <v/>
      </c>
      <c r="CS31" s="37"/>
      <c r="CT31" s="174" t="str">
        <f t="shared" si="37"/>
        <v/>
      </c>
      <c r="CU31" s="38"/>
      <c r="CV31" s="87"/>
      <c r="CW31" s="90"/>
      <c r="CX31" s="38"/>
      <c r="CY31" s="39"/>
      <c r="CZ31" s="37"/>
      <c r="DA31" s="39"/>
      <c r="DB31" s="24">
        <v>27</v>
      </c>
      <c r="DC31" s="96" t="str">
        <f t="shared" si="38"/>
        <v>月</v>
      </c>
      <c r="DF31" s="125"/>
      <c r="DG31" s="40"/>
      <c r="DH31" s="40"/>
      <c r="DI31" s="40"/>
      <c r="DJ31" s="40"/>
      <c r="DK31" s="40"/>
      <c r="DL31" s="40"/>
      <c r="DM31" s="40"/>
      <c r="DN31" s="40"/>
      <c r="DO31" s="40"/>
      <c r="DP31" s="40">
        <f t="shared" si="39"/>
        <v>0</v>
      </c>
      <c r="DQ31" s="172" t="str">
        <f t="shared" si="40"/>
        <v/>
      </c>
      <c r="DS31" s="189"/>
      <c r="DT31" s="190"/>
      <c r="DU31" s="190"/>
      <c r="DV31" s="191"/>
      <c r="DW31" s="138"/>
      <c r="DX31" s="42"/>
    </row>
    <row r="32" spans="1:128" ht="13.5" customHeight="1" x14ac:dyDescent="0.4">
      <c r="A32" s="104">
        <v>28</v>
      </c>
      <c r="B32" s="23" t="s">
        <v>91</v>
      </c>
      <c r="C32" s="164"/>
      <c r="D32" s="164"/>
      <c r="E32" s="24"/>
      <c r="F32" s="29"/>
      <c r="G32" s="25">
        <f>IF(SUM($F$5:F32)=0,"",SUM($F$5:F32))</f>
        <v>3159430</v>
      </c>
      <c r="H32" s="43">
        <f t="shared" si="0"/>
        <v>0.38953649370180926</v>
      </c>
      <c r="I32" s="148">
        <f t="array" aca="1" ref="I32" ca="1">IF($A33="",$G32/($V32-$U$5+INDIRECT(IF(_xlfn.SHEET()&lt;6,"令和8年"&amp;_xlfn.SHEET()+7&amp;"月","令和9年"&amp;_xlfn.SHEET()-5&amp;"月")&amp;"!$U$5")),$G32/($V33-$U$5))</f>
        <v>0.38143210859061605</v>
      </c>
      <c r="J32" s="26">
        <f t="shared" si="1"/>
        <v>0.3631528735632184</v>
      </c>
      <c r="K32" s="27"/>
      <c r="L32" s="165">
        <f t="shared" si="2"/>
        <v>0</v>
      </c>
      <c r="M32" s="28" t="str">
        <f t="shared" si="3"/>
        <v/>
      </c>
      <c r="N32" s="166" t="str">
        <f t="shared" si="4"/>
        <v/>
      </c>
      <c r="O32" s="167" t="str">
        <f t="shared" si="5"/>
        <v/>
      </c>
      <c r="P32" s="168"/>
      <c r="Q32" s="169" t="str">
        <f t="shared" si="6"/>
        <v/>
      </c>
      <c r="R32" s="170">
        <v>37</v>
      </c>
      <c r="S32" s="171">
        <v>26</v>
      </c>
      <c r="T32" s="24" t="s">
        <v>84</v>
      </c>
      <c r="U32" s="29">
        <v>283939</v>
      </c>
      <c r="V32" s="30">
        <f t="shared" si="41"/>
        <v>8110742</v>
      </c>
      <c r="W32" s="27">
        <v>156</v>
      </c>
      <c r="X32" s="31">
        <f t="shared" si="7"/>
        <v>1820.1217948717949</v>
      </c>
      <c r="Y32" s="29">
        <v>867653</v>
      </c>
      <c r="Z32" s="32">
        <f t="shared" si="42"/>
        <v>11059699</v>
      </c>
      <c r="AA32" s="33">
        <f t="shared" si="8"/>
        <v>0.73336010319991529</v>
      </c>
      <c r="AB32" s="158">
        <v>200000</v>
      </c>
      <c r="AC32" s="34">
        <f t="shared" si="43"/>
        <v>8700000</v>
      </c>
      <c r="AD32" s="158"/>
      <c r="AE32" s="25"/>
      <c r="AF32" s="25"/>
      <c r="AG32" s="25"/>
      <c r="AH32" s="25"/>
      <c r="AI32" s="25"/>
      <c r="AJ32" s="25"/>
      <c r="AK32" s="25"/>
      <c r="AL32" s="158"/>
      <c r="AM32" s="25"/>
      <c r="AN32" s="158"/>
      <c r="AO32" s="25"/>
      <c r="AP32" s="25"/>
      <c r="AQ32" s="158"/>
      <c r="AR32" s="35">
        <f t="shared" si="9"/>
        <v>0</v>
      </c>
      <c r="AS32" s="172" t="str">
        <f t="shared" si="10"/>
        <v/>
      </c>
      <c r="AT32" s="36">
        <f t="shared" si="11"/>
        <v>0</v>
      </c>
      <c r="AU32" s="173"/>
      <c r="AV32" s="82">
        <f t="shared" si="12"/>
        <v>28</v>
      </c>
      <c r="AW32" s="37"/>
      <c r="AX32" s="174" t="str">
        <f t="shared" si="13"/>
        <v/>
      </c>
      <c r="AY32" s="37"/>
      <c r="AZ32" s="174" t="str">
        <f t="shared" si="14"/>
        <v/>
      </c>
      <c r="BA32" s="37"/>
      <c r="BB32" s="174" t="str">
        <f t="shared" si="15"/>
        <v/>
      </c>
      <c r="BC32" s="37"/>
      <c r="BD32" s="174" t="str">
        <f t="shared" si="16"/>
        <v/>
      </c>
      <c r="BE32" s="37"/>
      <c r="BF32" s="174" t="str">
        <f t="shared" si="17"/>
        <v/>
      </c>
      <c r="BG32" s="37"/>
      <c r="BH32" s="174" t="str">
        <f t="shared" si="18"/>
        <v/>
      </c>
      <c r="BI32" s="37"/>
      <c r="BJ32" s="174" t="str">
        <f t="shared" si="19"/>
        <v/>
      </c>
      <c r="BK32" s="37"/>
      <c r="BL32" s="174" t="str">
        <f t="shared" si="20"/>
        <v/>
      </c>
      <c r="BM32" s="37"/>
      <c r="BN32" s="174" t="str">
        <f t="shared" si="21"/>
        <v/>
      </c>
      <c r="BO32" s="37"/>
      <c r="BP32" s="174" t="str">
        <f t="shared" si="22"/>
        <v/>
      </c>
      <c r="BQ32" s="37"/>
      <c r="BR32" s="174" t="str">
        <f t="shared" si="23"/>
        <v/>
      </c>
      <c r="BS32" s="37"/>
      <c r="BT32" s="174" t="str">
        <f t="shared" si="24"/>
        <v/>
      </c>
      <c r="BU32" s="37"/>
      <c r="BV32" s="174" t="str">
        <f t="shared" si="25"/>
        <v/>
      </c>
      <c r="BW32" s="37"/>
      <c r="BX32" s="174" t="str">
        <f t="shared" si="26"/>
        <v/>
      </c>
      <c r="BY32" s="37"/>
      <c r="BZ32" s="174" t="str">
        <f t="shared" si="27"/>
        <v/>
      </c>
      <c r="CA32" s="37"/>
      <c r="CB32" s="174" t="str">
        <f t="shared" si="28"/>
        <v/>
      </c>
      <c r="CC32" s="37"/>
      <c r="CD32" s="174" t="str">
        <f t="shared" si="29"/>
        <v/>
      </c>
      <c r="CE32" s="37"/>
      <c r="CF32" s="174" t="str">
        <f t="shared" si="30"/>
        <v/>
      </c>
      <c r="CG32" s="37"/>
      <c r="CH32" s="174" t="str">
        <f t="shared" si="31"/>
        <v/>
      </c>
      <c r="CI32" s="37"/>
      <c r="CJ32" s="174" t="str">
        <f t="shared" si="32"/>
        <v/>
      </c>
      <c r="CK32" s="37"/>
      <c r="CL32" s="174" t="str">
        <f t="shared" si="33"/>
        <v/>
      </c>
      <c r="CM32" s="37"/>
      <c r="CN32" s="174" t="str">
        <f t="shared" si="34"/>
        <v/>
      </c>
      <c r="CO32" s="37"/>
      <c r="CP32" s="174" t="str">
        <f t="shared" si="35"/>
        <v/>
      </c>
      <c r="CQ32" s="37"/>
      <c r="CR32" s="174" t="str">
        <f t="shared" si="36"/>
        <v/>
      </c>
      <c r="CS32" s="37"/>
      <c r="CT32" s="174" t="str">
        <f t="shared" si="37"/>
        <v/>
      </c>
      <c r="CU32" s="38"/>
      <c r="CV32" s="87"/>
      <c r="CW32" s="90"/>
      <c r="CX32" s="38"/>
      <c r="CY32" s="39"/>
      <c r="CZ32" s="37"/>
      <c r="DA32" s="39"/>
      <c r="DB32" s="24">
        <v>28</v>
      </c>
      <c r="DC32" s="96" t="str">
        <f t="shared" si="38"/>
        <v>火</v>
      </c>
      <c r="DF32" s="125"/>
      <c r="DG32" s="40"/>
      <c r="DH32" s="40"/>
      <c r="DI32" s="40"/>
      <c r="DJ32" s="40"/>
      <c r="DK32" s="40"/>
      <c r="DL32" s="40"/>
      <c r="DM32" s="40"/>
      <c r="DN32" s="40"/>
      <c r="DO32" s="40"/>
      <c r="DP32" s="40">
        <f t="shared" si="39"/>
        <v>0</v>
      </c>
      <c r="DQ32" s="172" t="str">
        <f t="shared" si="40"/>
        <v/>
      </c>
      <c r="DS32" s="189"/>
      <c r="DT32" s="190"/>
      <c r="DU32" s="190"/>
      <c r="DV32" s="191"/>
      <c r="DW32" s="41"/>
      <c r="DX32" s="42"/>
    </row>
    <row r="33" spans="1:128" ht="13.5" customHeight="1" x14ac:dyDescent="0.4">
      <c r="A33" s="104">
        <v>29</v>
      </c>
      <c r="B33" s="23" t="s">
        <v>83</v>
      </c>
      <c r="C33" s="164"/>
      <c r="D33" s="164"/>
      <c r="E33" s="24"/>
      <c r="F33" s="29"/>
      <c r="G33" s="25">
        <f>IF(SUM($F$5:F33)=0,"",SUM($F$5:F33))</f>
        <v>3159430</v>
      </c>
      <c r="H33" s="43">
        <f t="shared" si="0"/>
        <v>0.37644304378131388</v>
      </c>
      <c r="I33" s="148">
        <f t="array" aca="1" ref="I33" ca="1">IF($A34="",$G33/($V33-$U$5+INDIRECT(IF(_xlfn.SHEET()&lt;6,"令和8年"&amp;_xlfn.SHEET()+7&amp;"月","令和9年"&amp;_xlfn.SHEET()-5&amp;"月")&amp;"!$U$5")),$G33/($V34-$U$5))</f>
        <v>0.36329422424702024</v>
      </c>
      <c r="J33" s="26">
        <f t="shared" si="1"/>
        <v>0.35499213483146069</v>
      </c>
      <c r="K33" s="27"/>
      <c r="L33" s="165">
        <f t="shared" si="2"/>
        <v>0</v>
      </c>
      <c r="M33" s="28" t="str">
        <f t="shared" si="3"/>
        <v/>
      </c>
      <c r="N33" s="166" t="str">
        <f t="shared" si="4"/>
        <v/>
      </c>
      <c r="O33" s="167" t="str">
        <f t="shared" si="5"/>
        <v/>
      </c>
      <c r="P33" s="168"/>
      <c r="Q33" s="169" t="str">
        <f t="shared" si="6"/>
        <v/>
      </c>
      <c r="R33" s="170">
        <v>38</v>
      </c>
      <c r="S33" s="171">
        <v>25</v>
      </c>
      <c r="T33" s="24" t="s">
        <v>84</v>
      </c>
      <c r="U33" s="29">
        <v>282108</v>
      </c>
      <c r="V33" s="30">
        <f t="shared" si="41"/>
        <v>8392850</v>
      </c>
      <c r="W33" s="27">
        <v>156</v>
      </c>
      <c r="X33" s="31">
        <f t="shared" si="7"/>
        <v>1808.3846153846155</v>
      </c>
      <c r="Y33" s="29">
        <v>332054</v>
      </c>
      <c r="Z33" s="32">
        <f t="shared" si="42"/>
        <v>11391753</v>
      </c>
      <c r="AA33" s="33">
        <f t="shared" si="8"/>
        <v>0.73674789121568907</v>
      </c>
      <c r="AB33" s="158">
        <v>200000</v>
      </c>
      <c r="AC33" s="34">
        <f t="shared" si="43"/>
        <v>8900000</v>
      </c>
      <c r="AD33" s="158"/>
      <c r="AE33" s="25"/>
      <c r="AF33" s="25"/>
      <c r="AG33" s="25"/>
      <c r="AH33" s="25"/>
      <c r="AI33" s="25"/>
      <c r="AJ33" s="25"/>
      <c r="AK33" s="25"/>
      <c r="AL33" s="158"/>
      <c r="AM33" s="25"/>
      <c r="AN33" s="158"/>
      <c r="AO33" s="25"/>
      <c r="AP33" s="25"/>
      <c r="AQ33" s="158"/>
      <c r="AR33" s="35">
        <f t="shared" si="9"/>
        <v>0</v>
      </c>
      <c r="AS33" s="172" t="str">
        <f t="shared" si="10"/>
        <v/>
      </c>
      <c r="AT33" s="36">
        <f t="shared" si="11"/>
        <v>0</v>
      </c>
      <c r="AU33" s="173"/>
      <c r="AV33" s="82">
        <f t="shared" si="12"/>
        <v>29</v>
      </c>
      <c r="AW33" s="37"/>
      <c r="AX33" s="174" t="str">
        <f t="shared" si="13"/>
        <v/>
      </c>
      <c r="AY33" s="37"/>
      <c r="AZ33" s="174" t="str">
        <f t="shared" si="14"/>
        <v/>
      </c>
      <c r="BA33" s="37"/>
      <c r="BB33" s="174" t="str">
        <f t="shared" si="15"/>
        <v/>
      </c>
      <c r="BC33" s="37"/>
      <c r="BD33" s="174" t="str">
        <f t="shared" si="16"/>
        <v/>
      </c>
      <c r="BE33" s="37"/>
      <c r="BF33" s="174" t="str">
        <f t="shared" si="17"/>
        <v/>
      </c>
      <c r="BG33" s="37"/>
      <c r="BH33" s="174" t="str">
        <f t="shared" si="18"/>
        <v/>
      </c>
      <c r="BI33" s="37"/>
      <c r="BJ33" s="174" t="str">
        <f t="shared" si="19"/>
        <v/>
      </c>
      <c r="BK33" s="37"/>
      <c r="BL33" s="174" t="str">
        <f t="shared" si="20"/>
        <v/>
      </c>
      <c r="BM33" s="37"/>
      <c r="BN33" s="174" t="str">
        <f t="shared" si="21"/>
        <v/>
      </c>
      <c r="BO33" s="37"/>
      <c r="BP33" s="174" t="str">
        <f t="shared" si="22"/>
        <v/>
      </c>
      <c r="BQ33" s="37"/>
      <c r="BR33" s="174" t="str">
        <f t="shared" si="23"/>
        <v/>
      </c>
      <c r="BS33" s="37"/>
      <c r="BT33" s="174" t="str">
        <f t="shared" si="24"/>
        <v/>
      </c>
      <c r="BU33" s="37"/>
      <c r="BV33" s="174" t="str">
        <f t="shared" si="25"/>
        <v/>
      </c>
      <c r="BW33" s="37"/>
      <c r="BX33" s="174" t="str">
        <f t="shared" si="26"/>
        <v/>
      </c>
      <c r="BY33" s="37"/>
      <c r="BZ33" s="174" t="str">
        <f t="shared" si="27"/>
        <v/>
      </c>
      <c r="CA33" s="37"/>
      <c r="CB33" s="174" t="str">
        <f t="shared" si="28"/>
        <v/>
      </c>
      <c r="CC33" s="37"/>
      <c r="CD33" s="174" t="str">
        <f t="shared" si="29"/>
        <v/>
      </c>
      <c r="CE33" s="37"/>
      <c r="CF33" s="174" t="str">
        <f t="shared" si="30"/>
        <v/>
      </c>
      <c r="CG33" s="37"/>
      <c r="CH33" s="174" t="str">
        <f t="shared" si="31"/>
        <v/>
      </c>
      <c r="CI33" s="37"/>
      <c r="CJ33" s="174" t="str">
        <f t="shared" si="32"/>
        <v/>
      </c>
      <c r="CK33" s="37"/>
      <c r="CL33" s="174" t="str">
        <f t="shared" si="33"/>
        <v/>
      </c>
      <c r="CM33" s="37"/>
      <c r="CN33" s="174" t="str">
        <f t="shared" si="34"/>
        <v/>
      </c>
      <c r="CO33" s="37"/>
      <c r="CP33" s="174" t="str">
        <f t="shared" si="35"/>
        <v/>
      </c>
      <c r="CQ33" s="37"/>
      <c r="CR33" s="174" t="str">
        <f t="shared" si="36"/>
        <v/>
      </c>
      <c r="CS33" s="37"/>
      <c r="CT33" s="174" t="str">
        <f t="shared" si="37"/>
        <v/>
      </c>
      <c r="CU33" s="38"/>
      <c r="CV33" s="87"/>
      <c r="CW33" s="90"/>
      <c r="CX33" s="38"/>
      <c r="CY33" s="39"/>
      <c r="CZ33" s="37"/>
      <c r="DA33" s="39"/>
      <c r="DB33" s="24">
        <v>29</v>
      </c>
      <c r="DC33" s="96" t="str">
        <f t="shared" si="38"/>
        <v>水</v>
      </c>
      <c r="DF33" s="125"/>
      <c r="DG33" s="40"/>
      <c r="DH33" s="40"/>
      <c r="DI33" s="40"/>
      <c r="DJ33" s="40"/>
      <c r="DK33" s="40"/>
      <c r="DL33" s="40"/>
      <c r="DM33" s="40"/>
      <c r="DN33" s="40"/>
      <c r="DO33" s="40"/>
      <c r="DP33" s="40">
        <f t="shared" si="39"/>
        <v>0</v>
      </c>
      <c r="DQ33" s="172" t="str">
        <f t="shared" si="40"/>
        <v/>
      </c>
      <c r="DS33" s="189"/>
      <c r="DT33" s="190"/>
      <c r="DU33" s="190"/>
      <c r="DV33" s="191"/>
      <c r="DW33" s="41"/>
      <c r="DX33" s="42"/>
    </row>
    <row r="34" spans="1:128" ht="13.5" customHeight="1" x14ac:dyDescent="0.4">
      <c r="A34" s="104">
        <v>30</v>
      </c>
      <c r="B34" s="23" t="s">
        <v>85</v>
      </c>
      <c r="C34" s="164"/>
      <c r="D34" s="164"/>
      <c r="E34" s="24"/>
      <c r="F34" s="29"/>
      <c r="G34" s="25">
        <f>IF(SUM($F$5:F34)=0,"",SUM($F$5:F34))</f>
        <v>3159430</v>
      </c>
      <c r="H34" s="43">
        <f t="shared" si="0"/>
        <v>0.35876554211986023</v>
      </c>
      <c r="I34" s="148">
        <f t="array" aca="1" ref="I34" ca="1">IF($A35="",$G34/($V34-$U$5+INDIRECT(IF(_xlfn.SHEET()&lt;6,"令和8年"&amp;_xlfn.SHEET()+7&amp;"月","令和9年"&amp;_xlfn.SHEET()-5&amp;"月")&amp;"!$U$5")),$G34/($V35-$U$5))</f>
        <v>0.35349739690586984</v>
      </c>
      <c r="J34" s="26">
        <f t="shared" si="1"/>
        <v>0.3471901098901099</v>
      </c>
      <c r="K34" s="27"/>
      <c r="L34" s="165">
        <f t="shared" si="2"/>
        <v>0</v>
      </c>
      <c r="M34" s="28" t="str">
        <f t="shared" si="3"/>
        <v/>
      </c>
      <c r="N34" s="166" t="str">
        <f t="shared" si="4"/>
        <v/>
      </c>
      <c r="O34" s="167" t="str">
        <f t="shared" si="5"/>
        <v/>
      </c>
      <c r="P34" s="168"/>
      <c r="Q34" s="169" t="str">
        <f t="shared" si="6"/>
        <v/>
      </c>
      <c r="R34" s="170">
        <v>38</v>
      </c>
      <c r="S34" s="171">
        <v>28</v>
      </c>
      <c r="T34" s="24" t="s">
        <v>84</v>
      </c>
      <c r="U34" s="29">
        <v>413542</v>
      </c>
      <c r="V34" s="30">
        <f t="shared" si="41"/>
        <v>8806392</v>
      </c>
      <c r="W34" s="27">
        <v>194</v>
      </c>
      <c r="X34" s="31">
        <f t="shared" si="7"/>
        <v>2131.6597938144332</v>
      </c>
      <c r="Y34" s="29">
        <v>502694</v>
      </c>
      <c r="Z34" s="32">
        <f t="shared" si="42"/>
        <v>11894447</v>
      </c>
      <c r="AA34" s="33">
        <f t="shared" si="8"/>
        <v>0.74037843037175244</v>
      </c>
      <c r="AB34" s="158">
        <v>200000</v>
      </c>
      <c r="AC34" s="34">
        <f t="shared" si="43"/>
        <v>9100000</v>
      </c>
      <c r="AD34" s="158"/>
      <c r="AE34" s="25"/>
      <c r="AF34" s="25"/>
      <c r="AG34" s="25"/>
      <c r="AH34" s="25"/>
      <c r="AI34" s="25"/>
      <c r="AJ34" s="25"/>
      <c r="AK34" s="25"/>
      <c r="AL34" s="158"/>
      <c r="AM34" s="25"/>
      <c r="AN34" s="158"/>
      <c r="AO34" s="25"/>
      <c r="AP34" s="25"/>
      <c r="AQ34" s="158"/>
      <c r="AR34" s="35">
        <f t="shared" si="9"/>
        <v>0</v>
      </c>
      <c r="AS34" s="172" t="str">
        <f t="shared" si="10"/>
        <v/>
      </c>
      <c r="AT34" s="36">
        <f t="shared" si="11"/>
        <v>0</v>
      </c>
      <c r="AU34" s="173"/>
      <c r="AV34" s="82">
        <f t="shared" si="12"/>
        <v>30</v>
      </c>
      <c r="AW34" s="37"/>
      <c r="AX34" s="174" t="str">
        <f t="shared" si="13"/>
        <v/>
      </c>
      <c r="AY34" s="37"/>
      <c r="AZ34" s="174" t="str">
        <f t="shared" si="14"/>
        <v/>
      </c>
      <c r="BA34" s="37"/>
      <c r="BB34" s="174" t="str">
        <f t="shared" si="15"/>
        <v/>
      </c>
      <c r="BC34" s="37"/>
      <c r="BD34" s="174" t="str">
        <f t="shared" si="16"/>
        <v/>
      </c>
      <c r="BE34" s="37"/>
      <c r="BF34" s="174" t="str">
        <f t="shared" si="17"/>
        <v/>
      </c>
      <c r="BG34" s="37"/>
      <c r="BH34" s="174" t="str">
        <f t="shared" si="18"/>
        <v/>
      </c>
      <c r="BI34" s="37"/>
      <c r="BJ34" s="174" t="str">
        <f t="shared" si="19"/>
        <v/>
      </c>
      <c r="BK34" s="37"/>
      <c r="BL34" s="174" t="str">
        <f t="shared" si="20"/>
        <v/>
      </c>
      <c r="BM34" s="37"/>
      <c r="BN34" s="174" t="str">
        <f t="shared" si="21"/>
        <v/>
      </c>
      <c r="BO34" s="37"/>
      <c r="BP34" s="174" t="str">
        <f t="shared" si="22"/>
        <v/>
      </c>
      <c r="BQ34" s="37"/>
      <c r="BR34" s="174" t="str">
        <f t="shared" si="23"/>
        <v/>
      </c>
      <c r="BS34" s="37"/>
      <c r="BT34" s="174" t="str">
        <f t="shared" si="24"/>
        <v/>
      </c>
      <c r="BU34" s="37"/>
      <c r="BV34" s="174" t="str">
        <f t="shared" si="25"/>
        <v/>
      </c>
      <c r="BW34" s="37"/>
      <c r="BX34" s="174" t="str">
        <f t="shared" si="26"/>
        <v/>
      </c>
      <c r="BY34" s="37"/>
      <c r="BZ34" s="174" t="str">
        <f t="shared" si="27"/>
        <v/>
      </c>
      <c r="CA34" s="37"/>
      <c r="CB34" s="174" t="str">
        <f t="shared" si="28"/>
        <v/>
      </c>
      <c r="CC34" s="37"/>
      <c r="CD34" s="174" t="str">
        <f t="shared" si="29"/>
        <v/>
      </c>
      <c r="CE34" s="37"/>
      <c r="CF34" s="174" t="str">
        <f t="shared" si="30"/>
        <v/>
      </c>
      <c r="CG34" s="37"/>
      <c r="CH34" s="174" t="str">
        <f t="shared" si="31"/>
        <v/>
      </c>
      <c r="CI34" s="37"/>
      <c r="CJ34" s="174" t="str">
        <f t="shared" si="32"/>
        <v/>
      </c>
      <c r="CK34" s="37"/>
      <c r="CL34" s="174" t="str">
        <f t="shared" si="33"/>
        <v/>
      </c>
      <c r="CM34" s="37"/>
      <c r="CN34" s="174" t="str">
        <f t="shared" si="34"/>
        <v/>
      </c>
      <c r="CO34" s="37"/>
      <c r="CP34" s="174" t="str">
        <f t="shared" si="35"/>
        <v/>
      </c>
      <c r="CQ34" s="37"/>
      <c r="CR34" s="174" t="str">
        <f t="shared" si="36"/>
        <v/>
      </c>
      <c r="CS34" s="37"/>
      <c r="CT34" s="174" t="str">
        <f t="shared" si="37"/>
        <v/>
      </c>
      <c r="CU34" s="38"/>
      <c r="CV34" s="87"/>
      <c r="CW34" s="90"/>
      <c r="CX34" s="38"/>
      <c r="CY34" s="39"/>
      <c r="CZ34" s="37"/>
      <c r="DA34" s="39"/>
      <c r="DB34" s="24">
        <v>30</v>
      </c>
      <c r="DC34" s="96" t="str">
        <f t="shared" si="38"/>
        <v>木</v>
      </c>
      <c r="DF34" s="125"/>
      <c r="DG34" s="40"/>
      <c r="DH34" s="40"/>
      <c r="DI34" s="40"/>
      <c r="DJ34" s="40"/>
      <c r="DK34" s="40"/>
      <c r="DL34" s="40"/>
      <c r="DM34" s="40"/>
      <c r="DN34" s="40"/>
      <c r="DO34" s="40"/>
      <c r="DP34" s="40">
        <f t="shared" si="39"/>
        <v>0</v>
      </c>
      <c r="DQ34" s="172" t="str">
        <f t="shared" si="40"/>
        <v/>
      </c>
      <c r="DS34" s="189"/>
      <c r="DT34" s="190"/>
      <c r="DU34" s="190"/>
      <c r="DV34" s="191"/>
      <c r="DW34" s="41"/>
      <c r="DX34" s="42"/>
    </row>
    <row r="35" spans="1:128" ht="13.5" customHeight="1" thickBot="1" x14ac:dyDescent="0.45">
      <c r="A35" s="105">
        <v>31</v>
      </c>
      <c r="B35" s="23" t="s">
        <v>86</v>
      </c>
      <c r="C35" s="175"/>
      <c r="D35" s="175"/>
      <c r="E35" s="24"/>
      <c r="F35" s="29"/>
      <c r="G35" s="25">
        <f>IF(SUM($F$5:F35)=0,"",SUM($F$5:F35))</f>
        <v>3159430</v>
      </c>
      <c r="H35" s="43">
        <f t="shared" si="0"/>
        <v>0.34920822644270572</v>
      </c>
      <c r="I35" s="148">
        <f t="array" aca="1" ref="I35" ca="1">IF($A36="",$G35/($V35-$U$5+INDIRECT(IF(_xlfn.SHEET()&lt;6,"令和8年"&amp;_xlfn.SHEET()+7&amp;"月","令和9年"&amp;_xlfn.SHEET()-5&amp;"月")&amp;"!$U$5")),$G35/($V36-$U$5))</f>
        <v>0.3433137953265476</v>
      </c>
      <c r="J35" s="26">
        <f t="shared" si="1"/>
        <v>0.33972365591397852</v>
      </c>
      <c r="K35" s="27"/>
      <c r="L35" s="165">
        <f t="shared" si="2"/>
        <v>0</v>
      </c>
      <c r="M35" s="28" t="str">
        <f t="shared" si="3"/>
        <v/>
      </c>
      <c r="N35" s="166" t="str">
        <f t="shared" si="4"/>
        <v/>
      </c>
      <c r="O35" s="167" t="str">
        <f t="shared" si="5"/>
        <v/>
      </c>
      <c r="P35" s="168"/>
      <c r="Q35" s="169" t="str">
        <f t="shared" si="6"/>
        <v/>
      </c>
      <c r="R35" s="170">
        <v>38</v>
      </c>
      <c r="S35" s="176">
        <v>25</v>
      </c>
      <c r="T35" s="24" t="s">
        <v>84</v>
      </c>
      <c r="U35" s="29">
        <v>241018</v>
      </c>
      <c r="V35" s="30">
        <f t="shared" si="41"/>
        <v>9047410</v>
      </c>
      <c r="W35" s="27">
        <v>129</v>
      </c>
      <c r="X35" s="31">
        <f t="shared" si="7"/>
        <v>1868.3565891472867</v>
      </c>
      <c r="Y35" s="29">
        <v>426110</v>
      </c>
      <c r="Z35" s="32">
        <f t="shared" si="42"/>
        <v>12320557</v>
      </c>
      <c r="AA35" s="33">
        <f t="shared" si="8"/>
        <v>0.73433449477974089</v>
      </c>
      <c r="AB35" s="158">
        <v>200000</v>
      </c>
      <c r="AC35" s="34">
        <f t="shared" si="43"/>
        <v>9300000</v>
      </c>
      <c r="AD35" s="158"/>
      <c r="AE35" s="25"/>
      <c r="AF35" s="25"/>
      <c r="AG35" s="25"/>
      <c r="AH35" s="25"/>
      <c r="AI35" s="25"/>
      <c r="AJ35" s="25"/>
      <c r="AK35" s="25"/>
      <c r="AL35" s="158"/>
      <c r="AM35" s="25"/>
      <c r="AN35" s="158"/>
      <c r="AO35" s="25"/>
      <c r="AP35" s="25"/>
      <c r="AQ35" s="158"/>
      <c r="AR35" s="35">
        <f t="shared" si="9"/>
        <v>0</v>
      </c>
      <c r="AS35" s="172" t="str">
        <f t="shared" si="10"/>
        <v/>
      </c>
      <c r="AT35" s="36">
        <f t="shared" si="11"/>
        <v>0</v>
      </c>
      <c r="AU35" s="173"/>
      <c r="AV35" s="82">
        <f t="shared" si="12"/>
        <v>31</v>
      </c>
      <c r="AW35" s="37"/>
      <c r="AX35" s="174" t="str">
        <f t="shared" si="13"/>
        <v/>
      </c>
      <c r="AY35" s="37"/>
      <c r="AZ35" s="174" t="str">
        <f t="shared" si="14"/>
        <v/>
      </c>
      <c r="BA35" s="37"/>
      <c r="BB35" s="174" t="str">
        <f t="shared" si="15"/>
        <v/>
      </c>
      <c r="BC35" s="37"/>
      <c r="BD35" s="174" t="str">
        <f t="shared" si="16"/>
        <v/>
      </c>
      <c r="BE35" s="37"/>
      <c r="BF35" s="174" t="str">
        <f t="shared" si="17"/>
        <v/>
      </c>
      <c r="BG35" s="37"/>
      <c r="BH35" s="174" t="str">
        <f t="shared" si="18"/>
        <v/>
      </c>
      <c r="BI35" s="37"/>
      <c r="BJ35" s="174" t="str">
        <f t="shared" si="19"/>
        <v/>
      </c>
      <c r="BK35" s="37"/>
      <c r="BL35" s="174" t="str">
        <f t="shared" si="20"/>
        <v/>
      </c>
      <c r="BM35" s="37"/>
      <c r="BN35" s="174" t="str">
        <f t="shared" si="21"/>
        <v/>
      </c>
      <c r="BO35" s="37"/>
      <c r="BP35" s="174" t="str">
        <f t="shared" si="22"/>
        <v/>
      </c>
      <c r="BQ35" s="37"/>
      <c r="BR35" s="174" t="str">
        <f t="shared" si="23"/>
        <v/>
      </c>
      <c r="BS35" s="37"/>
      <c r="BT35" s="174" t="str">
        <f t="shared" si="24"/>
        <v/>
      </c>
      <c r="BU35" s="37"/>
      <c r="BV35" s="174" t="str">
        <f t="shared" si="25"/>
        <v/>
      </c>
      <c r="BW35" s="37"/>
      <c r="BX35" s="174" t="str">
        <f t="shared" si="26"/>
        <v/>
      </c>
      <c r="BY35" s="37"/>
      <c r="BZ35" s="174" t="str">
        <f t="shared" si="27"/>
        <v/>
      </c>
      <c r="CA35" s="37"/>
      <c r="CB35" s="174" t="str">
        <f t="shared" si="28"/>
        <v/>
      </c>
      <c r="CC35" s="37"/>
      <c r="CD35" s="174" t="str">
        <f t="shared" si="29"/>
        <v/>
      </c>
      <c r="CE35" s="37"/>
      <c r="CF35" s="174" t="str">
        <f t="shared" si="30"/>
        <v/>
      </c>
      <c r="CG35" s="37"/>
      <c r="CH35" s="174" t="str">
        <f t="shared" si="31"/>
        <v/>
      </c>
      <c r="CI35" s="37"/>
      <c r="CJ35" s="174" t="str">
        <f t="shared" si="32"/>
        <v/>
      </c>
      <c r="CK35" s="37"/>
      <c r="CL35" s="174" t="str">
        <f t="shared" si="33"/>
        <v/>
      </c>
      <c r="CM35" s="37"/>
      <c r="CN35" s="174" t="str">
        <f t="shared" si="34"/>
        <v/>
      </c>
      <c r="CO35" s="37"/>
      <c r="CP35" s="174" t="str">
        <f t="shared" si="35"/>
        <v/>
      </c>
      <c r="CQ35" s="37"/>
      <c r="CR35" s="174" t="str">
        <f t="shared" si="36"/>
        <v/>
      </c>
      <c r="CS35" s="37"/>
      <c r="CT35" s="174" t="str">
        <f t="shared" si="37"/>
        <v/>
      </c>
      <c r="CU35" s="38"/>
      <c r="CV35" s="87"/>
      <c r="CW35" s="90"/>
      <c r="CX35" s="38"/>
      <c r="CY35" s="39"/>
      <c r="CZ35" s="37"/>
      <c r="DA35" s="39"/>
      <c r="DB35" s="24">
        <v>31</v>
      </c>
      <c r="DC35" s="96" t="str">
        <f t="shared" si="38"/>
        <v>金</v>
      </c>
      <c r="DF35" s="125"/>
      <c r="DG35" s="40"/>
      <c r="DH35" s="40"/>
      <c r="DI35" s="40"/>
      <c r="DJ35" s="40"/>
      <c r="DK35" s="40"/>
      <c r="DL35" s="40"/>
      <c r="DM35" s="40"/>
      <c r="DN35" s="40"/>
      <c r="DO35" s="40"/>
      <c r="DP35" s="40">
        <f t="shared" si="39"/>
        <v>0</v>
      </c>
      <c r="DQ35" s="172" t="str">
        <f t="shared" si="40"/>
        <v/>
      </c>
      <c r="DS35" s="189"/>
      <c r="DT35" s="190"/>
      <c r="DU35" s="190"/>
      <c r="DV35" s="191"/>
      <c r="DW35" s="41"/>
      <c r="DX35" s="42"/>
    </row>
    <row r="36" spans="1:128" ht="18.75" customHeight="1" thickTop="1" thickBot="1" x14ac:dyDescent="0.45">
      <c r="A36" s="62"/>
      <c r="B36" s="103"/>
      <c r="C36" s="103"/>
      <c r="D36" s="103"/>
      <c r="E36" s="44" t="s">
        <v>95</v>
      </c>
      <c r="F36" s="25">
        <f>SUM(F5:F35)</f>
        <v>3159430</v>
      </c>
      <c r="G36" s="25"/>
      <c r="H36" s="43"/>
      <c r="I36" s="148"/>
      <c r="J36" s="26"/>
      <c r="K36" s="45">
        <f>SUM(K4:K35)</f>
        <v>1862</v>
      </c>
      <c r="L36" s="165">
        <f t="shared" si="2"/>
        <v>0.40878155872667399</v>
      </c>
      <c r="M36" s="46"/>
      <c r="N36" s="47" t="str">
        <f t="shared" si="4"/>
        <v/>
      </c>
      <c r="O36" s="48"/>
      <c r="P36" s="177"/>
      <c r="Q36" s="178"/>
      <c r="R36" s="49"/>
      <c r="S36" s="128"/>
      <c r="T36" s="50" t="s">
        <v>95</v>
      </c>
      <c r="U36" s="51">
        <f>SUM(U5:U35)</f>
        <v>9047410</v>
      </c>
      <c r="V36" s="30"/>
      <c r="W36" s="52">
        <f>SUM(W5:W35)</f>
        <v>4555</v>
      </c>
      <c r="X36" s="53"/>
      <c r="Y36" s="25">
        <f>SUM(Y5:Y35)</f>
        <v>12320557</v>
      </c>
      <c r="Z36" s="32"/>
      <c r="AA36" s="54"/>
      <c r="AB36" s="55"/>
      <c r="AC36" s="54"/>
      <c r="AD36" s="158">
        <f t="shared" ref="AD36:AR36" si="44">SUM(AD5:AD35)</f>
        <v>535232</v>
      </c>
      <c r="AE36" s="25">
        <f t="shared" si="44"/>
        <v>562368</v>
      </c>
      <c r="AF36" s="25">
        <f t="shared" si="44"/>
        <v>86526</v>
      </c>
      <c r="AG36" s="25">
        <f t="shared" si="44"/>
        <v>2802</v>
      </c>
      <c r="AH36" s="25">
        <f t="shared" si="44"/>
        <v>3475</v>
      </c>
      <c r="AI36" s="25">
        <f t="shared" si="44"/>
        <v>27795</v>
      </c>
      <c r="AJ36" s="25">
        <f t="shared" si="44"/>
        <v>2584</v>
      </c>
      <c r="AK36" s="25">
        <f t="shared" si="44"/>
        <v>0</v>
      </c>
      <c r="AL36" s="25">
        <f t="shared" si="44"/>
        <v>61615</v>
      </c>
      <c r="AM36" s="25">
        <f t="shared" si="44"/>
        <v>7050</v>
      </c>
      <c r="AN36" s="25">
        <f t="shared" si="44"/>
        <v>0</v>
      </c>
      <c r="AO36" s="25">
        <f t="shared" si="44"/>
        <v>0</v>
      </c>
      <c r="AP36" s="25">
        <f t="shared" si="44"/>
        <v>0</v>
      </c>
      <c r="AQ36" s="158">
        <f t="shared" si="44"/>
        <v>0</v>
      </c>
      <c r="AR36" s="56">
        <f t="shared" si="44"/>
        <v>1289447</v>
      </c>
      <c r="AS36" s="179">
        <f>IF(ISERROR((AR36/$F36)),"",AR36/$F36)</f>
        <v>0.40812646584985268</v>
      </c>
      <c r="AT36" s="77">
        <f>SUM(AT5:AT35)</f>
        <v>1869983</v>
      </c>
      <c r="AU36" s="173"/>
      <c r="AV36" s="83" t="s">
        <v>95</v>
      </c>
      <c r="AW36" s="57">
        <f>SUM(AW5:AW35)</f>
        <v>601025</v>
      </c>
      <c r="AX36" s="57"/>
      <c r="AY36" s="57">
        <f>SUM(AY5:AY35)</f>
        <v>26118</v>
      </c>
      <c r="AZ36" s="57"/>
      <c r="BA36" s="57">
        <f>SUM(BA5:BA35)</f>
        <v>1126159</v>
      </c>
      <c r="BB36" s="57"/>
      <c r="BC36" s="57">
        <f>SUM(BC5:BC35)</f>
        <v>46220</v>
      </c>
      <c r="BD36" s="57"/>
      <c r="BE36" s="57">
        <f>SUM(BE5:BE35)</f>
        <v>0</v>
      </c>
      <c r="BF36" s="57"/>
      <c r="BG36" s="57">
        <f>SUM(BG5:BG35)</f>
        <v>39467</v>
      </c>
      <c r="BH36" s="57"/>
      <c r="BI36" s="57">
        <f>SUM(BI5:BI35)</f>
        <v>25010</v>
      </c>
      <c r="BJ36" s="57"/>
      <c r="BK36" s="57">
        <f>SUM(BK5:BK35)</f>
        <v>161747</v>
      </c>
      <c r="BL36" s="57"/>
      <c r="BM36" s="57">
        <f>SUM(BM5:BM35)</f>
        <v>602876</v>
      </c>
      <c r="BN36" s="57"/>
      <c r="BO36" s="57">
        <f>SUM(BO5:BO35)</f>
        <v>19904</v>
      </c>
      <c r="BP36" s="57"/>
      <c r="BQ36" s="57">
        <f>SUM(BQ5:BQ35)</f>
        <v>21581</v>
      </c>
      <c r="BR36" s="57"/>
      <c r="BS36" s="57">
        <f>SUM(BS5:BS35)</f>
        <v>4095</v>
      </c>
      <c r="BT36" s="57"/>
      <c r="BU36" s="57">
        <f>SUM(BU5:BU35)</f>
        <v>0</v>
      </c>
      <c r="BV36" s="57"/>
      <c r="BW36" s="57">
        <f>SUM(BW5:BW35)</f>
        <v>7305</v>
      </c>
      <c r="BX36" s="57"/>
      <c r="BY36" s="57">
        <f>SUM(BY5:BY35)</f>
        <v>0</v>
      </c>
      <c r="BZ36" s="57"/>
      <c r="CA36" s="57">
        <f>SUM(CA5:CA35)</f>
        <v>0</v>
      </c>
      <c r="CB36" s="57"/>
      <c r="CC36" s="57">
        <f>SUM(CC5:CC35)</f>
        <v>43218</v>
      </c>
      <c r="CD36" s="58"/>
      <c r="CE36" s="57">
        <f>SUM(CE5:CE35)</f>
        <v>8300</v>
      </c>
      <c r="CF36" s="58"/>
      <c r="CG36" s="57">
        <f>SUM(CG5:CG35)</f>
        <v>0</v>
      </c>
      <c r="CH36" s="57"/>
      <c r="CI36" s="57">
        <f>SUM(CI5:CI35)</f>
        <v>12626</v>
      </c>
      <c r="CJ36" s="58"/>
      <c r="CK36" s="57">
        <f>SUM(CK5:CK35)</f>
        <v>0</v>
      </c>
      <c r="CL36" s="58"/>
      <c r="CM36" s="57">
        <f>SUM(CM5:CM35)</f>
        <v>0</v>
      </c>
      <c r="CN36" s="57"/>
      <c r="CO36" s="57">
        <f>SUM(CO5:CO35)</f>
        <v>0</v>
      </c>
      <c r="CP36" s="58"/>
      <c r="CQ36" s="57">
        <f>SUM(CQ5:CQ35)</f>
        <v>0</v>
      </c>
      <c r="CR36" s="58"/>
      <c r="CS36" s="57">
        <f>SUM(CS5:CS35)</f>
        <v>0</v>
      </c>
      <c r="CT36" s="60"/>
      <c r="CU36" s="59">
        <f>SUM(CU5:CU35)</f>
        <v>0</v>
      </c>
      <c r="CV36" s="60">
        <f>SUM(CV5:CV35)</f>
        <v>0</v>
      </c>
      <c r="CW36" s="91"/>
      <c r="CX36" s="59">
        <f>SUM(CX5:CX35)</f>
        <v>148680</v>
      </c>
      <c r="CY36" s="39">
        <f>SUM(CY5:CY35)</f>
        <v>188</v>
      </c>
      <c r="CZ36" s="57">
        <f>SUM(CZ5:CZ35)</f>
        <v>85377</v>
      </c>
      <c r="DA36" s="61">
        <f>SUM(DA5:DA35)</f>
        <v>198</v>
      </c>
      <c r="DB36" s="44"/>
      <c r="DC36" s="97"/>
      <c r="DF36" s="125">
        <f t="shared" ref="DF36:DP36" si="45">SUM(DF5:DF35)</f>
        <v>0</v>
      </c>
      <c r="DG36" s="40">
        <f t="shared" si="45"/>
        <v>0</v>
      </c>
      <c r="DH36" s="40">
        <f t="shared" si="45"/>
        <v>0</v>
      </c>
      <c r="DI36" s="40">
        <f t="shared" si="45"/>
        <v>0</v>
      </c>
      <c r="DJ36" s="40">
        <f t="shared" si="45"/>
        <v>0</v>
      </c>
      <c r="DK36" s="40">
        <f t="shared" si="45"/>
        <v>0</v>
      </c>
      <c r="DL36" s="40">
        <f t="shared" si="45"/>
        <v>0</v>
      </c>
      <c r="DM36" s="40">
        <f t="shared" si="45"/>
        <v>0</v>
      </c>
      <c r="DN36" s="40">
        <f t="shared" si="45"/>
        <v>0</v>
      </c>
      <c r="DO36" s="40">
        <f t="shared" si="45"/>
        <v>0</v>
      </c>
      <c r="DP36" s="40">
        <f t="shared" si="45"/>
        <v>0</v>
      </c>
      <c r="DQ36" s="179">
        <f>IF(ISERROR((DP36/$F36)),"",DP36/$F36)</f>
        <v>0</v>
      </c>
      <c r="DS36" s="198" t="s">
        <v>96</v>
      </c>
      <c r="DT36" s="199"/>
      <c r="DU36" s="199"/>
      <c r="DV36" s="199"/>
      <c r="DW36" s="199"/>
      <c r="DX36" s="199"/>
    </row>
    <row r="37" spans="1:128" ht="19.149999999999999" customHeight="1" thickTop="1" thickBot="1" x14ac:dyDescent="0.45">
      <c r="E37" s="62" t="s">
        <v>97</v>
      </c>
      <c r="F37" s="66">
        <f>IF(ISERROR(AVERAGE(F5:F35)),"",AVERAGE(F5:F35))</f>
        <v>263285.83333333331</v>
      </c>
      <c r="G37" s="66"/>
      <c r="H37" s="100">
        <f>IF(ISERROR(F37/U37),"",(F37/U37))</f>
        <v>0.90212125164365631</v>
      </c>
      <c r="I37" s="149"/>
      <c r="J37" s="101">
        <f>IF(ISERROR(F37/AC5),"",(F37/AC5))</f>
        <v>1.3164291666666665</v>
      </c>
      <c r="K37" s="102">
        <f>IF(ISERROR(AVERAGE(K4:K35)),"",AVERAGE(K4:K35))</f>
        <v>155.16666666666666</v>
      </c>
      <c r="L37" s="180">
        <f t="shared" si="2"/>
        <v>1.0560190267105745</v>
      </c>
      <c r="M37" s="102">
        <f>IF(ISERROR(AVERAGE(M4:M35)),"",AVERAGE(M4:M35))</f>
        <v>1674.1080850509654</v>
      </c>
      <c r="N37" s="181">
        <f t="shared" si="4"/>
        <v>0.85328571336640469</v>
      </c>
      <c r="O37" s="182">
        <f>AVERAGE(O4:O35)</f>
        <v>56.64087093628725</v>
      </c>
      <c r="P37" s="183"/>
      <c r="Q37" s="184">
        <f>AVERAGE(Q4:Q35)</f>
        <v>31.033350520142012</v>
      </c>
      <c r="T37" s="62" t="s">
        <v>97</v>
      </c>
      <c r="U37" s="63">
        <f>IF(ISERROR(AVERAGE(U5:U35)),"",AVERAGE(U5:U35))</f>
        <v>291851.93548387097</v>
      </c>
      <c r="V37" s="64"/>
      <c r="W37" s="65">
        <f>IF(ISERROR(AVERAGE(W5:W35)),"",AVERAGE(W5:W35))</f>
        <v>146.93548387096774</v>
      </c>
      <c r="X37" s="65">
        <f>IF(ISERROR(AVERAGE(X5:X35)),"",AVERAGE(X5:X35))</f>
        <v>1961.9548983730563</v>
      </c>
      <c r="Y37" s="66">
        <f>IF(ISERROR(AVERAGE(Y5:Y35)),"",AVERAGE(Y5:Y35))</f>
        <v>397437.32258064515</v>
      </c>
      <c r="Z37" s="66"/>
      <c r="AA37" s="67"/>
      <c r="AB37" s="201" t="s">
        <v>98</v>
      </c>
      <c r="AC37" s="202"/>
      <c r="AD37" s="68">
        <f t="shared" ref="AD37:AQ37" si="46">IF(ISERROR(AVERAGE(AD5:AD35)),"",AVERAGE(AD5:AD35))</f>
        <v>44602.666666666664</v>
      </c>
      <c r="AE37" s="66">
        <f t="shared" si="46"/>
        <v>46864</v>
      </c>
      <c r="AF37" s="66">
        <f t="shared" si="46"/>
        <v>7210.5</v>
      </c>
      <c r="AG37" s="66">
        <f t="shared" si="46"/>
        <v>233.5</v>
      </c>
      <c r="AH37" s="66">
        <f t="shared" si="46"/>
        <v>289.58333333333331</v>
      </c>
      <c r="AI37" s="66">
        <f t="shared" si="46"/>
        <v>2316.25</v>
      </c>
      <c r="AJ37" s="66">
        <f t="shared" si="46"/>
        <v>215.33333333333334</v>
      </c>
      <c r="AK37" s="66">
        <f t="shared" si="46"/>
        <v>0</v>
      </c>
      <c r="AL37" s="66">
        <f t="shared" si="46"/>
        <v>5134.583333333333</v>
      </c>
      <c r="AM37" s="66">
        <f t="shared" si="46"/>
        <v>587.5</v>
      </c>
      <c r="AN37" s="66">
        <f t="shared" si="46"/>
        <v>0</v>
      </c>
      <c r="AO37" s="66" t="str">
        <f t="shared" si="46"/>
        <v/>
      </c>
      <c r="AP37" s="66" t="str">
        <f t="shared" si="46"/>
        <v/>
      </c>
      <c r="AQ37" s="69" t="str">
        <f t="shared" si="46"/>
        <v/>
      </c>
      <c r="AR37" s="70"/>
      <c r="AS37" s="185"/>
      <c r="AT37" s="185"/>
      <c r="AU37" s="186"/>
      <c r="AV37" s="84" t="s">
        <v>97</v>
      </c>
      <c r="AW37" s="72">
        <f>IF(ISERROR(AVERAGE(AW5:AW35)),"",AVERAGE(AW5:AW35))</f>
        <v>50085.416666666664</v>
      </c>
      <c r="AX37" s="187">
        <f>AVERAGE(AX5:AX35)</f>
        <v>0.18778743631315761</v>
      </c>
      <c r="AY37" s="72">
        <f>IF(ISERROR(AVERAGE(AY5:AY35)),"",AVERAGE(AY5:AY35))</f>
        <v>2176.5</v>
      </c>
      <c r="AZ37" s="187">
        <f>AVERAGE(AZ5:AZ35)</f>
        <v>7.8145413385250894E-3</v>
      </c>
      <c r="BA37" s="72">
        <f>IF(ISERROR(AVERAGE(BA5:BA35)),"",AVERAGE(BA5:BA35))</f>
        <v>93846.583333333328</v>
      </c>
      <c r="BB37" s="187">
        <f>AVERAGE(BB5:BB35)</f>
        <v>0.35972273621386547</v>
      </c>
      <c r="BC37" s="72">
        <f>IF(ISERROR(AVERAGE(BC5:BC35)),"",AVERAGE(BC5:BC35))</f>
        <v>3851.6666666666665</v>
      </c>
      <c r="BD37" s="187">
        <f>AVERAGE(BD5:BD35)</f>
        <v>1.6197140193335759E-2</v>
      </c>
      <c r="BE37" s="72">
        <f>IF(ISERROR(AVERAGE(BE5:BE35)),"",AVERAGE(BE5:BE35))</f>
        <v>0</v>
      </c>
      <c r="BF37" s="187">
        <f>AVERAGE(BF5:BF35)</f>
        <v>0</v>
      </c>
      <c r="BG37" s="72">
        <f>IF(ISERROR(AVERAGE(BG5:BG35)),"",AVERAGE(BG5:BG35))</f>
        <v>3288.9166666666665</v>
      </c>
      <c r="BH37" s="187">
        <f>AVERAGE(BH5:BH35)</f>
        <v>1.4023158103302293E-2</v>
      </c>
      <c r="BI37" s="72">
        <f>IF(ISERROR(AVERAGE(BI5:BI35)),"",AVERAGE(BI5:BI35))</f>
        <v>2084.1666666666665</v>
      </c>
      <c r="BJ37" s="187">
        <f>AVERAGE(BJ5:BJ35)</f>
        <v>8.3776431578742368E-3</v>
      </c>
      <c r="BK37" s="72">
        <f>IF(ISERROR(AVERAGE(BK5:BK35)),"",AVERAGE(BK5:BK35))</f>
        <v>13478.916666666666</v>
      </c>
      <c r="BL37" s="187">
        <f>AVERAGE(BL5:BL35)</f>
        <v>6.0221412311714663E-2</v>
      </c>
      <c r="BM37" s="72">
        <f>IF(ISERROR(AVERAGE(BM5:BM35)),"",AVERAGE(BM5:BM35))</f>
        <v>50239.666666666664</v>
      </c>
      <c r="BN37" s="187">
        <f>AVERAGE(BN5:BN35)</f>
        <v>0.17942638375665973</v>
      </c>
      <c r="BO37" s="72">
        <f>IF(ISERROR(AVERAGE(BO5:BO35)),"",AVERAGE(BO5:BO35))</f>
        <v>1658.6666666666667</v>
      </c>
      <c r="BP37" s="187">
        <f>AVERAGE(BP5:BP35)</f>
        <v>7.0447606338955903E-3</v>
      </c>
      <c r="BQ37" s="72">
        <f>IF(ISERROR(AVERAGE(BQ5:BQ35)),"",AVERAGE(BQ5:BQ35))</f>
        <v>1798.4166666666667</v>
      </c>
      <c r="BR37" s="187">
        <f>AVERAGE(BR5:BR35)</f>
        <v>6.973446382081131E-3</v>
      </c>
      <c r="BS37" s="72">
        <f>IF(ISERROR(AVERAGE(BS5:BS35)),"",AVERAGE(BS5:BS35))</f>
        <v>341.25</v>
      </c>
      <c r="BT37" s="187">
        <f>AVERAGE(BT5:BT35)</f>
        <v>1.3086084439324101E-3</v>
      </c>
      <c r="BU37" s="72">
        <f>IF(ISERROR(AVERAGE(BU5:BU35)),"",AVERAGE(BU5:BU35))</f>
        <v>0</v>
      </c>
      <c r="BV37" s="187">
        <f>AVERAGE(BV5:BV35)</f>
        <v>0</v>
      </c>
      <c r="BW37" s="72">
        <f>IF(ISERROR(AVERAGE(BW5:BW35)),"",AVERAGE(BW5:BW35))</f>
        <v>608.75</v>
      </c>
      <c r="BX37" s="187">
        <f>AVERAGE(BX5:BX35)</f>
        <v>2.0083048833120756E-3</v>
      </c>
      <c r="BY37" s="72">
        <f>IF(ISERROR(AVERAGE(BY5:BY35)),"",AVERAGE(BY5:BY35))</f>
        <v>0</v>
      </c>
      <c r="BZ37" s="187">
        <f>AVERAGE(BZ5:BZ35)</f>
        <v>0</v>
      </c>
      <c r="CA37" s="72">
        <f>IF(ISERROR(AVERAGE(CA5:CA35)),"",AVERAGE(CA5:CA35))</f>
        <v>0</v>
      </c>
      <c r="CB37" s="187">
        <f>AVERAGE(CB5:CB35)</f>
        <v>0</v>
      </c>
      <c r="CC37" s="72">
        <f>IF(ISERROR(AVERAGE(CC5:CC35)),"",AVERAGE(CC5:CC35))</f>
        <v>3601.5</v>
      </c>
      <c r="CD37" s="187">
        <f>AVERAGE(CD5:CD35)</f>
        <v>1.2704377562580695E-2</v>
      </c>
      <c r="CE37" s="72">
        <f>IF(ISERROR(AVERAGE(CE5:CE35)),"",AVERAGE(CE5:CE35))</f>
        <v>691.66666666666663</v>
      </c>
      <c r="CF37" s="187">
        <f>AVERAGE(CF5:CF35)</f>
        <v>2.962775679562124E-3</v>
      </c>
      <c r="CG37" s="72">
        <f>IF(ISERROR(AVERAGE(CG5:CG35)),"",AVERAGE(CG5:CG35))</f>
        <v>0</v>
      </c>
      <c r="CH37" s="187">
        <f>AVERAGE(CH5:CH35)</f>
        <v>0</v>
      </c>
      <c r="CI37" s="72">
        <f>IF(ISERROR(AVERAGE(CI5:CI35)),"",AVERAGE(CI5:CI35))</f>
        <v>1052.1666666666667</v>
      </c>
      <c r="CJ37" s="187">
        <f>AVERAGE(CJ5:CJ35)</f>
        <v>3.2217630210658898E-3</v>
      </c>
      <c r="CK37" s="72">
        <f>IF(ISERROR(AVERAGE(CK5:CK35)),"",AVERAGE(CK5:CK35))</f>
        <v>0</v>
      </c>
      <c r="CL37" s="187">
        <f>AVERAGE(CL5:CL35)</f>
        <v>0</v>
      </c>
      <c r="CM37" s="72">
        <f>IF(ISERROR(AVERAGE(CM5:CM35)),"",AVERAGE(CM5:CM35))</f>
        <v>0</v>
      </c>
      <c r="CN37" s="187">
        <f>AVERAGE(CN5:CN35)</f>
        <v>0</v>
      </c>
      <c r="CO37" s="72" t="str">
        <f>IF(ISERROR(AVERAGE(CO5:CO35)),"",AVERAGE(CO5:CO35))</f>
        <v/>
      </c>
      <c r="CP37" s="187">
        <f>AVERAGE(CP5:CP35)</f>
        <v>0</v>
      </c>
      <c r="CQ37" s="72" t="str">
        <f>IF(ISERROR(AVERAGE(CQ5:CQ35)),"",AVERAGE(CQ5:CQ35))</f>
        <v/>
      </c>
      <c r="CR37" s="187">
        <f>AVERAGE(CR5:CR35)</f>
        <v>0</v>
      </c>
      <c r="CS37" s="72" t="str">
        <f>IF(ISERROR(AVERAGE(CS5:CS35)),"",AVERAGE(CS5:CS35))</f>
        <v/>
      </c>
      <c r="CT37" s="188">
        <f>AVERAGE(CT5:CT35)</f>
        <v>0</v>
      </c>
      <c r="CU37" s="71" t="str">
        <f>IF(ISERROR(AVERAGE(CU5:CU35)),"",AVERAGE(CU5:CU35))</f>
        <v/>
      </c>
      <c r="CV37" s="88" t="str">
        <f>IF(ISERROR(AVERAGE(CV5:CV35)),"",AVERAGE(CV5:CV35))</f>
        <v/>
      </c>
      <c r="CW37" s="92"/>
      <c r="CX37" s="71">
        <f>IF(ISERROR(AVERAGE(CX5:CX35)),"",AVERAGE(CX5:CX35))</f>
        <v>12390</v>
      </c>
      <c r="CY37" s="154">
        <f>IF(ISERROR(AVERAGE(CY5:CY35)),"",AVERAGE(CY5:CY35))</f>
        <v>15.666666666666666</v>
      </c>
      <c r="CZ37" s="72">
        <f>IF(ISERROR(AVERAGE(CZ5:CZ35)),"",AVERAGE(CZ5:CZ35))</f>
        <v>7114.75</v>
      </c>
      <c r="DA37" s="72">
        <f>IF(ISERROR(AVERAGE(DA5:DA35)),"",AVERAGE(DA5:DA35))</f>
        <v>16.5</v>
      </c>
      <c r="DB37" s="98"/>
      <c r="DC37" s="99"/>
      <c r="DF37" s="126" t="e">
        <f t="shared" ref="DF37:DP37" si="47">AVERAGE(DF5:DF35)</f>
        <v>#DIV/0!</v>
      </c>
      <c r="DG37" s="127" t="e">
        <f t="shared" si="47"/>
        <v>#DIV/0!</v>
      </c>
      <c r="DH37" s="127" t="e">
        <f t="shared" si="47"/>
        <v>#DIV/0!</v>
      </c>
      <c r="DI37" s="127" t="e">
        <f t="shared" si="47"/>
        <v>#DIV/0!</v>
      </c>
      <c r="DJ37" s="127" t="e">
        <f t="shared" si="47"/>
        <v>#DIV/0!</v>
      </c>
      <c r="DK37" s="127" t="e">
        <f t="shared" si="47"/>
        <v>#DIV/0!</v>
      </c>
      <c r="DL37" s="127" t="e">
        <f t="shared" si="47"/>
        <v>#DIV/0!</v>
      </c>
      <c r="DM37" s="127" t="e">
        <f t="shared" si="47"/>
        <v>#DIV/0!</v>
      </c>
      <c r="DN37" s="127" t="e">
        <f t="shared" si="47"/>
        <v>#DIV/0!</v>
      </c>
      <c r="DO37" s="127" t="e">
        <f t="shared" si="47"/>
        <v>#DIV/0!</v>
      </c>
      <c r="DP37" s="127">
        <f t="shared" si="47"/>
        <v>0</v>
      </c>
      <c r="DQ37" s="188"/>
      <c r="DS37" s="198" t="s">
        <v>99</v>
      </c>
      <c r="DT37" s="199"/>
      <c r="DU37" s="199"/>
      <c r="DV37" s="199"/>
      <c r="DW37" s="199"/>
      <c r="DX37" s="199"/>
    </row>
    <row r="38" spans="1:128" ht="19.149999999999999" customHeight="1" thickTop="1" thickBot="1" x14ac:dyDescent="0.45">
      <c r="U38" s="152"/>
      <c r="V38" s="2"/>
      <c r="DS38" s="198" t="s">
        <v>100</v>
      </c>
      <c r="DT38" s="199"/>
      <c r="DU38" s="199"/>
      <c r="DV38" s="199"/>
      <c r="DW38" s="199"/>
      <c r="DX38" s="199"/>
    </row>
    <row r="39" spans="1:128" ht="18.75" customHeight="1" thickTop="1" x14ac:dyDescent="0.4">
      <c r="E39" s="196" t="s">
        <v>101</v>
      </c>
      <c r="F39" s="197"/>
      <c r="H39" s="137" t="s">
        <v>12</v>
      </c>
      <c r="T39" s="200" t="s">
        <v>102</v>
      </c>
      <c r="U39" s="197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 spans="1:128" ht="18.75" customHeight="1" thickBot="1" x14ac:dyDescent="0.45">
      <c r="E40" s="133" t="s">
        <v>95</v>
      </c>
      <c r="F40" s="143"/>
      <c r="H40" s="142" t="str">
        <f>IF(ISERROR(F40/U40),"",(F40/U40))</f>
        <v/>
      </c>
      <c r="I40" s="146"/>
      <c r="T40" s="133" t="s">
        <v>95</v>
      </c>
      <c r="U40" s="135"/>
    </row>
    <row r="41" spans="1:128" ht="18.75" customHeight="1" thickTop="1" thickBot="1" x14ac:dyDescent="0.45">
      <c r="E41" s="134" t="s">
        <v>97</v>
      </c>
      <c r="F41" s="136">
        <f>F40/30</f>
        <v>0</v>
      </c>
      <c r="T41" s="134" t="s">
        <v>97</v>
      </c>
      <c r="U41" s="136">
        <f>U40/30</f>
        <v>0</v>
      </c>
    </row>
    <row r="42" spans="1:128" ht="13.9" customHeight="1" thickTop="1" x14ac:dyDescent="0.4"/>
  </sheetData>
  <mergeCells count="44">
    <mergeCell ref="DS35:DV35"/>
    <mergeCell ref="DS37:DX37"/>
    <mergeCell ref="AB37:AC37"/>
    <mergeCell ref="A1:E2"/>
    <mergeCell ref="DS11:DV11"/>
    <mergeCell ref="AX1:BC2"/>
    <mergeCell ref="DS14:DV14"/>
    <mergeCell ref="DS23:DV23"/>
    <mergeCell ref="DS17:DV17"/>
    <mergeCell ref="DS12:DV12"/>
    <mergeCell ref="DS21:DV21"/>
    <mergeCell ref="DS33:DV33"/>
    <mergeCell ref="DS4:DV4"/>
    <mergeCell ref="DS20:DV20"/>
    <mergeCell ref="DS16:DV16"/>
    <mergeCell ref="DS7:DV7"/>
    <mergeCell ref="E39:F39"/>
    <mergeCell ref="DS8:DV8"/>
    <mergeCell ref="DS27:DV27"/>
    <mergeCell ref="DS29:DV29"/>
    <mergeCell ref="DS19:DV19"/>
    <mergeCell ref="DS10:DV10"/>
    <mergeCell ref="DS13:DV13"/>
    <mergeCell ref="DS9:DV9"/>
    <mergeCell ref="DS34:DV34"/>
    <mergeCell ref="DS28:DV28"/>
    <mergeCell ref="DS24:DV24"/>
    <mergeCell ref="DS15:DV15"/>
    <mergeCell ref="DS36:DX36"/>
    <mergeCell ref="T39:U39"/>
    <mergeCell ref="DS31:DV31"/>
    <mergeCell ref="DS38:DX38"/>
    <mergeCell ref="DS25:DV25"/>
    <mergeCell ref="DS32:DV32"/>
    <mergeCell ref="DS26:DV26"/>
    <mergeCell ref="DS22:DV22"/>
    <mergeCell ref="DS6:DV6"/>
    <mergeCell ref="DS30:DV30"/>
    <mergeCell ref="DS5:DV5"/>
    <mergeCell ref="F1:F2"/>
    <mergeCell ref="DS18:DV18"/>
    <mergeCell ref="H1:K2"/>
    <mergeCell ref="G1:G2"/>
    <mergeCell ref="M1:M2"/>
  </mergeCells>
  <phoneticPr fontId="3"/>
  <conditionalFormatting sqref="B5:D35">
    <cfRule type="expression" dxfId="377" priority="33" stopIfTrue="1">
      <formula>(B5)="土"</formula>
    </cfRule>
    <cfRule type="expression" dxfId="376" priority="34" stopIfTrue="1">
      <formula>(B5)="日"</formula>
    </cfRule>
  </conditionalFormatting>
  <conditionalFormatting sqref="R5:S35">
    <cfRule type="expression" dxfId="375" priority="29" stopIfTrue="1">
      <formula>(R5)="土"</formula>
    </cfRule>
    <cfRule type="expression" dxfId="374" priority="30" stopIfTrue="1">
      <formula>(R5)="日"</formula>
    </cfRule>
  </conditionalFormatting>
  <conditionalFormatting sqref="AX5:AX34">
    <cfRule type="cellIs" dxfId="373" priority="28" operator="equal">
      <formula>0</formula>
    </cfRule>
  </conditionalFormatting>
  <conditionalFormatting sqref="AZ5:AZ34">
    <cfRule type="cellIs" dxfId="372" priority="27" operator="equal">
      <formula>0</formula>
    </cfRule>
  </conditionalFormatting>
  <conditionalFormatting sqref="BB5:BB34">
    <cfRule type="cellIs" dxfId="371" priority="26" operator="equal">
      <formula>0</formula>
    </cfRule>
  </conditionalFormatting>
  <conditionalFormatting sqref="BD5:BD34">
    <cfRule type="cellIs" dxfId="370" priority="25" operator="equal">
      <formula>0</formula>
    </cfRule>
  </conditionalFormatting>
  <conditionalFormatting sqref="BF5:BF34">
    <cfRule type="cellIs" dxfId="369" priority="24" operator="equal">
      <formula>0</formula>
    </cfRule>
  </conditionalFormatting>
  <conditionalFormatting sqref="BH5:BH34">
    <cfRule type="cellIs" dxfId="368" priority="23" operator="equal">
      <formula>0</formula>
    </cfRule>
  </conditionalFormatting>
  <conditionalFormatting sqref="BJ5:BJ34">
    <cfRule type="cellIs" dxfId="367" priority="22" operator="equal">
      <formula>0</formula>
    </cfRule>
  </conditionalFormatting>
  <conditionalFormatting sqref="BL5:BL34">
    <cfRule type="cellIs" dxfId="366" priority="21" operator="equal">
      <formula>0</formula>
    </cfRule>
  </conditionalFormatting>
  <conditionalFormatting sqref="BN5:BN34">
    <cfRule type="cellIs" dxfId="365" priority="20" operator="equal">
      <formula>0</formula>
    </cfRule>
  </conditionalFormatting>
  <conditionalFormatting sqref="BP5:BP34">
    <cfRule type="cellIs" dxfId="364" priority="19" operator="equal">
      <formula>0</formula>
    </cfRule>
  </conditionalFormatting>
  <conditionalFormatting sqref="BR5:BR34">
    <cfRule type="cellIs" dxfId="363" priority="18" operator="equal">
      <formula>0</formula>
    </cfRule>
  </conditionalFormatting>
  <conditionalFormatting sqref="BT5:BT34">
    <cfRule type="cellIs" dxfId="362" priority="17" operator="equal">
      <formula>0</formula>
    </cfRule>
  </conditionalFormatting>
  <conditionalFormatting sqref="BV5:BV34">
    <cfRule type="cellIs" dxfId="361" priority="16" operator="equal">
      <formula>0</formula>
    </cfRule>
  </conditionalFormatting>
  <conditionalFormatting sqref="BX5:BX34">
    <cfRule type="cellIs" dxfId="360" priority="15" operator="equal">
      <formula>0</formula>
    </cfRule>
  </conditionalFormatting>
  <conditionalFormatting sqref="BZ5:BZ34">
    <cfRule type="cellIs" dxfId="359" priority="12" operator="equal">
      <formula>0</formula>
    </cfRule>
  </conditionalFormatting>
  <conditionalFormatting sqref="CB5:CB34">
    <cfRule type="cellIs" dxfId="358" priority="11" operator="equal">
      <formula>0</formula>
    </cfRule>
  </conditionalFormatting>
  <conditionalFormatting sqref="CD5:CD34">
    <cfRule type="cellIs" dxfId="357" priority="10" operator="equal">
      <formula>0</formula>
    </cfRule>
  </conditionalFormatting>
  <conditionalFormatting sqref="CF5:CF34">
    <cfRule type="cellIs" dxfId="356" priority="9" operator="equal">
      <formula>0</formula>
    </cfRule>
  </conditionalFormatting>
  <conditionalFormatting sqref="CH5:CH34">
    <cfRule type="cellIs" dxfId="355" priority="8" operator="equal">
      <formula>0</formula>
    </cfRule>
  </conditionalFormatting>
  <conditionalFormatting sqref="CJ5:CJ34">
    <cfRule type="cellIs" dxfId="354" priority="7" operator="equal">
      <formula>0</formula>
    </cfRule>
  </conditionalFormatting>
  <conditionalFormatting sqref="CL5:CL34">
    <cfRule type="cellIs" dxfId="353" priority="6" operator="equal">
      <formula>0</formula>
    </cfRule>
  </conditionalFormatting>
  <conditionalFormatting sqref="CN5:CN34">
    <cfRule type="cellIs" dxfId="352" priority="5" operator="equal">
      <formula>0</formula>
    </cfRule>
  </conditionalFormatting>
  <conditionalFormatting sqref="CP5:CP34">
    <cfRule type="cellIs" dxfId="351" priority="4" operator="equal">
      <formula>0</formula>
    </cfRule>
  </conditionalFormatting>
  <conditionalFormatting sqref="CR5:CR34">
    <cfRule type="cellIs" dxfId="350" priority="3" operator="equal">
      <formula>0</formula>
    </cfRule>
  </conditionalFormatting>
  <conditionalFormatting sqref="CT5:CT34">
    <cfRule type="cellIs" dxfId="349" priority="2" operator="equal">
      <formula>0</formula>
    </cfRule>
  </conditionalFormatting>
  <conditionalFormatting sqref="DC5:DC35">
    <cfRule type="expression" dxfId="348" priority="31" stopIfTrue="1">
      <formula>(DC5)="土"</formula>
    </cfRule>
    <cfRule type="expression" dxfId="347" priority="32" stopIfTrue="1">
      <formula>(DC5)="日"</formula>
    </cfRule>
  </conditionalFormatting>
  <pageMargins left="0.12" right="0.18" top="0.75" bottom="0.75" header="0.3" footer="0.3"/>
  <pageSetup paperSize="9" orientation="landscape" horizontalDpi="429496729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B42"/>
  <sheetViews>
    <sheetView zoomScaleNormal="100" workbookViewId="0">
      <pane ySplit="4" topLeftCell="A12" activePane="bottomLeft" state="frozen"/>
      <selection pane="bottomLeft" activeCell="DD4" sqref="DD4"/>
    </sheetView>
  </sheetViews>
  <sheetFormatPr defaultRowHeight="13.5" x14ac:dyDescent="0.4"/>
  <cols>
    <col min="1" max="4" width="3.125" style="5" customWidth="1"/>
    <col min="5" max="5" width="5.625" style="5" customWidth="1"/>
    <col min="6" max="6" width="10.625" style="73" customWidth="1"/>
    <col min="7" max="7" width="12.5" style="73" customWidth="1"/>
    <col min="8" max="10" width="8.625" style="2" customWidth="1"/>
    <col min="11" max="11" width="5.625" style="2" customWidth="1"/>
    <col min="12" max="12" width="4.625" style="2" customWidth="1"/>
    <col min="13" max="13" width="5.625" style="2" customWidth="1"/>
    <col min="14" max="17" width="4.625" style="2" customWidth="1"/>
    <col min="18" max="19" width="3.125" style="5" customWidth="1"/>
    <col min="20" max="20" width="5.625" style="5" customWidth="1"/>
    <col min="21" max="21" width="7.625" style="73" customWidth="1"/>
    <col min="22" max="22" width="8.625" style="73" customWidth="1"/>
    <col min="23" max="24" width="5.625" style="2" customWidth="1"/>
    <col min="25" max="25" width="6.625" style="2" customWidth="1"/>
    <col min="26" max="26" width="9.875" style="2" customWidth="1"/>
    <col min="27" max="38" width="8.625" style="73" customWidth="1"/>
    <col min="39" max="43" width="8.625" style="73" hidden="1" customWidth="1"/>
    <col min="44" max="44" width="12.5" style="2" customWidth="1"/>
    <col min="45" max="45" width="6.75" style="2" customWidth="1"/>
    <col min="46" max="46" width="12.625" style="2" customWidth="1"/>
    <col min="47" max="47" width="8.625" style="161" customWidth="1"/>
    <col min="48" max="48" width="5.5" style="2" bestFit="1" customWidth="1"/>
    <col min="49" max="98" width="6.75" style="2" customWidth="1"/>
    <col min="99" max="100" width="8.625" style="2" customWidth="1"/>
    <col min="101" max="101" width="2.875" style="2" customWidth="1"/>
    <col min="102" max="102" width="10.625" style="2" customWidth="1"/>
    <col min="103" max="103" width="6.625" style="2" customWidth="1"/>
    <col min="104" max="104" width="10.625" style="2" customWidth="1"/>
    <col min="105" max="105" width="6.625" style="2" customWidth="1"/>
    <col min="106" max="107" width="3.125" style="5" customWidth="1"/>
    <col min="108" max="108" width="1.125" style="2" customWidth="1"/>
    <col min="109" max="109" width="2.375" style="2" customWidth="1"/>
    <col min="110" max="120" width="7.625" style="6" hidden="1" customWidth="1"/>
    <col min="121" max="121" width="6.75" style="2" hidden="1" customWidth="1"/>
    <col min="122" max="122" width="9" style="2" customWidth="1"/>
    <col min="123" max="126" width="8.625" style="2" customWidth="1"/>
    <col min="127" max="127" width="12.625" style="2" customWidth="1"/>
    <col min="128" max="128" width="8.625" style="2" customWidth="1"/>
    <col min="129" max="303" width="9" style="2" customWidth="1"/>
    <col min="304" max="305" width="3.125" style="2" customWidth="1"/>
    <col min="306" max="306" width="5.875" style="2" bestFit="1" customWidth="1"/>
    <col min="307" max="307" width="5.625" style="2" customWidth="1"/>
    <col min="308" max="308" width="10.625" style="2" customWidth="1"/>
    <col min="309" max="309" width="12.625" style="2" customWidth="1"/>
    <col min="310" max="310" width="8.625" style="2" customWidth="1"/>
    <col min="311" max="311" width="5.625" style="2" customWidth="1"/>
    <col min="312" max="312" width="4.625" style="2" customWidth="1"/>
    <col min="313" max="313" width="5.625" style="2" customWidth="1"/>
    <col min="314" max="317" width="4.625" style="2" customWidth="1"/>
    <col min="318" max="318" width="7.625" style="2" customWidth="1"/>
    <col min="319" max="319" width="8.625" style="2" customWidth="1"/>
    <col min="320" max="321" width="5.625" style="2" customWidth="1"/>
    <col min="322" max="322" width="6.625" style="2" customWidth="1"/>
    <col min="323" max="323" width="9.875" style="2" customWidth="1"/>
    <col min="324" max="325" width="8.625" style="2" customWidth="1"/>
    <col min="326" max="326" width="5.5" style="2" bestFit="1" customWidth="1"/>
    <col min="327" max="368" width="6.75" style="2" customWidth="1"/>
    <col min="369" max="369" width="9" style="2" customWidth="1"/>
    <col min="370" max="370" width="9.875" style="2" customWidth="1"/>
    <col min="371" max="371" width="2.875" style="2" customWidth="1"/>
    <col min="372" max="372" width="12.25" style="2" customWidth="1"/>
    <col min="373" max="373" width="6.375" style="2" customWidth="1"/>
    <col min="374" max="375" width="3.125" style="2" customWidth="1"/>
    <col min="376" max="376" width="1.125" style="2" customWidth="1"/>
    <col min="377" max="377" width="9" style="2" customWidth="1"/>
    <col min="378" max="378" width="2.375" style="2" customWidth="1"/>
    <col min="379" max="396" width="7.625" style="2" customWidth="1"/>
    <col min="397" max="559" width="9" style="2" customWidth="1"/>
    <col min="560" max="561" width="3.125" style="2" customWidth="1"/>
    <col min="562" max="562" width="5.875" style="2" bestFit="1" customWidth="1"/>
    <col min="563" max="563" width="5.625" style="2" customWidth="1"/>
    <col min="564" max="564" width="10.625" style="2" customWidth="1"/>
    <col min="565" max="565" width="12.625" style="2" customWidth="1"/>
    <col min="566" max="566" width="8.625" style="2" customWidth="1"/>
    <col min="567" max="567" width="5.625" style="2" customWidth="1"/>
    <col min="568" max="568" width="4.625" style="2" customWidth="1"/>
    <col min="569" max="569" width="5.625" style="2" customWidth="1"/>
    <col min="570" max="573" width="4.625" style="2" customWidth="1"/>
    <col min="574" max="574" width="7.625" style="2" customWidth="1"/>
    <col min="575" max="575" width="8.625" style="2" customWidth="1"/>
    <col min="576" max="577" width="5.625" style="2" customWidth="1"/>
    <col min="578" max="578" width="6.625" style="2" customWidth="1"/>
    <col min="579" max="579" width="9.875" style="2" customWidth="1"/>
    <col min="580" max="581" width="8.625" style="2" customWidth="1"/>
    <col min="582" max="582" width="5.5" style="2" bestFit="1" customWidth="1"/>
    <col min="583" max="624" width="6.75" style="2" customWidth="1"/>
    <col min="625" max="625" width="9" style="2" customWidth="1"/>
    <col min="626" max="626" width="9.875" style="2" customWidth="1"/>
    <col min="627" max="627" width="2.875" style="2" customWidth="1"/>
    <col min="628" max="628" width="12.25" style="2" customWidth="1"/>
    <col min="629" max="629" width="6.375" style="2" customWidth="1"/>
    <col min="630" max="631" width="3.125" style="2" customWidth="1"/>
    <col min="632" max="632" width="1.125" style="2" customWidth="1"/>
    <col min="633" max="633" width="9" style="2" customWidth="1"/>
    <col min="634" max="634" width="2.375" style="2" customWidth="1"/>
    <col min="635" max="652" width="7.625" style="2" customWidth="1"/>
    <col min="653" max="815" width="9" style="2" customWidth="1"/>
    <col min="816" max="817" width="3.125" style="2" customWidth="1"/>
    <col min="818" max="818" width="5.875" style="2" bestFit="1" customWidth="1"/>
    <col min="819" max="819" width="5.625" style="2" customWidth="1"/>
    <col min="820" max="820" width="10.625" style="2" customWidth="1"/>
    <col min="821" max="821" width="12.625" style="2" customWidth="1"/>
    <col min="822" max="822" width="8.625" style="2" customWidth="1"/>
    <col min="823" max="823" width="5.625" style="2" customWidth="1"/>
    <col min="824" max="824" width="4.625" style="2" customWidth="1"/>
    <col min="825" max="825" width="5.625" style="2" customWidth="1"/>
    <col min="826" max="829" width="4.625" style="2" customWidth="1"/>
    <col min="830" max="830" width="7.625" style="2" customWidth="1"/>
    <col min="831" max="831" width="8.625" style="2" customWidth="1"/>
    <col min="832" max="833" width="5.625" style="2" customWidth="1"/>
    <col min="834" max="834" width="6.625" style="2" customWidth="1"/>
    <col min="835" max="835" width="9.875" style="2" customWidth="1"/>
    <col min="836" max="837" width="8.625" style="2" customWidth="1"/>
    <col min="838" max="838" width="5.5" style="2" bestFit="1" customWidth="1"/>
    <col min="839" max="880" width="6.75" style="2" customWidth="1"/>
    <col min="881" max="881" width="9" style="2" customWidth="1"/>
    <col min="882" max="882" width="9.875" style="2" customWidth="1"/>
    <col min="883" max="883" width="2.875" style="2" customWidth="1"/>
    <col min="884" max="884" width="12.25" style="2" customWidth="1"/>
    <col min="885" max="885" width="6.375" style="2" customWidth="1"/>
    <col min="886" max="887" width="3.125" style="2" customWidth="1"/>
    <col min="888" max="888" width="1.125" style="2" customWidth="1"/>
    <col min="889" max="889" width="9" style="2" customWidth="1"/>
    <col min="890" max="890" width="2.375" style="2" customWidth="1"/>
    <col min="891" max="908" width="7.625" style="2" customWidth="1"/>
    <col min="909" max="1071" width="9" style="2" customWidth="1"/>
    <col min="1072" max="1073" width="3.125" style="2" customWidth="1"/>
    <col min="1074" max="1074" width="5.875" style="2" bestFit="1" customWidth="1"/>
    <col min="1075" max="1075" width="5.625" style="2" customWidth="1"/>
    <col min="1076" max="1076" width="10.625" style="2" customWidth="1"/>
    <col min="1077" max="1077" width="12.625" style="2" customWidth="1"/>
    <col min="1078" max="1078" width="8.625" style="2" customWidth="1"/>
    <col min="1079" max="1079" width="5.625" style="2" customWidth="1"/>
    <col min="1080" max="1080" width="4.625" style="2" customWidth="1"/>
    <col min="1081" max="1081" width="5.625" style="2" customWidth="1"/>
    <col min="1082" max="1085" width="4.625" style="2" customWidth="1"/>
    <col min="1086" max="1086" width="7.625" style="2" customWidth="1"/>
    <col min="1087" max="1087" width="8.625" style="2" customWidth="1"/>
    <col min="1088" max="1089" width="5.625" style="2" customWidth="1"/>
    <col min="1090" max="1090" width="6.625" style="2" customWidth="1"/>
    <col min="1091" max="1091" width="9.875" style="2" customWidth="1"/>
    <col min="1092" max="1093" width="8.625" style="2" customWidth="1"/>
    <col min="1094" max="1094" width="5.5" style="2" bestFit="1" customWidth="1"/>
    <col min="1095" max="1136" width="6.75" style="2" customWidth="1"/>
    <col min="1137" max="1137" width="9" style="2" customWidth="1"/>
    <col min="1138" max="1138" width="9.875" style="2" customWidth="1"/>
    <col min="1139" max="1139" width="2.875" style="2" customWidth="1"/>
    <col min="1140" max="1140" width="12.25" style="2" customWidth="1"/>
    <col min="1141" max="1141" width="6.375" style="2" customWidth="1"/>
    <col min="1142" max="1143" width="3.125" style="2" customWidth="1"/>
    <col min="1144" max="1144" width="1.125" style="2" customWidth="1"/>
    <col min="1145" max="1145" width="9" style="2" customWidth="1"/>
    <col min="1146" max="1146" width="2.375" style="2" customWidth="1"/>
    <col min="1147" max="1164" width="7.625" style="2" customWidth="1"/>
    <col min="1165" max="1327" width="9" style="2" customWidth="1"/>
    <col min="1328" max="1329" width="3.125" style="2" customWidth="1"/>
    <col min="1330" max="1330" width="5.875" style="2" bestFit="1" customWidth="1"/>
    <col min="1331" max="1331" width="5.625" style="2" customWidth="1"/>
    <col min="1332" max="1332" width="10.625" style="2" customWidth="1"/>
    <col min="1333" max="1333" width="12.625" style="2" customWidth="1"/>
    <col min="1334" max="1334" width="8.625" style="2" customWidth="1"/>
    <col min="1335" max="1335" width="5.625" style="2" customWidth="1"/>
    <col min="1336" max="1336" width="4.625" style="2" customWidth="1"/>
    <col min="1337" max="1337" width="5.625" style="2" customWidth="1"/>
    <col min="1338" max="1341" width="4.625" style="2" customWidth="1"/>
    <col min="1342" max="1342" width="7.625" style="2" customWidth="1"/>
    <col min="1343" max="1343" width="8.625" style="2" customWidth="1"/>
    <col min="1344" max="1345" width="5.625" style="2" customWidth="1"/>
    <col min="1346" max="1346" width="6.625" style="2" customWidth="1"/>
    <col min="1347" max="1347" width="9.875" style="2" customWidth="1"/>
    <col min="1348" max="1349" width="8.625" style="2" customWidth="1"/>
    <col min="1350" max="1350" width="5.5" style="2" bestFit="1" customWidth="1"/>
    <col min="1351" max="1392" width="6.75" style="2" customWidth="1"/>
    <col min="1393" max="1393" width="9" style="2" customWidth="1"/>
    <col min="1394" max="1394" width="9.875" style="2" customWidth="1"/>
    <col min="1395" max="1395" width="2.875" style="2" customWidth="1"/>
    <col min="1396" max="1396" width="12.25" style="2" customWidth="1"/>
    <col min="1397" max="1397" width="6.375" style="2" customWidth="1"/>
    <col min="1398" max="1399" width="3.125" style="2" customWidth="1"/>
    <col min="1400" max="1400" width="1.125" style="2" customWidth="1"/>
    <col min="1401" max="1401" width="9" style="2" customWidth="1"/>
    <col min="1402" max="1402" width="2.375" style="2" customWidth="1"/>
    <col min="1403" max="1420" width="7.625" style="2" customWidth="1"/>
    <col min="1421" max="1583" width="9" style="2" customWidth="1"/>
    <col min="1584" max="1585" width="3.125" style="2" customWidth="1"/>
    <col min="1586" max="1586" width="5.875" style="2" bestFit="1" customWidth="1"/>
    <col min="1587" max="1587" width="5.625" style="2" customWidth="1"/>
    <col min="1588" max="1588" width="10.625" style="2" customWidth="1"/>
    <col min="1589" max="1589" width="12.625" style="2" customWidth="1"/>
    <col min="1590" max="1590" width="8.625" style="2" customWidth="1"/>
    <col min="1591" max="1591" width="5.625" style="2" customWidth="1"/>
    <col min="1592" max="1592" width="4.625" style="2" customWidth="1"/>
    <col min="1593" max="1593" width="5.625" style="2" customWidth="1"/>
    <col min="1594" max="1597" width="4.625" style="2" customWidth="1"/>
    <col min="1598" max="1598" width="7.625" style="2" customWidth="1"/>
    <col min="1599" max="1599" width="8.625" style="2" customWidth="1"/>
    <col min="1600" max="1601" width="5.625" style="2" customWidth="1"/>
    <col min="1602" max="1602" width="6.625" style="2" customWidth="1"/>
    <col min="1603" max="1603" width="9.875" style="2" customWidth="1"/>
    <col min="1604" max="1605" width="8.625" style="2" customWidth="1"/>
    <col min="1606" max="1606" width="5.5" style="2" bestFit="1" customWidth="1"/>
    <col min="1607" max="1648" width="6.75" style="2" customWidth="1"/>
    <col min="1649" max="1649" width="9" style="2" customWidth="1"/>
    <col min="1650" max="1650" width="9.875" style="2" customWidth="1"/>
    <col min="1651" max="1651" width="2.875" style="2" customWidth="1"/>
    <col min="1652" max="1652" width="12.25" style="2" customWidth="1"/>
    <col min="1653" max="1653" width="6.375" style="2" customWidth="1"/>
    <col min="1654" max="1655" width="3.125" style="2" customWidth="1"/>
    <col min="1656" max="1656" width="1.125" style="2" customWidth="1"/>
    <col min="1657" max="1657" width="9" style="2" customWidth="1"/>
    <col min="1658" max="1658" width="2.375" style="2" customWidth="1"/>
    <col min="1659" max="1676" width="7.625" style="2" customWidth="1"/>
    <col min="1677" max="1839" width="9" style="2" customWidth="1"/>
    <col min="1840" max="1841" width="3.125" style="2" customWidth="1"/>
    <col min="1842" max="1842" width="5.875" style="2" bestFit="1" customWidth="1"/>
    <col min="1843" max="1843" width="5.625" style="2" customWidth="1"/>
    <col min="1844" max="1844" width="10.625" style="2" customWidth="1"/>
    <col min="1845" max="1845" width="12.625" style="2" customWidth="1"/>
    <col min="1846" max="1846" width="8.625" style="2" customWidth="1"/>
    <col min="1847" max="1847" width="5.625" style="2" customWidth="1"/>
    <col min="1848" max="1848" width="4.625" style="2" customWidth="1"/>
    <col min="1849" max="1849" width="5.625" style="2" customWidth="1"/>
    <col min="1850" max="1853" width="4.625" style="2" customWidth="1"/>
    <col min="1854" max="1854" width="7.625" style="2" customWidth="1"/>
    <col min="1855" max="1855" width="8.625" style="2" customWidth="1"/>
    <col min="1856" max="1857" width="5.625" style="2" customWidth="1"/>
    <col min="1858" max="1858" width="6.625" style="2" customWidth="1"/>
    <col min="1859" max="1859" width="9.875" style="2" customWidth="1"/>
    <col min="1860" max="1861" width="8.625" style="2" customWidth="1"/>
    <col min="1862" max="1862" width="5.5" style="2" bestFit="1" customWidth="1"/>
    <col min="1863" max="1904" width="6.75" style="2" customWidth="1"/>
    <col min="1905" max="1905" width="9" style="2" customWidth="1"/>
    <col min="1906" max="1906" width="9.875" style="2" customWidth="1"/>
    <col min="1907" max="1907" width="2.875" style="2" customWidth="1"/>
    <col min="1908" max="1908" width="12.25" style="2" customWidth="1"/>
    <col min="1909" max="1909" width="6.375" style="2" customWidth="1"/>
    <col min="1910" max="1911" width="3.125" style="2" customWidth="1"/>
    <col min="1912" max="1912" width="1.125" style="2" customWidth="1"/>
    <col min="1913" max="1913" width="9" style="2" customWidth="1"/>
    <col min="1914" max="1914" width="2.375" style="2" customWidth="1"/>
    <col min="1915" max="1932" width="7.625" style="2" customWidth="1"/>
    <col min="1933" max="2095" width="9" style="2" customWidth="1"/>
    <col min="2096" max="2097" width="3.125" style="2" customWidth="1"/>
    <col min="2098" max="2098" width="5.875" style="2" bestFit="1" customWidth="1"/>
    <col min="2099" max="2099" width="5.625" style="2" customWidth="1"/>
    <col min="2100" max="2100" width="10.625" style="2" customWidth="1"/>
    <col min="2101" max="2101" width="12.625" style="2" customWidth="1"/>
    <col min="2102" max="2102" width="8.625" style="2" customWidth="1"/>
    <col min="2103" max="2103" width="5.625" style="2" customWidth="1"/>
    <col min="2104" max="2104" width="4.625" style="2" customWidth="1"/>
    <col min="2105" max="2105" width="5.625" style="2" customWidth="1"/>
    <col min="2106" max="2109" width="4.625" style="2" customWidth="1"/>
    <col min="2110" max="2110" width="7.625" style="2" customWidth="1"/>
    <col min="2111" max="2111" width="8.625" style="2" customWidth="1"/>
    <col min="2112" max="2113" width="5.625" style="2" customWidth="1"/>
    <col min="2114" max="2114" width="6.625" style="2" customWidth="1"/>
    <col min="2115" max="2115" width="9.875" style="2" customWidth="1"/>
    <col min="2116" max="2117" width="8.625" style="2" customWidth="1"/>
    <col min="2118" max="2118" width="5.5" style="2" bestFit="1" customWidth="1"/>
    <col min="2119" max="2160" width="6.75" style="2" customWidth="1"/>
    <col min="2161" max="2161" width="9" style="2" customWidth="1"/>
    <col min="2162" max="2162" width="9.875" style="2" customWidth="1"/>
    <col min="2163" max="2163" width="2.875" style="2" customWidth="1"/>
    <col min="2164" max="2164" width="12.25" style="2" customWidth="1"/>
    <col min="2165" max="2165" width="6.375" style="2" customWidth="1"/>
    <col min="2166" max="2167" width="3.125" style="2" customWidth="1"/>
    <col min="2168" max="2168" width="1.125" style="2" customWidth="1"/>
    <col min="2169" max="2169" width="9" style="2" customWidth="1"/>
    <col min="2170" max="2170" width="2.375" style="2" customWidth="1"/>
    <col min="2171" max="2188" width="7.625" style="2" customWidth="1"/>
    <col min="2189" max="2351" width="9" style="2" customWidth="1"/>
    <col min="2352" max="2353" width="3.125" style="2" customWidth="1"/>
    <col min="2354" max="2354" width="5.875" style="2" bestFit="1" customWidth="1"/>
    <col min="2355" max="2355" width="5.625" style="2" customWidth="1"/>
    <col min="2356" max="2356" width="10.625" style="2" customWidth="1"/>
    <col min="2357" max="2357" width="12.625" style="2" customWidth="1"/>
    <col min="2358" max="2358" width="8.625" style="2" customWidth="1"/>
    <col min="2359" max="2359" width="5.625" style="2" customWidth="1"/>
    <col min="2360" max="2360" width="4.625" style="2" customWidth="1"/>
    <col min="2361" max="2361" width="5.625" style="2" customWidth="1"/>
    <col min="2362" max="2365" width="4.625" style="2" customWidth="1"/>
    <col min="2366" max="2366" width="7.625" style="2" customWidth="1"/>
    <col min="2367" max="2367" width="8.625" style="2" customWidth="1"/>
    <col min="2368" max="2369" width="5.625" style="2" customWidth="1"/>
    <col min="2370" max="2370" width="6.625" style="2" customWidth="1"/>
    <col min="2371" max="2371" width="9.875" style="2" customWidth="1"/>
    <col min="2372" max="2373" width="8.625" style="2" customWidth="1"/>
    <col min="2374" max="2374" width="5.5" style="2" bestFit="1" customWidth="1"/>
    <col min="2375" max="2416" width="6.75" style="2" customWidth="1"/>
    <col min="2417" max="2417" width="9" style="2" customWidth="1"/>
    <col min="2418" max="2418" width="9.875" style="2" customWidth="1"/>
    <col min="2419" max="2419" width="2.875" style="2" customWidth="1"/>
    <col min="2420" max="2420" width="12.25" style="2" customWidth="1"/>
    <col min="2421" max="2421" width="6.375" style="2" customWidth="1"/>
    <col min="2422" max="2423" width="3.125" style="2" customWidth="1"/>
    <col min="2424" max="2424" width="1.125" style="2" customWidth="1"/>
    <col min="2425" max="2425" width="9" style="2" customWidth="1"/>
    <col min="2426" max="2426" width="2.375" style="2" customWidth="1"/>
    <col min="2427" max="2444" width="7.625" style="2" customWidth="1"/>
    <col min="2445" max="2607" width="9" style="2" customWidth="1"/>
    <col min="2608" max="2609" width="3.125" style="2" customWidth="1"/>
    <col min="2610" max="2610" width="5.875" style="2" bestFit="1" customWidth="1"/>
    <col min="2611" max="2611" width="5.625" style="2" customWidth="1"/>
    <col min="2612" max="2612" width="10.625" style="2" customWidth="1"/>
    <col min="2613" max="2613" width="12.625" style="2" customWidth="1"/>
    <col min="2614" max="2614" width="8.625" style="2" customWidth="1"/>
    <col min="2615" max="2615" width="5.625" style="2" customWidth="1"/>
    <col min="2616" max="2616" width="4.625" style="2" customWidth="1"/>
    <col min="2617" max="2617" width="5.625" style="2" customWidth="1"/>
    <col min="2618" max="2621" width="4.625" style="2" customWidth="1"/>
    <col min="2622" max="2622" width="7.625" style="2" customWidth="1"/>
    <col min="2623" max="2623" width="8.625" style="2" customWidth="1"/>
    <col min="2624" max="2625" width="5.625" style="2" customWidth="1"/>
    <col min="2626" max="2626" width="6.625" style="2" customWidth="1"/>
    <col min="2627" max="2627" width="9.875" style="2" customWidth="1"/>
    <col min="2628" max="2629" width="8.625" style="2" customWidth="1"/>
    <col min="2630" max="2630" width="5.5" style="2" bestFit="1" customWidth="1"/>
    <col min="2631" max="2672" width="6.75" style="2" customWidth="1"/>
    <col min="2673" max="2673" width="9" style="2" customWidth="1"/>
    <col min="2674" max="2674" width="9.875" style="2" customWidth="1"/>
    <col min="2675" max="2675" width="2.875" style="2" customWidth="1"/>
    <col min="2676" max="2676" width="12.25" style="2" customWidth="1"/>
    <col min="2677" max="2677" width="6.375" style="2" customWidth="1"/>
    <col min="2678" max="2679" width="3.125" style="2" customWidth="1"/>
    <col min="2680" max="2680" width="1.125" style="2" customWidth="1"/>
    <col min="2681" max="2681" width="9" style="2" customWidth="1"/>
    <col min="2682" max="2682" width="2.375" style="2" customWidth="1"/>
    <col min="2683" max="2700" width="7.625" style="2" customWidth="1"/>
    <col min="2701" max="2863" width="9" style="2" customWidth="1"/>
    <col min="2864" max="2865" width="3.125" style="2" customWidth="1"/>
    <col min="2866" max="2866" width="5.875" style="2" bestFit="1" customWidth="1"/>
    <col min="2867" max="2867" width="5.625" style="2" customWidth="1"/>
    <col min="2868" max="2868" width="10.625" style="2" customWidth="1"/>
    <col min="2869" max="2869" width="12.625" style="2" customWidth="1"/>
    <col min="2870" max="2870" width="8.625" style="2" customWidth="1"/>
    <col min="2871" max="2871" width="5.625" style="2" customWidth="1"/>
    <col min="2872" max="2872" width="4.625" style="2" customWidth="1"/>
    <col min="2873" max="2873" width="5.625" style="2" customWidth="1"/>
    <col min="2874" max="2877" width="4.625" style="2" customWidth="1"/>
    <col min="2878" max="2878" width="7.625" style="2" customWidth="1"/>
    <col min="2879" max="2879" width="8.625" style="2" customWidth="1"/>
    <col min="2880" max="2881" width="5.625" style="2" customWidth="1"/>
    <col min="2882" max="2882" width="6.625" style="2" customWidth="1"/>
    <col min="2883" max="2883" width="9.875" style="2" customWidth="1"/>
    <col min="2884" max="2885" width="8.625" style="2" customWidth="1"/>
    <col min="2886" max="2886" width="5.5" style="2" bestFit="1" customWidth="1"/>
    <col min="2887" max="2928" width="6.75" style="2" customWidth="1"/>
    <col min="2929" max="2929" width="9" style="2" customWidth="1"/>
    <col min="2930" max="2930" width="9.875" style="2" customWidth="1"/>
    <col min="2931" max="2931" width="2.875" style="2" customWidth="1"/>
    <col min="2932" max="2932" width="12.25" style="2" customWidth="1"/>
    <col min="2933" max="2933" width="6.375" style="2" customWidth="1"/>
    <col min="2934" max="2935" width="3.125" style="2" customWidth="1"/>
    <col min="2936" max="2936" width="1.125" style="2" customWidth="1"/>
    <col min="2937" max="2937" width="9" style="2" customWidth="1"/>
    <col min="2938" max="2938" width="2.375" style="2" customWidth="1"/>
    <col min="2939" max="2956" width="7.625" style="2" customWidth="1"/>
    <col min="2957" max="3119" width="9" style="2" customWidth="1"/>
    <col min="3120" max="3121" width="3.125" style="2" customWidth="1"/>
    <col min="3122" max="3122" width="5.875" style="2" bestFit="1" customWidth="1"/>
    <col min="3123" max="3123" width="5.625" style="2" customWidth="1"/>
    <col min="3124" max="3124" width="10.625" style="2" customWidth="1"/>
    <col min="3125" max="3125" width="12.625" style="2" customWidth="1"/>
    <col min="3126" max="3126" width="8.625" style="2" customWidth="1"/>
    <col min="3127" max="3127" width="5.625" style="2" customWidth="1"/>
    <col min="3128" max="3128" width="4.625" style="2" customWidth="1"/>
    <col min="3129" max="3129" width="5.625" style="2" customWidth="1"/>
    <col min="3130" max="3133" width="4.625" style="2" customWidth="1"/>
    <col min="3134" max="3134" width="7.625" style="2" customWidth="1"/>
    <col min="3135" max="3135" width="8.625" style="2" customWidth="1"/>
    <col min="3136" max="3137" width="5.625" style="2" customWidth="1"/>
    <col min="3138" max="3138" width="6.625" style="2" customWidth="1"/>
    <col min="3139" max="3139" width="9.875" style="2" customWidth="1"/>
    <col min="3140" max="3141" width="8.625" style="2" customWidth="1"/>
    <col min="3142" max="3142" width="5.5" style="2" bestFit="1" customWidth="1"/>
    <col min="3143" max="3184" width="6.75" style="2" customWidth="1"/>
    <col min="3185" max="3185" width="9" style="2" customWidth="1"/>
    <col min="3186" max="3186" width="9.875" style="2" customWidth="1"/>
    <col min="3187" max="3187" width="2.875" style="2" customWidth="1"/>
    <col min="3188" max="3188" width="12.25" style="2" customWidth="1"/>
    <col min="3189" max="3189" width="6.375" style="2" customWidth="1"/>
    <col min="3190" max="3191" width="3.125" style="2" customWidth="1"/>
    <col min="3192" max="3192" width="1.125" style="2" customWidth="1"/>
    <col min="3193" max="3193" width="9" style="2" customWidth="1"/>
    <col min="3194" max="3194" width="2.375" style="2" customWidth="1"/>
    <col min="3195" max="3212" width="7.625" style="2" customWidth="1"/>
    <col min="3213" max="3375" width="9" style="2" customWidth="1"/>
    <col min="3376" max="3377" width="3.125" style="2" customWidth="1"/>
    <col min="3378" max="3378" width="5.875" style="2" bestFit="1" customWidth="1"/>
    <col min="3379" max="3379" width="5.625" style="2" customWidth="1"/>
    <col min="3380" max="3380" width="10.625" style="2" customWidth="1"/>
    <col min="3381" max="3381" width="12.625" style="2" customWidth="1"/>
    <col min="3382" max="3382" width="8.625" style="2" customWidth="1"/>
    <col min="3383" max="3383" width="5.625" style="2" customWidth="1"/>
    <col min="3384" max="3384" width="4.625" style="2" customWidth="1"/>
    <col min="3385" max="3385" width="5.625" style="2" customWidth="1"/>
    <col min="3386" max="3389" width="4.625" style="2" customWidth="1"/>
    <col min="3390" max="3390" width="7.625" style="2" customWidth="1"/>
    <col min="3391" max="3391" width="8.625" style="2" customWidth="1"/>
    <col min="3392" max="3393" width="5.625" style="2" customWidth="1"/>
    <col min="3394" max="3394" width="6.625" style="2" customWidth="1"/>
    <col min="3395" max="3395" width="9.875" style="2" customWidth="1"/>
    <col min="3396" max="3397" width="8.625" style="2" customWidth="1"/>
    <col min="3398" max="3398" width="5.5" style="2" bestFit="1" customWidth="1"/>
    <col min="3399" max="3440" width="6.75" style="2" customWidth="1"/>
    <col min="3441" max="3441" width="9" style="2" customWidth="1"/>
    <col min="3442" max="3442" width="9.875" style="2" customWidth="1"/>
    <col min="3443" max="3443" width="2.875" style="2" customWidth="1"/>
    <col min="3444" max="3444" width="12.25" style="2" customWidth="1"/>
    <col min="3445" max="3445" width="6.375" style="2" customWidth="1"/>
    <col min="3446" max="3447" width="3.125" style="2" customWidth="1"/>
    <col min="3448" max="3448" width="1.125" style="2" customWidth="1"/>
    <col min="3449" max="3449" width="9" style="2" customWidth="1"/>
    <col min="3450" max="3450" width="2.375" style="2" customWidth="1"/>
    <col min="3451" max="3468" width="7.625" style="2" customWidth="1"/>
    <col min="3469" max="3631" width="9" style="2" customWidth="1"/>
    <col min="3632" max="3633" width="3.125" style="2" customWidth="1"/>
    <col min="3634" max="3634" width="5.875" style="2" bestFit="1" customWidth="1"/>
    <col min="3635" max="3635" width="5.625" style="2" customWidth="1"/>
    <col min="3636" max="3636" width="10.625" style="2" customWidth="1"/>
    <col min="3637" max="3637" width="12.625" style="2" customWidth="1"/>
    <col min="3638" max="3638" width="8.625" style="2" customWidth="1"/>
    <col min="3639" max="3639" width="5.625" style="2" customWidth="1"/>
    <col min="3640" max="3640" width="4.625" style="2" customWidth="1"/>
    <col min="3641" max="3641" width="5.625" style="2" customWidth="1"/>
    <col min="3642" max="3645" width="4.625" style="2" customWidth="1"/>
    <col min="3646" max="3646" width="7.625" style="2" customWidth="1"/>
    <col min="3647" max="3647" width="8.625" style="2" customWidth="1"/>
    <col min="3648" max="3649" width="5.625" style="2" customWidth="1"/>
    <col min="3650" max="3650" width="6.625" style="2" customWidth="1"/>
    <col min="3651" max="3651" width="9.875" style="2" customWidth="1"/>
    <col min="3652" max="3653" width="8.625" style="2" customWidth="1"/>
    <col min="3654" max="3654" width="5.5" style="2" bestFit="1" customWidth="1"/>
    <col min="3655" max="3696" width="6.75" style="2" customWidth="1"/>
    <col min="3697" max="3697" width="9" style="2" customWidth="1"/>
    <col min="3698" max="3698" width="9.875" style="2" customWidth="1"/>
    <col min="3699" max="3699" width="2.875" style="2" customWidth="1"/>
    <col min="3700" max="3700" width="12.25" style="2" customWidth="1"/>
    <col min="3701" max="3701" width="6.375" style="2" customWidth="1"/>
    <col min="3702" max="3703" width="3.125" style="2" customWidth="1"/>
    <col min="3704" max="3704" width="1.125" style="2" customWidth="1"/>
    <col min="3705" max="3705" width="9" style="2" customWidth="1"/>
    <col min="3706" max="3706" width="2.375" style="2" customWidth="1"/>
    <col min="3707" max="3724" width="7.625" style="2" customWidth="1"/>
    <col min="3725" max="3887" width="9" style="2" customWidth="1"/>
    <col min="3888" max="3889" width="3.125" style="2" customWidth="1"/>
    <col min="3890" max="3890" width="5.875" style="2" bestFit="1" customWidth="1"/>
    <col min="3891" max="3891" width="5.625" style="2" customWidth="1"/>
    <col min="3892" max="3892" width="10.625" style="2" customWidth="1"/>
    <col min="3893" max="3893" width="12.625" style="2" customWidth="1"/>
    <col min="3894" max="3894" width="8.625" style="2" customWidth="1"/>
    <col min="3895" max="3895" width="5.625" style="2" customWidth="1"/>
    <col min="3896" max="3896" width="4.625" style="2" customWidth="1"/>
    <col min="3897" max="3897" width="5.625" style="2" customWidth="1"/>
    <col min="3898" max="3901" width="4.625" style="2" customWidth="1"/>
    <col min="3902" max="3902" width="7.625" style="2" customWidth="1"/>
    <col min="3903" max="3903" width="8.625" style="2" customWidth="1"/>
    <col min="3904" max="3905" width="5.625" style="2" customWidth="1"/>
    <col min="3906" max="3906" width="6.625" style="2" customWidth="1"/>
    <col min="3907" max="3907" width="9.875" style="2" customWidth="1"/>
    <col min="3908" max="3909" width="8.625" style="2" customWidth="1"/>
    <col min="3910" max="3910" width="5.5" style="2" bestFit="1" customWidth="1"/>
    <col min="3911" max="3952" width="6.75" style="2" customWidth="1"/>
    <col min="3953" max="3953" width="9" style="2" customWidth="1"/>
    <col min="3954" max="3954" width="9.875" style="2" customWidth="1"/>
    <col min="3955" max="3955" width="2.875" style="2" customWidth="1"/>
    <col min="3956" max="3956" width="12.25" style="2" customWidth="1"/>
    <col min="3957" max="3957" width="6.375" style="2" customWidth="1"/>
    <col min="3958" max="3959" width="3.125" style="2" customWidth="1"/>
    <col min="3960" max="3960" width="1.125" style="2" customWidth="1"/>
    <col min="3961" max="3961" width="9" style="2" customWidth="1"/>
    <col min="3962" max="3962" width="2.375" style="2" customWidth="1"/>
    <col min="3963" max="3980" width="7.625" style="2" customWidth="1"/>
    <col min="3981" max="4143" width="9" style="2" customWidth="1"/>
    <col min="4144" max="4145" width="3.125" style="2" customWidth="1"/>
    <col min="4146" max="4146" width="5.875" style="2" bestFit="1" customWidth="1"/>
    <col min="4147" max="4147" width="5.625" style="2" customWidth="1"/>
    <col min="4148" max="4148" width="10.625" style="2" customWidth="1"/>
    <col min="4149" max="4149" width="12.625" style="2" customWidth="1"/>
    <col min="4150" max="4150" width="8.625" style="2" customWidth="1"/>
    <col min="4151" max="4151" width="5.625" style="2" customWidth="1"/>
    <col min="4152" max="4152" width="4.625" style="2" customWidth="1"/>
    <col min="4153" max="4153" width="5.625" style="2" customWidth="1"/>
    <col min="4154" max="4157" width="4.625" style="2" customWidth="1"/>
    <col min="4158" max="4158" width="7.625" style="2" customWidth="1"/>
    <col min="4159" max="4159" width="8.625" style="2" customWidth="1"/>
    <col min="4160" max="4161" width="5.625" style="2" customWidth="1"/>
    <col min="4162" max="4162" width="6.625" style="2" customWidth="1"/>
    <col min="4163" max="4163" width="9.875" style="2" customWidth="1"/>
    <col min="4164" max="4165" width="8.625" style="2" customWidth="1"/>
    <col min="4166" max="4166" width="5.5" style="2" bestFit="1" customWidth="1"/>
    <col min="4167" max="4208" width="6.75" style="2" customWidth="1"/>
    <col min="4209" max="4209" width="9" style="2" customWidth="1"/>
    <col min="4210" max="4210" width="9.875" style="2" customWidth="1"/>
    <col min="4211" max="4211" width="2.875" style="2" customWidth="1"/>
    <col min="4212" max="4212" width="12.25" style="2" customWidth="1"/>
    <col min="4213" max="4213" width="6.375" style="2" customWidth="1"/>
    <col min="4214" max="4215" width="3.125" style="2" customWidth="1"/>
    <col min="4216" max="4216" width="1.125" style="2" customWidth="1"/>
    <col min="4217" max="4217" width="9" style="2" customWidth="1"/>
    <col min="4218" max="4218" width="2.375" style="2" customWidth="1"/>
    <col min="4219" max="4236" width="7.625" style="2" customWidth="1"/>
    <col min="4237" max="4399" width="9" style="2" customWidth="1"/>
    <col min="4400" max="4401" width="3.125" style="2" customWidth="1"/>
    <col min="4402" max="4402" width="5.875" style="2" bestFit="1" customWidth="1"/>
    <col min="4403" max="4403" width="5.625" style="2" customWidth="1"/>
    <col min="4404" max="4404" width="10.625" style="2" customWidth="1"/>
    <col min="4405" max="4405" width="12.625" style="2" customWidth="1"/>
    <col min="4406" max="4406" width="8.625" style="2" customWidth="1"/>
    <col min="4407" max="4407" width="5.625" style="2" customWidth="1"/>
    <col min="4408" max="4408" width="4.625" style="2" customWidth="1"/>
    <col min="4409" max="4409" width="5.625" style="2" customWidth="1"/>
    <col min="4410" max="4413" width="4.625" style="2" customWidth="1"/>
    <col min="4414" max="4414" width="7.625" style="2" customWidth="1"/>
    <col min="4415" max="4415" width="8.625" style="2" customWidth="1"/>
    <col min="4416" max="4417" width="5.625" style="2" customWidth="1"/>
    <col min="4418" max="4418" width="6.625" style="2" customWidth="1"/>
    <col min="4419" max="4419" width="9.875" style="2" customWidth="1"/>
    <col min="4420" max="4421" width="8.625" style="2" customWidth="1"/>
    <col min="4422" max="4422" width="5.5" style="2" bestFit="1" customWidth="1"/>
    <col min="4423" max="4464" width="6.75" style="2" customWidth="1"/>
    <col min="4465" max="4465" width="9" style="2" customWidth="1"/>
    <col min="4466" max="4466" width="9.875" style="2" customWidth="1"/>
    <col min="4467" max="4467" width="2.875" style="2" customWidth="1"/>
    <col min="4468" max="4468" width="12.25" style="2" customWidth="1"/>
    <col min="4469" max="4469" width="6.375" style="2" customWidth="1"/>
    <col min="4470" max="4471" width="3.125" style="2" customWidth="1"/>
    <col min="4472" max="4472" width="1.125" style="2" customWidth="1"/>
    <col min="4473" max="4473" width="9" style="2" customWidth="1"/>
    <col min="4474" max="4474" width="2.375" style="2" customWidth="1"/>
    <col min="4475" max="4492" width="7.625" style="2" customWidth="1"/>
    <col min="4493" max="4655" width="9" style="2" customWidth="1"/>
    <col min="4656" max="4657" width="3.125" style="2" customWidth="1"/>
    <col min="4658" max="4658" width="5.875" style="2" bestFit="1" customWidth="1"/>
    <col min="4659" max="4659" width="5.625" style="2" customWidth="1"/>
    <col min="4660" max="4660" width="10.625" style="2" customWidth="1"/>
    <col min="4661" max="4661" width="12.625" style="2" customWidth="1"/>
    <col min="4662" max="4662" width="8.625" style="2" customWidth="1"/>
    <col min="4663" max="4663" width="5.625" style="2" customWidth="1"/>
    <col min="4664" max="4664" width="4.625" style="2" customWidth="1"/>
    <col min="4665" max="4665" width="5.625" style="2" customWidth="1"/>
    <col min="4666" max="4669" width="4.625" style="2" customWidth="1"/>
    <col min="4670" max="4670" width="7.625" style="2" customWidth="1"/>
    <col min="4671" max="4671" width="8.625" style="2" customWidth="1"/>
    <col min="4672" max="4673" width="5.625" style="2" customWidth="1"/>
    <col min="4674" max="4674" width="6.625" style="2" customWidth="1"/>
    <col min="4675" max="4675" width="9.875" style="2" customWidth="1"/>
    <col min="4676" max="4677" width="8.625" style="2" customWidth="1"/>
    <col min="4678" max="4678" width="5.5" style="2" bestFit="1" customWidth="1"/>
    <col min="4679" max="4720" width="6.75" style="2" customWidth="1"/>
    <col min="4721" max="4721" width="9" style="2" customWidth="1"/>
    <col min="4722" max="4722" width="9.875" style="2" customWidth="1"/>
    <col min="4723" max="4723" width="2.875" style="2" customWidth="1"/>
    <col min="4724" max="4724" width="12.25" style="2" customWidth="1"/>
    <col min="4725" max="4725" width="6.375" style="2" customWidth="1"/>
    <col min="4726" max="4727" width="3.125" style="2" customWidth="1"/>
    <col min="4728" max="4728" width="1.125" style="2" customWidth="1"/>
    <col min="4729" max="4729" width="9" style="2" customWidth="1"/>
    <col min="4730" max="4730" width="2.375" style="2" customWidth="1"/>
    <col min="4731" max="4748" width="7.625" style="2" customWidth="1"/>
    <col min="4749" max="4911" width="9" style="2" customWidth="1"/>
    <col min="4912" max="4913" width="3.125" style="2" customWidth="1"/>
    <col min="4914" max="4914" width="5.875" style="2" bestFit="1" customWidth="1"/>
    <col min="4915" max="4915" width="5.625" style="2" customWidth="1"/>
    <col min="4916" max="4916" width="10.625" style="2" customWidth="1"/>
    <col min="4917" max="4917" width="12.625" style="2" customWidth="1"/>
    <col min="4918" max="4918" width="8.625" style="2" customWidth="1"/>
    <col min="4919" max="4919" width="5.625" style="2" customWidth="1"/>
    <col min="4920" max="4920" width="4.625" style="2" customWidth="1"/>
    <col min="4921" max="4921" width="5.625" style="2" customWidth="1"/>
    <col min="4922" max="4925" width="4.625" style="2" customWidth="1"/>
    <col min="4926" max="4926" width="7.625" style="2" customWidth="1"/>
    <col min="4927" max="4927" width="8.625" style="2" customWidth="1"/>
    <col min="4928" max="4929" width="5.625" style="2" customWidth="1"/>
    <col min="4930" max="4930" width="6.625" style="2" customWidth="1"/>
    <col min="4931" max="4931" width="9.875" style="2" customWidth="1"/>
    <col min="4932" max="4933" width="8.625" style="2" customWidth="1"/>
    <col min="4934" max="4934" width="5.5" style="2" bestFit="1" customWidth="1"/>
    <col min="4935" max="4976" width="6.75" style="2" customWidth="1"/>
    <col min="4977" max="4977" width="9" style="2" customWidth="1"/>
    <col min="4978" max="4978" width="9.875" style="2" customWidth="1"/>
    <col min="4979" max="4979" width="2.875" style="2" customWidth="1"/>
    <col min="4980" max="4980" width="12.25" style="2" customWidth="1"/>
    <col min="4981" max="4981" width="6.375" style="2" customWidth="1"/>
    <col min="4982" max="4983" width="3.125" style="2" customWidth="1"/>
    <col min="4984" max="4984" width="1.125" style="2" customWidth="1"/>
    <col min="4985" max="4985" width="9" style="2" customWidth="1"/>
    <col min="4986" max="4986" width="2.375" style="2" customWidth="1"/>
    <col min="4987" max="5004" width="7.625" style="2" customWidth="1"/>
    <col min="5005" max="5167" width="9" style="2" customWidth="1"/>
    <col min="5168" max="5169" width="3.125" style="2" customWidth="1"/>
    <col min="5170" max="5170" width="5.875" style="2" bestFit="1" customWidth="1"/>
    <col min="5171" max="5171" width="5.625" style="2" customWidth="1"/>
    <col min="5172" max="5172" width="10.625" style="2" customWidth="1"/>
    <col min="5173" max="5173" width="12.625" style="2" customWidth="1"/>
    <col min="5174" max="5174" width="8.625" style="2" customWidth="1"/>
    <col min="5175" max="5175" width="5.625" style="2" customWidth="1"/>
    <col min="5176" max="5176" width="4.625" style="2" customWidth="1"/>
    <col min="5177" max="5177" width="5.625" style="2" customWidth="1"/>
    <col min="5178" max="5181" width="4.625" style="2" customWidth="1"/>
    <col min="5182" max="5182" width="7.625" style="2" customWidth="1"/>
    <col min="5183" max="5183" width="8.625" style="2" customWidth="1"/>
    <col min="5184" max="5185" width="5.625" style="2" customWidth="1"/>
    <col min="5186" max="5186" width="6.625" style="2" customWidth="1"/>
    <col min="5187" max="5187" width="9.875" style="2" customWidth="1"/>
    <col min="5188" max="5189" width="8.625" style="2" customWidth="1"/>
    <col min="5190" max="5190" width="5.5" style="2" bestFit="1" customWidth="1"/>
    <col min="5191" max="5232" width="6.75" style="2" customWidth="1"/>
    <col min="5233" max="5233" width="9" style="2" customWidth="1"/>
    <col min="5234" max="5234" width="9.875" style="2" customWidth="1"/>
    <col min="5235" max="5235" width="2.875" style="2" customWidth="1"/>
    <col min="5236" max="5236" width="12.25" style="2" customWidth="1"/>
    <col min="5237" max="5237" width="6.375" style="2" customWidth="1"/>
    <col min="5238" max="5239" width="3.125" style="2" customWidth="1"/>
    <col min="5240" max="5240" width="1.125" style="2" customWidth="1"/>
    <col min="5241" max="5241" width="9" style="2" customWidth="1"/>
    <col min="5242" max="5242" width="2.375" style="2" customWidth="1"/>
    <col min="5243" max="5260" width="7.625" style="2" customWidth="1"/>
    <col min="5261" max="5423" width="9" style="2" customWidth="1"/>
    <col min="5424" max="5425" width="3.125" style="2" customWidth="1"/>
    <col min="5426" max="5426" width="5.875" style="2" bestFit="1" customWidth="1"/>
    <col min="5427" max="5427" width="5.625" style="2" customWidth="1"/>
    <col min="5428" max="5428" width="10.625" style="2" customWidth="1"/>
    <col min="5429" max="5429" width="12.625" style="2" customWidth="1"/>
    <col min="5430" max="5430" width="8.625" style="2" customWidth="1"/>
    <col min="5431" max="5431" width="5.625" style="2" customWidth="1"/>
    <col min="5432" max="5432" width="4.625" style="2" customWidth="1"/>
    <col min="5433" max="5433" width="5.625" style="2" customWidth="1"/>
    <col min="5434" max="5437" width="4.625" style="2" customWidth="1"/>
    <col min="5438" max="5438" width="7.625" style="2" customWidth="1"/>
    <col min="5439" max="5439" width="8.625" style="2" customWidth="1"/>
    <col min="5440" max="5441" width="5.625" style="2" customWidth="1"/>
    <col min="5442" max="5442" width="6.625" style="2" customWidth="1"/>
    <col min="5443" max="5443" width="9.875" style="2" customWidth="1"/>
    <col min="5444" max="5445" width="8.625" style="2" customWidth="1"/>
    <col min="5446" max="5446" width="5.5" style="2" bestFit="1" customWidth="1"/>
    <col min="5447" max="5488" width="6.75" style="2" customWidth="1"/>
    <col min="5489" max="5489" width="9" style="2" customWidth="1"/>
    <col min="5490" max="5490" width="9.875" style="2" customWidth="1"/>
    <col min="5491" max="5491" width="2.875" style="2" customWidth="1"/>
    <col min="5492" max="5492" width="12.25" style="2" customWidth="1"/>
    <col min="5493" max="5493" width="6.375" style="2" customWidth="1"/>
    <col min="5494" max="5495" width="3.125" style="2" customWidth="1"/>
    <col min="5496" max="5496" width="1.125" style="2" customWidth="1"/>
    <col min="5497" max="5497" width="9" style="2" customWidth="1"/>
    <col min="5498" max="5498" width="2.375" style="2" customWidth="1"/>
    <col min="5499" max="5516" width="7.625" style="2" customWidth="1"/>
    <col min="5517" max="5679" width="9" style="2" customWidth="1"/>
    <col min="5680" max="5681" width="3.125" style="2" customWidth="1"/>
    <col min="5682" max="5682" width="5.875" style="2" bestFit="1" customWidth="1"/>
    <col min="5683" max="5683" width="5.625" style="2" customWidth="1"/>
    <col min="5684" max="5684" width="10.625" style="2" customWidth="1"/>
    <col min="5685" max="5685" width="12.625" style="2" customWidth="1"/>
    <col min="5686" max="5686" width="8.625" style="2" customWidth="1"/>
    <col min="5687" max="5687" width="5.625" style="2" customWidth="1"/>
    <col min="5688" max="5688" width="4.625" style="2" customWidth="1"/>
    <col min="5689" max="5689" width="5.625" style="2" customWidth="1"/>
    <col min="5690" max="5693" width="4.625" style="2" customWidth="1"/>
    <col min="5694" max="5694" width="7.625" style="2" customWidth="1"/>
    <col min="5695" max="5695" width="8.625" style="2" customWidth="1"/>
    <col min="5696" max="5697" width="5.625" style="2" customWidth="1"/>
    <col min="5698" max="5698" width="6.625" style="2" customWidth="1"/>
    <col min="5699" max="5699" width="9.875" style="2" customWidth="1"/>
    <col min="5700" max="5701" width="8.625" style="2" customWidth="1"/>
    <col min="5702" max="5702" width="5.5" style="2" bestFit="1" customWidth="1"/>
    <col min="5703" max="5744" width="6.75" style="2" customWidth="1"/>
    <col min="5745" max="5745" width="9" style="2" customWidth="1"/>
    <col min="5746" max="5746" width="9.875" style="2" customWidth="1"/>
    <col min="5747" max="5747" width="2.875" style="2" customWidth="1"/>
    <col min="5748" max="5748" width="12.25" style="2" customWidth="1"/>
    <col min="5749" max="5749" width="6.375" style="2" customWidth="1"/>
    <col min="5750" max="5751" width="3.125" style="2" customWidth="1"/>
    <col min="5752" max="5752" width="1.125" style="2" customWidth="1"/>
    <col min="5753" max="5753" width="9" style="2" customWidth="1"/>
    <col min="5754" max="5754" width="2.375" style="2" customWidth="1"/>
    <col min="5755" max="5772" width="7.625" style="2" customWidth="1"/>
    <col min="5773" max="5935" width="9" style="2" customWidth="1"/>
    <col min="5936" max="5937" width="3.125" style="2" customWidth="1"/>
    <col min="5938" max="5938" width="5.875" style="2" bestFit="1" customWidth="1"/>
    <col min="5939" max="5939" width="5.625" style="2" customWidth="1"/>
    <col min="5940" max="5940" width="10.625" style="2" customWidth="1"/>
    <col min="5941" max="5941" width="12.625" style="2" customWidth="1"/>
    <col min="5942" max="5942" width="8.625" style="2" customWidth="1"/>
    <col min="5943" max="5943" width="5.625" style="2" customWidth="1"/>
    <col min="5944" max="5944" width="4.625" style="2" customWidth="1"/>
    <col min="5945" max="5945" width="5.625" style="2" customWidth="1"/>
    <col min="5946" max="5949" width="4.625" style="2" customWidth="1"/>
    <col min="5950" max="5950" width="7.625" style="2" customWidth="1"/>
    <col min="5951" max="5951" width="8.625" style="2" customWidth="1"/>
    <col min="5952" max="5953" width="5.625" style="2" customWidth="1"/>
    <col min="5954" max="5954" width="6.625" style="2" customWidth="1"/>
    <col min="5955" max="5955" width="9.875" style="2" customWidth="1"/>
    <col min="5956" max="5957" width="8.625" style="2" customWidth="1"/>
    <col min="5958" max="5958" width="5.5" style="2" bestFit="1" customWidth="1"/>
    <col min="5959" max="6000" width="6.75" style="2" customWidth="1"/>
    <col min="6001" max="6001" width="9" style="2" customWidth="1"/>
    <col min="6002" max="6002" width="9.875" style="2" customWidth="1"/>
    <col min="6003" max="6003" width="2.875" style="2" customWidth="1"/>
    <col min="6004" max="6004" width="12.25" style="2" customWidth="1"/>
    <col min="6005" max="6005" width="6.375" style="2" customWidth="1"/>
    <col min="6006" max="6007" width="3.125" style="2" customWidth="1"/>
    <col min="6008" max="6008" width="1.125" style="2" customWidth="1"/>
    <col min="6009" max="6009" width="9" style="2" customWidth="1"/>
    <col min="6010" max="6010" width="2.375" style="2" customWidth="1"/>
    <col min="6011" max="6028" width="7.625" style="2" customWidth="1"/>
    <col min="6029" max="6191" width="9" style="2" customWidth="1"/>
    <col min="6192" max="6193" width="3.125" style="2" customWidth="1"/>
    <col min="6194" max="6194" width="5.875" style="2" bestFit="1" customWidth="1"/>
    <col min="6195" max="6195" width="5.625" style="2" customWidth="1"/>
    <col min="6196" max="6196" width="10.625" style="2" customWidth="1"/>
    <col min="6197" max="6197" width="12.625" style="2" customWidth="1"/>
    <col min="6198" max="6198" width="8.625" style="2" customWidth="1"/>
    <col min="6199" max="6199" width="5.625" style="2" customWidth="1"/>
    <col min="6200" max="6200" width="4.625" style="2" customWidth="1"/>
    <col min="6201" max="6201" width="5.625" style="2" customWidth="1"/>
    <col min="6202" max="6205" width="4.625" style="2" customWidth="1"/>
    <col min="6206" max="6206" width="7.625" style="2" customWidth="1"/>
    <col min="6207" max="6207" width="8.625" style="2" customWidth="1"/>
    <col min="6208" max="6209" width="5.625" style="2" customWidth="1"/>
    <col min="6210" max="6210" width="6.625" style="2" customWidth="1"/>
    <col min="6211" max="6211" width="9.875" style="2" customWidth="1"/>
    <col min="6212" max="6213" width="8.625" style="2" customWidth="1"/>
    <col min="6214" max="6214" width="5.5" style="2" bestFit="1" customWidth="1"/>
    <col min="6215" max="6256" width="6.75" style="2" customWidth="1"/>
    <col min="6257" max="6257" width="9" style="2" customWidth="1"/>
    <col min="6258" max="6258" width="9.875" style="2" customWidth="1"/>
    <col min="6259" max="6259" width="2.875" style="2" customWidth="1"/>
    <col min="6260" max="6260" width="12.25" style="2" customWidth="1"/>
    <col min="6261" max="6261" width="6.375" style="2" customWidth="1"/>
    <col min="6262" max="6263" width="3.125" style="2" customWidth="1"/>
    <col min="6264" max="6264" width="1.125" style="2" customWidth="1"/>
    <col min="6265" max="6265" width="9" style="2" customWidth="1"/>
    <col min="6266" max="6266" width="2.375" style="2" customWidth="1"/>
    <col min="6267" max="6284" width="7.625" style="2" customWidth="1"/>
    <col min="6285" max="6447" width="9" style="2" customWidth="1"/>
    <col min="6448" max="6449" width="3.125" style="2" customWidth="1"/>
    <col min="6450" max="6450" width="5.875" style="2" bestFit="1" customWidth="1"/>
    <col min="6451" max="6451" width="5.625" style="2" customWidth="1"/>
    <col min="6452" max="6452" width="10.625" style="2" customWidth="1"/>
    <col min="6453" max="6453" width="12.625" style="2" customWidth="1"/>
    <col min="6454" max="6454" width="8.625" style="2" customWidth="1"/>
    <col min="6455" max="6455" width="5.625" style="2" customWidth="1"/>
    <col min="6456" max="6456" width="4.625" style="2" customWidth="1"/>
    <col min="6457" max="6457" width="5.625" style="2" customWidth="1"/>
    <col min="6458" max="6461" width="4.625" style="2" customWidth="1"/>
    <col min="6462" max="6462" width="7.625" style="2" customWidth="1"/>
    <col min="6463" max="6463" width="8.625" style="2" customWidth="1"/>
    <col min="6464" max="6465" width="5.625" style="2" customWidth="1"/>
    <col min="6466" max="6466" width="6.625" style="2" customWidth="1"/>
    <col min="6467" max="6467" width="9.875" style="2" customWidth="1"/>
    <col min="6468" max="6469" width="8.625" style="2" customWidth="1"/>
    <col min="6470" max="6470" width="5.5" style="2" bestFit="1" customWidth="1"/>
    <col min="6471" max="6512" width="6.75" style="2" customWidth="1"/>
    <col min="6513" max="6513" width="9" style="2" customWidth="1"/>
    <col min="6514" max="6514" width="9.875" style="2" customWidth="1"/>
    <col min="6515" max="6515" width="2.875" style="2" customWidth="1"/>
    <col min="6516" max="6516" width="12.25" style="2" customWidth="1"/>
    <col min="6517" max="6517" width="6.375" style="2" customWidth="1"/>
    <col min="6518" max="6519" width="3.125" style="2" customWidth="1"/>
    <col min="6520" max="6520" width="1.125" style="2" customWidth="1"/>
    <col min="6521" max="6521" width="9" style="2" customWidth="1"/>
    <col min="6522" max="6522" width="2.375" style="2" customWidth="1"/>
    <col min="6523" max="6540" width="7.625" style="2" customWidth="1"/>
    <col min="6541" max="6703" width="9" style="2" customWidth="1"/>
    <col min="6704" max="6705" width="3.125" style="2" customWidth="1"/>
    <col min="6706" max="6706" width="5.875" style="2" bestFit="1" customWidth="1"/>
    <col min="6707" max="6707" width="5.625" style="2" customWidth="1"/>
    <col min="6708" max="6708" width="10.625" style="2" customWidth="1"/>
    <col min="6709" max="6709" width="12.625" style="2" customWidth="1"/>
    <col min="6710" max="6710" width="8.625" style="2" customWidth="1"/>
    <col min="6711" max="6711" width="5.625" style="2" customWidth="1"/>
    <col min="6712" max="6712" width="4.625" style="2" customWidth="1"/>
    <col min="6713" max="6713" width="5.625" style="2" customWidth="1"/>
    <col min="6714" max="6717" width="4.625" style="2" customWidth="1"/>
    <col min="6718" max="6718" width="7.625" style="2" customWidth="1"/>
    <col min="6719" max="6719" width="8.625" style="2" customWidth="1"/>
    <col min="6720" max="6721" width="5.625" style="2" customWidth="1"/>
    <col min="6722" max="6722" width="6.625" style="2" customWidth="1"/>
    <col min="6723" max="6723" width="9.875" style="2" customWidth="1"/>
    <col min="6724" max="6725" width="8.625" style="2" customWidth="1"/>
    <col min="6726" max="6726" width="5.5" style="2" bestFit="1" customWidth="1"/>
    <col min="6727" max="6768" width="6.75" style="2" customWidth="1"/>
    <col min="6769" max="6769" width="9" style="2" customWidth="1"/>
    <col min="6770" max="6770" width="9.875" style="2" customWidth="1"/>
    <col min="6771" max="6771" width="2.875" style="2" customWidth="1"/>
    <col min="6772" max="6772" width="12.25" style="2" customWidth="1"/>
    <col min="6773" max="6773" width="6.375" style="2" customWidth="1"/>
    <col min="6774" max="6775" width="3.125" style="2" customWidth="1"/>
    <col min="6776" max="6776" width="1.125" style="2" customWidth="1"/>
    <col min="6777" max="6777" width="9" style="2" customWidth="1"/>
    <col min="6778" max="6778" width="2.375" style="2" customWidth="1"/>
    <col min="6779" max="6796" width="7.625" style="2" customWidth="1"/>
    <col min="6797" max="6959" width="9" style="2" customWidth="1"/>
    <col min="6960" max="6961" width="3.125" style="2" customWidth="1"/>
    <col min="6962" max="6962" width="5.875" style="2" bestFit="1" customWidth="1"/>
    <col min="6963" max="6963" width="5.625" style="2" customWidth="1"/>
    <col min="6964" max="6964" width="10.625" style="2" customWidth="1"/>
    <col min="6965" max="6965" width="12.625" style="2" customWidth="1"/>
    <col min="6966" max="6966" width="8.625" style="2" customWidth="1"/>
    <col min="6967" max="6967" width="5.625" style="2" customWidth="1"/>
    <col min="6968" max="6968" width="4.625" style="2" customWidth="1"/>
    <col min="6969" max="6969" width="5.625" style="2" customWidth="1"/>
    <col min="6970" max="6973" width="4.625" style="2" customWidth="1"/>
    <col min="6974" max="6974" width="7.625" style="2" customWidth="1"/>
    <col min="6975" max="6975" width="8.625" style="2" customWidth="1"/>
    <col min="6976" max="6977" width="5.625" style="2" customWidth="1"/>
    <col min="6978" max="6978" width="6.625" style="2" customWidth="1"/>
    <col min="6979" max="6979" width="9.875" style="2" customWidth="1"/>
    <col min="6980" max="6981" width="8.625" style="2" customWidth="1"/>
    <col min="6982" max="6982" width="5.5" style="2" bestFit="1" customWidth="1"/>
    <col min="6983" max="7024" width="6.75" style="2" customWidth="1"/>
    <col min="7025" max="7025" width="9" style="2" customWidth="1"/>
    <col min="7026" max="7026" width="9.875" style="2" customWidth="1"/>
    <col min="7027" max="7027" width="2.875" style="2" customWidth="1"/>
    <col min="7028" max="7028" width="12.25" style="2" customWidth="1"/>
    <col min="7029" max="7029" width="6.375" style="2" customWidth="1"/>
    <col min="7030" max="7031" width="3.125" style="2" customWidth="1"/>
    <col min="7032" max="7032" width="1.125" style="2" customWidth="1"/>
    <col min="7033" max="7033" width="9" style="2" customWidth="1"/>
    <col min="7034" max="7034" width="2.375" style="2" customWidth="1"/>
    <col min="7035" max="7052" width="7.625" style="2" customWidth="1"/>
    <col min="7053" max="7215" width="9" style="2" customWidth="1"/>
    <col min="7216" max="7217" width="3.125" style="2" customWidth="1"/>
    <col min="7218" max="7218" width="5.875" style="2" bestFit="1" customWidth="1"/>
    <col min="7219" max="7219" width="5.625" style="2" customWidth="1"/>
    <col min="7220" max="7220" width="10.625" style="2" customWidth="1"/>
    <col min="7221" max="7221" width="12.625" style="2" customWidth="1"/>
    <col min="7222" max="7222" width="8.625" style="2" customWidth="1"/>
    <col min="7223" max="7223" width="5.625" style="2" customWidth="1"/>
    <col min="7224" max="7224" width="4.625" style="2" customWidth="1"/>
    <col min="7225" max="7225" width="5.625" style="2" customWidth="1"/>
    <col min="7226" max="7229" width="4.625" style="2" customWidth="1"/>
    <col min="7230" max="7230" width="7.625" style="2" customWidth="1"/>
    <col min="7231" max="7231" width="8.625" style="2" customWidth="1"/>
    <col min="7232" max="7233" width="5.625" style="2" customWidth="1"/>
    <col min="7234" max="7234" width="6.625" style="2" customWidth="1"/>
    <col min="7235" max="7235" width="9.875" style="2" customWidth="1"/>
    <col min="7236" max="7237" width="8.625" style="2" customWidth="1"/>
    <col min="7238" max="7238" width="5.5" style="2" bestFit="1" customWidth="1"/>
    <col min="7239" max="7280" width="6.75" style="2" customWidth="1"/>
    <col min="7281" max="7281" width="9" style="2" customWidth="1"/>
    <col min="7282" max="7282" width="9.875" style="2" customWidth="1"/>
    <col min="7283" max="7283" width="2.875" style="2" customWidth="1"/>
    <col min="7284" max="7284" width="12.25" style="2" customWidth="1"/>
    <col min="7285" max="7285" width="6.375" style="2" customWidth="1"/>
    <col min="7286" max="7287" width="3.125" style="2" customWidth="1"/>
    <col min="7288" max="7288" width="1.125" style="2" customWidth="1"/>
    <col min="7289" max="7289" width="9" style="2" customWidth="1"/>
    <col min="7290" max="7290" width="2.375" style="2" customWidth="1"/>
    <col min="7291" max="7308" width="7.625" style="2" customWidth="1"/>
    <col min="7309" max="7471" width="9" style="2" customWidth="1"/>
    <col min="7472" max="7473" width="3.125" style="2" customWidth="1"/>
    <col min="7474" max="7474" width="5.875" style="2" bestFit="1" customWidth="1"/>
    <col min="7475" max="7475" width="5.625" style="2" customWidth="1"/>
    <col min="7476" max="7476" width="10.625" style="2" customWidth="1"/>
    <col min="7477" max="7477" width="12.625" style="2" customWidth="1"/>
    <col min="7478" max="7478" width="8.625" style="2" customWidth="1"/>
    <col min="7479" max="7479" width="5.625" style="2" customWidth="1"/>
    <col min="7480" max="7480" width="4.625" style="2" customWidth="1"/>
    <col min="7481" max="7481" width="5.625" style="2" customWidth="1"/>
    <col min="7482" max="7485" width="4.625" style="2" customWidth="1"/>
    <col min="7486" max="7486" width="7.625" style="2" customWidth="1"/>
    <col min="7487" max="7487" width="8.625" style="2" customWidth="1"/>
    <col min="7488" max="7489" width="5.625" style="2" customWidth="1"/>
    <col min="7490" max="7490" width="6.625" style="2" customWidth="1"/>
    <col min="7491" max="7491" width="9.875" style="2" customWidth="1"/>
    <col min="7492" max="7493" width="8.625" style="2" customWidth="1"/>
    <col min="7494" max="7494" width="5.5" style="2" bestFit="1" customWidth="1"/>
    <col min="7495" max="7536" width="6.75" style="2" customWidth="1"/>
    <col min="7537" max="7537" width="9" style="2" customWidth="1"/>
    <col min="7538" max="7538" width="9.875" style="2" customWidth="1"/>
    <col min="7539" max="7539" width="2.875" style="2" customWidth="1"/>
    <col min="7540" max="7540" width="12.25" style="2" customWidth="1"/>
    <col min="7541" max="7541" width="6.375" style="2" customWidth="1"/>
    <col min="7542" max="7543" width="3.125" style="2" customWidth="1"/>
    <col min="7544" max="7544" width="1.125" style="2" customWidth="1"/>
    <col min="7545" max="7545" width="9" style="2" customWidth="1"/>
    <col min="7546" max="7546" width="2.375" style="2" customWidth="1"/>
    <col min="7547" max="7564" width="7.625" style="2" customWidth="1"/>
    <col min="7565" max="7727" width="9" style="2" customWidth="1"/>
    <col min="7728" max="7729" width="3.125" style="2" customWidth="1"/>
    <col min="7730" max="7730" width="5.875" style="2" bestFit="1" customWidth="1"/>
    <col min="7731" max="7731" width="5.625" style="2" customWidth="1"/>
    <col min="7732" max="7732" width="10.625" style="2" customWidth="1"/>
    <col min="7733" max="7733" width="12.625" style="2" customWidth="1"/>
    <col min="7734" max="7734" width="8.625" style="2" customWidth="1"/>
    <col min="7735" max="7735" width="5.625" style="2" customWidth="1"/>
    <col min="7736" max="7736" width="4.625" style="2" customWidth="1"/>
    <col min="7737" max="7737" width="5.625" style="2" customWidth="1"/>
    <col min="7738" max="7741" width="4.625" style="2" customWidth="1"/>
    <col min="7742" max="7742" width="7.625" style="2" customWidth="1"/>
    <col min="7743" max="7743" width="8.625" style="2" customWidth="1"/>
    <col min="7744" max="7745" width="5.625" style="2" customWidth="1"/>
    <col min="7746" max="7746" width="6.625" style="2" customWidth="1"/>
    <col min="7747" max="7747" width="9.875" style="2" customWidth="1"/>
    <col min="7748" max="7749" width="8.625" style="2" customWidth="1"/>
    <col min="7750" max="7750" width="5.5" style="2" bestFit="1" customWidth="1"/>
    <col min="7751" max="7792" width="6.75" style="2" customWidth="1"/>
    <col min="7793" max="7793" width="9" style="2" customWidth="1"/>
    <col min="7794" max="7794" width="9.875" style="2" customWidth="1"/>
    <col min="7795" max="7795" width="2.875" style="2" customWidth="1"/>
    <col min="7796" max="7796" width="12.25" style="2" customWidth="1"/>
    <col min="7797" max="7797" width="6.375" style="2" customWidth="1"/>
    <col min="7798" max="7799" width="3.125" style="2" customWidth="1"/>
    <col min="7800" max="7800" width="1.125" style="2" customWidth="1"/>
    <col min="7801" max="7801" width="9" style="2" customWidth="1"/>
    <col min="7802" max="7802" width="2.375" style="2" customWidth="1"/>
    <col min="7803" max="7820" width="7.625" style="2" customWidth="1"/>
    <col min="7821" max="7983" width="9" style="2" customWidth="1"/>
    <col min="7984" max="7985" width="3.125" style="2" customWidth="1"/>
    <col min="7986" max="7986" width="5.875" style="2" bestFit="1" customWidth="1"/>
    <col min="7987" max="7987" width="5.625" style="2" customWidth="1"/>
    <col min="7988" max="7988" width="10.625" style="2" customWidth="1"/>
    <col min="7989" max="7989" width="12.625" style="2" customWidth="1"/>
    <col min="7990" max="7990" width="8.625" style="2" customWidth="1"/>
    <col min="7991" max="7991" width="5.625" style="2" customWidth="1"/>
    <col min="7992" max="7992" width="4.625" style="2" customWidth="1"/>
    <col min="7993" max="7993" width="5.625" style="2" customWidth="1"/>
    <col min="7994" max="7997" width="4.625" style="2" customWidth="1"/>
    <col min="7998" max="7998" width="7.625" style="2" customWidth="1"/>
    <col min="7999" max="7999" width="8.625" style="2" customWidth="1"/>
    <col min="8000" max="8001" width="5.625" style="2" customWidth="1"/>
    <col min="8002" max="8002" width="6.625" style="2" customWidth="1"/>
    <col min="8003" max="8003" width="9.875" style="2" customWidth="1"/>
    <col min="8004" max="8005" width="8.625" style="2" customWidth="1"/>
    <col min="8006" max="8006" width="5.5" style="2" bestFit="1" customWidth="1"/>
    <col min="8007" max="8048" width="6.75" style="2" customWidth="1"/>
    <col min="8049" max="8049" width="9" style="2" customWidth="1"/>
    <col min="8050" max="8050" width="9.875" style="2" customWidth="1"/>
    <col min="8051" max="8051" width="2.875" style="2" customWidth="1"/>
    <col min="8052" max="8052" width="12.25" style="2" customWidth="1"/>
    <col min="8053" max="8053" width="6.375" style="2" customWidth="1"/>
    <col min="8054" max="8055" width="3.125" style="2" customWidth="1"/>
    <col min="8056" max="8056" width="1.125" style="2" customWidth="1"/>
    <col min="8057" max="8057" width="9" style="2" customWidth="1"/>
    <col min="8058" max="8058" width="2.375" style="2" customWidth="1"/>
    <col min="8059" max="8076" width="7.625" style="2" customWidth="1"/>
    <col min="8077" max="8239" width="9" style="2" customWidth="1"/>
    <col min="8240" max="8241" width="3.125" style="2" customWidth="1"/>
    <col min="8242" max="8242" width="5.875" style="2" bestFit="1" customWidth="1"/>
    <col min="8243" max="8243" width="5.625" style="2" customWidth="1"/>
    <col min="8244" max="8244" width="10.625" style="2" customWidth="1"/>
    <col min="8245" max="8245" width="12.625" style="2" customWidth="1"/>
    <col min="8246" max="8246" width="8.625" style="2" customWidth="1"/>
    <col min="8247" max="8247" width="5.625" style="2" customWidth="1"/>
    <col min="8248" max="8248" width="4.625" style="2" customWidth="1"/>
    <col min="8249" max="8249" width="5.625" style="2" customWidth="1"/>
    <col min="8250" max="8253" width="4.625" style="2" customWidth="1"/>
    <col min="8254" max="8254" width="7.625" style="2" customWidth="1"/>
    <col min="8255" max="8255" width="8.625" style="2" customWidth="1"/>
    <col min="8256" max="8257" width="5.625" style="2" customWidth="1"/>
    <col min="8258" max="8258" width="6.625" style="2" customWidth="1"/>
    <col min="8259" max="8259" width="9.875" style="2" customWidth="1"/>
    <col min="8260" max="8261" width="8.625" style="2" customWidth="1"/>
    <col min="8262" max="8262" width="5.5" style="2" bestFit="1" customWidth="1"/>
    <col min="8263" max="8304" width="6.75" style="2" customWidth="1"/>
    <col min="8305" max="8305" width="9" style="2" customWidth="1"/>
    <col min="8306" max="8306" width="9.875" style="2" customWidth="1"/>
    <col min="8307" max="8307" width="2.875" style="2" customWidth="1"/>
    <col min="8308" max="8308" width="12.25" style="2" customWidth="1"/>
    <col min="8309" max="8309" width="6.375" style="2" customWidth="1"/>
    <col min="8310" max="8311" width="3.125" style="2" customWidth="1"/>
    <col min="8312" max="8312" width="1.125" style="2" customWidth="1"/>
    <col min="8313" max="8313" width="9" style="2" customWidth="1"/>
    <col min="8314" max="8314" width="2.375" style="2" customWidth="1"/>
    <col min="8315" max="8332" width="7.625" style="2" customWidth="1"/>
    <col min="8333" max="8495" width="9" style="2" customWidth="1"/>
    <col min="8496" max="8497" width="3.125" style="2" customWidth="1"/>
    <col min="8498" max="8498" width="5.875" style="2" bestFit="1" customWidth="1"/>
    <col min="8499" max="8499" width="5.625" style="2" customWidth="1"/>
    <col min="8500" max="8500" width="10.625" style="2" customWidth="1"/>
    <col min="8501" max="8501" width="12.625" style="2" customWidth="1"/>
    <col min="8502" max="8502" width="8.625" style="2" customWidth="1"/>
    <col min="8503" max="8503" width="5.625" style="2" customWidth="1"/>
    <col min="8504" max="8504" width="4.625" style="2" customWidth="1"/>
    <col min="8505" max="8505" width="5.625" style="2" customWidth="1"/>
    <col min="8506" max="8509" width="4.625" style="2" customWidth="1"/>
    <col min="8510" max="8510" width="7.625" style="2" customWidth="1"/>
    <col min="8511" max="8511" width="8.625" style="2" customWidth="1"/>
    <col min="8512" max="8513" width="5.625" style="2" customWidth="1"/>
    <col min="8514" max="8514" width="6.625" style="2" customWidth="1"/>
    <col min="8515" max="8515" width="9.875" style="2" customWidth="1"/>
    <col min="8516" max="8517" width="8.625" style="2" customWidth="1"/>
    <col min="8518" max="8518" width="5.5" style="2" bestFit="1" customWidth="1"/>
    <col min="8519" max="8560" width="6.75" style="2" customWidth="1"/>
    <col min="8561" max="8561" width="9" style="2" customWidth="1"/>
    <col min="8562" max="8562" width="9.875" style="2" customWidth="1"/>
    <col min="8563" max="8563" width="2.875" style="2" customWidth="1"/>
    <col min="8564" max="8564" width="12.25" style="2" customWidth="1"/>
    <col min="8565" max="8565" width="6.375" style="2" customWidth="1"/>
    <col min="8566" max="8567" width="3.125" style="2" customWidth="1"/>
    <col min="8568" max="8568" width="1.125" style="2" customWidth="1"/>
    <col min="8569" max="8569" width="9" style="2" customWidth="1"/>
    <col min="8570" max="8570" width="2.375" style="2" customWidth="1"/>
    <col min="8571" max="8588" width="7.625" style="2" customWidth="1"/>
    <col min="8589" max="8751" width="9" style="2" customWidth="1"/>
    <col min="8752" max="8753" width="3.125" style="2" customWidth="1"/>
    <col min="8754" max="8754" width="5.875" style="2" bestFit="1" customWidth="1"/>
    <col min="8755" max="8755" width="5.625" style="2" customWidth="1"/>
    <col min="8756" max="8756" width="10.625" style="2" customWidth="1"/>
    <col min="8757" max="8757" width="12.625" style="2" customWidth="1"/>
    <col min="8758" max="8758" width="8.625" style="2" customWidth="1"/>
    <col min="8759" max="8759" width="5.625" style="2" customWidth="1"/>
    <col min="8760" max="8760" width="4.625" style="2" customWidth="1"/>
    <col min="8761" max="8761" width="5.625" style="2" customWidth="1"/>
    <col min="8762" max="8765" width="4.625" style="2" customWidth="1"/>
    <col min="8766" max="8766" width="7.625" style="2" customWidth="1"/>
    <col min="8767" max="8767" width="8.625" style="2" customWidth="1"/>
    <col min="8768" max="8769" width="5.625" style="2" customWidth="1"/>
    <col min="8770" max="8770" width="6.625" style="2" customWidth="1"/>
    <col min="8771" max="8771" width="9.875" style="2" customWidth="1"/>
    <col min="8772" max="8773" width="8.625" style="2" customWidth="1"/>
    <col min="8774" max="8774" width="5.5" style="2" bestFit="1" customWidth="1"/>
    <col min="8775" max="8816" width="6.75" style="2" customWidth="1"/>
    <col min="8817" max="8817" width="9" style="2" customWidth="1"/>
    <col min="8818" max="8818" width="9.875" style="2" customWidth="1"/>
    <col min="8819" max="8819" width="2.875" style="2" customWidth="1"/>
    <col min="8820" max="8820" width="12.25" style="2" customWidth="1"/>
    <col min="8821" max="8821" width="6.375" style="2" customWidth="1"/>
    <col min="8822" max="8823" width="3.125" style="2" customWidth="1"/>
    <col min="8824" max="8824" width="1.125" style="2" customWidth="1"/>
    <col min="8825" max="8825" width="9" style="2" customWidth="1"/>
    <col min="8826" max="8826" width="2.375" style="2" customWidth="1"/>
    <col min="8827" max="8844" width="7.625" style="2" customWidth="1"/>
    <col min="8845" max="9007" width="9" style="2" customWidth="1"/>
    <col min="9008" max="9009" width="3.125" style="2" customWidth="1"/>
    <col min="9010" max="9010" width="5.875" style="2" bestFit="1" customWidth="1"/>
    <col min="9011" max="9011" width="5.625" style="2" customWidth="1"/>
    <col min="9012" max="9012" width="10.625" style="2" customWidth="1"/>
    <col min="9013" max="9013" width="12.625" style="2" customWidth="1"/>
    <col min="9014" max="9014" width="8.625" style="2" customWidth="1"/>
    <col min="9015" max="9015" width="5.625" style="2" customWidth="1"/>
    <col min="9016" max="9016" width="4.625" style="2" customWidth="1"/>
    <col min="9017" max="9017" width="5.625" style="2" customWidth="1"/>
    <col min="9018" max="9021" width="4.625" style="2" customWidth="1"/>
    <col min="9022" max="9022" width="7.625" style="2" customWidth="1"/>
    <col min="9023" max="9023" width="8.625" style="2" customWidth="1"/>
    <col min="9024" max="9025" width="5.625" style="2" customWidth="1"/>
    <col min="9026" max="9026" width="6.625" style="2" customWidth="1"/>
    <col min="9027" max="9027" width="9.875" style="2" customWidth="1"/>
    <col min="9028" max="9029" width="8.625" style="2" customWidth="1"/>
    <col min="9030" max="9030" width="5.5" style="2" bestFit="1" customWidth="1"/>
    <col min="9031" max="9072" width="6.75" style="2" customWidth="1"/>
    <col min="9073" max="9073" width="9" style="2" customWidth="1"/>
    <col min="9074" max="9074" width="9.875" style="2" customWidth="1"/>
    <col min="9075" max="9075" width="2.875" style="2" customWidth="1"/>
    <col min="9076" max="9076" width="12.25" style="2" customWidth="1"/>
    <col min="9077" max="9077" width="6.375" style="2" customWidth="1"/>
    <col min="9078" max="9079" width="3.125" style="2" customWidth="1"/>
    <col min="9080" max="9080" width="1.125" style="2" customWidth="1"/>
    <col min="9081" max="9081" width="9" style="2" customWidth="1"/>
    <col min="9082" max="9082" width="2.375" style="2" customWidth="1"/>
    <col min="9083" max="9100" width="7.625" style="2" customWidth="1"/>
    <col min="9101" max="9263" width="9" style="2" customWidth="1"/>
    <col min="9264" max="9265" width="3.125" style="2" customWidth="1"/>
    <col min="9266" max="9266" width="5.875" style="2" bestFit="1" customWidth="1"/>
    <col min="9267" max="9267" width="5.625" style="2" customWidth="1"/>
    <col min="9268" max="9268" width="10.625" style="2" customWidth="1"/>
    <col min="9269" max="9269" width="12.625" style="2" customWidth="1"/>
    <col min="9270" max="9270" width="8.625" style="2" customWidth="1"/>
    <col min="9271" max="9271" width="5.625" style="2" customWidth="1"/>
    <col min="9272" max="9272" width="4.625" style="2" customWidth="1"/>
    <col min="9273" max="9273" width="5.625" style="2" customWidth="1"/>
    <col min="9274" max="9277" width="4.625" style="2" customWidth="1"/>
    <col min="9278" max="9278" width="7.625" style="2" customWidth="1"/>
    <col min="9279" max="9279" width="8.625" style="2" customWidth="1"/>
    <col min="9280" max="9281" width="5.625" style="2" customWidth="1"/>
    <col min="9282" max="9282" width="6.625" style="2" customWidth="1"/>
    <col min="9283" max="9283" width="9.875" style="2" customWidth="1"/>
    <col min="9284" max="9285" width="8.625" style="2" customWidth="1"/>
    <col min="9286" max="9286" width="5.5" style="2" bestFit="1" customWidth="1"/>
    <col min="9287" max="9328" width="6.75" style="2" customWidth="1"/>
    <col min="9329" max="9329" width="9" style="2" customWidth="1"/>
    <col min="9330" max="9330" width="9.875" style="2" customWidth="1"/>
    <col min="9331" max="9331" width="2.875" style="2" customWidth="1"/>
    <col min="9332" max="9332" width="12.25" style="2" customWidth="1"/>
    <col min="9333" max="9333" width="6.375" style="2" customWidth="1"/>
    <col min="9334" max="9335" width="3.125" style="2" customWidth="1"/>
    <col min="9336" max="9336" width="1.125" style="2" customWidth="1"/>
    <col min="9337" max="9337" width="9" style="2" customWidth="1"/>
    <col min="9338" max="9338" width="2.375" style="2" customWidth="1"/>
    <col min="9339" max="9356" width="7.625" style="2" customWidth="1"/>
    <col min="9357" max="9519" width="9" style="2" customWidth="1"/>
    <col min="9520" max="9521" width="3.125" style="2" customWidth="1"/>
    <col min="9522" max="9522" width="5.875" style="2" bestFit="1" customWidth="1"/>
    <col min="9523" max="9523" width="5.625" style="2" customWidth="1"/>
    <col min="9524" max="9524" width="10.625" style="2" customWidth="1"/>
    <col min="9525" max="9525" width="12.625" style="2" customWidth="1"/>
    <col min="9526" max="9526" width="8.625" style="2" customWidth="1"/>
    <col min="9527" max="9527" width="5.625" style="2" customWidth="1"/>
    <col min="9528" max="9528" width="4.625" style="2" customWidth="1"/>
    <col min="9529" max="9529" width="5.625" style="2" customWidth="1"/>
    <col min="9530" max="9533" width="4.625" style="2" customWidth="1"/>
    <col min="9534" max="9534" width="7.625" style="2" customWidth="1"/>
    <col min="9535" max="9535" width="8.625" style="2" customWidth="1"/>
    <col min="9536" max="9537" width="5.625" style="2" customWidth="1"/>
    <col min="9538" max="9538" width="6.625" style="2" customWidth="1"/>
    <col min="9539" max="9539" width="9.875" style="2" customWidth="1"/>
    <col min="9540" max="9541" width="8.625" style="2" customWidth="1"/>
    <col min="9542" max="9542" width="5.5" style="2" bestFit="1" customWidth="1"/>
    <col min="9543" max="9584" width="6.75" style="2" customWidth="1"/>
    <col min="9585" max="9585" width="9" style="2" customWidth="1"/>
    <col min="9586" max="9586" width="9.875" style="2" customWidth="1"/>
    <col min="9587" max="9587" width="2.875" style="2" customWidth="1"/>
    <col min="9588" max="9588" width="12.25" style="2" customWidth="1"/>
    <col min="9589" max="9589" width="6.375" style="2" customWidth="1"/>
    <col min="9590" max="9591" width="3.125" style="2" customWidth="1"/>
    <col min="9592" max="9592" width="1.125" style="2" customWidth="1"/>
    <col min="9593" max="9593" width="9" style="2" customWidth="1"/>
    <col min="9594" max="9594" width="2.375" style="2" customWidth="1"/>
    <col min="9595" max="9612" width="7.625" style="2" customWidth="1"/>
    <col min="9613" max="9775" width="9" style="2" customWidth="1"/>
    <col min="9776" max="9777" width="3.125" style="2" customWidth="1"/>
    <col min="9778" max="9778" width="5.875" style="2" bestFit="1" customWidth="1"/>
    <col min="9779" max="9779" width="5.625" style="2" customWidth="1"/>
    <col min="9780" max="9780" width="10.625" style="2" customWidth="1"/>
    <col min="9781" max="9781" width="12.625" style="2" customWidth="1"/>
    <col min="9782" max="9782" width="8.625" style="2" customWidth="1"/>
    <col min="9783" max="9783" width="5.625" style="2" customWidth="1"/>
    <col min="9784" max="9784" width="4.625" style="2" customWidth="1"/>
    <col min="9785" max="9785" width="5.625" style="2" customWidth="1"/>
    <col min="9786" max="9789" width="4.625" style="2" customWidth="1"/>
    <col min="9790" max="9790" width="7.625" style="2" customWidth="1"/>
    <col min="9791" max="9791" width="8.625" style="2" customWidth="1"/>
    <col min="9792" max="9793" width="5.625" style="2" customWidth="1"/>
    <col min="9794" max="9794" width="6.625" style="2" customWidth="1"/>
    <col min="9795" max="9795" width="9.875" style="2" customWidth="1"/>
    <col min="9796" max="9797" width="8.625" style="2" customWidth="1"/>
    <col min="9798" max="9798" width="5.5" style="2" bestFit="1" customWidth="1"/>
    <col min="9799" max="9840" width="6.75" style="2" customWidth="1"/>
    <col min="9841" max="9841" width="9" style="2" customWidth="1"/>
    <col min="9842" max="9842" width="9.875" style="2" customWidth="1"/>
    <col min="9843" max="9843" width="2.875" style="2" customWidth="1"/>
    <col min="9844" max="9844" width="12.25" style="2" customWidth="1"/>
    <col min="9845" max="9845" width="6.375" style="2" customWidth="1"/>
    <col min="9846" max="9847" width="3.125" style="2" customWidth="1"/>
    <col min="9848" max="9848" width="1.125" style="2" customWidth="1"/>
    <col min="9849" max="9849" width="9" style="2" customWidth="1"/>
    <col min="9850" max="9850" width="2.375" style="2" customWidth="1"/>
    <col min="9851" max="9868" width="7.625" style="2" customWidth="1"/>
    <col min="9869" max="10031" width="9" style="2" customWidth="1"/>
    <col min="10032" max="10033" width="3.125" style="2" customWidth="1"/>
    <col min="10034" max="10034" width="5.875" style="2" bestFit="1" customWidth="1"/>
    <col min="10035" max="10035" width="5.625" style="2" customWidth="1"/>
    <col min="10036" max="10036" width="10.625" style="2" customWidth="1"/>
    <col min="10037" max="10037" width="12.625" style="2" customWidth="1"/>
    <col min="10038" max="10038" width="8.625" style="2" customWidth="1"/>
    <col min="10039" max="10039" width="5.625" style="2" customWidth="1"/>
    <col min="10040" max="10040" width="4.625" style="2" customWidth="1"/>
    <col min="10041" max="10041" width="5.625" style="2" customWidth="1"/>
    <col min="10042" max="10045" width="4.625" style="2" customWidth="1"/>
    <col min="10046" max="10046" width="7.625" style="2" customWidth="1"/>
    <col min="10047" max="10047" width="8.625" style="2" customWidth="1"/>
    <col min="10048" max="10049" width="5.625" style="2" customWidth="1"/>
    <col min="10050" max="10050" width="6.625" style="2" customWidth="1"/>
    <col min="10051" max="10051" width="9.875" style="2" customWidth="1"/>
    <col min="10052" max="10053" width="8.625" style="2" customWidth="1"/>
    <col min="10054" max="10054" width="5.5" style="2" bestFit="1" customWidth="1"/>
    <col min="10055" max="10096" width="6.75" style="2" customWidth="1"/>
    <col min="10097" max="10097" width="9" style="2" customWidth="1"/>
    <col min="10098" max="10098" width="9.875" style="2" customWidth="1"/>
    <col min="10099" max="10099" width="2.875" style="2" customWidth="1"/>
    <col min="10100" max="10100" width="12.25" style="2" customWidth="1"/>
    <col min="10101" max="10101" width="6.375" style="2" customWidth="1"/>
    <col min="10102" max="10103" width="3.125" style="2" customWidth="1"/>
    <col min="10104" max="10104" width="1.125" style="2" customWidth="1"/>
    <col min="10105" max="10105" width="9" style="2" customWidth="1"/>
    <col min="10106" max="10106" width="2.375" style="2" customWidth="1"/>
    <col min="10107" max="10124" width="7.625" style="2" customWidth="1"/>
    <col min="10125" max="10287" width="9" style="2" customWidth="1"/>
    <col min="10288" max="10289" width="3.125" style="2" customWidth="1"/>
    <col min="10290" max="10290" width="5.875" style="2" bestFit="1" customWidth="1"/>
    <col min="10291" max="10291" width="5.625" style="2" customWidth="1"/>
    <col min="10292" max="10292" width="10.625" style="2" customWidth="1"/>
    <col min="10293" max="10293" width="12.625" style="2" customWidth="1"/>
    <col min="10294" max="10294" width="8.625" style="2" customWidth="1"/>
    <col min="10295" max="10295" width="5.625" style="2" customWidth="1"/>
    <col min="10296" max="10296" width="4.625" style="2" customWidth="1"/>
    <col min="10297" max="10297" width="5.625" style="2" customWidth="1"/>
    <col min="10298" max="10301" width="4.625" style="2" customWidth="1"/>
    <col min="10302" max="10302" width="7.625" style="2" customWidth="1"/>
    <col min="10303" max="10303" width="8.625" style="2" customWidth="1"/>
    <col min="10304" max="10305" width="5.625" style="2" customWidth="1"/>
    <col min="10306" max="10306" width="6.625" style="2" customWidth="1"/>
    <col min="10307" max="10307" width="9.875" style="2" customWidth="1"/>
    <col min="10308" max="10309" width="8.625" style="2" customWidth="1"/>
    <col min="10310" max="10310" width="5.5" style="2" bestFit="1" customWidth="1"/>
    <col min="10311" max="10352" width="6.75" style="2" customWidth="1"/>
    <col min="10353" max="10353" width="9" style="2" customWidth="1"/>
    <col min="10354" max="10354" width="9.875" style="2" customWidth="1"/>
    <col min="10355" max="10355" width="2.875" style="2" customWidth="1"/>
    <col min="10356" max="10356" width="12.25" style="2" customWidth="1"/>
    <col min="10357" max="10357" width="6.375" style="2" customWidth="1"/>
    <col min="10358" max="10359" width="3.125" style="2" customWidth="1"/>
    <col min="10360" max="10360" width="1.125" style="2" customWidth="1"/>
    <col min="10361" max="10361" width="9" style="2" customWidth="1"/>
    <col min="10362" max="10362" width="2.375" style="2" customWidth="1"/>
    <col min="10363" max="10380" width="7.625" style="2" customWidth="1"/>
    <col min="10381" max="10543" width="9" style="2" customWidth="1"/>
    <col min="10544" max="10545" width="3.125" style="2" customWidth="1"/>
    <col min="10546" max="10546" width="5.875" style="2" bestFit="1" customWidth="1"/>
    <col min="10547" max="10547" width="5.625" style="2" customWidth="1"/>
    <col min="10548" max="10548" width="10.625" style="2" customWidth="1"/>
    <col min="10549" max="10549" width="12.625" style="2" customWidth="1"/>
    <col min="10550" max="10550" width="8.625" style="2" customWidth="1"/>
    <col min="10551" max="10551" width="5.625" style="2" customWidth="1"/>
    <col min="10552" max="10552" width="4.625" style="2" customWidth="1"/>
    <col min="10553" max="10553" width="5.625" style="2" customWidth="1"/>
    <col min="10554" max="10557" width="4.625" style="2" customWidth="1"/>
    <col min="10558" max="10558" width="7.625" style="2" customWidth="1"/>
    <col min="10559" max="10559" width="8.625" style="2" customWidth="1"/>
    <col min="10560" max="10561" width="5.625" style="2" customWidth="1"/>
    <col min="10562" max="10562" width="6.625" style="2" customWidth="1"/>
    <col min="10563" max="10563" width="9.875" style="2" customWidth="1"/>
    <col min="10564" max="10565" width="8.625" style="2" customWidth="1"/>
    <col min="10566" max="10566" width="5.5" style="2" bestFit="1" customWidth="1"/>
    <col min="10567" max="10608" width="6.75" style="2" customWidth="1"/>
    <col min="10609" max="10609" width="9" style="2" customWidth="1"/>
    <col min="10610" max="10610" width="9.875" style="2" customWidth="1"/>
    <col min="10611" max="10611" width="2.875" style="2" customWidth="1"/>
    <col min="10612" max="10612" width="12.25" style="2" customWidth="1"/>
    <col min="10613" max="10613" width="6.375" style="2" customWidth="1"/>
    <col min="10614" max="10615" width="3.125" style="2" customWidth="1"/>
    <col min="10616" max="10616" width="1.125" style="2" customWidth="1"/>
    <col min="10617" max="10617" width="9" style="2" customWidth="1"/>
    <col min="10618" max="10618" width="2.375" style="2" customWidth="1"/>
    <col min="10619" max="10636" width="7.625" style="2" customWidth="1"/>
    <col min="10637" max="10799" width="9" style="2" customWidth="1"/>
    <col min="10800" max="10801" width="3.125" style="2" customWidth="1"/>
    <col min="10802" max="10802" width="5.875" style="2" bestFit="1" customWidth="1"/>
    <col min="10803" max="10803" width="5.625" style="2" customWidth="1"/>
    <col min="10804" max="10804" width="10.625" style="2" customWidth="1"/>
    <col min="10805" max="10805" width="12.625" style="2" customWidth="1"/>
    <col min="10806" max="10806" width="8.625" style="2" customWidth="1"/>
    <col min="10807" max="10807" width="5.625" style="2" customWidth="1"/>
    <col min="10808" max="10808" width="4.625" style="2" customWidth="1"/>
    <col min="10809" max="10809" width="5.625" style="2" customWidth="1"/>
    <col min="10810" max="10813" width="4.625" style="2" customWidth="1"/>
    <col min="10814" max="10814" width="7.625" style="2" customWidth="1"/>
    <col min="10815" max="10815" width="8.625" style="2" customWidth="1"/>
    <col min="10816" max="10817" width="5.625" style="2" customWidth="1"/>
    <col min="10818" max="10818" width="6.625" style="2" customWidth="1"/>
    <col min="10819" max="10819" width="9.875" style="2" customWidth="1"/>
    <col min="10820" max="10821" width="8.625" style="2" customWidth="1"/>
    <col min="10822" max="10822" width="5.5" style="2" bestFit="1" customWidth="1"/>
    <col min="10823" max="10864" width="6.75" style="2" customWidth="1"/>
    <col min="10865" max="10865" width="9" style="2" customWidth="1"/>
    <col min="10866" max="10866" width="9.875" style="2" customWidth="1"/>
    <col min="10867" max="10867" width="2.875" style="2" customWidth="1"/>
    <col min="10868" max="10868" width="12.25" style="2" customWidth="1"/>
    <col min="10869" max="10869" width="6.375" style="2" customWidth="1"/>
    <col min="10870" max="10871" width="3.125" style="2" customWidth="1"/>
    <col min="10872" max="10872" width="1.125" style="2" customWidth="1"/>
    <col min="10873" max="10873" width="9" style="2" customWidth="1"/>
    <col min="10874" max="10874" width="2.375" style="2" customWidth="1"/>
    <col min="10875" max="10892" width="7.625" style="2" customWidth="1"/>
    <col min="10893" max="11055" width="9" style="2" customWidth="1"/>
    <col min="11056" max="11057" width="3.125" style="2" customWidth="1"/>
    <col min="11058" max="11058" width="5.875" style="2" bestFit="1" customWidth="1"/>
    <col min="11059" max="11059" width="5.625" style="2" customWidth="1"/>
    <col min="11060" max="11060" width="10.625" style="2" customWidth="1"/>
    <col min="11061" max="11061" width="12.625" style="2" customWidth="1"/>
    <col min="11062" max="11062" width="8.625" style="2" customWidth="1"/>
    <col min="11063" max="11063" width="5.625" style="2" customWidth="1"/>
    <col min="11064" max="11064" width="4.625" style="2" customWidth="1"/>
    <col min="11065" max="11065" width="5.625" style="2" customWidth="1"/>
    <col min="11066" max="11069" width="4.625" style="2" customWidth="1"/>
    <col min="11070" max="11070" width="7.625" style="2" customWidth="1"/>
    <col min="11071" max="11071" width="8.625" style="2" customWidth="1"/>
    <col min="11072" max="11073" width="5.625" style="2" customWidth="1"/>
    <col min="11074" max="11074" width="6.625" style="2" customWidth="1"/>
    <col min="11075" max="11075" width="9.875" style="2" customWidth="1"/>
    <col min="11076" max="11077" width="8.625" style="2" customWidth="1"/>
    <col min="11078" max="11078" width="5.5" style="2" bestFit="1" customWidth="1"/>
    <col min="11079" max="11120" width="6.75" style="2" customWidth="1"/>
    <col min="11121" max="11121" width="9" style="2" customWidth="1"/>
    <col min="11122" max="11122" width="9.875" style="2" customWidth="1"/>
    <col min="11123" max="11123" width="2.875" style="2" customWidth="1"/>
    <col min="11124" max="11124" width="12.25" style="2" customWidth="1"/>
    <col min="11125" max="11125" width="6.375" style="2" customWidth="1"/>
    <col min="11126" max="11127" width="3.125" style="2" customWidth="1"/>
    <col min="11128" max="11128" width="1.125" style="2" customWidth="1"/>
    <col min="11129" max="11129" width="9" style="2" customWidth="1"/>
    <col min="11130" max="11130" width="2.375" style="2" customWidth="1"/>
    <col min="11131" max="11148" width="7.625" style="2" customWidth="1"/>
    <col min="11149" max="11311" width="9" style="2" customWidth="1"/>
    <col min="11312" max="11313" width="3.125" style="2" customWidth="1"/>
    <col min="11314" max="11314" width="5.875" style="2" bestFit="1" customWidth="1"/>
    <col min="11315" max="11315" width="5.625" style="2" customWidth="1"/>
    <col min="11316" max="11316" width="10.625" style="2" customWidth="1"/>
    <col min="11317" max="11317" width="12.625" style="2" customWidth="1"/>
    <col min="11318" max="11318" width="8.625" style="2" customWidth="1"/>
    <col min="11319" max="11319" width="5.625" style="2" customWidth="1"/>
    <col min="11320" max="11320" width="4.625" style="2" customWidth="1"/>
    <col min="11321" max="11321" width="5.625" style="2" customWidth="1"/>
    <col min="11322" max="11325" width="4.625" style="2" customWidth="1"/>
    <col min="11326" max="11326" width="7.625" style="2" customWidth="1"/>
    <col min="11327" max="11327" width="8.625" style="2" customWidth="1"/>
    <col min="11328" max="11329" width="5.625" style="2" customWidth="1"/>
    <col min="11330" max="11330" width="6.625" style="2" customWidth="1"/>
    <col min="11331" max="11331" width="9.875" style="2" customWidth="1"/>
    <col min="11332" max="11333" width="8.625" style="2" customWidth="1"/>
    <col min="11334" max="11334" width="5.5" style="2" bestFit="1" customWidth="1"/>
    <col min="11335" max="11376" width="6.75" style="2" customWidth="1"/>
    <col min="11377" max="11377" width="9" style="2" customWidth="1"/>
    <col min="11378" max="11378" width="9.875" style="2" customWidth="1"/>
    <col min="11379" max="11379" width="2.875" style="2" customWidth="1"/>
    <col min="11380" max="11380" width="12.25" style="2" customWidth="1"/>
    <col min="11381" max="11381" width="6.375" style="2" customWidth="1"/>
    <col min="11382" max="11383" width="3.125" style="2" customWidth="1"/>
    <col min="11384" max="11384" width="1.125" style="2" customWidth="1"/>
    <col min="11385" max="11385" width="9" style="2" customWidth="1"/>
    <col min="11386" max="11386" width="2.375" style="2" customWidth="1"/>
    <col min="11387" max="11404" width="7.625" style="2" customWidth="1"/>
    <col min="11405" max="11567" width="9" style="2" customWidth="1"/>
    <col min="11568" max="11569" width="3.125" style="2" customWidth="1"/>
    <col min="11570" max="11570" width="5.875" style="2" bestFit="1" customWidth="1"/>
    <col min="11571" max="11571" width="5.625" style="2" customWidth="1"/>
    <col min="11572" max="11572" width="10.625" style="2" customWidth="1"/>
    <col min="11573" max="11573" width="12.625" style="2" customWidth="1"/>
    <col min="11574" max="11574" width="8.625" style="2" customWidth="1"/>
    <col min="11575" max="11575" width="5.625" style="2" customWidth="1"/>
    <col min="11576" max="11576" width="4.625" style="2" customWidth="1"/>
    <col min="11577" max="11577" width="5.625" style="2" customWidth="1"/>
    <col min="11578" max="11581" width="4.625" style="2" customWidth="1"/>
    <col min="11582" max="11582" width="7.625" style="2" customWidth="1"/>
    <col min="11583" max="11583" width="8.625" style="2" customWidth="1"/>
    <col min="11584" max="11585" width="5.625" style="2" customWidth="1"/>
    <col min="11586" max="11586" width="6.625" style="2" customWidth="1"/>
    <col min="11587" max="11587" width="9.875" style="2" customWidth="1"/>
    <col min="11588" max="11589" width="8.625" style="2" customWidth="1"/>
    <col min="11590" max="11590" width="5.5" style="2" bestFit="1" customWidth="1"/>
    <col min="11591" max="11632" width="6.75" style="2" customWidth="1"/>
    <col min="11633" max="11633" width="9" style="2" customWidth="1"/>
    <col min="11634" max="11634" width="9.875" style="2" customWidth="1"/>
    <col min="11635" max="11635" width="2.875" style="2" customWidth="1"/>
    <col min="11636" max="11636" width="12.25" style="2" customWidth="1"/>
    <col min="11637" max="11637" width="6.375" style="2" customWidth="1"/>
    <col min="11638" max="11639" width="3.125" style="2" customWidth="1"/>
    <col min="11640" max="11640" width="1.125" style="2" customWidth="1"/>
    <col min="11641" max="11641" width="9" style="2" customWidth="1"/>
    <col min="11642" max="11642" width="2.375" style="2" customWidth="1"/>
    <col min="11643" max="11660" width="7.625" style="2" customWidth="1"/>
    <col min="11661" max="11823" width="9" style="2" customWidth="1"/>
    <col min="11824" max="11825" width="3.125" style="2" customWidth="1"/>
    <col min="11826" max="11826" width="5.875" style="2" bestFit="1" customWidth="1"/>
    <col min="11827" max="11827" width="5.625" style="2" customWidth="1"/>
    <col min="11828" max="11828" width="10.625" style="2" customWidth="1"/>
    <col min="11829" max="11829" width="12.625" style="2" customWidth="1"/>
    <col min="11830" max="11830" width="8.625" style="2" customWidth="1"/>
    <col min="11831" max="11831" width="5.625" style="2" customWidth="1"/>
    <col min="11832" max="11832" width="4.625" style="2" customWidth="1"/>
    <col min="11833" max="11833" width="5.625" style="2" customWidth="1"/>
    <col min="11834" max="11837" width="4.625" style="2" customWidth="1"/>
    <col min="11838" max="11838" width="7.625" style="2" customWidth="1"/>
    <col min="11839" max="11839" width="8.625" style="2" customWidth="1"/>
    <col min="11840" max="11841" width="5.625" style="2" customWidth="1"/>
    <col min="11842" max="11842" width="6.625" style="2" customWidth="1"/>
    <col min="11843" max="11843" width="9.875" style="2" customWidth="1"/>
    <col min="11844" max="11845" width="8.625" style="2" customWidth="1"/>
    <col min="11846" max="11846" width="5.5" style="2" bestFit="1" customWidth="1"/>
    <col min="11847" max="11888" width="6.75" style="2" customWidth="1"/>
    <col min="11889" max="11889" width="9" style="2" customWidth="1"/>
    <col min="11890" max="11890" width="9.875" style="2" customWidth="1"/>
    <col min="11891" max="11891" width="2.875" style="2" customWidth="1"/>
    <col min="11892" max="11892" width="12.25" style="2" customWidth="1"/>
    <col min="11893" max="11893" width="6.375" style="2" customWidth="1"/>
    <col min="11894" max="11895" width="3.125" style="2" customWidth="1"/>
    <col min="11896" max="11896" width="1.125" style="2" customWidth="1"/>
    <col min="11897" max="11897" width="9" style="2" customWidth="1"/>
    <col min="11898" max="11898" width="2.375" style="2" customWidth="1"/>
    <col min="11899" max="11916" width="7.625" style="2" customWidth="1"/>
    <col min="11917" max="12079" width="9" style="2" customWidth="1"/>
    <col min="12080" max="12081" width="3.125" style="2" customWidth="1"/>
    <col min="12082" max="12082" width="5.875" style="2" bestFit="1" customWidth="1"/>
    <col min="12083" max="12083" width="5.625" style="2" customWidth="1"/>
    <col min="12084" max="12084" width="10.625" style="2" customWidth="1"/>
    <col min="12085" max="12085" width="12.625" style="2" customWidth="1"/>
    <col min="12086" max="12086" width="8.625" style="2" customWidth="1"/>
    <col min="12087" max="12087" width="5.625" style="2" customWidth="1"/>
    <col min="12088" max="12088" width="4.625" style="2" customWidth="1"/>
    <col min="12089" max="12089" width="5.625" style="2" customWidth="1"/>
    <col min="12090" max="12093" width="4.625" style="2" customWidth="1"/>
    <col min="12094" max="12094" width="7.625" style="2" customWidth="1"/>
    <col min="12095" max="12095" width="8.625" style="2" customWidth="1"/>
    <col min="12096" max="12097" width="5.625" style="2" customWidth="1"/>
    <col min="12098" max="12098" width="6.625" style="2" customWidth="1"/>
    <col min="12099" max="12099" width="9.875" style="2" customWidth="1"/>
    <col min="12100" max="12101" width="8.625" style="2" customWidth="1"/>
    <col min="12102" max="12102" width="5.5" style="2" bestFit="1" customWidth="1"/>
    <col min="12103" max="12144" width="6.75" style="2" customWidth="1"/>
    <col min="12145" max="12145" width="9" style="2" customWidth="1"/>
    <col min="12146" max="12146" width="9.875" style="2" customWidth="1"/>
    <col min="12147" max="12147" width="2.875" style="2" customWidth="1"/>
    <col min="12148" max="12148" width="12.25" style="2" customWidth="1"/>
    <col min="12149" max="12149" width="6.375" style="2" customWidth="1"/>
    <col min="12150" max="12151" width="3.125" style="2" customWidth="1"/>
    <col min="12152" max="12152" width="1.125" style="2" customWidth="1"/>
    <col min="12153" max="12153" width="9" style="2" customWidth="1"/>
    <col min="12154" max="12154" width="2.375" style="2" customWidth="1"/>
    <col min="12155" max="12172" width="7.625" style="2" customWidth="1"/>
    <col min="12173" max="12335" width="9" style="2" customWidth="1"/>
    <col min="12336" max="12337" width="3.125" style="2" customWidth="1"/>
    <col min="12338" max="12338" width="5.875" style="2" bestFit="1" customWidth="1"/>
    <col min="12339" max="12339" width="5.625" style="2" customWidth="1"/>
    <col min="12340" max="12340" width="10.625" style="2" customWidth="1"/>
    <col min="12341" max="12341" width="12.625" style="2" customWidth="1"/>
    <col min="12342" max="12342" width="8.625" style="2" customWidth="1"/>
    <col min="12343" max="12343" width="5.625" style="2" customWidth="1"/>
    <col min="12344" max="12344" width="4.625" style="2" customWidth="1"/>
    <col min="12345" max="12345" width="5.625" style="2" customWidth="1"/>
    <col min="12346" max="12349" width="4.625" style="2" customWidth="1"/>
    <col min="12350" max="12350" width="7.625" style="2" customWidth="1"/>
    <col min="12351" max="12351" width="8.625" style="2" customWidth="1"/>
    <col min="12352" max="12353" width="5.625" style="2" customWidth="1"/>
    <col min="12354" max="12354" width="6.625" style="2" customWidth="1"/>
    <col min="12355" max="12355" width="9.875" style="2" customWidth="1"/>
    <col min="12356" max="12357" width="8.625" style="2" customWidth="1"/>
    <col min="12358" max="12358" width="5.5" style="2" bestFit="1" customWidth="1"/>
    <col min="12359" max="12400" width="6.75" style="2" customWidth="1"/>
    <col min="12401" max="12401" width="9" style="2" customWidth="1"/>
    <col min="12402" max="12402" width="9.875" style="2" customWidth="1"/>
    <col min="12403" max="12403" width="2.875" style="2" customWidth="1"/>
    <col min="12404" max="12404" width="12.25" style="2" customWidth="1"/>
    <col min="12405" max="12405" width="6.375" style="2" customWidth="1"/>
    <col min="12406" max="12407" width="3.125" style="2" customWidth="1"/>
    <col min="12408" max="12408" width="1.125" style="2" customWidth="1"/>
    <col min="12409" max="12409" width="9" style="2" customWidth="1"/>
    <col min="12410" max="12410" width="2.375" style="2" customWidth="1"/>
    <col min="12411" max="12428" width="7.625" style="2" customWidth="1"/>
    <col min="12429" max="12591" width="9" style="2" customWidth="1"/>
    <col min="12592" max="12593" width="3.125" style="2" customWidth="1"/>
    <col min="12594" max="12594" width="5.875" style="2" bestFit="1" customWidth="1"/>
    <col min="12595" max="12595" width="5.625" style="2" customWidth="1"/>
    <col min="12596" max="12596" width="10.625" style="2" customWidth="1"/>
    <col min="12597" max="12597" width="12.625" style="2" customWidth="1"/>
    <col min="12598" max="12598" width="8.625" style="2" customWidth="1"/>
    <col min="12599" max="12599" width="5.625" style="2" customWidth="1"/>
    <col min="12600" max="12600" width="4.625" style="2" customWidth="1"/>
    <col min="12601" max="12601" width="5.625" style="2" customWidth="1"/>
    <col min="12602" max="12605" width="4.625" style="2" customWidth="1"/>
    <col min="12606" max="12606" width="7.625" style="2" customWidth="1"/>
    <col min="12607" max="12607" width="8.625" style="2" customWidth="1"/>
    <col min="12608" max="12609" width="5.625" style="2" customWidth="1"/>
    <col min="12610" max="12610" width="6.625" style="2" customWidth="1"/>
    <col min="12611" max="12611" width="9.875" style="2" customWidth="1"/>
    <col min="12612" max="12613" width="8.625" style="2" customWidth="1"/>
    <col min="12614" max="12614" width="5.5" style="2" bestFit="1" customWidth="1"/>
    <col min="12615" max="12656" width="6.75" style="2" customWidth="1"/>
    <col min="12657" max="12657" width="9" style="2" customWidth="1"/>
    <col min="12658" max="12658" width="9.875" style="2" customWidth="1"/>
    <col min="12659" max="12659" width="2.875" style="2" customWidth="1"/>
    <col min="12660" max="12660" width="12.25" style="2" customWidth="1"/>
    <col min="12661" max="12661" width="6.375" style="2" customWidth="1"/>
    <col min="12662" max="12663" width="3.125" style="2" customWidth="1"/>
    <col min="12664" max="12664" width="1.125" style="2" customWidth="1"/>
    <col min="12665" max="12665" width="9" style="2" customWidth="1"/>
    <col min="12666" max="12666" width="2.375" style="2" customWidth="1"/>
    <col min="12667" max="12684" width="7.625" style="2" customWidth="1"/>
    <col min="12685" max="12847" width="9" style="2" customWidth="1"/>
    <col min="12848" max="12849" width="3.125" style="2" customWidth="1"/>
    <col min="12850" max="12850" width="5.875" style="2" bestFit="1" customWidth="1"/>
    <col min="12851" max="12851" width="5.625" style="2" customWidth="1"/>
    <col min="12852" max="12852" width="10.625" style="2" customWidth="1"/>
    <col min="12853" max="12853" width="12.625" style="2" customWidth="1"/>
    <col min="12854" max="12854" width="8.625" style="2" customWidth="1"/>
    <col min="12855" max="12855" width="5.625" style="2" customWidth="1"/>
    <col min="12856" max="12856" width="4.625" style="2" customWidth="1"/>
    <col min="12857" max="12857" width="5.625" style="2" customWidth="1"/>
    <col min="12858" max="12861" width="4.625" style="2" customWidth="1"/>
    <col min="12862" max="12862" width="7.625" style="2" customWidth="1"/>
    <col min="12863" max="12863" width="8.625" style="2" customWidth="1"/>
    <col min="12864" max="12865" width="5.625" style="2" customWidth="1"/>
    <col min="12866" max="12866" width="6.625" style="2" customWidth="1"/>
    <col min="12867" max="12867" width="9.875" style="2" customWidth="1"/>
    <col min="12868" max="12869" width="8.625" style="2" customWidth="1"/>
    <col min="12870" max="12870" width="5.5" style="2" bestFit="1" customWidth="1"/>
    <col min="12871" max="12912" width="6.75" style="2" customWidth="1"/>
    <col min="12913" max="12913" width="9" style="2" customWidth="1"/>
    <col min="12914" max="12914" width="9.875" style="2" customWidth="1"/>
    <col min="12915" max="12915" width="2.875" style="2" customWidth="1"/>
    <col min="12916" max="12916" width="12.25" style="2" customWidth="1"/>
    <col min="12917" max="12917" width="6.375" style="2" customWidth="1"/>
    <col min="12918" max="12919" width="3.125" style="2" customWidth="1"/>
    <col min="12920" max="12920" width="1.125" style="2" customWidth="1"/>
    <col min="12921" max="12921" width="9" style="2" customWidth="1"/>
    <col min="12922" max="12922" width="2.375" style="2" customWidth="1"/>
    <col min="12923" max="12940" width="7.625" style="2" customWidth="1"/>
    <col min="12941" max="13103" width="9" style="2" customWidth="1"/>
    <col min="13104" max="13105" width="3.125" style="2" customWidth="1"/>
    <col min="13106" max="13106" width="5.875" style="2" bestFit="1" customWidth="1"/>
    <col min="13107" max="13107" width="5.625" style="2" customWidth="1"/>
    <col min="13108" max="13108" width="10.625" style="2" customWidth="1"/>
    <col min="13109" max="13109" width="12.625" style="2" customWidth="1"/>
    <col min="13110" max="13110" width="8.625" style="2" customWidth="1"/>
    <col min="13111" max="13111" width="5.625" style="2" customWidth="1"/>
    <col min="13112" max="13112" width="4.625" style="2" customWidth="1"/>
    <col min="13113" max="13113" width="5.625" style="2" customWidth="1"/>
    <col min="13114" max="13117" width="4.625" style="2" customWidth="1"/>
    <col min="13118" max="13118" width="7.625" style="2" customWidth="1"/>
    <col min="13119" max="13119" width="8.625" style="2" customWidth="1"/>
    <col min="13120" max="13121" width="5.625" style="2" customWidth="1"/>
    <col min="13122" max="13122" width="6.625" style="2" customWidth="1"/>
    <col min="13123" max="13123" width="9.875" style="2" customWidth="1"/>
    <col min="13124" max="13125" width="8.625" style="2" customWidth="1"/>
    <col min="13126" max="13126" width="5.5" style="2" bestFit="1" customWidth="1"/>
    <col min="13127" max="13168" width="6.75" style="2" customWidth="1"/>
    <col min="13169" max="13169" width="9" style="2" customWidth="1"/>
    <col min="13170" max="13170" width="9.875" style="2" customWidth="1"/>
    <col min="13171" max="13171" width="2.875" style="2" customWidth="1"/>
    <col min="13172" max="13172" width="12.25" style="2" customWidth="1"/>
    <col min="13173" max="13173" width="6.375" style="2" customWidth="1"/>
    <col min="13174" max="13175" width="3.125" style="2" customWidth="1"/>
    <col min="13176" max="13176" width="1.125" style="2" customWidth="1"/>
    <col min="13177" max="13177" width="9" style="2" customWidth="1"/>
    <col min="13178" max="13178" width="2.375" style="2" customWidth="1"/>
    <col min="13179" max="13196" width="7.625" style="2" customWidth="1"/>
    <col min="13197" max="13359" width="9" style="2" customWidth="1"/>
    <col min="13360" max="13361" width="3.125" style="2" customWidth="1"/>
    <col min="13362" max="13362" width="5.875" style="2" bestFit="1" customWidth="1"/>
    <col min="13363" max="13363" width="5.625" style="2" customWidth="1"/>
    <col min="13364" max="13364" width="10.625" style="2" customWidth="1"/>
    <col min="13365" max="13365" width="12.625" style="2" customWidth="1"/>
    <col min="13366" max="13366" width="8.625" style="2" customWidth="1"/>
    <col min="13367" max="13367" width="5.625" style="2" customWidth="1"/>
    <col min="13368" max="13368" width="4.625" style="2" customWidth="1"/>
    <col min="13369" max="13369" width="5.625" style="2" customWidth="1"/>
    <col min="13370" max="13373" width="4.625" style="2" customWidth="1"/>
    <col min="13374" max="13374" width="7.625" style="2" customWidth="1"/>
    <col min="13375" max="13375" width="8.625" style="2" customWidth="1"/>
    <col min="13376" max="13377" width="5.625" style="2" customWidth="1"/>
    <col min="13378" max="13378" width="6.625" style="2" customWidth="1"/>
    <col min="13379" max="13379" width="9.875" style="2" customWidth="1"/>
    <col min="13380" max="13381" width="8.625" style="2" customWidth="1"/>
    <col min="13382" max="13382" width="5.5" style="2" bestFit="1" customWidth="1"/>
    <col min="13383" max="13424" width="6.75" style="2" customWidth="1"/>
    <col min="13425" max="13425" width="9" style="2" customWidth="1"/>
    <col min="13426" max="13426" width="9.875" style="2" customWidth="1"/>
    <col min="13427" max="13427" width="2.875" style="2" customWidth="1"/>
    <col min="13428" max="13428" width="12.25" style="2" customWidth="1"/>
    <col min="13429" max="13429" width="6.375" style="2" customWidth="1"/>
    <col min="13430" max="13431" width="3.125" style="2" customWidth="1"/>
    <col min="13432" max="13432" width="1.125" style="2" customWidth="1"/>
    <col min="13433" max="13433" width="9" style="2" customWidth="1"/>
    <col min="13434" max="13434" width="2.375" style="2" customWidth="1"/>
    <col min="13435" max="13452" width="7.625" style="2" customWidth="1"/>
    <col min="13453" max="13615" width="9" style="2" customWidth="1"/>
    <col min="13616" max="13617" width="3.125" style="2" customWidth="1"/>
    <col min="13618" max="13618" width="5.875" style="2" bestFit="1" customWidth="1"/>
    <col min="13619" max="13619" width="5.625" style="2" customWidth="1"/>
    <col min="13620" max="13620" width="10.625" style="2" customWidth="1"/>
    <col min="13621" max="13621" width="12.625" style="2" customWidth="1"/>
    <col min="13622" max="13622" width="8.625" style="2" customWidth="1"/>
    <col min="13623" max="13623" width="5.625" style="2" customWidth="1"/>
    <col min="13624" max="13624" width="4.625" style="2" customWidth="1"/>
    <col min="13625" max="13625" width="5.625" style="2" customWidth="1"/>
    <col min="13626" max="13629" width="4.625" style="2" customWidth="1"/>
    <col min="13630" max="13630" width="7.625" style="2" customWidth="1"/>
    <col min="13631" max="13631" width="8.625" style="2" customWidth="1"/>
    <col min="13632" max="13633" width="5.625" style="2" customWidth="1"/>
    <col min="13634" max="13634" width="6.625" style="2" customWidth="1"/>
    <col min="13635" max="13635" width="9.875" style="2" customWidth="1"/>
    <col min="13636" max="13637" width="8.625" style="2" customWidth="1"/>
    <col min="13638" max="13638" width="5.5" style="2" bestFit="1" customWidth="1"/>
    <col min="13639" max="13680" width="6.75" style="2" customWidth="1"/>
    <col min="13681" max="13681" width="9" style="2" customWidth="1"/>
    <col min="13682" max="13682" width="9.875" style="2" customWidth="1"/>
    <col min="13683" max="13683" width="2.875" style="2" customWidth="1"/>
    <col min="13684" max="13684" width="12.25" style="2" customWidth="1"/>
    <col min="13685" max="13685" width="6.375" style="2" customWidth="1"/>
    <col min="13686" max="13687" width="3.125" style="2" customWidth="1"/>
    <col min="13688" max="13688" width="1.125" style="2" customWidth="1"/>
    <col min="13689" max="13689" width="9" style="2" customWidth="1"/>
    <col min="13690" max="13690" width="2.375" style="2" customWidth="1"/>
    <col min="13691" max="13708" width="7.625" style="2" customWidth="1"/>
    <col min="13709" max="13871" width="9" style="2" customWidth="1"/>
    <col min="13872" max="13873" width="3.125" style="2" customWidth="1"/>
    <col min="13874" max="13874" width="5.875" style="2" bestFit="1" customWidth="1"/>
    <col min="13875" max="13875" width="5.625" style="2" customWidth="1"/>
    <col min="13876" max="13876" width="10.625" style="2" customWidth="1"/>
    <col min="13877" max="13877" width="12.625" style="2" customWidth="1"/>
    <col min="13878" max="13878" width="8.625" style="2" customWidth="1"/>
    <col min="13879" max="13879" width="5.625" style="2" customWidth="1"/>
    <col min="13880" max="13880" width="4.625" style="2" customWidth="1"/>
    <col min="13881" max="13881" width="5.625" style="2" customWidth="1"/>
    <col min="13882" max="13885" width="4.625" style="2" customWidth="1"/>
    <col min="13886" max="13886" width="7.625" style="2" customWidth="1"/>
    <col min="13887" max="13887" width="8.625" style="2" customWidth="1"/>
    <col min="13888" max="13889" width="5.625" style="2" customWidth="1"/>
    <col min="13890" max="13890" width="6.625" style="2" customWidth="1"/>
    <col min="13891" max="13891" width="9.875" style="2" customWidth="1"/>
    <col min="13892" max="13893" width="8.625" style="2" customWidth="1"/>
    <col min="13894" max="13894" width="5.5" style="2" bestFit="1" customWidth="1"/>
    <col min="13895" max="13936" width="6.75" style="2" customWidth="1"/>
    <col min="13937" max="13937" width="9" style="2" customWidth="1"/>
    <col min="13938" max="13938" width="9.875" style="2" customWidth="1"/>
    <col min="13939" max="13939" width="2.875" style="2" customWidth="1"/>
    <col min="13940" max="13940" width="12.25" style="2" customWidth="1"/>
    <col min="13941" max="13941" width="6.375" style="2" customWidth="1"/>
    <col min="13942" max="13943" width="3.125" style="2" customWidth="1"/>
    <col min="13944" max="13944" width="1.125" style="2" customWidth="1"/>
    <col min="13945" max="13945" width="9" style="2" customWidth="1"/>
    <col min="13946" max="13946" width="2.375" style="2" customWidth="1"/>
    <col min="13947" max="13964" width="7.625" style="2" customWidth="1"/>
    <col min="13965" max="14127" width="9" style="2" customWidth="1"/>
    <col min="14128" max="14129" width="3.125" style="2" customWidth="1"/>
    <col min="14130" max="14130" width="5.875" style="2" bestFit="1" customWidth="1"/>
    <col min="14131" max="14131" width="5.625" style="2" customWidth="1"/>
    <col min="14132" max="14132" width="10.625" style="2" customWidth="1"/>
    <col min="14133" max="14133" width="12.625" style="2" customWidth="1"/>
    <col min="14134" max="14134" width="8.625" style="2" customWidth="1"/>
    <col min="14135" max="14135" width="5.625" style="2" customWidth="1"/>
    <col min="14136" max="14136" width="4.625" style="2" customWidth="1"/>
    <col min="14137" max="14137" width="5.625" style="2" customWidth="1"/>
    <col min="14138" max="14141" width="4.625" style="2" customWidth="1"/>
    <col min="14142" max="14142" width="7.625" style="2" customWidth="1"/>
    <col min="14143" max="14143" width="8.625" style="2" customWidth="1"/>
    <col min="14144" max="14145" width="5.625" style="2" customWidth="1"/>
    <col min="14146" max="14146" width="6.625" style="2" customWidth="1"/>
    <col min="14147" max="14147" width="9.875" style="2" customWidth="1"/>
    <col min="14148" max="14149" width="8.625" style="2" customWidth="1"/>
    <col min="14150" max="14150" width="5.5" style="2" bestFit="1" customWidth="1"/>
    <col min="14151" max="14192" width="6.75" style="2" customWidth="1"/>
    <col min="14193" max="14193" width="9" style="2" customWidth="1"/>
    <col min="14194" max="14194" width="9.875" style="2" customWidth="1"/>
    <col min="14195" max="14195" width="2.875" style="2" customWidth="1"/>
    <col min="14196" max="14196" width="12.25" style="2" customWidth="1"/>
    <col min="14197" max="14197" width="6.375" style="2" customWidth="1"/>
    <col min="14198" max="14199" width="3.125" style="2" customWidth="1"/>
    <col min="14200" max="14200" width="1.125" style="2" customWidth="1"/>
    <col min="14201" max="14201" width="9" style="2" customWidth="1"/>
    <col min="14202" max="14202" width="2.375" style="2" customWidth="1"/>
    <col min="14203" max="14220" width="7.625" style="2" customWidth="1"/>
    <col min="14221" max="14383" width="9" style="2" customWidth="1"/>
    <col min="14384" max="14385" width="3.125" style="2" customWidth="1"/>
    <col min="14386" max="14386" width="5.875" style="2" bestFit="1" customWidth="1"/>
    <col min="14387" max="14387" width="5.625" style="2" customWidth="1"/>
    <col min="14388" max="14388" width="10.625" style="2" customWidth="1"/>
    <col min="14389" max="14389" width="12.625" style="2" customWidth="1"/>
    <col min="14390" max="14390" width="8.625" style="2" customWidth="1"/>
    <col min="14391" max="14391" width="5.625" style="2" customWidth="1"/>
    <col min="14392" max="14392" width="4.625" style="2" customWidth="1"/>
    <col min="14393" max="14393" width="5.625" style="2" customWidth="1"/>
    <col min="14394" max="14397" width="4.625" style="2" customWidth="1"/>
    <col min="14398" max="14398" width="7.625" style="2" customWidth="1"/>
    <col min="14399" max="14399" width="8.625" style="2" customWidth="1"/>
    <col min="14400" max="14401" width="5.625" style="2" customWidth="1"/>
    <col min="14402" max="14402" width="6.625" style="2" customWidth="1"/>
    <col min="14403" max="14403" width="9.875" style="2" customWidth="1"/>
    <col min="14404" max="14405" width="8.625" style="2" customWidth="1"/>
    <col min="14406" max="14406" width="5.5" style="2" bestFit="1" customWidth="1"/>
    <col min="14407" max="14448" width="6.75" style="2" customWidth="1"/>
    <col min="14449" max="14449" width="9" style="2" customWidth="1"/>
    <col min="14450" max="14450" width="9.875" style="2" customWidth="1"/>
    <col min="14451" max="14451" width="2.875" style="2" customWidth="1"/>
    <col min="14452" max="14452" width="12.25" style="2" customWidth="1"/>
    <col min="14453" max="14453" width="6.375" style="2" customWidth="1"/>
    <col min="14454" max="14455" width="3.125" style="2" customWidth="1"/>
    <col min="14456" max="14456" width="1.125" style="2" customWidth="1"/>
    <col min="14457" max="14457" width="9" style="2" customWidth="1"/>
    <col min="14458" max="14458" width="2.375" style="2" customWidth="1"/>
    <col min="14459" max="14476" width="7.625" style="2" customWidth="1"/>
    <col min="14477" max="14639" width="9" style="2" customWidth="1"/>
    <col min="14640" max="14641" width="3.125" style="2" customWidth="1"/>
    <col min="14642" max="14642" width="5.875" style="2" bestFit="1" customWidth="1"/>
    <col min="14643" max="14643" width="5.625" style="2" customWidth="1"/>
    <col min="14644" max="14644" width="10.625" style="2" customWidth="1"/>
    <col min="14645" max="14645" width="12.625" style="2" customWidth="1"/>
    <col min="14646" max="14646" width="8.625" style="2" customWidth="1"/>
    <col min="14647" max="14647" width="5.625" style="2" customWidth="1"/>
    <col min="14648" max="14648" width="4.625" style="2" customWidth="1"/>
    <col min="14649" max="14649" width="5.625" style="2" customWidth="1"/>
    <col min="14650" max="14653" width="4.625" style="2" customWidth="1"/>
    <col min="14654" max="14654" width="7.625" style="2" customWidth="1"/>
    <col min="14655" max="14655" width="8.625" style="2" customWidth="1"/>
    <col min="14656" max="14657" width="5.625" style="2" customWidth="1"/>
    <col min="14658" max="14658" width="6.625" style="2" customWidth="1"/>
    <col min="14659" max="14659" width="9.875" style="2" customWidth="1"/>
    <col min="14660" max="14661" width="8.625" style="2" customWidth="1"/>
    <col min="14662" max="14662" width="5.5" style="2" bestFit="1" customWidth="1"/>
    <col min="14663" max="14704" width="6.75" style="2" customWidth="1"/>
    <col min="14705" max="14705" width="9" style="2" customWidth="1"/>
    <col min="14706" max="14706" width="9.875" style="2" customWidth="1"/>
    <col min="14707" max="14707" width="2.875" style="2" customWidth="1"/>
    <col min="14708" max="14708" width="12.25" style="2" customWidth="1"/>
    <col min="14709" max="14709" width="6.375" style="2" customWidth="1"/>
    <col min="14710" max="14711" width="3.125" style="2" customWidth="1"/>
    <col min="14712" max="14712" width="1.125" style="2" customWidth="1"/>
    <col min="14713" max="14713" width="9" style="2" customWidth="1"/>
    <col min="14714" max="14714" width="2.375" style="2" customWidth="1"/>
    <col min="14715" max="14732" width="7.625" style="2" customWidth="1"/>
    <col min="14733" max="14895" width="9" style="2" customWidth="1"/>
    <col min="14896" max="14897" width="3.125" style="2" customWidth="1"/>
    <col min="14898" max="14898" width="5.875" style="2" bestFit="1" customWidth="1"/>
    <col min="14899" max="14899" width="5.625" style="2" customWidth="1"/>
    <col min="14900" max="14900" width="10.625" style="2" customWidth="1"/>
    <col min="14901" max="14901" width="12.625" style="2" customWidth="1"/>
    <col min="14902" max="14902" width="8.625" style="2" customWidth="1"/>
    <col min="14903" max="14903" width="5.625" style="2" customWidth="1"/>
    <col min="14904" max="14904" width="4.625" style="2" customWidth="1"/>
    <col min="14905" max="14905" width="5.625" style="2" customWidth="1"/>
    <col min="14906" max="14909" width="4.625" style="2" customWidth="1"/>
    <col min="14910" max="14910" width="7.625" style="2" customWidth="1"/>
    <col min="14911" max="14911" width="8.625" style="2" customWidth="1"/>
    <col min="14912" max="14913" width="5.625" style="2" customWidth="1"/>
    <col min="14914" max="14914" width="6.625" style="2" customWidth="1"/>
    <col min="14915" max="14915" width="9.875" style="2" customWidth="1"/>
    <col min="14916" max="14917" width="8.625" style="2" customWidth="1"/>
    <col min="14918" max="14918" width="5.5" style="2" bestFit="1" customWidth="1"/>
    <col min="14919" max="14960" width="6.75" style="2" customWidth="1"/>
    <col min="14961" max="14961" width="9" style="2" customWidth="1"/>
    <col min="14962" max="14962" width="9.875" style="2" customWidth="1"/>
    <col min="14963" max="14963" width="2.875" style="2" customWidth="1"/>
    <col min="14964" max="14964" width="12.25" style="2" customWidth="1"/>
    <col min="14965" max="14965" width="6.375" style="2" customWidth="1"/>
    <col min="14966" max="14967" width="3.125" style="2" customWidth="1"/>
    <col min="14968" max="14968" width="1.125" style="2" customWidth="1"/>
    <col min="14969" max="14969" width="9" style="2" customWidth="1"/>
    <col min="14970" max="14970" width="2.375" style="2" customWidth="1"/>
    <col min="14971" max="14988" width="7.625" style="2" customWidth="1"/>
    <col min="14989" max="15151" width="9" style="2" customWidth="1"/>
    <col min="15152" max="15153" width="3.125" style="2" customWidth="1"/>
    <col min="15154" max="15154" width="5.875" style="2" bestFit="1" customWidth="1"/>
    <col min="15155" max="15155" width="5.625" style="2" customWidth="1"/>
    <col min="15156" max="15156" width="10.625" style="2" customWidth="1"/>
    <col min="15157" max="15157" width="12.625" style="2" customWidth="1"/>
    <col min="15158" max="15158" width="8.625" style="2" customWidth="1"/>
    <col min="15159" max="15159" width="5.625" style="2" customWidth="1"/>
    <col min="15160" max="15160" width="4.625" style="2" customWidth="1"/>
    <col min="15161" max="15161" width="5.625" style="2" customWidth="1"/>
    <col min="15162" max="15165" width="4.625" style="2" customWidth="1"/>
    <col min="15166" max="15166" width="7.625" style="2" customWidth="1"/>
    <col min="15167" max="15167" width="8.625" style="2" customWidth="1"/>
    <col min="15168" max="15169" width="5.625" style="2" customWidth="1"/>
    <col min="15170" max="15170" width="6.625" style="2" customWidth="1"/>
    <col min="15171" max="15171" width="9.875" style="2" customWidth="1"/>
    <col min="15172" max="15173" width="8.625" style="2" customWidth="1"/>
    <col min="15174" max="15174" width="5.5" style="2" bestFit="1" customWidth="1"/>
    <col min="15175" max="15216" width="6.75" style="2" customWidth="1"/>
    <col min="15217" max="15217" width="9" style="2" customWidth="1"/>
    <col min="15218" max="15218" width="9.875" style="2" customWidth="1"/>
    <col min="15219" max="15219" width="2.875" style="2" customWidth="1"/>
    <col min="15220" max="15220" width="12.25" style="2" customWidth="1"/>
    <col min="15221" max="15221" width="6.375" style="2" customWidth="1"/>
    <col min="15222" max="15223" width="3.125" style="2" customWidth="1"/>
    <col min="15224" max="15224" width="1.125" style="2" customWidth="1"/>
    <col min="15225" max="15225" width="9" style="2" customWidth="1"/>
    <col min="15226" max="15226" width="2.375" style="2" customWidth="1"/>
    <col min="15227" max="15244" width="7.625" style="2" customWidth="1"/>
    <col min="15245" max="15407" width="9" style="2" customWidth="1"/>
    <col min="15408" max="15409" width="3.125" style="2" customWidth="1"/>
    <col min="15410" max="15410" width="5.875" style="2" bestFit="1" customWidth="1"/>
    <col min="15411" max="15411" width="5.625" style="2" customWidth="1"/>
    <col min="15412" max="15412" width="10.625" style="2" customWidth="1"/>
    <col min="15413" max="15413" width="12.625" style="2" customWidth="1"/>
    <col min="15414" max="15414" width="8.625" style="2" customWidth="1"/>
    <col min="15415" max="15415" width="5.625" style="2" customWidth="1"/>
    <col min="15416" max="15416" width="4.625" style="2" customWidth="1"/>
    <col min="15417" max="15417" width="5.625" style="2" customWidth="1"/>
    <col min="15418" max="15421" width="4.625" style="2" customWidth="1"/>
    <col min="15422" max="15422" width="7.625" style="2" customWidth="1"/>
    <col min="15423" max="15423" width="8.625" style="2" customWidth="1"/>
    <col min="15424" max="15425" width="5.625" style="2" customWidth="1"/>
    <col min="15426" max="15426" width="6.625" style="2" customWidth="1"/>
    <col min="15427" max="15427" width="9.875" style="2" customWidth="1"/>
    <col min="15428" max="15429" width="8.625" style="2" customWidth="1"/>
    <col min="15430" max="15430" width="5.5" style="2" bestFit="1" customWidth="1"/>
    <col min="15431" max="15472" width="6.75" style="2" customWidth="1"/>
    <col min="15473" max="15473" width="9" style="2" customWidth="1"/>
    <col min="15474" max="15474" width="9.875" style="2" customWidth="1"/>
    <col min="15475" max="15475" width="2.875" style="2" customWidth="1"/>
    <col min="15476" max="15476" width="12.25" style="2" customWidth="1"/>
    <col min="15477" max="15477" width="6.375" style="2" customWidth="1"/>
    <col min="15478" max="15479" width="3.125" style="2" customWidth="1"/>
    <col min="15480" max="15480" width="1.125" style="2" customWidth="1"/>
    <col min="15481" max="15481" width="9" style="2" customWidth="1"/>
    <col min="15482" max="15482" width="2.375" style="2" customWidth="1"/>
    <col min="15483" max="15500" width="7.625" style="2" customWidth="1"/>
    <col min="15501" max="15663" width="9" style="2" customWidth="1"/>
    <col min="15664" max="15665" width="3.125" style="2" customWidth="1"/>
    <col min="15666" max="15666" width="5.875" style="2" bestFit="1" customWidth="1"/>
    <col min="15667" max="15667" width="5.625" style="2" customWidth="1"/>
    <col min="15668" max="15668" width="10.625" style="2" customWidth="1"/>
    <col min="15669" max="15669" width="12.625" style="2" customWidth="1"/>
    <col min="15670" max="15670" width="8.625" style="2" customWidth="1"/>
    <col min="15671" max="15671" width="5.625" style="2" customWidth="1"/>
    <col min="15672" max="15672" width="4.625" style="2" customWidth="1"/>
    <col min="15673" max="15673" width="5.625" style="2" customWidth="1"/>
    <col min="15674" max="15677" width="4.625" style="2" customWidth="1"/>
    <col min="15678" max="15678" width="7.625" style="2" customWidth="1"/>
    <col min="15679" max="15679" width="8.625" style="2" customWidth="1"/>
    <col min="15680" max="15681" width="5.625" style="2" customWidth="1"/>
    <col min="15682" max="15682" width="6.625" style="2" customWidth="1"/>
    <col min="15683" max="15683" width="9.875" style="2" customWidth="1"/>
    <col min="15684" max="15685" width="8.625" style="2" customWidth="1"/>
    <col min="15686" max="15686" width="5.5" style="2" bestFit="1" customWidth="1"/>
    <col min="15687" max="15728" width="6.75" style="2" customWidth="1"/>
    <col min="15729" max="15729" width="9" style="2" customWidth="1"/>
    <col min="15730" max="15730" width="9.875" style="2" customWidth="1"/>
    <col min="15731" max="15731" width="2.875" style="2" customWidth="1"/>
    <col min="15732" max="15732" width="12.25" style="2" customWidth="1"/>
    <col min="15733" max="15733" width="6.375" style="2" customWidth="1"/>
    <col min="15734" max="15735" width="3.125" style="2" customWidth="1"/>
    <col min="15736" max="15736" width="1.125" style="2" customWidth="1"/>
    <col min="15737" max="15737" width="9" style="2" customWidth="1"/>
    <col min="15738" max="15738" width="2.375" style="2" customWidth="1"/>
    <col min="15739" max="15756" width="7.625" style="2" customWidth="1"/>
    <col min="15757" max="15919" width="9" style="2" customWidth="1"/>
    <col min="15920" max="15921" width="3.125" style="2" customWidth="1"/>
    <col min="15922" max="15922" width="5.875" style="2" bestFit="1" customWidth="1"/>
    <col min="15923" max="15923" width="5.625" style="2" customWidth="1"/>
    <col min="15924" max="15924" width="10.625" style="2" customWidth="1"/>
    <col min="15925" max="15925" width="12.625" style="2" customWidth="1"/>
    <col min="15926" max="15926" width="8.625" style="2" customWidth="1"/>
    <col min="15927" max="15927" width="5.625" style="2" customWidth="1"/>
    <col min="15928" max="15928" width="4.625" style="2" customWidth="1"/>
    <col min="15929" max="15929" width="5.625" style="2" customWidth="1"/>
    <col min="15930" max="15933" width="4.625" style="2" customWidth="1"/>
    <col min="15934" max="15934" width="7.625" style="2" customWidth="1"/>
    <col min="15935" max="15935" width="8.625" style="2" customWidth="1"/>
    <col min="15936" max="15937" width="5.625" style="2" customWidth="1"/>
    <col min="15938" max="15938" width="6.625" style="2" customWidth="1"/>
    <col min="15939" max="15939" width="9.875" style="2" customWidth="1"/>
    <col min="15940" max="15941" width="8.625" style="2" customWidth="1"/>
    <col min="15942" max="15942" width="5.5" style="2" bestFit="1" customWidth="1"/>
    <col min="15943" max="15984" width="6.75" style="2" customWidth="1"/>
    <col min="15985" max="15985" width="9" style="2" customWidth="1"/>
    <col min="15986" max="15986" width="9.875" style="2" customWidth="1"/>
    <col min="15987" max="15987" width="2.875" style="2" customWidth="1"/>
    <col min="15988" max="15988" width="12.25" style="2" customWidth="1"/>
    <col min="15989" max="15989" width="6.375" style="2" customWidth="1"/>
    <col min="15990" max="15991" width="3.125" style="2" customWidth="1"/>
    <col min="15992" max="15992" width="1.125" style="2" customWidth="1"/>
    <col min="15993" max="15993" width="9" style="2" customWidth="1"/>
    <col min="15994" max="15994" width="2.375" style="2" customWidth="1"/>
    <col min="15995" max="16012" width="7.625" style="2" customWidth="1"/>
    <col min="16013" max="16175" width="9" style="2" customWidth="1"/>
    <col min="16176" max="16177" width="3.125" style="2" customWidth="1"/>
    <col min="16178" max="16178" width="5.875" style="2" bestFit="1" customWidth="1"/>
    <col min="16179" max="16179" width="5.625" style="2" customWidth="1"/>
    <col min="16180" max="16180" width="10.625" style="2" customWidth="1"/>
    <col min="16181" max="16181" width="12.625" style="2" customWidth="1"/>
    <col min="16182" max="16182" width="8.625" style="2" customWidth="1"/>
    <col min="16183" max="16183" width="5.625" style="2" customWidth="1"/>
    <col min="16184" max="16184" width="4.625" style="2" customWidth="1"/>
    <col min="16185" max="16185" width="5.625" style="2" customWidth="1"/>
    <col min="16186" max="16189" width="4.625" style="2" customWidth="1"/>
    <col min="16190" max="16190" width="7.625" style="2" customWidth="1"/>
    <col min="16191" max="16191" width="8.625" style="2" customWidth="1"/>
    <col min="16192" max="16193" width="5.625" style="2" customWidth="1"/>
    <col min="16194" max="16194" width="6.625" style="2" customWidth="1"/>
    <col min="16195" max="16195" width="9.875" style="2" customWidth="1"/>
    <col min="16196" max="16197" width="8.625" style="2" customWidth="1"/>
    <col min="16198" max="16198" width="5.5" style="2" bestFit="1" customWidth="1"/>
    <col min="16199" max="16240" width="6.75" style="2" customWidth="1"/>
    <col min="16241" max="16241" width="9" style="2" customWidth="1"/>
    <col min="16242" max="16242" width="9.875" style="2" customWidth="1"/>
    <col min="16243" max="16243" width="2.875" style="2" customWidth="1"/>
    <col min="16244" max="16244" width="12.25" style="2" customWidth="1"/>
    <col min="16245" max="16245" width="6.375" style="2" customWidth="1"/>
    <col min="16246" max="16247" width="3.125" style="2" customWidth="1"/>
    <col min="16248" max="16248" width="1.125" style="2" customWidth="1"/>
    <col min="16249" max="16249" width="9" style="2" customWidth="1"/>
    <col min="16250" max="16250" width="2.375" style="2" customWidth="1"/>
    <col min="16251" max="16268" width="7.625" style="2" customWidth="1"/>
    <col min="16269" max="16384" width="9" style="2" customWidth="1"/>
  </cols>
  <sheetData>
    <row r="1" spans="1:132" ht="13.5" customHeight="1" x14ac:dyDescent="0.4">
      <c r="A1" s="203" t="str">
        <f>令和8年7月!$A$1</f>
        <v>天理</v>
      </c>
      <c r="B1" s="193"/>
      <c r="C1" s="193"/>
      <c r="D1" s="193"/>
      <c r="E1" s="193"/>
      <c r="F1" s="192" t="s">
        <v>0</v>
      </c>
      <c r="G1" s="195" t="s">
        <v>1</v>
      </c>
      <c r="H1" s="194" t="s">
        <v>2</v>
      </c>
      <c r="I1" s="193"/>
      <c r="J1" s="193"/>
      <c r="K1" s="193"/>
      <c r="L1" s="159"/>
      <c r="M1" s="194" t="s">
        <v>103</v>
      </c>
      <c r="N1" s="159"/>
      <c r="O1" s="159"/>
      <c r="P1" s="159"/>
      <c r="Q1" s="159"/>
      <c r="R1" s="159"/>
      <c r="S1" s="159"/>
      <c r="T1" s="159"/>
      <c r="U1" s="1"/>
      <c r="V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U1" s="162"/>
      <c r="AX1" s="204" t="s">
        <v>4</v>
      </c>
      <c r="AY1" s="199"/>
      <c r="AZ1" s="199"/>
      <c r="BA1" s="199"/>
      <c r="BB1" s="199"/>
      <c r="BC1" s="199"/>
      <c r="BD1" s="4"/>
    </row>
    <row r="2" spans="1:132" ht="13.5" customHeight="1" x14ac:dyDescent="0.4">
      <c r="A2" s="193"/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59"/>
      <c r="M2" s="193"/>
      <c r="N2" s="159"/>
      <c r="O2" s="159"/>
      <c r="P2" s="159"/>
      <c r="Q2" s="159"/>
      <c r="R2" s="159"/>
      <c r="S2" s="159"/>
      <c r="T2" s="159"/>
      <c r="U2" s="1"/>
      <c r="V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U2" s="162"/>
      <c r="AX2" s="199"/>
      <c r="AY2" s="199"/>
      <c r="AZ2" s="199"/>
      <c r="BA2" s="199"/>
      <c r="BB2" s="199"/>
      <c r="BC2" s="199"/>
      <c r="BD2" s="4"/>
    </row>
    <row r="3" spans="1:132" ht="13.9" customHeight="1" thickBot="1" x14ac:dyDescent="0.45">
      <c r="AC3" s="7"/>
      <c r="AV3" s="2">
        <v>95</v>
      </c>
      <c r="AW3" s="2">
        <v>1</v>
      </c>
      <c r="AY3" s="2">
        <v>2</v>
      </c>
      <c r="BA3" s="2">
        <v>3</v>
      </c>
      <c r="BC3" s="2">
        <v>4</v>
      </c>
      <c r="BE3" s="2">
        <v>6</v>
      </c>
      <c r="BG3" s="2">
        <v>7</v>
      </c>
      <c r="BI3" s="2">
        <v>8</v>
      </c>
      <c r="BK3" s="2">
        <v>9</v>
      </c>
      <c r="BM3" s="2">
        <v>10</v>
      </c>
      <c r="BO3" s="2">
        <v>11</v>
      </c>
      <c r="BQ3" s="2">
        <v>12</v>
      </c>
      <c r="BS3" s="2">
        <v>15</v>
      </c>
      <c r="BU3" s="2">
        <v>28</v>
      </c>
      <c r="BW3" s="2">
        <v>33</v>
      </c>
      <c r="BY3" s="2">
        <v>40</v>
      </c>
      <c r="CA3" s="2">
        <v>41</v>
      </c>
      <c r="CC3" s="2">
        <v>45</v>
      </c>
      <c r="CE3" s="2">
        <v>46</v>
      </c>
      <c r="CG3" s="2">
        <v>36</v>
      </c>
      <c r="CI3" s="2">
        <v>47</v>
      </c>
      <c r="CK3" s="2">
        <v>31</v>
      </c>
      <c r="CM3" s="2">
        <v>48</v>
      </c>
    </row>
    <row r="4" spans="1:132" ht="26.45" customHeight="1" thickTop="1" thickBot="1" x14ac:dyDescent="0.45">
      <c r="A4" s="106" t="s">
        <v>5</v>
      </c>
      <c r="B4" s="94" t="s">
        <v>6</v>
      </c>
      <c r="C4" s="131" t="s">
        <v>7</v>
      </c>
      <c r="D4" s="131" t="s">
        <v>8</v>
      </c>
      <c r="E4" s="107" t="s">
        <v>9</v>
      </c>
      <c r="F4" s="108" t="s">
        <v>10</v>
      </c>
      <c r="G4" s="109" t="s">
        <v>11</v>
      </c>
      <c r="H4" s="110" t="s">
        <v>12</v>
      </c>
      <c r="I4" s="147" t="s">
        <v>13</v>
      </c>
      <c r="J4" s="111" t="s">
        <v>14</v>
      </c>
      <c r="K4" s="112" t="s">
        <v>15</v>
      </c>
      <c r="L4" s="113" t="s">
        <v>16</v>
      </c>
      <c r="M4" s="114" t="s">
        <v>17</v>
      </c>
      <c r="N4" s="115" t="s">
        <v>16</v>
      </c>
      <c r="O4" s="116" t="s">
        <v>18</v>
      </c>
      <c r="P4" s="117" t="s">
        <v>19</v>
      </c>
      <c r="Q4" s="118" t="s">
        <v>20</v>
      </c>
      <c r="R4" s="129" t="s">
        <v>21</v>
      </c>
      <c r="S4" s="130" t="s">
        <v>22</v>
      </c>
      <c r="T4" s="8" t="s">
        <v>23</v>
      </c>
      <c r="U4" s="9" t="s">
        <v>24</v>
      </c>
      <c r="V4" s="10" t="s">
        <v>25</v>
      </c>
      <c r="W4" s="11" t="s">
        <v>26</v>
      </c>
      <c r="X4" s="12" t="s">
        <v>27</v>
      </c>
      <c r="Y4" s="13" t="s">
        <v>28</v>
      </c>
      <c r="Z4" s="119" t="s">
        <v>29</v>
      </c>
      <c r="AA4" s="14" t="s">
        <v>30</v>
      </c>
      <c r="AB4" s="15" t="s">
        <v>31</v>
      </c>
      <c r="AC4" s="16" t="s">
        <v>32</v>
      </c>
      <c r="AD4" s="17" t="s">
        <v>33</v>
      </c>
      <c r="AE4" s="18" t="s">
        <v>34</v>
      </c>
      <c r="AF4" s="18" t="s">
        <v>35</v>
      </c>
      <c r="AG4" s="18" t="s">
        <v>36</v>
      </c>
      <c r="AH4" s="18" t="s">
        <v>37</v>
      </c>
      <c r="AI4" s="18" t="s">
        <v>38</v>
      </c>
      <c r="AJ4" s="18" t="s">
        <v>39</v>
      </c>
      <c r="AK4" s="18" t="s">
        <v>40</v>
      </c>
      <c r="AL4" s="17" t="s">
        <v>41</v>
      </c>
      <c r="AM4" s="18" t="str">
        <f>令和8年7月!$AM$4</f>
        <v>フリー①</v>
      </c>
      <c r="AN4" s="132" t="str">
        <f>令和8年7月!$AN$4</f>
        <v>フリー②</v>
      </c>
      <c r="AO4" s="18" t="str">
        <f>令和8年7月!$AO$4</f>
        <v>フリー③</v>
      </c>
      <c r="AP4" s="18" t="str">
        <f>令和8年7月!$AP$4</f>
        <v>フリー④</v>
      </c>
      <c r="AQ4" s="78" t="str">
        <f>令和8年7月!$AQ$4</f>
        <v>フリー⑤</v>
      </c>
      <c r="AR4" s="19" t="s">
        <v>47</v>
      </c>
      <c r="AS4" s="20" t="s">
        <v>48</v>
      </c>
      <c r="AT4" s="21" t="s">
        <v>49</v>
      </c>
      <c r="AU4" s="163"/>
      <c r="AV4" s="80" t="s">
        <v>144</v>
      </c>
      <c r="AW4" s="76" t="s">
        <v>145</v>
      </c>
      <c r="AX4" s="75" t="s">
        <v>146</v>
      </c>
      <c r="AY4" s="76" t="s">
        <v>147</v>
      </c>
      <c r="AZ4" s="75" t="s">
        <v>146</v>
      </c>
      <c r="BA4" s="76" t="s">
        <v>52</v>
      </c>
      <c r="BB4" s="75" t="s">
        <v>146</v>
      </c>
      <c r="BC4" s="76" t="s">
        <v>53</v>
      </c>
      <c r="BD4" s="75" t="s">
        <v>146</v>
      </c>
      <c r="BE4" s="76" t="s">
        <v>148</v>
      </c>
      <c r="BF4" s="75" t="s">
        <v>146</v>
      </c>
      <c r="BG4" s="76" t="s">
        <v>149</v>
      </c>
      <c r="BH4" s="75" t="s">
        <v>146</v>
      </c>
      <c r="BI4" s="76" t="s">
        <v>150</v>
      </c>
      <c r="BJ4" s="75" t="s">
        <v>146</v>
      </c>
      <c r="BK4" s="76" t="s">
        <v>57</v>
      </c>
      <c r="BL4" s="75" t="s">
        <v>146</v>
      </c>
      <c r="BM4" s="76" t="s">
        <v>58</v>
      </c>
      <c r="BN4" s="75" t="s">
        <v>146</v>
      </c>
      <c r="BO4" s="76" t="s">
        <v>151</v>
      </c>
      <c r="BP4" s="75" t="s">
        <v>146</v>
      </c>
      <c r="BQ4" s="76" t="s">
        <v>60</v>
      </c>
      <c r="BR4" s="75" t="s">
        <v>146</v>
      </c>
      <c r="BS4" s="76" t="s">
        <v>152</v>
      </c>
      <c r="BT4" s="75" t="s">
        <v>146</v>
      </c>
      <c r="BU4" s="76" t="s">
        <v>153</v>
      </c>
      <c r="BV4" s="75" t="s">
        <v>146</v>
      </c>
      <c r="BW4" s="76" t="s">
        <v>154</v>
      </c>
      <c r="BX4" s="75" t="s">
        <v>48</v>
      </c>
      <c r="BY4" s="76" t="s">
        <v>155</v>
      </c>
      <c r="BZ4" s="75" t="s">
        <v>156</v>
      </c>
      <c r="CA4" s="76" t="s">
        <v>157</v>
      </c>
      <c r="CB4" s="75" t="s">
        <v>48</v>
      </c>
      <c r="CC4" s="76" t="s">
        <v>158</v>
      </c>
      <c r="CD4" s="81" t="s">
        <v>48</v>
      </c>
      <c r="CE4" s="76" t="s">
        <v>159</v>
      </c>
      <c r="CF4" s="81" t="s">
        <v>48</v>
      </c>
      <c r="CG4" s="76" t="s">
        <v>160</v>
      </c>
      <c r="CH4" s="75" t="s">
        <v>48</v>
      </c>
      <c r="CI4" s="76" t="s">
        <v>161</v>
      </c>
      <c r="CJ4" s="81" t="s">
        <v>48</v>
      </c>
      <c r="CK4" s="76" t="s">
        <v>162</v>
      </c>
      <c r="CL4" s="81" t="s">
        <v>48</v>
      </c>
      <c r="CM4" s="76" t="s">
        <v>163</v>
      </c>
      <c r="CN4" s="75" t="s">
        <v>48</v>
      </c>
      <c r="CO4" s="76" t="s">
        <v>67</v>
      </c>
      <c r="CP4" s="81" t="s">
        <v>48</v>
      </c>
      <c r="CQ4" s="76" t="s">
        <v>68</v>
      </c>
      <c r="CR4" s="81" t="s">
        <v>48</v>
      </c>
      <c r="CS4" s="76" t="s">
        <v>69</v>
      </c>
      <c r="CT4" s="20" t="s">
        <v>48</v>
      </c>
      <c r="CU4" s="85" t="s">
        <v>70</v>
      </c>
      <c r="CV4" s="86" t="s">
        <v>71</v>
      </c>
      <c r="CW4" s="89"/>
      <c r="CX4" s="85" t="s">
        <v>104</v>
      </c>
      <c r="CY4" s="153" t="s">
        <v>15</v>
      </c>
      <c r="CZ4" s="155" t="s">
        <v>105</v>
      </c>
      <c r="DA4" s="93" t="s">
        <v>15</v>
      </c>
      <c r="DB4" s="94" t="s">
        <v>5</v>
      </c>
      <c r="DC4" s="95" t="s">
        <v>6</v>
      </c>
      <c r="DD4" s="2" t="s">
        <v>164</v>
      </c>
      <c r="DF4" s="121" t="s">
        <v>74</v>
      </c>
      <c r="DG4" s="122" t="s">
        <v>75</v>
      </c>
      <c r="DH4" s="122" t="s">
        <v>76</v>
      </c>
      <c r="DI4" s="122" t="s">
        <v>77</v>
      </c>
      <c r="DJ4" s="122" t="s">
        <v>78</v>
      </c>
      <c r="DK4" s="122" t="s">
        <v>42</v>
      </c>
      <c r="DL4" s="122" t="s">
        <v>43</v>
      </c>
      <c r="DM4" s="122" t="s">
        <v>44</v>
      </c>
      <c r="DN4" s="122" t="s">
        <v>45</v>
      </c>
      <c r="DO4" s="122" t="s">
        <v>46</v>
      </c>
      <c r="DP4" s="123" t="s">
        <v>79</v>
      </c>
      <c r="DQ4" s="124" t="s">
        <v>48</v>
      </c>
      <c r="DS4" s="205" t="s">
        <v>80</v>
      </c>
      <c r="DT4" s="206"/>
      <c r="DU4" s="206"/>
      <c r="DV4" s="207"/>
      <c r="DW4" s="160" t="s">
        <v>81</v>
      </c>
      <c r="DX4" s="160" t="s">
        <v>82</v>
      </c>
      <c r="DY4" s="22"/>
      <c r="DZ4" s="22"/>
      <c r="EA4" s="22"/>
    </row>
    <row r="5" spans="1:132" ht="13.5" customHeight="1" x14ac:dyDescent="0.4">
      <c r="A5" s="104">
        <v>1</v>
      </c>
      <c r="B5" s="23" t="s">
        <v>88</v>
      </c>
      <c r="C5" s="164"/>
      <c r="D5" s="164"/>
      <c r="E5" s="24"/>
      <c r="F5" s="29"/>
      <c r="G5" s="25" t="str">
        <f>IF(SUM($F$5:F5)=0,"",SUM($F$5:F5))</f>
        <v/>
      </c>
      <c r="H5" s="43" t="str">
        <f t="shared" ref="H5:H35" si="0">IF(ISERROR(G5/V5),"",(G5/V5))</f>
        <v/>
      </c>
      <c r="I5" s="148" t="e">
        <f t="array" aca="1" ref="I5" ca="1">IF($A6="",$G5/($V5-$U$5+INDIRECT(IF(_xlfn.SHEET()&lt;6,"令和8年"&amp;_xlfn.SHEET()+7&amp;"月","令和9年"&amp;_xlfn.SHEET()-5&amp;"月")&amp;"!$U$5")),$G5/($V6-$U$5))</f>
        <v>#VALUE!</v>
      </c>
      <c r="J5" s="26" t="str">
        <f t="shared" ref="J5:J35" si="1">IFERROR(G5/AC5,"")</f>
        <v/>
      </c>
      <c r="K5" s="27"/>
      <c r="L5" s="165">
        <f t="shared" ref="L5:L37" si="2">IF(ISERROR(K5/W5),"",(K5/W5))</f>
        <v>0</v>
      </c>
      <c r="M5" s="28" t="str">
        <f t="shared" ref="M5:M35" si="3">IF(ISERROR(F5/K5),"",(F5/K5))</f>
        <v/>
      </c>
      <c r="N5" s="166" t="str">
        <f t="shared" ref="N5:N37" si="4">IF(ISERROR(M5/X5),"",(M5/X5))</f>
        <v/>
      </c>
      <c r="O5" s="167" t="str">
        <f t="shared" ref="O5:O35" si="5">IF(ISERROR(F5/P5),"",(F5/P5))</f>
        <v/>
      </c>
      <c r="P5" s="168"/>
      <c r="Q5" s="169" t="str">
        <f t="shared" ref="Q5:Q35" si="6">IF(ISERROR(P5/K5),"",(P5/K5))</f>
        <v/>
      </c>
      <c r="R5" s="170">
        <v>36</v>
      </c>
      <c r="S5" s="171">
        <v>28</v>
      </c>
      <c r="T5" s="24" t="s">
        <v>84</v>
      </c>
      <c r="U5" s="29">
        <v>265114</v>
      </c>
      <c r="V5" s="30">
        <f>SUM(U5)</f>
        <v>265114</v>
      </c>
      <c r="W5" s="27">
        <v>147</v>
      </c>
      <c r="X5" s="31">
        <f t="shared" ref="X5:X35" si="7">IF(ISERROR(U5/W5),"",(U5/W5))</f>
        <v>1803.4965986394557</v>
      </c>
      <c r="Y5" s="29">
        <v>249888</v>
      </c>
      <c r="Z5" s="32">
        <f>SUM(Y5)</f>
        <v>249888</v>
      </c>
      <c r="AA5" s="33">
        <f t="shared" ref="AA5:AA35" si="8">IF(ISERROR(V5/Z5),"",(V5/Z5))</f>
        <v>1.0609312972211551</v>
      </c>
      <c r="AB5" s="158">
        <v>550000</v>
      </c>
      <c r="AC5" s="34">
        <f>AB5</f>
        <v>550000</v>
      </c>
      <c r="AD5" s="158"/>
      <c r="AE5" s="25"/>
      <c r="AF5" s="25"/>
      <c r="AG5" s="25"/>
      <c r="AH5" s="25"/>
      <c r="AI5" s="25"/>
      <c r="AJ5" s="25"/>
      <c r="AK5" s="25"/>
      <c r="AL5" s="158"/>
      <c r="AM5" s="25"/>
      <c r="AN5" s="158"/>
      <c r="AO5" s="25"/>
      <c r="AP5" s="25"/>
      <c r="AQ5" s="158"/>
      <c r="AR5" s="35">
        <f t="shared" ref="AR5:AR35" si="9">SUM(AD5:AQ5)</f>
        <v>0</v>
      </c>
      <c r="AS5" s="172" t="str">
        <f t="shared" ref="AS5:AS35" si="10">IF(ISERROR((AR5/F5)),"",AR5/F5)</f>
        <v/>
      </c>
      <c r="AT5" s="36">
        <f t="shared" ref="AT5:AT35" si="11">F5-AR5+DW5</f>
        <v>0</v>
      </c>
      <c r="AU5" s="173"/>
      <c r="AV5" s="82">
        <f t="shared" ref="AV5:AV35" si="12">A5</f>
        <v>1</v>
      </c>
      <c r="AW5" s="37"/>
      <c r="AX5" s="174" t="str">
        <f t="shared" ref="AX5:AX35" si="13">IF(ISERROR((AW5/$F5)),"",AW5/$F5)</f>
        <v/>
      </c>
      <c r="AY5" s="37"/>
      <c r="AZ5" s="174" t="str">
        <f t="shared" ref="AZ5:AZ35" si="14">IF(ISERROR((AY5/$F5)),"",AY5/$F5)</f>
        <v/>
      </c>
      <c r="BA5" s="37"/>
      <c r="BB5" s="174" t="str">
        <f t="shared" ref="BB5:BB35" si="15">IF(ISERROR((BA5/$F5)),"",BA5/$F5)</f>
        <v/>
      </c>
      <c r="BC5" s="37"/>
      <c r="BD5" s="174" t="str">
        <f t="shared" ref="BD5:BD35" si="16">IF(ISERROR((BC5/$F5)),"",BC5/$F5)</f>
        <v/>
      </c>
      <c r="BE5" s="37"/>
      <c r="BF5" s="174" t="str">
        <f t="shared" ref="BF5:BF35" si="17">IF(ISERROR((BE5/$F5)),"",BE5/$F5)</f>
        <v/>
      </c>
      <c r="BG5" s="37"/>
      <c r="BH5" s="174" t="str">
        <f t="shared" ref="BH5:BH35" si="18">IF(ISERROR((BG5/$F5)),"",BG5/$F5)</f>
        <v/>
      </c>
      <c r="BI5" s="37"/>
      <c r="BJ5" s="174" t="str">
        <f t="shared" ref="BJ5:BJ35" si="19">IF(ISERROR((BI5/$F5)),"",BI5/$F5)</f>
        <v/>
      </c>
      <c r="BK5" s="37"/>
      <c r="BL5" s="174" t="str">
        <f t="shared" ref="BL5:BL35" si="20">IF(ISERROR((BK5/$F5)),"",BK5/$F5)</f>
        <v/>
      </c>
      <c r="BM5" s="37"/>
      <c r="BN5" s="174" t="str">
        <f t="shared" ref="BN5:BN35" si="21">IF(ISERROR((BM5/$F5)),"",BM5/$F5)</f>
        <v/>
      </c>
      <c r="BO5" s="37"/>
      <c r="BP5" s="174" t="str">
        <f t="shared" ref="BP5:BP35" si="22">IF(ISERROR((BO5/$F5)),"",BO5/$F5)</f>
        <v/>
      </c>
      <c r="BQ5" s="37"/>
      <c r="BR5" s="174" t="str">
        <f t="shared" ref="BR5:BR35" si="23">IF(ISERROR((BQ5/$F5)),"",BQ5/$F5)</f>
        <v/>
      </c>
      <c r="BS5" s="37"/>
      <c r="BT5" s="174" t="str">
        <f t="shared" ref="BT5:BT35" si="24">IF(ISERROR((BS5/$F5)),"",BS5/$F5)</f>
        <v/>
      </c>
      <c r="BU5" s="37"/>
      <c r="BV5" s="174" t="str">
        <f t="shared" ref="BV5:BV35" si="25">IF(ISERROR((BU5/$F5)),"",BU5/$F5)</f>
        <v/>
      </c>
      <c r="BW5" s="37"/>
      <c r="BX5" s="174" t="str">
        <f t="shared" ref="BX5:BX35" si="26">IF(ISERROR((BW5/$F5)),"",BW5/$F5)</f>
        <v/>
      </c>
      <c r="BY5" s="37"/>
      <c r="BZ5" s="174" t="str">
        <f t="shared" ref="BZ5:BZ35" si="27">IF(ISERROR((BY5/$F5)),"",BY5/$F5)</f>
        <v/>
      </c>
      <c r="CA5" s="37"/>
      <c r="CB5" s="174" t="str">
        <f t="shared" ref="CB5:CB35" si="28">IF(ISERROR((CA5/$F5)),"",CA5/$F5)</f>
        <v/>
      </c>
      <c r="CC5" s="37"/>
      <c r="CD5" s="174" t="str">
        <f t="shared" ref="CD5:CD35" si="29">IF(ISERROR((CC5/$F5)),"",CC5/$F5)</f>
        <v/>
      </c>
      <c r="CE5" s="37"/>
      <c r="CF5" s="174" t="str">
        <f t="shared" ref="CF5:CF35" si="30">IF(ISERROR((CE5/$F5)),"",CE5/$F5)</f>
        <v/>
      </c>
      <c r="CG5" s="37"/>
      <c r="CH5" s="174" t="str">
        <f t="shared" ref="CH5:CH35" si="31">IF(ISERROR((CG5/$F5)),"",CG5/$F5)</f>
        <v/>
      </c>
      <c r="CI5" s="37"/>
      <c r="CJ5" s="174" t="str">
        <f t="shared" ref="CJ5:CJ35" si="32">IF(ISERROR((CI5/$F5)),"",CI5/$F5)</f>
        <v/>
      </c>
      <c r="CK5" s="37"/>
      <c r="CL5" s="174" t="str">
        <f t="shared" ref="CL5:CL35" si="33">IF(ISERROR((CK5/$F5)),"",CK5/$F5)</f>
        <v/>
      </c>
      <c r="CM5" s="37"/>
      <c r="CN5" s="174" t="str">
        <f t="shared" ref="CN5:CN35" si="34">IF(ISERROR((CM5/$F5)),"",CM5/$F5)</f>
        <v/>
      </c>
      <c r="CO5" s="37"/>
      <c r="CP5" s="174" t="str">
        <f t="shared" ref="CP5:CP35" si="35">IF(ISERROR((CO5/$F5)),"",CO5/$F5)</f>
        <v/>
      </c>
      <c r="CQ5" s="37"/>
      <c r="CR5" s="174" t="str">
        <f t="shared" ref="CR5:CR35" si="36">IF(ISERROR((CQ5/$F5)),"",CQ5/$F5)</f>
        <v/>
      </c>
      <c r="CS5" s="37"/>
      <c r="CT5" s="174" t="str">
        <f t="shared" ref="CT5:CT35" si="37">IF(ISERROR((CS5/$F5)),"",CS5/$F5)</f>
        <v/>
      </c>
      <c r="CU5" s="38"/>
      <c r="CV5" s="87"/>
      <c r="CW5" s="90"/>
      <c r="CX5" s="38"/>
      <c r="CY5" s="39"/>
      <c r="CZ5" s="37"/>
      <c r="DA5" s="39"/>
      <c r="DB5" s="24">
        <v>1</v>
      </c>
      <c r="DC5" s="96" t="str">
        <f t="shared" ref="DC5:DC35" si="38">B5</f>
        <v>土</v>
      </c>
      <c r="DF5" s="125"/>
      <c r="DG5" s="40"/>
      <c r="DH5" s="40"/>
      <c r="DI5" s="40"/>
      <c r="DJ5" s="40"/>
      <c r="DK5" s="40"/>
      <c r="DL5" s="40"/>
      <c r="DM5" s="40"/>
      <c r="DN5" s="40"/>
      <c r="DO5" s="40"/>
      <c r="DP5" s="40">
        <f t="shared" ref="DP5:DP35" si="39">SUM(DF5:DO5)</f>
        <v>0</v>
      </c>
      <c r="DQ5" s="172" t="str">
        <f t="shared" ref="DQ5:DQ35" si="40">IF(ISERROR((DP5/F5)),"",DP5/F5)</f>
        <v/>
      </c>
      <c r="DS5" s="189"/>
      <c r="DT5" s="190"/>
      <c r="DU5" s="190"/>
      <c r="DV5" s="191"/>
      <c r="DW5" s="41"/>
      <c r="DX5" s="42"/>
      <c r="DY5" s="22"/>
      <c r="DZ5" s="22"/>
      <c r="EA5" s="22"/>
    </row>
    <row r="6" spans="1:132" ht="13.5" customHeight="1" x14ac:dyDescent="0.4">
      <c r="A6" s="104">
        <v>2</v>
      </c>
      <c r="B6" s="23" t="s">
        <v>89</v>
      </c>
      <c r="C6" s="164"/>
      <c r="D6" s="164"/>
      <c r="E6" s="24"/>
      <c r="F6" s="29"/>
      <c r="G6" s="25" t="str">
        <f>IF(SUM($F$5:F6)=0,"",SUM($F$5:F6))</f>
        <v/>
      </c>
      <c r="H6" s="43" t="str">
        <f t="shared" si="0"/>
        <v/>
      </c>
      <c r="I6" s="148" t="e">
        <f t="array" aca="1" ref="I6" ca="1">IF($A7="",$G6/($V6-$U$5+INDIRECT(IF(_xlfn.SHEET()&lt;6,"令和8年"&amp;_xlfn.SHEET()+7&amp;"月","令和9年"&amp;_xlfn.SHEET()-5&amp;"月")&amp;"!$U$5")),$G6/($V7-$U$5))</f>
        <v>#VALUE!</v>
      </c>
      <c r="J6" s="26" t="str">
        <f t="shared" si="1"/>
        <v/>
      </c>
      <c r="K6" s="27"/>
      <c r="L6" s="165">
        <f t="shared" si="2"/>
        <v>0</v>
      </c>
      <c r="M6" s="28" t="str">
        <f t="shared" si="3"/>
        <v/>
      </c>
      <c r="N6" s="166" t="str">
        <f t="shared" si="4"/>
        <v/>
      </c>
      <c r="O6" s="167" t="str">
        <f t="shared" si="5"/>
        <v/>
      </c>
      <c r="P6" s="168"/>
      <c r="Q6" s="169" t="str">
        <f t="shared" si="6"/>
        <v/>
      </c>
      <c r="R6" s="170">
        <v>38</v>
      </c>
      <c r="S6" s="171">
        <v>27</v>
      </c>
      <c r="T6" s="24" t="s">
        <v>106</v>
      </c>
      <c r="U6" s="29">
        <v>502127</v>
      </c>
      <c r="V6" s="30">
        <f t="shared" ref="V6:V35" si="41">SUM(V5+U6)</f>
        <v>767241</v>
      </c>
      <c r="W6" s="27">
        <v>263</v>
      </c>
      <c r="X6" s="31">
        <f t="shared" si="7"/>
        <v>1909.2281368821293</v>
      </c>
      <c r="Y6" s="29">
        <v>396194</v>
      </c>
      <c r="Z6" s="32">
        <f t="shared" ref="Z6:Z35" si="42">SUM(Z5+Y6)</f>
        <v>646082</v>
      </c>
      <c r="AA6" s="33">
        <f t="shared" si="8"/>
        <v>1.1875288276101177</v>
      </c>
      <c r="AB6" s="158">
        <v>550000</v>
      </c>
      <c r="AC6" s="34">
        <f t="shared" ref="AC6:AC35" si="43">AB6+AC5</f>
        <v>1100000</v>
      </c>
      <c r="AD6" s="158"/>
      <c r="AE6" s="25"/>
      <c r="AF6" s="25"/>
      <c r="AG6" s="25"/>
      <c r="AH6" s="25"/>
      <c r="AI6" s="25"/>
      <c r="AJ6" s="25"/>
      <c r="AK6" s="25"/>
      <c r="AL6" s="158"/>
      <c r="AM6" s="25"/>
      <c r="AN6" s="158"/>
      <c r="AO6" s="25"/>
      <c r="AP6" s="25"/>
      <c r="AQ6" s="158"/>
      <c r="AR6" s="35">
        <f t="shared" si="9"/>
        <v>0</v>
      </c>
      <c r="AS6" s="172" t="str">
        <f t="shared" si="10"/>
        <v/>
      </c>
      <c r="AT6" s="36">
        <f t="shared" si="11"/>
        <v>0</v>
      </c>
      <c r="AU6" s="173"/>
      <c r="AV6" s="82">
        <f t="shared" si="12"/>
        <v>2</v>
      </c>
      <c r="AW6" s="37"/>
      <c r="AX6" s="174" t="str">
        <f t="shared" si="13"/>
        <v/>
      </c>
      <c r="AY6" s="37"/>
      <c r="AZ6" s="174" t="str">
        <f t="shared" si="14"/>
        <v/>
      </c>
      <c r="BA6" s="37"/>
      <c r="BB6" s="174" t="str">
        <f t="shared" si="15"/>
        <v/>
      </c>
      <c r="BC6" s="37"/>
      <c r="BD6" s="174" t="str">
        <f t="shared" si="16"/>
        <v/>
      </c>
      <c r="BE6" s="37"/>
      <c r="BF6" s="174" t="str">
        <f t="shared" si="17"/>
        <v/>
      </c>
      <c r="BG6" s="37"/>
      <c r="BH6" s="174" t="str">
        <f t="shared" si="18"/>
        <v/>
      </c>
      <c r="BI6" s="37"/>
      <c r="BJ6" s="174" t="str">
        <f t="shared" si="19"/>
        <v/>
      </c>
      <c r="BK6" s="37"/>
      <c r="BL6" s="174" t="str">
        <f t="shared" si="20"/>
        <v/>
      </c>
      <c r="BM6" s="37"/>
      <c r="BN6" s="174" t="str">
        <f t="shared" si="21"/>
        <v/>
      </c>
      <c r="BO6" s="37"/>
      <c r="BP6" s="174" t="str">
        <f t="shared" si="22"/>
        <v/>
      </c>
      <c r="BQ6" s="37"/>
      <c r="BR6" s="174" t="str">
        <f t="shared" si="23"/>
        <v/>
      </c>
      <c r="BS6" s="37"/>
      <c r="BT6" s="174" t="str">
        <f t="shared" si="24"/>
        <v/>
      </c>
      <c r="BU6" s="37"/>
      <c r="BV6" s="174" t="str">
        <f t="shared" si="25"/>
        <v/>
      </c>
      <c r="BW6" s="37"/>
      <c r="BX6" s="174" t="str">
        <f t="shared" si="26"/>
        <v/>
      </c>
      <c r="BY6" s="37"/>
      <c r="BZ6" s="174" t="str">
        <f t="shared" si="27"/>
        <v/>
      </c>
      <c r="CA6" s="37"/>
      <c r="CB6" s="174" t="str">
        <f t="shared" si="28"/>
        <v/>
      </c>
      <c r="CC6" s="37"/>
      <c r="CD6" s="174" t="str">
        <f t="shared" si="29"/>
        <v/>
      </c>
      <c r="CE6" s="37"/>
      <c r="CF6" s="174" t="str">
        <f t="shared" si="30"/>
        <v/>
      </c>
      <c r="CG6" s="37"/>
      <c r="CH6" s="174" t="str">
        <f t="shared" si="31"/>
        <v/>
      </c>
      <c r="CI6" s="37"/>
      <c r="CJ6" s="174" t="str">
        <f t="shared" si="32"/>
        <v/>
      </c>
      <c r="CK6" s="37"/>
      <c r="CL6" s="174" t="str">
        <f t="shared" si="33"/>
        <v/>
      </c>
      <c r="CM6" s="37"/>
      <c r="CN6" s="174" t="str">
        <f t="shared" si="34"/>
        <v/>
      </c>
      <c r="CO6" s="37"/>
      <c r="CP6" s="174" t="str">
        <f t="shared" si="35"/>
        <v/>
      </c>
      <c r="CQ6" s="37"/>
      <c r="CR6" s="174" t="str">
        <f t="shared" si="36"/>
        <v/>
      </c>
      <c r="CS6" s="37"/>
      <c r="CT6" s="174" t="str">
        <f t="shared" si="37"/>
        <v/>
      </c>
      <c r="CU6" s="38"/>
      <c r="CV6" s="87"/>
      <c r="CW6" s="90"/>
      <c r="CX6" s="38"/>
      <c r="CY6" s="39"/>
      <c r="CZ6" s="37"/>
      <c r="DA6" s="39"/>
      <c r="DB6" s="24">
        <v>2</v>
      </c>
      <c r="DC6" s="96" t="str">
        <f t="shared" si="38"/>
        <v>日</v>
      </c>
      <c r="DF6" s="125"/>
      <c r="DG6" s="40"/>
      <c r="DH6" s="40"/>
      <c r="DI6" s="40"/>
      <c r="DJ6" s="40"/>
      <c r="DK6" s="40"/>
      <c r="DL6" s="40"/>
      <c r="DM6" s="40"/>
      <c r="DN6" s="40"/>
      <c r="DO6" s="40"/>
      <c r="DP6" s="40">
        <f t="shared" si="39"/>
        <v>0</v>
      </c>
      <c r="DQ6" s="172" t="str">
        <f t="shared" si="40"/>
        <v/>
      </c>
      <c r="DS6" s="189"/>
      <c r="DT6" s="190"/>
      <c r="DU6" s="190"/>
      <c r="DV6" s="191"/>
      <c r="DW6" s="41"/>
      <c r="DX6" s="42"/>
      <c r="DY6" s="22"/>
      <c r="DZ6" s="22"/>
      <c r="EA6" s="22"/>
    </row>
    <row r="7" spans="1:132" ht="13.5" customHeight="1" x14ac:dyDescent="0.4">
      <c r="A7" s="104">
        <v>3</v>
      </c>
      <c r="B7" s="23" t="s">
        <v>90</v>
      </c>
      <c r="C7" s="164"/>
      <c r="D7" s="164"/>
      <c r="E7" s="24"/>
      <c r="F7" s="29"/>
      <c r="G7" s="25" t="str">
        <f>IF(SUM($F$5:F7)=0,"",SUM($F$5:F7))</f>
        <v/>
      </c>
      <c r="H7" s="43" t="str">
        <f t="shared" si="0"/>
        <v/>
      </c>
      <c r="I7" s="148" t="e">
        <f t="array" aca="1" ref="I7" ca="1">IF($A8="",$G7/($V7-$U$5+INDIRECT(IF(_xlfn.SHEET()&lt;6,"令和8年"&amp;_xlfn.SHEET()+7&amp;"月","令和9年"&amp;_xlfn.SHEET()-5&amp;"月")&amp;"!$U$5")),$G7/($V8-$U$5))</f>
        <v>#VALUE!</v>
      </c>
      <c r="J7" s="26" t="str">
        <f t="shared" si="1"/>
        <v/>
      </c>
      <c r="K7" s="27"/>
      <c r="L7" s="165">
        <f t="shared" si="2"/>
        <v>0</v>
      </c>
      <c r="M7" s="28" t="str">
        <f t="shared" si="3"/>
        <v/>
      </c>
      <c r="N7" s="166" t="str">
        <f t="shared" si="4"/>
        <v/>
      </c>
      <c r="O7" s="167" t="str">
        <f t="shared" si="5"/>
        <v/>
      </c>
      <c r="P7" s="168"/>
      <c r="Q7" s="169" t="str">
        <f t="shared" si="6"/>
        <v/>
      </c>
      <c r="R7" s="170">
        <v>38</v>
      </c>
      <c r="S7" s="171">
        <v>25</v>
      </c>
      <c r="T7" s="24" t="s">
        <v>84</v>
      </c>
      <c r="U7" s="29">
        <v>616133</v>
      </c>
      <c r="V7" s="30">
        <f t="shared" si="41"/>
        <v>1383374</v>
      </c>
      <c r="W7" s="27">
        <v>282</v>
      </c>
      <c r="X7" s="31">
        <f t="shared" si="7"/>
        <v>2184.8687943262412</v>
      </c>
      <c r="Y7" s="29">
        <v>470819</v>
      </c>
      <c r="Z7" s="32">
        <f t="shared" si="42"/>
        <v>1116901</v>
      </c>
      <c r="AA7" s="33">
        <f t="shared" si="8"/>
        <v>1.2385824706039299</v>
      </c>
      <c r="AB7" s="158">
        <v>220000</v>
      </c>
      <c r="AC7" s="34">
        <f t="shared" si="43"/>
        <v>1320000</v>
      </c>
      <c r="AD7" s="158"/>
      <c r="AE7" s="25"/>
      <c r="AF7" s="25"/>
      <c r="AG7" s="25"/>
      <c r="AH7" s="25"/>
      <c r="AI7" s="25"/>
      <c r="AJ7" s="25"/>
      <c r="AK7" s="25"/>
      <c r="AL7" s="158"/>
      <c r="AM7" s="25"/>
      <c r="AN7" s="158"/>
      <c r="AO7" s="25"/>
      <c r="AP7" s="25"/>
      <c r="AQ7" s="158"/>
      <c r="AR7" s="35">
        <f t="shared" si="9"/>
        <v>0</v>
      </c>
      <c r="AS7" s="172" t="str">
        <f t="shared" si="10"/>
        <v/>
      </c>
      <c r="AT7" s="36">
        <f t="shared" si="11"/>
        <v>0</v>
      </c>
      <c r="AU7" s="173"/>
      <c r="AV7" s="82">
        <f t="shared" si="12"/>
        <v>3</v>
      </c>
      <c r="AW7" s="37"/>
      <c r="AX7" s="174" t="str">
        <f t="shared" si="13"/>
        <v/>
      </c>
      <c r="AY7" s="37"/>
      <c r="AZ7" s="174" t="str">
        <f t="shared" si="14"/>
        <v/>
      </c>
      <c r="BA7" s="37"/>
      <c r="BB7" s="174" t="str">
        <f t="shared" si="15"/>
        <v/>
      </c>
      <c r="BC7" s="37"/>
      <c r="BD7" s="174" t="str">
        <f t="shared" si="16"/>
        <v/>
      </c>
      <c r="BE7" s="37"/>
      <c r="BF7" s="174" t="str">
        <f t="shared" si="17"/>
        <v/>
      </c>
      <c r="BG7" s="37"/>
      <c r="BH7" s="174" t="str">
        <f t="shared" si="18"/>
        <v/>
      </c>
      <c r="BI7" s="37"/>
      <c r="BJ7" s="174" t="str">
        <f t="shared" si="19"/>
        <v/>
      </c>
      <c r="BK7" s="37"/>
      <c r="BL7" s="174" t="str">
        <f t="shared" si="20"/>
        <v/>
      </c>
      <c r="BM7" s="37"/>
      <c r="BN7" s="174" t="str">
        <f t="shared" si="21"/>
        <v/>
      </c>
      <c r="BO7" s="37"/>
      <c r="BP7" s="174" t="str">
        <f t="shared" si="22"/>
        <v/>
      </c>
      <c r="BQ7" s="37"/>
      <c r="BR7" s="174" t="str">
        <f t="shared" si="23"/>
        <v/>
      </c>
      <c r="BS7" s="37"/>
      <c r="BT7" s="174" t="str">
        <f t="shared" si="24"/>
        <v/>
      </c>
      <c r="BU7" s="37"/>
      <c r="BV7" s="174" t="str">
        <f t="shared" si="25"/>
        <v/>
      </c>
      <c r="BW7" s="37"/>
      <c r="BX7" s="174" t="str">
        <f t="shared" si="26"/>
        <v/>
      </c>
      <c r="BY7" s="37"/>
      <c r="BZ7" s="174" t="str">
        <f t="shared" si="27"/>
        <v/>
      </c>
      <c r="CA7" s="37"/>
      <c r="CB7" s="174" t="str">
        <f t="shared" si="28"/>
        <v/>
      </c>
      <c r="CC7" s="37"/>
      <c r="CD7" s="174" t="str">
        <f t="shared" si="29"/>
        <v/>
      </c>
      <c r="CE7" s="37"/>
      <c r="CF7" s="174" t="str">
        <f t="shared" si="30"/>
        <v/>
      </c>
      <c r="CG7" s="37"/>
      <c r="CH7" s="174" t="str">
        <f t="shared" si="31"/>
        <v/>
      </c>
      <c r="CI7" s="37"/>
      <c r="CJ7" s="174" t="str">
        <f t="shared" si="32"/>
        <v/>
      </c>
      <c r="CK7" s="37"/>
      <c r="CL7" s="174" t="str">
        <f t="shared" si="33"/>
        <v/>
      </c>
      <c r="CM7" s="37"/>
      <c r="CN7" s="174" t="str">
        <f t="shared" si="34"/>
        <v/>
      </c>
      <c r="CO7" s="37"/>
      <c r="CP7" s="174" t="str">
        <f t="shared" si="35"/>
        <v/>
      </c>
      <c r="CQ7" s="37"/>
      <c r="CR7" s="174" t="str">
        <f t="shared" si="36"/>
        <v/>
      </c>
      <c r="CS7" s="37"/>
      <c r="CT7" s="174" t="str">
        <f t="shared" si="37"/>
        <v/>
      </c>
      <c r="CU7" s="38"/>
      <c r="CV7" s="87"/>
      <c r="CW7" s="90"/>
      <c r="CX7" s="38"/>
      <c r="CY7" s="39"/>
      <c r="CZ7" s="37"/>
      <c r="DA7" s="39"/>
      <c r="DB7" s="24">
        <v>3</v>
      </c>
      <c r="DC7" s="96" t="str">
        <f t="shared" si="38"/>
        <v>月</v>
      </c>
      <c r="DF7" s="125"/>
      <c r="DG7" s="40"/>
      <c r="DH7" s="40"/>
      <c r="DI7" s="40"/>
      <c r="DJ7" s="40"/>
      <c r="DK7" s="40"/>
      <c r="DL7" s="40"/>
      <c r="DM7" s="40"/>
      <c r="DN7" s="40"/>
      <c r="DO7" s="40"/>
      <c r="DP7" s="40">
        <f t="shared" si="39"/>
        <v>0</v>
      </c>
      <c r="DQ7" s="172" t="str">
        <f t="shared" si="40"/>
        <v/>
      </c>
      <c r="DS7" s="189"/>
      <c r="DT7" s="190"/>
      <c r="DU7" s="190"/>
      <c r="DV7" s="191"/>
      <c r="DW7" s="138"/>
      <c r="DX7" s="42"/>
      <c r="DY7" s="139"/>
      <c r="DZ7" s="139"/>
      <c r="EA7" s="139"/>
      <c r="EB7" s="139"/>
    </row>
    <row r="8" spans="1:132" ht="13.5" customHeight="1" x14ac:dyDescent="0.4">
      <c r="A8" s="104">
        <v>4</v>
      </c>
      <c r="B8" s="23" t="s">
        <v>91</v>
      </c>
      <c r="C8" s="164"/>
      <c r="D8" s="164"/>
      <c r="E8" s="24"/>
      <c r="F8" s="29"/>
      <c r="G8" s="25" t="str">
        <f>IF(SUM($F$5:F8)=0,"",SUM($F$5:F8))</f>
        <v/>
      </c>
      <c r="H8" s="43" t="str">
        <f t="shared" si="0"/>
        <v/>
      </c>
      <c r="I8" s="148" t="e">
        <f t="array" aca="1" ref="I8" ca="1">IF($A9="",$G8/($V8-$U$5+INDIRECT(IF(_xlfn.SHEET()&lt;6,"令和8年"&amp;_xlfn.SHEET()+7&amp;"月","令和9年"&amp;_xlfn.SHEET()-5&amp;"月")&amp;"!$U$5")),$G8/($V9-$U$5))</f>
        <v>#VALUE!</v>
      </c>
      <c r="J8" s="26" t="str">
        <f t="shared" si="1"/>
        <v/>
      </c>
      <c r="K8" s="27"/>
      <c r="L8" s="165">
        <f t="shared" si="2"/>
        <v>0</v>
      </c>
      <c r="M8" s="28" t="str">
        <f t="shared" si="3"/>
        <v/>
      </c>
      <c r="N8" s="166" t="str">
        <f t="shared" si="4"/>
        <v/>
      </c>
      <c r="O8" s="167" t="str">
        <f t="shared" si="5"/>
        <v/>
      </c>
      <c r="P8" s="168"/>
      <c r="Q8" s="169" t="str">
        <f t="shared" si="6"/>
        <v/>
      </c>
      <c r="R8" s="170">
        <v>38</v>
      </c>
      <c r="S8" s="171">
        <v>26</v>
      </c>
      <c r="T8" s="24" t="s">
        <v>84</v>
      </c>
      <c r="U8" s="29">
        <v>198271</v>
      </c>
      <c r="V8" s="30">
        <f t="shared" si="41"/>
        <v>1581645</v>
      </c>
      <c r="W8" s="27">
        <v>120</v>
      </c>
      <c r="X8" s="31">
        <f t="shared" si="7"/>
        <v>1652.2583333333334</v>
      </c>
      <c r="Y8" s="29">
        <v>586438</v>
      </c>
      <c r="Z8" s="32">
        <f t="shared" si="42"/>
        <v>1703339</v>
      </c>
      <c r="AA8" s="33">
        <f t="shared" si="8"/>
        <v>0.92855561928658947</v>
      </c>
      <c r="AB8" s="158">
        <v>220000</v>
      </c>
      <c r="AC8" s="34">
        <f t="shared" si="43"/>
        <v>1540000</v>
      </c>
      <c r="AD8" s="158"/>
      <c r="AE8" s="25"/>
      <c r="AF8" s="25"/>
      <c r="AG8" s="25"/>
      <c r="AH8" s="25"/>
      <c r="AI8" s="25"/>
      <c r="AJ8" s="25"/>
      <c r="AK8" s="79"/>
      <c r="AL8" s="120"/>
      <c r="AM8" s="79"/>
      <c r="AN8" s="120"/>
      <c r="AO8" s="79"/>
      <c r="AP8" s="79"/>
      <c r="AQ8" s="158"/>
      <c r="AR8" s="35">
        <f t="shared" si="9"/>
        <v>0</v>
      </c>
      <c r="AS8" s="172" t="str">
        <f t="shared" si="10"/>
        <v/>
      </c>
      <c r="AT8" s="36">
        <f t="shared" si="11"/>
        <v>0</v>
      </c>
      <c r="AU8" s="173"/>
      <c r="AV8" s="82">
        <f t="shared" si="12"/>
        <v>4</v>
      </c>
      <c r="AW8" s="37"/>
      <c r="AX8" s="174" t="str">
        <f t="shared" si="13"/>
        <v/>
      </c>
      <c r="AY8" s="37"/>
      <c r="AZ8" s="174" t="str">
        <f t="shared" si="14"/>
        <v/>
      </c>
      <c r="BA8" s="37"/>
      <c r="BB8" s="174" t="str">
        <f t="shared" si="15"/>
        <v/>
      </c>
      <c r="BC8" s="37"/>
      <c r="BD8" s="174" t="str">
        <f t="shared" si="16"/>
        <v/>
      </c>
      <c r="BE8" s="37"/>
      <c r="BF8" s="174" t="str">
        <f t="shared" si="17"/>
        <v/>
      </c>
      <c r="BG8" s="37"/>
      <c r="BH8" s="174" t="str">
        <f t="shared" si="18"/>
        <v/>
      </c>
      <c r="BI8" s="37"/>
      <c r="BJ8" s="174" t="str">
        <f t="shared" si="19"/>
        <v/>
      </c>
      <c r="BK8" s="37"/>
      <c r="BL8" s="174" t="str">
        <f t="shared" si="20"/>
        <v/>
      </c>
      <c r="BM8" s="37"/>
      <c r="BN8" s="174" t="str">
        <f t="shared" si="21"/>
        <v/>
      </c>
      <c r="BO8" s="37"/>
      <c r="BP8" s="174" t="str">
        <f t="shared" si="22"/>
        <v/>
      </c>
      <c r="BQ8" s="37"/>
      <c r="BR8" s="174" t="str">
        <f t="shared" si="23"/>
        <v/>
      </c>
      <c r="BS8" s="37"/>
      <c r="BT8" s="174" t="str">
        <f t="shared" si="24"/>
        <v/>
      </c>
      <c r="BU8" s="37"/>
      <c r="BV8" s="174" t="str">
        <f t="shared" si="25"/>
        <v/>
      </c>
      <c r="BW8" s="37"/>
      <c r="BX8" s="174" t="str">
        <f t="shared" si="26"/>
        <v/>
      </c>
      <c r="BY8" s="37"/>
      <c r="BZ8" s="174" t="str">
        <f t="shared" si="27"/>
        <v/>
      </c>
      <c r="CA8" s="37"/>
      <c r="CB8" s="174" t="str">
        <f t="shared" si="28"/>
        <v/>
      </c>
      <c r="CC8" s="37"/>
      <c r="CD8" s="174" t="str">
        <f t="shared" si="29"/>
        <v/>
      </c>
      <c r="CE8" s="37"/>
      <c r="CF8" s="174" t="str">
        <f t="shared" si="30"/>
        <v/>
      </c>
      <c r="CG8" s="37"/>
      <c r="CH8" s="174" t="str">
        <f t="shared" si="31"/>
        <v/>
      </c>
      <c r="CI8" s="37"/>
      <c r="CJ8" s="174" t="str">
        <f t="shared" si="32"/>
        <v/>
      </c>
      <c r="CK8" s="37"/>
      <c r="CL8" s="174" t="str">
        <f t="shared" si="33"/>
        <v/>
      </c>
      <c r="CM8" s="37"/>
      <c r="CN8" s="174" t="str">
        <f t="shared" si="34"/>
        <v/>
      </c>
      <c r="CO8" s="37"/>
      <c r="CP8" s="174" t="str">
        <f t="shared" si="35"/>
        <v/>
      </c>
      <c r="CQ8" s="37"/>
      <c r="CR8" s="174" t="str">
        <f t="shared" si="36"/>
        <v/>
      </c>
      <c r="CS8" s="37"/>
      <c r="CT8" s="174" t="str">
        <f t="shared" si="37"/>
        <v/>
      </c>
      <c r="CU8" s="38"/>
      <c r="CV8" s="87"/>
      <c r="CW8" s="90"/>
      <c r="CX8" s="38"/>
      <c r="CY8" s="39"/>
      <c r="CZ8" s="37"/>
      <c r="DA8" s="39"/>
      <c r="DB8" s="24">
        <v>4</v>
      </c>
      <c r="DC8" s="96" t="str">
        <f t="shared" si="38"/>
        <v>火</v>
      </c>
      <c r="DF8" s="125"/>
      <c r="DG8" s="40"/>
      <c r="DH8" s="40"/>
      <c r="DI8" s="40"/>
      <c r="DJ8" s="40"/>
      <c r="DK8" s="40"/>
      <c r="DL8" s="40"/>
      <c r="DM8" s="40"/>
      <c r="DN8" s="40"/>
      <c r="DO8" s="40"/>
      <c r="DP8" s="40">
        <f t="shared" si="39"/>
        <v>0</v>
      </c>
      <c r="DQ8" s="172" t="str">
        <f t="shared" si="40"/>
        <v/>
      </c>
      <c r="DS8" s="189"/>
      <c r="DT8" s="190"/>
      <c r="DU8" s="190"/>
      <c r="DV8" s="191"/>
      <c r="DW8" s="41"/>
      <c r="DX8" s="42"/>
      <c r="DY8" s="139"/>
      <c r="DZ8" s="139"/>
      <c r="EA8" s="139"/>
      <c r="EB8" s="139"/>
    </row>
    <row r="9" spans="1:132" ht="13.5" customHeight="1" x14ac:dyDescent="0.4">
      <c r="A9" s="104">
        <v>5</v>
      </c>
      <c r="B9" s="23" t="s">
        <v>83</v>
      </c>
      <c r="C9" s="164"/>
      <c r="D9" s="164"/>
      <c r="E9" s="24"/>
      <c r="F9" s="29"/>
      <c r="G9" s="25" t="str">
        <f>IF(SUM($F$5:F9)=0,"",SUM($F$5:F9))</f>
        <v/>
      </c>
      <c r="H9" s="43" t="str">
        <f t="shared" si="0"/>
        <v/>
      </c>
      <c r="I9" s="148" t="e">
        <f t="array" aca="1" ref="I9" ca="1">IF($A10="",$G9/($V9-$U$5+INDIRECT(IF(_xlfn.SHEET()&lt;6,"令和8年"&amp;_xlfn.SHEET()+7&amp;"月","令和9年"&amp;_xlfn.SHEET()-5&amp;"月")&amp;"!$U$5")),$G9/($V10-$U$5))</f>
        <v>#VALUE!</v>
      </c>
      <c r="J9" s="26" t="str">
        <f t="shared" si="1"/>
        <v/>
      </c>
      <c r="K9" s="27"/>
      <c r="L9" s="165">
        <f t="shared" si="2"/>
        <v>0</v>
      </c>
      <c r="M9" s="28" t="str">
        <f t="shared" si="3"/>
        <v/>
      </c>
      <c r="N9" s="166" t="str">
        <f t="shared" si="4"/>
        <v/>
      </c>
      <c r="O9" s="167" t="str">
        <f t="shared" si="5"/>
        <v/>
      </c>
      <c r="P9" s="168"/>
      <c r="Q9" s="169" t="str">
        <f t="shared" si="6"/>
        <v/>
      </c>
      <c r="R9" s="170">
        <v>37</v>
      </c>
      <c r="S9" s="171">
        <v>25</v>
      </c>
      <c r="T9" s="24" t="s">
        <v>106</v>
      </c>
      <c r="U9" s="29">
        <v>169531</v>
      </c>
      <c r="V9" s="30">
        <f t="shared" si="41"/>
        <v>1751176</v>
      </c>
      <c r="W9" s="27">
        <v>104</v>
      </c>
      <c r="X9" s="31">
        <f t="shared" si="7"/>
        <v>1630.1057692307693</v>
      </c>
      <c r="Y9" s="29">
        <v>219750</v>
      </c>
      <c r="Z9" s="32">
        <f t="shared" si="42"/>
        <v>1923089</v>
      </c>
      <c r="AA9" s="33">
        <f t="shared" si="8"/>
        <v>0.91060580139556724</v>
      </c>
      <c r="AB9" s="158">
        <v>220000</v>
      </c>
      <c r="AC9" s="34">
        <f t="shared" si="43"/>
        <v>1760000</v>
      </c>
      <c r="AD9" s="158"/>
      <c r="AE9" s="25"/>
      <c r="AF9" s="25"/>
      <c r="AG9" s="25"/>
      <c r="AH9" s="25"/>
      <c r="AI9" s="25"/>
      <c r="AJ9" s="25"/>
      <c r="AK9" s="25"/>
      <c r="AL9" s="158"/>
      <c r="AM9" s="25"/>
      <c r="AN9" s="158"/>
      <c r="AO9" s="25"/>
      <c r="AP9" s="25"/>
      <c r="AQ9" s="158"/>
      <c r="AR9" s="35">
        <f t="shared" si="9"/>
        <v>0</v>
      </c>
      <c r="AS9" s="172" t="str">
        <f t="shared" si="10"/>
        <v/>
      </c>
      <c r="AT9" s="36">
        <f t="shared" si="11"/>
        <v>0</v>
      </c>
      <c r="AU9" s="173"/>
      <c r="AV9" s="82">
        <f t="shared" si="12"/>
        <v>5</v>
      </c>
      <c r="AW9" s="37"/>
      <c r="AX9" s="174" t="str">
        <f t="shared" si="13"/>
        <v/>
      </c>
      <c r="AY9" s="37"/>
      <c r="AZ9" s="174" t="str">
        <f t="shared" si="14"/>
        <v/>
      </c>
      <c r="BA9" s="37"/>
      <c r="BB9" s="174" t="str">
        <f t="shared" si="15"/>
        <v/>
      </c>
      <c r="BC9" s="37"/>
      <c r="BD9" s="174" t="str">
        <f t="shared" si="16"/>
        <v/>
      </c>
      <c r="BE9" s="37"/>
      <c r="BF9" s="174" t="str">
        <f t="shared" si="17"/>
        <v/>
      </c>
      <c r="BG9" s="37"/>
      <c r="BH9" s="174" t="str">
        <f t="shared" si="18"/>
        <v/>
      </c>
      <c r="BI9" s="37"/>
      <c r="BJ9" s="174" t="str">
        <f t="shared" si="19"/>
        <v/>
      </c>
      <c r="BK9" s="37"/>
      <c r="BL9" s="174" t="str">
        <f t="shared" si="20"/>
        <v/>
      </c>
      <c r="BM9" s="37"/>
      <c r="BN9" s="174" t="str">
        <f t="shared" si="21"/>
        <v/>
      </c>
      <c r="BO9" s="37"/>
      <c r="BP9" s="174" t="str">
        <f t="shared" si="22"/>
        <v/>
      </c>
      <c r="BQ9" s="37"/>
      <c r="BR9" s="174" t="str">
        <f t="shared" si="23"/>
        <v/>
      </c>
      <c r="BS9" s="37"/>
      <c r="BT9" s="174" t="str">
        <f t="shared" si="24"/>
        <v/>
      </c>
      <c r="BU9" s="37"/>
      <c r="BV9" s="174" t="str">
        <f t="shared" si="25"/>
        <v/>
      </c>
      <c r="BW9" s="37"/>
      <c r="BX9" s="174" t="str">
        <f t="shared" si="26"/>
        <v/>
      </c>
      <c r="BY9" s="37"/>
      <c r="BZ9" s="174" t="str">
        <f t="shared" si="27"/>
        <v/>
      </c>
      <c r="CA9" s="37"/>
      <c r="CB9" s="174" t="str">
        <f t="shared" si="28"/>
        <v/>
      </c>
      <c r="CC9" s="37"/>
      <c r="CD9" s="174" t="str">
        <f t="shared" si="29"/>
        <v/>
      </c>
      <c r="CE9" s="37"/>
      <c r="CF9" s="174" t="str">
        <f t="shared" si="30"/>
        <v/>
      </c>
      <c r="CG9" s="37"/>
      <c r="CH9" s="174" t="str">
        <f t="shared" si="31"/>
        <v/>
      </c>
      <c r="CI9" s="37"/>
      <c r="CJ9" s="174" t="str">
        <f t="shared" si="32"/>
        <v/>
      </c>
      <c r="CK9" s="37"/>
      <c r="CL9" s="174" t="str">
        <f t="shared" si="33"/>
        <v/>
      </c>
      <c r="CM9" s="37"/>
      <c r="CN9" s="174" t="str">
        <f t="shared" si="34"/>
        <v/>
      </c>
      <c r="CO9" s="37"/>
      <c r="CP9" s="174" t="str">
        <f t="shared" si="35"/>
        <v/>
      </c>
      <c r="CQ9" s="37"/>
      <c r="CR9" s="174" t="str">
        <f t="shared" si="36"/>
        <v/>
      </c>
      <c r="CS9" s="37"/>
      <c r="CT9" s="174" t="str">
        <f t="shared" si="37"/>
        <v/>
      </c>
      <c r="CU9" s="38"/>
      <c r="CV9" s="87"/>
      <c r="CW9" s="90"/>
      <c r="CX9" s="38"/>
      <c r="CY9" s="39"/>
      <c r="CZ9" s="37"/>
      <c r="DA9" s="39"/>
      <c r="DB9" s="24">
        <v>5</v>
      </c>
      <c r="DC9" s="96" t="str">
        <f t="shared" si="38"/>
        <v>水</v>
      </c>
      <c r="DF9" s="125"/>
      <c r="DG9" s="40"/>
      <c r="DH9" s="40"/>
      <c r="DI9" s="40"/>
      <c r="DJ9" s="40"/>
      <c r="DK9" s="40"/>
      <c r="DL9" s="40"/>
      <c r="DM9" s="40"/>
      <c r="DN9" s="40"/>
      <c r="DO9" s="40"/>
      <c r="DP9" s="40">
        <f t="shared" si="39"/>
        <v>0</v>
      </c>
      <c r="DQ9" s="172" t="str">
        <f t="shared" si="40"/>
        <v/>
      </c>
      <c r="DS9" s="189"/>
      <c r="DT9" s="190"/>
      <c r="DU9" s="190"/>
      <c r="DV9" s="191"/>
      <c r="DW9" s="41"/>
      <c r="DX9" s="42"/>
      <c r="DY9" s="139"/>
      <c r="DZ9" s="139"/>
      <c r="EA9" s="139"/>
      <c r="EB9" s="139"/>
    </row>
    <row r="10" spans="1:132" ht="13.5" customHeight="1" x14ac:dyDescent="0.4">
      <c r="A10" s="104">
        <v>6</v>
      </c>
      <c r="B10" s="23" t="s">
        <v>85</v>
      </c>
      <c r="C10" s="164"/>
      <c r="D10" s="164"/>
      <c r="E10" s="24"/>
      <c r="F10" s="29"/>
      <c r="G10" s="25" t="str">
        <f>IF(SUM($F$5:F10)=0,"",SUM($F$5:F10))</f>
        <v/>
      </c>
      <c r="H10" s="43" t="str">
        <f t="shared" si="0"/>
        <v/>
      </c>
      <c r="I10" s="148" t="e">
        <f t="array" aca="1" ref="I10" ca="1">IF($A11="",$G10/($V10-$U$5+INDIRECT(IF(_xlfn.SHEET()&lt;6,"令和8年"&amp;_xlfn.SHEET()+7&amp;"月","令和9年"&amp;_xlfn.SHEET()-5&amp;"月")&amp;"!$U$5")),$G10/($V11-$U$5))</f>
        <v>#VALUE!</v>
      </c>
      <c r="J10" s="26" t="str">
        <f t="shared" si="1"/>
        <v/>
      </c>
      <c r="K10" s="27"/>
      <c r="L10" s="165">
        <f t="shared" si="2"/>
        <v>0</v>
      </c>
      <c r="M10" s="28" t="str">
        <f t="shared" si="3"/>
        <v/>
      </c>
      <c r="N10" s="166" t="str">
        <f t="shared" si="4"/>
        <v/>
      </c>
      <c r="O10" s="167" t="str">
        <f t="shared" si="5"/>
        <v/>
      </c>
      <c r="P10" s="168"/>
      <c r="Q10" s="169" t="str">
        <f t="shared" si="6"/>
        <v/>
      </c>
      <c r="R10" s="170">
        <v>37</v>
      </c>
      <c r="S10" s="171">
        <v>29</v>
      </c>
      <c r="T10" s="24" t="s">
        <v>84</v>
      </c>
      <c r="U10" s="29">
        <v>212086</v>
      </c>
      <c r="V10" s="30">
        <f t="shared" si="41"/>
        <v>1963262</v>
      </c>
      <c r="W10" s="27">
        <v>141</v>
      </c>
      <c r="X10" s="31">
        <f t="shared" si="7"/>
        <v>1504.1560283687943</v>
      </c>
      <c r="Y10" s="29">
        <v>201504</v>
      </c>
      <c r="Z10" s="32">
        <f t="shared" si="42"/>
        <v>2124593</v>
      </c>
      <c r="AA10" s="33">
        <f t="shared" si="8"/>
        <v>0.92406498562312878</v>
      </c>
      <c r="AB10" s="158">
        <v>220000</v>
      </c>
      <c r="AC10" s="34">
        <f t="shared" si="43"/>
        <v>1980000</v>
      </c>
      <c r="AD10" s="158"/>
      <c r="AE10" s="25"/>
      <c r="AF10" s="25"/>
      <c r="AG10" s="25"/>
      <c r="AH10" s="25"/>
      <c r="AI10" s="25"/>
      <c r="AJ10" s="25"/>
      <c r="AK10" s="25"/>
      <c r="AL10" s="158"/>
      <c r="AM10" s="25"/>
      <c r="AN10" s="158"/>
      <c r="AO10" s="25"/>
      <c r="AP10" s="25"/>
      <c r="AQ10" s="158"/>
      <c r="AR10" s="35">
        <f t="shared" si="9"/>
        <v>0</v>
      </c>
      <c r="AS10" s="172" t="str">
        <f t="shared" si="10"/>
        <v/>
      </c>
      <c r="AT10" s="36">
        <f t="shared" si="11"/>
        <v>0</v>
      </c>
      <c r="AU10" s="173"/>
      <c r="AV10" s="82">
        <f t="shared" si="12"/>
        <v>6</v>
      </c>
      <c r="AW10" s="37"/>
      <c r="AX10" s="174" t="str">
        <f t="shared" si="13"/>
        <v/>
      </c>
      <c r="AY10" s="37"/>
      <c r="AZ10" s="174" t="str">
        <f t="shared" si="14"/>
        <v/>
      </c>
      <c r="BA10" s="37"/>
      <c r="BB10" s="174" t="str">
        <f t="shared" si="15"/>
        <v/>
      </c>
      <c r="BC10" s="37"/>
      <c r="BD10" s="174" t="str">
        <f t="shared" si="16"/>
        <v/>
      </c>
      <c r="BE10" s="37"/>
      <c r="BF10" s="174" t="str">
        <f t="shared" si="17"/>
        <v/>
      </c>
      <c r="BG10" s="37"/>
      <c r="BH10" s="174" t="str">
        <f t="shared" si="18"/>
        <v/>
      </c>
      <c r="BI10" s="37"/>
      <c r="BJ10" s="174" t="str">
        <f t="shared" si="19"/>
        <v/>
      </c>
      <c r="BK10" s="37"/>
      <c r="BL10" s="174" t="str">
        <f t="shared" si="20"/>
        <v/>
      </c>
      <c r="BM10" s="37"/>
      <c r="BN10" s="174" t="str">
        <f t="shared" si="21"/>
        <v/>
      </c>
      <c r="BO10" s="37"/>
      <c r="BP10" s="174" t="str">
        <f t="shared" si="22"/>
        <v/>
      </c>
      <c r="BQ10" s="37"/>
      <c r="BR10" s="174" t="str">
        <f t="shared" si="23"/>
        <v/>
      </c>
      <c r="BS10" s="37"/>
      <c r="BT10" s="174" t="str">
        <f t="shared" si="24"/>
        <v/>
      </c>
      <c r="BU10" s="37"/>
      <c r="BV10" s="174" t="str">
        <f t="shared" si="25"/>
        <v/>
      </c>
      <c r="BW10" s="37"/>
      <c r="BX10" s="174" t="str">
        <f t="shared" si="26"/>
        <v/>
      </c>
      <c r="BY10" s="37"/>
      <c r="BZ10" s="174" t="str">
        <f t="shared" si="27"/>
        <v/>
      </c>
      <c r="CA10" s="37"/>
      <c r="CB10" s="174" t="str">
        <f t="shared" si="28"/>
        <v/>
      </c>
      <c r="CC10" s="37"/>
      <c r="CD10" s="174" t="str">
        <f t="shared" si="29"/>
        <v/>
      </c>
      <c r="CE10" s="37"/>
      <c r="CF10" s="174" t="str">
        <f t="shared" si="30"/>
        <v/>
      </c>
      <c r="CG10" s="37"/>
      <c r="CH10" s="174" t="str">
        <f t="shared" si="31"/>
        <v/>
      </c>
      <c r="CI10" s="37"/>
      <c r="CJ10" s="174" t="str">
        <f t="shared" si="32"/>
        <v/>
      </c>
      <c r="CK10" s="37"/>
      <c r="CL10" s="174" t="str">
        <f t="shared" si="33"/>
        <v/>
      </c>
      <c r="CM10" s="37"/>
      <c r="CN10" s="174" t="str">
        <f t="shared" si="34"/>
        <v/>
      </c>
      <c r="CO10" s="37"/>
      <c r="CP10" s="174" t="str">
        <f t="shared" si="35"/>
        <v/>
      </c>
      <c r="CQ10" s="37"/>
      <c r="CR10" s="174" t="str">
        <f t="shared" si="36"/>
        <v/>
      </c>
      <c r="CS10" s="37"/>
      <c r="CT10" s="174" t="str">
        <f t="shared" si="37"/>
        <v/>
      </c>
      <c r="CU10" s="38"/>
      <c r="CV10" s="87"/>
      <c r="CW10" s="90"/>
      <c r="CX10" s="38"/>
      <c r="CY10" s="39"/>
      <c r="CZ10" s="37"/>
      <c r="DA10" s="39"/>
      <c r="DB10" s="24">
        <v>6</v>
      </c>
      <c r="DC10" s="96" t="str">
        <f t="shared" si="38"/>
        <v>木</v>
      </c>
      <c r="DF10" s="125"/>
      <c r="DG10" s="40"/>
      <c r="DH10" s="40"/>
      <c r="DI10" s="40"/>
      <c r="DJ10" s="40"/>
      <c r="DK10" s="40"/>
      <c r="DL10" s="40"/>
      <c r="DM10" s="40"/>
      <c r="DN10" s="40"/>
      <c r="DO10" s="40"/>
      <c r="DP10" s="40">
        <f t="shared" si="39"/>
        <v>0</v>
      </c>
      <c r="DQ10" s="172" t="str">
        <f t="shared" si="40"/>
        <v/>
      </c>
      <c r="DS10" s="189"/>
      <c r="DT10" s="190"/>
      <c r="DU10" s="190"/>
      <c r="DV10" s="191"/>
      <c r="DW10" s="138"/>
      <c r="DX10" s="42"/>
      <c r="DY10" s="139"/>
      <c r="DZ10" s="139"/>
      <c r="EA10" s="139"/>
      <c r="EB10" s="139"/>
    </row>
    <row r="11" spans="1:132" ht="13.5" customHeight="1" x14ac:dyDescent="0.4">
      <c r="A11" s="104">
        <v>7</v>
      </c>
      <c r="B11" s="23" t="s">
        <v>86</v>
      </c>
      <c r="C11" s="164"/>
      <c r="D11" s="164"/>
      <c r="E11" s="24"/>
      <c r="F11" s="29"/>
      <c r="G11" s="25" t="str">
        <f>IF(SUM($F$5:F11)=0,"",SUM($F$5:F11))</f>
        <v/>
      </c>
      <c r="H11" s="43" t="str">
        <f t="shared" si="0"/>
        <v/>
      </c>
      <c r="I11" s="148" t="e">
        <f t="array" aca="1" ref="I11" ca="1">IF($A12="",$G11/($V11-$U$5+INDIRECT(IF(_xlfn.SHEET()&lt;6,"令和8年"&amp;_xlfn.SHEET()+7&amp;"月","令和9年"&amp;_xlfn.SHEET()-5&amp;"月")&amp;"!$U$5")),$G11/($V12-$U$5))</f>
        <v>#VALUE!</v>
      </c>
      <c r="J11" s="26" t="str">
        <f t="shared" si="1"/>
        <v/>
      </c>
      <c r="K11" s="27"/>
      <c r="L11" s="165">
        <f t="shared" si="2"/>
        <v>0</v>
      </c>
      <c r="M11" s="28" t="str">
        <f t="shared" si="3"/>
        <v/>
      </c>
      <c r="N11" s="166" t="str">
        <f t="shared" si="4"/>
        <v/>
      </c>
      <c r="O11" s="167" t="str">
        <f t="shared" si="5"/>
        <v/>
      </c>
      <c r="P11" s="168"/>
      <c r="Q11" s="169" t="str">
        <f t="shared" si="6"/>
        <v/>
      </c>
      <c r="R11" s="170">
        <v>32</v>
      </c>
      <c r="S11" s="171">
        <v>24</v>
      </c>
      <c r="T11" s="24" t="s">
        <v>93</v>
      </c>
      <c r="U11" s="29">
        <v>314233</v>
      </c>
      <c r="V11" s="30">
        <f t="shared" si="41"/>
        <v>2277495</v>
      </c>
      <c r="W11" s="27">
        <v>155</v>
      </c>
      <c r="X11" s="31">
        <f t="shared" si="7"/>
        <v>2027.3096774193548</v>
      </c>
      <c r="Y11" s="29">
        <v>226966</v>
      </c>
      <c r="Z11" s="32">
        <f t="shared" si="42"/>
        <v>2351559</v>
      </c>
      <c r="AA11" s="33">
        <f t="shared" si="8"/>
        <v>0.96850429863762721</v>
      </c>
      <c r="AB11" s="158">
        <v>220000</v>
      </c>
      <c r="AC11" s="34">
        <f t="shared" si="43"/>
        <v>2200000</v>
      </c>
      <c r="AD11" s="158"/>
      <c r="AE11" s="25"/>
      <c r="AF11" s="25"/>
      <c r="AG11" s="25"/>
      <c r="AH11" s="25"/>
      <c r="AI11" s="25"/>
      <c r="AJ11" s="25"/>
      <c r="AK11" s="25"/>
      <c r="AL11" s="158"/>
      <c r="AM11" s="25"/>
      <c r="AN11" s="158"/>
      <c r="AO11" s="25"/>
      <c r="AP11" s="25"/>
      <c r="AQ11" s="158"/>
      <c r="AR11" s="35">
        <f t="shared" si="9"/>
        <v>0</v>
      </c>
      <c r="AS11" s="172" t="str">
        <f t="shared" si="10"/>
        <v/>
      </c>
      <c r="AT11" s="36">
        <f t="shared" si="11"/>
        <v>0</v>
      </c>
      <c r="AU11" s="173"/>
      <c r="AV11" s="82">
        <f t="shared" si="12"/>
        <v>7</v>
      </c>
      <c r="AW11" s="37"/>
      <c r="AX11" s="174" t="str">
        <f t="shared" si="13"/>
        <v/>
      </c>
      <c r="AY11" s="37"/>
      <c r="AZ11" s="174" t="str">
        <f t="shared" si="14"/>
        <v/>
      </c>
      <c r="BA11" s="37"/>
      <c r="BB11" s="174" t="str">
        <f t="shared" si="15"/>
        <v/>
      </c>
      <c r="BC11" s="37"/>
      <c r="BD11" s="174" t="str">
        <f t="shared" si="16"/>
        <v/>
      </c>
      <c r="BE11" s="37"/>
      <c r="BF11" s="174" t="str">
        <f t="shared" si="17"/>
        <v/>
      </c>
      <c r="BG11" s="37"/>
      <c r="BH11" s="174" t="str">
        <f t="shared" si="18"/>
        <v/>
      </c>
      <c r="BI11" s="37"/>
      <c r="BJ11" s="174" t="str">
        <f t="shared" si="19"/>
        <v/>
      </c>
      <c r="BK11" s="37"/>
      <c r="BL11" s="174" t="str">
        <f t="shared" si="20"/>
        <v/>
      </c>
      <c r="BM11" s="37"/>
      <c r="BN11" s="174" t="str">
        <f t="shared" si="21"/>
        <v/>
      </c>
      <c r="BO11" s="37"/>
      <c r="BP11" s="174" t="str">
        <f t="shared" si="22"/>
        <v/>
      </c>
      <c r="BQ11" s="37"/>
      <c r="BR11" s="174" t="str">
        <f t="shared" si="23"/>
        <v/>
      </c>
      <c r="BS11" s="37"/>
      <c r="BT11" s="174" t="str">
        <f t="shared" si="24"/>
        <v/>
      </c>
      <c r="BU11" s="37"/>
      <c r="BV11" s="174" t="str">
        <f t="shared" si="25"/>
        <v/>
      </c>
      <c r="BW11" s="37"/>
      <c r="BX11" s="174" t="str">
        <f t="shared" si="26"/>
        <v/>
      </c>
      <c r="BY11" s="37"/>
      <c r="BZ11" s="174" t="str">
        <f t="shared" si="27"/>
        <v/>
      </c>
      <c r="CA11" s="37"/>
      <c r="CB11" s="174" t="str">
        <f t="shared" si="28"/>
        <v/>
      </c>
      <c r="CC11" s="37"/>
      <c r="CD11" s="174" t="str">
        <f t="shared" si="29"/>
        <v/>
      </c>
      <c r="CE11" s="37"/>
      <c r="CF11" s="174" t="str">
        <f t="shared" si="30"/>
        <v/>
      </c>
      <c r="CG11" s="37"/>
      <c r="CH11" s="174" t="str">
        <f t="shared" si="31"/>
        <v/>
      </c>
      <c r="CI11" s="37"/>
      <c r="CJ11" s="174" t="str">
        <f t="shared" si="32"/>
        <v/>
      </c>
      <c r="CK11" s="37"/>
      <c r="CL11" s="174" t="str">
        <f t="shared" si="33"/>
        <v/>
      </c>
      <c r="CM11" s="37"/>
      <c r="CN11" s="174" t="str">
        <f t="shared" si="34"/>
        <v/>
      </c>
      <c r="CO11" s="37"/>
      <c r="CP11" s="174" t="str">
        <f t="shared" si="35"/>
        <v/>
      </c>
      <c r="CQ11" s="37"/>
      <c r="CR11" s="174" t="str">
        <f t="shared" si="36"/>
        <v/>
      </c>
      <c r="CS11" s="37"/>
      <c r="CT11" s="174" t="str">
        <f t="shared" si="37"/>
        <v/>
      </c>
      <c r="CU11" s="38"/>
      <c r="CV11" s="87"/>
      <c r="CW11" s="90"/>
      <c r="CX11" s="38"/>
      <c r="CY11" s="39"/>
      <c r="CZ11" s="37"/>
      <c r="DA11" s="39"/>
      <c r="DB11" s="24">
        <v>7</v>
      </c>
      <c r="DC11" s="96" t="str">
        <f t="shared" si="38"/>
        <v>金</v>
      </c>
      <c r="DF11" s="125"/>
      <c r="DG11" s="40"/>
      <c r="DH11" s="40"/>
      <c r="DI11" s="40"/>
      <c r="DJ11" s="40"/>
      <c r="DK11" s="40"/>
      <c r="DL11" s="40"/>
      <c r="DM11" s="40"/>
      <c r="DN11" s="40"/>
      <c r="DO11" s="40"/>
      <c r="DP11" s="40">
        <f t="shared" si="39"/>
        <v>0</v>
      </c>
      <c r="DQ11" s="172" t="str">
        <f t="shared" si="40"/>
        <v/>
      </c>
      <c r="DS11" s="189"/>
      <c r="DT11" s="190"/>
      <c r="DU11" s="190"/>
      <c r="DV11" s="191"/>
      <c r="DW11" s="41"/>
      <c r="DX11" s="42"/>
    </row>
    <row r="12" spans="1:132" ht="13.5" customHeight="1" x14ac:dyDescent="0.4">
      <c r="A12" s="104">
        <v>8</v>
      </c>
      <c r="B12" s="23" t="s">
        <v>88</v>
      </c>
      <c r="C12" s="164"/>
      <c r="D12" s="164"/>
      <c r="E12" s="24"/>
      <c r="F12" s="29"/>
      <c r="G12" s="25" t="str">
        <f>IF(SUM($F$5:F12)=0,"",SUM($F$5:F12))</f>
        <v/>
      </c>
      <c r="H12" s="43" t="str">
        <f t="shared" si="0"/>
        <v/>
      </c>
      <c r="I12" s="148" t="e">
        <f t="array" aca="1" ref="I12" ca="1">IF($A13="",$G12/($V12-$U$5+INDIRECT(IF(_xlfn.SHEET()&lt;6,"令和8年"&amp;_xlfn.SHEET()+7&amp;"月","令和9年"&amp;_xlfn.SHEET()-5&amp;"月")&amp;"!$U$5")),$G12/($V13-$U$5))</f>
        <v>#VALUE!</v>
      </c>
      <c r="J12" s="26" t="str">
        <f t="shared" si="1"/>
        <v/>
      </c>
      <c r="K12" s="27"/>
      <c r="L12" s="165">
        <f t="shared" si="2"/>
        <v>0</v>
      </c>
      <c r="M12" s="28" t="str">
        <f t="shared" si="3"/>
        <v/>
      </c>
      <c r="N12" s="166" t="str">
        <f t="shared" si="4"/>
        <v/>
      </c>
      <c r="O12" s="167" t="str">
        <f t="shared" si="5"/>
        <v/>
      </c>
      <c r="P12" s="168"/>
      <c r="Q12" s="169" t="str">
        <f t="shared" si="6"/>
        <v/>
      </c>
      <c r="R12" s="170">
        <v>34</v>
      </c>
      <c r="S12" s="171">
        <v>26</v>
      </c>
      <c r="T12" s="24" t="s">
        <v>107</v>
      </c>
      <c r="U12" s="29">
        <v>194903</v>
      </c>
      <c r="V12" s="30">
        <f t="shared" si="41"/>
        <v>2472398</v>
      </c>
      <c r="W12" s="27">
        <v>98</v>
      </c>
      <c r="X12" s="31">
        <f t="shared" si="7"/>
        <v>1988.8061224489795</v>
      </c>
      <c r="Y12" s="29">
        <v>299707</v>
      </c>
      <c r="Z12" s="32">
        <f t="shared" si="42"/>
        <v>2651266</v>
      </c>
      <c r="AA12" s="33">
        <f t="shared" si="8"/>
        <v>0.93253487201963137</v>
      </c>
      <c r="AB12" s="158">
        <v>600000</v>
      </c>
      <c r="AC12" s="34">
        <f t="shared" si="43"/>
        <v>2800000</v>
      </c>
      <c r="AD12" s="158"/>
      <c r="AE12" s="25"/>
      <c r="AF12" s="25"/>
      <c r="AG12" s="25"/>
      <c r="AH12" s="25"/>
      <c r="AI12" s="25"/>
      <c r="AJ12" s="25"/>
      <c r="AK12" s="25"/>
      <c r="AL12" s="158"/>
      <c r="AM12" s="25"/>
      <c r="AN12" s="158"/>
      <c r="AO12" s="25"/>
      <c r="AP12" s="25"/>
      <c r="AQ12" s="158"/>
      <c r="AR12" s="35">
        <f t="shared" si="9"/>
        <v>0</v>
      </c>
      <c r="AS12" s="172" t="str">
        <f t="shared" si="10"/>
        <v/>
      </c>
      <c r="AT12" s="36">
        <f t="shared" si="11"/>
        <v>0</v>
      </c>
      <c r="AU12" s="173"/>
      <c r="AV12" s="82">
        <f t="shared" si="12"/>
        <v>8</v>
      </c>
      <c r="AW12" s="37"/>
      <c r="AX12" s="174" t="str">
        <f t="shared" si="13"/>
        <v/>
      </c>
      <c r="AY12" s="37"/>
      <c r="AZ12" s="174" t="str">
        <f t="shared" si="14"/>
        <v/>
      </c>
      <c r="BA12" s="37"/>
      <c r="BB12" s="174" t="str">
        <f t="shared" si="15"/>
        <v/>
      </c>
      <c r="BC12" s="37"/>
      <c r="BD12" s="174" t="str">
        <f t="shared" si="16"/>
        <v/>
      </c>
      <c r="BE12" s="37"/>
      <c r="BF12" s="174" t="str">
        <f t="shared" si="17"/>
        <v/>
      </c>
      <c r="BG12" s="37"/>
      <c r="BH12" s="174" t="str">
        <f t="shared" si="18"/>
        <v/>
      </c>
      <c r="BI12" s="37"/>
      <c r="BJ12" s="174" t="str">
        <f t="shared" si="19"/>
        <v/>
      </c>
      <c r="BK12" s="37"/>
      <c r="BL12" s="174" t="str">
        <f t="shared" si="20"/>
        <v/>
      </c>
      <c r="BM12" s="37"/>
      <c r="BN12" s="174" t="str">
        <f t="shared" si="21"/>
        <v/>
      </c>
      <c r="BO12" s="37"/>
      <c r="BP12" s="174" t="str">
        <f t="shared" si="22"/>
        <v/>
      </c>
      <c r="BQ12" s="37"/>
      <c r="BR12" s="174" t="str">
        <f t="shared" si="23"/>
        <v/>
      </c>
      <c r="BS12" s="37"/>
      <c r="BT12" s="174" t="str">
        <f t="shared" si="24"/>
        <v/>
      </c>
      <c r="BU12" s="37"/>
      <c r="BV12" s="174" t="str">
        <f t="shared" si="25"/>
        <v/>
      </c>
      <c r="BW12" s="37"/>
      <c r="BX12" s="174" t="str">
        <f t="shared" si="26"/>
        <v/>
      </c>
      <c r="BY12" s="37"/>
      <c r="BZ12" s="174" t="str">
        <f t="shared" si="27"/>
        <v/>
      </c>
      <c r="CA12" s="37"/>
      <c r="CB12" s="174" t="str">
        <f t="shared" si="28"/>
        <v/>
      </c>
      <c r="CC12" s="37"/>
      <c r="CD12" s="174" t="str">
        <f t="shared" si="29"/>
        <v/>
      </c>
      <c r="CE12" s="37"/>
      <c r="CF12" s="174" t="str">
        <f t="shared" si="30"/>
        <v/>
      </c>
      <c r="CG12" s="37"/>
      <c r="CH12" s="174" t="str">
        <f t="shared" si="31"/>
        <v/>
      </c>
      <c r="CI12" s="37"/>
      <c r="CJ12" s="174" t="str">
        <f t="shared" si="32"/>
        <v/>
      </c>
      <c r="CK12" s="37"/>
      <c r="CL12" s="174" t="str">
        <f t="shared" si="33"/>
        <v/>
      </c>
      <c r="CM12" s="37"/>
      <c r="CN12" s="174" t="str">
        <f t="shared" si="34"/>
        <v/>
      </c>
      <c r="CO12" s="37"/>
      <c r="CP12" s="174" t="str">
        <f t="shared" si="35"/>
        <v/>
      </c>
      <c r="CQ12" s="37"/>
      <c r="CR12" s="174" t="str">
        <f t="shared" si="36"/>
        <v/>
      </c>
      <c r="CS12" s="37"/>
      <c r="CT12" s="174" t="str">
        <f t="shared" si="37"/>
        <v/>
      </c>
      <c r="CU12" s="38"/>
      <c r="CV12" s="87"/>
      <c r="CW12" s="90"/>
      <c r="CX12" s="38"/>
      <c r="CY12" s="39"/>
      <c r="CZ12" s="37"/>
      <c r="DA12" s="39"/>
      <c r="DB12" s="24">
        <v>8</v>
      </c>
      <c r="DC12" s="96" t="str">
        <f t="shared" si="38"/>
        <v>土</v>
      </c>
      <c r="DF12" s="125"/>
      <c r="DG12" s="40"/>
      <c r="DH12" s="40"/>
      <c r="DI12" s="40"/>
      <c r="DJ12" s="40"/>
      <c r="DK12" s="40"/>
      <c r="DL12" s="40"/>
      <c r="DM12" s="40"/>
      <c r="DN12" s="40"/>
      <c r="DO12" s="40"/>
      <c r="DP12" s="40">
        <f t="shared" si="39"/>
        <v>0</v>
      </c>
      <c r="DQ12" s="172" t="str">
        <f t="shared" si="40"/>
        <v/>
      </c>
      <c r="DS12" s="189"/>
      <c r="DT12" s="190"/>
      <c r="DU12" s="190"/>
      <c r="DV12" s="191"/>
      <c r="DW12" s="41"/>
      <c r="DX12" s="42"/>
    </row>
    <row r="13" spans="1:132" ht="13.5" customHeight="1" x14ac:dyDescent="0.4">
      <c r="A13" s="104">
        <v>9</v>
      </c>
      <c r="B13" s="23" t="s">
        <v>89</v>
      </c>
      <c r="C13" s="164"/>
      <c r="D13" s="164"/>
      <c r="E13" s="24"/>
      <c r="F13" s="29"/>
      <c r="G13" s="25" t="str">
        <f>IF(SUM($F$5:F13)=0,"",SUM($F$5:F13))</f>
        <v/>
      </c>
      <c r="H13" s="43" t="str">
        <f t="shared" si="0"/>
        <v/>
      </c>
      <c r="I13" s="148" t="e">
        <f t="array" aca="1" ref="I13" ca="1">IF($A14="",$G13/($V13-$U$5+INDIRECT(IF(_xlfn.SHEET()&lt;6,"令和8年"&amp;_xlfn.SHEET()+7&amp;"月","令和9年"&amp;_xlfn.SHEET()-5&amp;"月")&amp;"!$U$5")),$G13/($V14-$U$5))</f>
        <v>#VALUE!</v>
      </c>
      <c r="J13" s="26" t="str">
        <f t="shared" si="1"/>
        <v/>
      </c>
      <c r="K13" s="27"/>
      <c r="L13" s="165">
        <f t="shared" si="2"/>
        <v>0</v>
      </c>
      <c r="M13" s="28" t="str">
        <f t="shared" si="3"/>
        <v/>
      </c>
      <c r="N13" s="166" t="str">
        <f t="shared" si="4"/>
        <v/>
      </c>
      <c r="O13" s="167" t="str">
        <f t="shared" si="5"/>
        <v/>
      </c>
      <c r="P13" s="168"/>
      <c r="Q13" s="169" t="str">
        <f t="shared" si="6"/>
        <v/>
      </c>
      <c r="R13" s="170">
        <v>33</v>
      </c>
      <c r="S13" s="171">
        <v>26</v>
      </c>
      <c r="T13" s="24" t="s">
        <v>106</v>
      </c>
      <c r="U13" s="29">
        <v>438734</v>
      </c>
      <c r="V13" s="30">
        <f t="shared" si="41"/>
        <v>2911132</v>
      </c>
      <c r="W13" s="27">
        <v>243</v>
      </c>
      <c r="X13" s="31">
        <f t="shared" si="7"/>
        <v>1805.4897119341563</v>
      </c>
      <c r="Y13" s="29">
        <v>209182</v>
      </c>
      <c r="Z13" s="32">
        <f t="shared" si="42"/>
        <v>2860448</v>
      </c>
      <c r="AA13" s="33">
        <f t="shared" si="8"/>
        <v>1.0177189027732718</v>
      </c>
      <c r="AB13" s="158">
        <v>600000</v>
      </c>
      <c r="AC13" s="34">
        <f t="shared" si="43"/>
        <v>3400000</v>
      </c>
      <c r="AD13" s="158"/>
      <c r="AE13" s="25"/>
      <c r="AF13" s="25"/>
      <c r="AG13" s="25"/>
      <c r="AH13" s="25"/>
      <c r="AI13" s="25"/>
      <c r="AJ13" s="25"/>
      <c r="AK13" s="25"/>
      <c r="AL13" s="158"/>
      <c r="AM13" s="25"/>
      <c r="AN13" s="158"/>
      <c r="AO13" s="25"/>
      <c r="AP13" s="25"/>
      <c r="AQ13" s="158"/>
      <c r="AR13" s="35">
        <f t="shared" si="9"/>
        <v>0</v>
      </c>
      <c r="AS13" s="172" t="str">
        <f t="shared" si="10"/>
        <v/>
      </c>
      <c r="AT13" s="36">
        <f t="shared" si="11"/>
        <v>0</v>
      </c>
      <c r="AU13" s="173"/>
      <c r="AV13" s="82">
        <f t="shared" si="12"/>
        <v>9</v>
      </c>
      <c r="AW13" s="37"/>
      <c r="AX13" s="174" t="str">
        <f t="shared" si="13"/>
        <v/>
      </c>
      <c r="AY13" s="37"/>
      <c r="AZ13" s="174" t="str">
        <f t="shared" si="14"/>
        <v/>
      </c>
      <c r="BA13" s="37"/>
      <c r="BB13" s="174" t="str">
        <f t="shared" si="15"/>
        <v/>
      </c>
      <c r="BC13" s="37"/>
      <c r="BD13" s="174" t="str">
        <f t="shared" si="16"/>
        <v/>
      </c>
      <c r="BE13" s="37"/>
      <c r="BF13" s="174" t="str">
        <f t="shared" si="17"/>
        <v/>
      </c>
      <c r="BG13" s="37"/>
      <c r="BH13" s="174" t="str">
        <f t="shared" si="18"/>
        <v/>
      </c>
      <c r="BI13" s="37"/>
      <c r="BJ13" s="174" t="str">
        <f t="shared" si="19"/>
        <v/>
      </c>
      <c r="BK13" s="37"/>
      <c r="BL13" s="174" t="str">
        <f t="shared" si="20"/>
        <v/>
      </c>
      <c r="BM13" s="37"/>
      <c r="BN13" s="174" t="str">
        <f t="shared" si="21"/>
        <v/>
      </c>
      <c r="BO13" s="37"/>
      <c r="BP13" s="174" t="str">
        <f t="shared" si="22"/>
        <v/>
      </c>
      <c r="BQ13" s="37"/>
      <c r="BR13" s="174" t="str">
        <f t="shared" si="23"/>
        <v/>
      </c>
      <c r="BS13" s="37"/>
      <c r="BT13" s="174" t="str">
        <f t="shared" si="24"/>
        <v/>
      </c>
      <c r="BU13" s="37"/>
      <c r="BV13" s="174" t="str">
        <f t="shared" si="25"/>
        <v/>
      </c>
      <c r="BW13" s="37"/>
      <c r="BX13" s="174" t="str">
        <f t="shared" si="26"/>
        <v/>
      </c>
      <c r="BY13" s="37"/>
      <c r="BZ13" s="174" t="str">
        <f t="shared" si="27"/>
        <v/>
      </c>
      <c r="CA13" s="37"/>
      <c r="CB13" s="174" t="str">
        <f t="shared" si="28"/>
        <v/>
      </c>
      <c r="CC13" s="37"/>
      <c r="CD13" s="174" t="str">
        <f t="shared" si="29"/>
        <v/>
      </c>
      <c r="CE13" s="37"/>
      <c r="CF13" s="174" t="str">
        <f t="shared" si="30"/>
        <v/>
      </c>
      <c r="CG13" s="37"/>
      <c r="CH13" s="174" t="str">
        <f t="shared" si="31"/>
        <v/>
      </c>
      <c r="CI13" s="37"/>
      <c r="CJ13" s="174" t="str">
        <f t="shared" si="32"/>
        <v/>
      </c>
      <c r="CK13" s="37"/>
      <c r="CL13" s="174" t="str">
        <f t="shared" si="33"/>
        <v/>
      </c>
      <c r="CM13" s="37"/>
      <c r="CN13" s="174" t="str">
        <f t="shared" si="34"/>
        <v/>
      </c>
      <c r="CO13" s="37"/>
      <c r="CP13" s="174" t="str">
        <f t="shared" si="35"/>
        <v/>
      </c>
      <c r="CQ13" s="37"/>
      <c r="CR13" s="174" t="str">
        <f t="shared" si="36"/>
        <v/>
      </c>
      <c r="CS13" s="37"/>
      <c r="CT13" s="174" t="str">
        <f t="shared" si="37"/>
        <v/>
      </c>
      <c r="CU13" s="38"/>
      <c r="CV13" s="87"/>
      <c r="CW13" s="90"/>
      <c r="CX13" s="38"/>
      <c r="CY13" s="39"/>
      <c r="CZ13" s="37"/>
      <c r="DA13" s="39"/>
      <c r="DB13" s="24">
        <v>9</v>
      </c>
      <c r="DC13" s="96" t="str">
        <f t="shared" si="38"/>
        <v>日</v>
      </c>
      <c r="DF13" s="125"/>
      <c r="DG13" s="40"/>
      <c r="DH13" s="40"/>
      <c r="DI13" s="40"/>
      <c r="DJ13" s="40"/>
      <c r="DK13" s="40"/>
      <c r="DL13" s="40"/>
      <c r="DM13" s="40"/>
      <c r="DN13" s="40"/>
      <c r="DO13" s="40"/>
      <c r="DP13" s="40">
        <f t="shared" si="39"/>
        <v>0</v>
      </c>
      <c r="DQ13" s="172" t="str">
        <f t="shared" si="40"/>
        <v/>
      </c>
      <c r="DS13" s="189"/>
      <c r="DT13" s="190"/>
      <c r="DU13" s="190"/>
      <c r="DV13" s="191"/>
      <c r="DW13" s="138"/>
      <c r="DX13" s="42"/>
    </row>
    <row r="14" spans="1:132" ht="13.5" customHeight="1" x14ac:dyDescent="0.4">
      <c r="A14" s="104">
        <v>10</v>
      </c>
      <c r="B14" s="141" t="s">
        <v>90</v>
      </c>
      <c r="C14" s="164"/>
      <c r="D14" s="164"/>
      <c r="E14" s="24"/>
      <c r="F14" s="29"/>
      <c r="G14" s="25" t="str">
        <f>IF(SUM($F$5:F14)=0,"",SUM($F$5:F14))</f>
        <v/>
      </c>
      <c r="H14" s="43" t="str">
        <f t="shared" si="0"/>
        <v/>
      </c>
      <c r="I14" s="148" t="e">
        <f t="array" aca="1" ref="I14" ca="1">IF($A15="",$G14/($V14-$U$5+INDIRECT(IF(_xlfn.SHEET()&lt;6,"令和8年"&amp;_xlfn.SHEET()+7&amp;"月","令和9年"&amp;_xlfn.SHEET()-5&amp;"月")&amp;"!$U$5")),$G14/($V15-$U$5))</f>
        <v>#VALUE!</v>
      </c>
      <c r="J14" s="26" t="str">
        <f t="shared" si="1"/>
        <v/>
      </c>
      <c r="K14" s="27"/>
      <c r="L14" s="165">
        <f t="shared" si="2"/>
        <v>0</v>
      </c>
      <c r="M14" s="28" t="str">
        <f t="shared" si="3"/>
        <v/>
      </c>
      <c r="N14" s="166" t="str">
        <f t="shared" si="4"/>
        <v/>
      </c>
      <c r="O14" s="167" t="str">
        <f t="shared" si="5"/>
        <v/>
      </c>
      <c r="P14" s="168"/>
      <c r="Q14" s="169" t="str">
        <f t="shared" si="6"/>
        <v/>
      </c>
      <c r="R14" s="170">
        <v>32</v>
      </c>
      <c r="S14" s="171">
        <v>26</v>
      </c>
      <c r="T14" s="24" t="s">
        <v>108</v>
      </c>
      <c r="U14" s="29">
        <v>752924</v>
      </c>
      <c r="V14" s="30">
        <f t="shared" si="41"/>
        <v>3664056</v>
      </c>
      <c r="W14" s="27">
        <v>346</v>
      </c>
      <c r="X14" s="31">
        <f t="shared" si="7"/>
        <v>2176.0809248554915</v>
      </c>
      <c r="Y14" s="29">
        <v>600920</v>
      </c>
      <c r="Z14" s="32">
        <f t="shared" si="42"/>
        <v>3461368</v>
      </c>
      <c r="AA14" s="33">
        <f t="shared" si="8"/>
        <v>1.0585571947276338</v>
      </c>
      <c r="AB14" s="158">
        <v>400000</v>
      </c>
      <c r="AC14" s="34">
        <f t="shared" si="43"/>
        <v>3800000</v>
      </c>
      <c r="AD14" s="158"/>
      <c r="AE14" s="25"/>
      <c r="AF14" s="25"/>
      <c r="AG14" s="25"/>
      <c r="AH14" s="25"/>
      <c r="AI14" s="25"/>
      <c r="AJ14" s="25"/>
      <c r="AK14" s="25"/>
      <c r="AL14" s="158"/>
      <c r="AM14" s="25"/>
      <c r="AN14" s="158"/>
      <c r="AO14" s="25"/>
      <c r="AP14" s="25"/>
      <c r="AQ14" s="158"/>
      <c r="AR14" s="35">
        <f t="shared" si="9"/>
        <v>0</v>
      </c>
      <c r="AS14" s="172" t="str">
        <f t="shared" si="10"/>
        <v/>
      </c>
      <c r="AT14" s="36">
        <f t="shared" si="11"/>
        <v>0</v>
      </c>
      <c r="AU14" s="173"/>
      <c r="AV14" s="82">
        <f t="shared" si="12"/>
        <v>10</v>
      </c>
      <c r="AW14" s="37"/>
      <c r="AX14" s="174" t="str">
        <f t="shared" si="13"/>
        <v/>
      </c>
      <c r="AY14" s="37"/>
      <c r="AZ14" s="174" t="str">
        <f t="shared" si="14"/>
        <v/>
      </c>
      <c r="BA14" s="37"/>
      <c r="BB14" s="174" t="str">
        <f t="shared" si="15"/>
        <v/>
      </c>
      <c r="BC14" s="37"/>
      <c r="BD14" s="174" t="str">
        <f t="shared" si="16"/>
        <v/>
      </c>
      <c r="BE14" s="37"/>
      <c r="BF14" s="174" t="str">
        <f t="shared" si="17"/>
        <v/>
      </c>
      <c r="BG14" s="37"/>
      <c r="BH14" s="174" t="str">
        <f t="shared" si="18"/>
        <v/>
      </c>
      <c r="BI14" s="37"/>
      <c r="BJ14" s="174" t="str">
        <f t="shared" si="19"/>
        <v/>
      </c>
      <c r="BK14" s="37"/>
      <c r="BL14" s="174" t="str">
        <f t="shared" si="20"/>
        <v/>
      </c>
      <c r="BM14" s="37"/>
      <c r="BN14" s="174" t="str">
        <f t="shared" si="21"/>
        <v/>
      </c>
      <c r="BO14" s="37"/>
      <c r="BP14" s="174" t="str">
        <f t="shared" si="22"/>
        <v/>
      </c>
      <c r="BQ14" s="37"/>
      <c r="BR14" s="174" t="str">
        <f t="shared" si="23"/>
        <v/>
      </c>
      <c r="BS14" s="37"/>
      <c r="BT14" s="174" t="str">
        <f t="shared" si="24"/>
        <v/>
      </c>
      <c r="BU14" s="37"/>
      <c r="BV14" s="174" t="str">
        <f t="shared" si="25"/>
        <v/>
      </c>
      <c r="BW14" s="37"/>
      <c r="BX14" s="174" t="str">
        <f t="shared" si="26"/>
        <v/>
      </c>
      <c r="BY14" s="37"/>
      <c r="BZ14" s="174" t="str">
        <f t="shared" si="27"/>
        <v/>
      </c>
      <c r="CA14" s="37"/>
      <c r="CB14" s="174" t="str">
        <f t="shared" si="28"/>
        <v/>
      </c>
      <c r="CC14" s="37"/>
      <c r="CD14" s="174" t="str">
        <f t="shared" si="29"/>
        <v/>
      </c>
      <c r="CE14" s="37"/>
      <c r="CF14" s="174" t="str">
        <f t="shared" si="30"/>
        <v/>
      </c>
      <c r="CG14" s="37"/>
      <c r="CH14" s="174" t="str">
        <f t="shared" si="31"/>
        <v/>
      </c>
      <c r="CI14" s="37"/>
      <c r="CJ14" s="174" t="str">
        <f t="shared" si="32"/>
        <v/>
      </c>
      <c r="CK14" s="37"/>
      <c r="CL14" s="174" t="str">
        <f t="shared" si="33"/>
        <v/>
      </c>
      <c r="CM14" s="37"/>
      <c r="CN14" s="174" t="str">
        <f t="shared" si="34"/>
        <v/>
      </c>
      <c r="CO14" s="37"/>
      <c r="CP14" s="174" t="str">
        <f t="shared" si="35"/>
        <v/>
      </c>
      <c r="CQ14" s="37"/>
      <c r="CR14" s="174" t="str">
        <f t="shared" si="36"/>
        <v/>
      </c>
      <c r="CS14" s="37"/>
      <c r="CT14" s="174" t="str">
        <f t="shared" si="37"/>
        <v/>
      </c>
      <c r="CU14" s="38"/>
      <c r="CV14" s="87"/>
      <c r="CW14" s="90"/>
      <c r="CX14" s="38"/>
      <c r="CY14" s="39"/>
      <c r="CZ14" s="37"/>
      <c r="DA14" s="39"/>
      <c r="DB14" s="24">
        <v>10</v>
      </c>
      <c r="DC14" s="96" t="str">
        <f t="shared" si="38"/>
        <v>月</v>
      </c>
      <c r="DF14" s="125"/>
      <c r="DG14" s="40"/>
      <c r="DH14" s="40"/>
      <c r="DI14" s="40"/>
      <c r="DJ14" s="40"/>
      <c r="DK14" s="40"/>
      <c r="DL14" s="40"/>
      <c r="DM14" s="40"/>
      <c r="DN14" s="40"/>
      <c r="DO14" s="40"/>
      <c r="DP14" s="40">
        <f t="shared" si="39"/>
        <v>0</v>
      </c>
      <c r="DQ14" s="172" t="str">
        <f t="shared" si="40"/>
        <v/>
      </c>
      <c r="DS14" s="189"/>
      <c r="DT14" s="190"/>
      <c r="DU14" s="190"/>
      <c r="DV14" s="191"/>
      <c r="DW14" s="41"/>
      <c r="DX14" s="42"/>
    </row>
    <row r="15" spans="1:132" ht="13.5" customHeight="1" x14ac:dyDescent="0.4">
      <c r="A15" s="104">
        <v>11</v>
      </c>
      <c r="B15" s="140" t="s">
        <v>91</v>
      </c>
      <c r="C15" s="164"/>
      <c r="D15" s="164"/>
      <c r="E15" s="24"/>
      <c r="F15" s="29"/>
      <c r="G15" s="25" t="str">
        <f>IF(SUM($F$5:F15)=0,"",SUM($F$5:F15))</f>
        <v/>
      </c>
      <c r="H15" s="43" t="str">
        <f t="shared" si="0"/>
        <v/>
      </c>
      <c r="I15" s="148" t="e">
        <f t="array" aca="1" ref="I15" ca="1">IF($A16="",$G15/($V15-$U$5+INDIRECT(IF(_xlfn.SHEET()&lt;6,"令和8年"&amp;_xlfn.SHEET()+7&amp;"月","令和9年"&amp;_xlfn.SHEET()-5&amp;"月")&amp;"!$U$5")),$G15/($V16-$U$5))</f>
        <v>#VALUE!</v>
      </c>
      <c r="J15" s="26" t="str">
        <f t="shared" si="1"/>
        <v/>
      </c>
      <c r="K15" s="27"/>
      <c r="L15" s="165">
        <f t="shared" si="2"/>
        <v>0</v>
      </c>
      <c r="M15" s="28" t="str">
        <f t="shared" si="3"/>
        <v/>
      </c>
      <c r="N15" s="166" t="str">
        <f t="shared" si="4"/>
        <v/>
      </c>
      <c r="O15" s="167" t="str">
        <f t="shared" si="5"/>
        <v/>
      </c>
      <c r="P15" s="168"/>
      <c r="Q15" s="169" t="str">
        <f t="shared" si="6"/>
        <v/>
      </c>
      <c r="R15" s="170">
        <v>32</v>
      </c>
      <c r="S15" s="171">
        <v>25</v>
      </c>
      <c r="T15" s="24" t="s">
        <v>109</v>
      </c>
      <c r="U15" s="29">
        <v>650044</v>
      </c>
      <c r="V15" s="30">
        <f t="shared" si="41"/>
        <v>4314100</v>
      </c>
      <c r="W15" s="27">
        <v>359</v>
      </c>
      <c r="X15" s="31">
        <f t="shared" si="7"/>
        <v>1810.707520891365</v>
      </c>
      <c r="Y15" s="29">
        <v>818636</v>
      </c>
      <c r="Z15" s="32">
        <f t="shared" si="42"/>
        <v>4280004</v>
      </c>
      <c r="AA15" s="33">
        <f t="shared" si="8"/>
        <v>1.0079663476950023</v>
      </c>
      <c r="AB15" s="158">
        <v>600000</v>
      </c>
      <c r="AC15" s="34">
        <f t="shared" si="43"/>
        <v>4400000</v>
      </c>
      <c r="AD15" s="158"/>
      <c r="AE15" s="25"/>
      <c r="AF15" s="25"/>
      <c r="AG15" s="25"/>
      <c r="AH15" s="25"/>
      <c r="AI15" s="25"/>
      <c r="AJ15" s="25"/>
      <c r="AK15" s="25"/>
      <c r="AL15" s="158"/>
      <c r="AM15" s="25"/>
      <c r="AN15" s="158"/>
      <c r="AO15" s="25"/>
      <c r="AP15" s="25"/>
      <c r="AQ15" s="158"/>
      <c r="AR15" s="35">
        <f t="shared" si="9"/>
        <v>0</v>
      </c>
      <c r="AS15" s="172" t="str">
        <f t="shared" si="10"/>
        <v/>
      </c>
      <c r="AT15" s="36">
        <f t="shared" si="11"/>
        <v>0</v>
      </c>
      <c r="AU15" s="173"/>
      <c r="AV15" s="82">
        <f t="shared" si="12"/>
        <v>11</v>
      </c>
      <c r="AW15" s="37"/>
      <c r="AX15" s="174" t="str">
        <f t="shared" si="13"/>
        <v/>
      </c>
      <c r="AY15" s="37"/>
      <c r="AZ15" s="174" t="str">
        <f t="shared" si="14"/>
        <v/>
      </c>
      <c r="BA15" s="37"/>
      <c r="BB15" s="174" t="str">
        <f t="shared" si="15"/>
        <v/>
      </c>
      <c r="BC15" s="37"/>
      <c r="BD15" s="174" t="str">
        <f t="shared" si="16"/>
        <v/>
      </c>
      <c r="BE15" s="37"/>
      <c r="BF15" s="174" t="str">
        <f t="shared" si="17"/>
        <v/>
      </c>
      <c r="BG15" s="37"/>
      <c r="BH15" s="174" t="str">
        <f t="shared" si="18"/>
        <v/>
      </c>
      <c r="BI15" s="37"/>
      <c r="BJ15" s="174" t="str">
        <f t="shared" si="19"/>
        <v/>
      </c>
      <c r="BK15" s="37"/>
      <c r="BL15" s="174" t="str">
        <f t="shared" si="20"/>
        <v/>
      </c>
      <c r="BM15" s="37"/>
      <c r="BN15" s="174" t="str">
        <f t="shared" si="21"/>
        <v/>
      </c>
      <c r="BO15" s="37"/>
      <c r="BP15" s="174" t="str">
        <f t="shared" si="22"/>
        <v/>
      </c>
      <c r="BQ15" s="37"/>
      <c r="BR15" s="174" t="str">
        <f t="shared" si="23"/>
        <v/>
      </c>
      <c r="BS15" s="37"/>
      <c r="BT15" s="174" t="str">
        <f t="shared" si="24"/>
        <v/>
      </c>
      <c r="BU15" s="37"/>
      <c r="BV15" s="174" t="str">
        <f t="shared" si="25"/>
        <v/>
      </c>
      <c r="BW15" s="37"/>
      <c r="BX15" s="174" t="str">
        <f t="shared" si="26"/>
        <v/>
      </c>
      <c r="BY15" s="37"/>
      <c r="BZ15" s="174" t="str">
        <f t="shared" si="27"/>
        <v/>
      </c>
      <c r="CA15" s="37"/>
      <c r="CB15" s="174" t="str">
        <f t="shared" si="28"/>
        <v/>
      </c>
      <c r="CC15" s="37"/>
      <c r="CD15" s="174" t="str">
        <f t="shared" si="29"/>
        <v/>
      </c>
      <c r="CE15" s="37"/>
      <c r="CF15" s="174" t="str">
        <f t="shared" si="30"/>
        <v/>
      </c>
      <c r="CG15" s="37"/>
      <c r="CH15" s="174" t="str">
        <f t="shared" si="31"/>
        <v/>
      </c>
      <c r="CI15" s="37"/>
      <c r="CJ15" s="174" t="str">
        <f t="shared" si="32"/>
        <v/>
      </c>
      <c r="CK15" s="37"/>
      <c r="CL15" s="174" t="str">
        <f t="shared" si="33"/>
        <v/>
      </c>
      <c r="CM15" s="37"/>
      <c r="CN15" s="174" t="str">
        <f t="shared" si="34"/>
        <v/>
      </c>
      <c r="CO15" s="37"/>
      <c r="CP15" s="174" t="str">
        <f t="shared" si="35"/>
        <v/>
      </c>
      <c r="CQ15" s="37"/>
      <c r="CR15" s="174" t="str">
        <f t="shared" si="36"/>
        <v/>
      </c>
      <c r="CS15" s="37"/>
      <c r="CT15" s="174" t="str">
        <f t="shared" si="37"/>
        <v/>
      </c>
      <c r="CU15" s="38"/>
      <c r="CV15" s="87"/>
      <c r="CW15" s="90"/>
      <c r="CX15" s="38"/>
      <c r="CY15" s="39"/>
      <c r="CZ15" s="37"/>
      <c r="DA15" s="39"/>
      <c r="DB15" s="24">
        <v>11</v>
      </c>
      <c r="DC15" s="96" t="str">
        <f t="shared" si="38"/>
        <v>火</v>
      </c>
      <c r="DF15" s="125"/>
      <c r="DG15" s="40"/>
      <c r="DH15" s="40"/>
      <c r="DI15" s="40"/>
      <c r="DJ15" s="40"/>
      <c r="DK15" s="40"/>
      <c r="DL15" s="40"/>
      <c r="DM15" s="40"/>
      <c r="DN15" s="40"/>
      <c r="DO15" s="40"/>
      <c r="DP15" s="40">
        <f t="shared" si="39"/>
        <v>0</v>
      </c>
      <c r="DQ15" s="172" t="str">
        <f t="shared" si="40"/>
        <v/>
      </c>
      <c r="DS15" s="189"/>
      <c r="DT15" s="190"/>
      <c r="DU15" s="190"/>
      <c r="DV15" s="191"/>
      <c r="DW15" s="41"/>
      <c r="DX15" s="42"/>
    </row>
    <row r="16" spans="1:132" ht="13.5" customHeight="1" x14ac:dyDescent="0.4">
      <c r="A16" s="104">
        <v>12</v>
      </c>
      <c r="B16" s="23" t="s">
        <v>83</v>
      </c>
      <c r="C16" s="164"/>
      <c r="D16" s="164"/>
      <c r="E16" s="24"/>
      <c r="F16" s="29"/>
      <c r="G16" s="25" t="str">
        <f>IF(SUM($F$5:F16)=0,"",SUM($F$5:F16))</f>
        <v/>
      </c>
      <c r="H16" s="43" t="str">
        <f t="shared" si="0"/>
        <v/>
      </c>
      <c r="I16" s="148" t="e">
        <f t="array" aca="1" ref="I16" ca="1">IF($A17="",$G16/($V16-$U$5+INDIRECT(IF(_xlfn.SHEET()&lt;6,"令和8年"&amp;_xlfn.SHEET()+7&amp;"月","令和9年"&amp;_xlfn.SHEET()-5&amp;"月")&amp;"!$U$5")),$G16/($V17-$U$5))</f>
        <v>#VALUE!</v>
      </c>
      <c r="J16" s="26" t="str">
        <f t="shared" si="1"/>
        <v/>
      </c>
      <c r="K16" s="27"/>
      <c r="L16" s="165">
        <f t="shared" si="2"/>
        <v>0</v>
      </c>
      <c r="M16" s="28" t="str">
        <f t="shared" si="3"/>
        <v/>
      </c>
      <c r="N16" s="166" t="str">
        <f t="shared" si="4"/>
        <v/>
      </c>
      <c r="O16" s="167" t="str">
        <f t="shared" si="5"/>
        <v/>
      </c>
      <c r="P16" s="168"/>
      <c r="Q16" s="169" t="str">
        <f t="shared" si="6"/>
        <v/>
      </c>
      <c r="R16" s="170">
        <v>33</v>
      </c>
      <c r="S16" s="171">
        <v>26</v>
      </c>
      <c r="T16" s="24" t="s">
        <v>110</v>
      </c>
      <c r="U16" s="29">
        <v>466741</v>
      </c>
      <c r="V16" s="30">
        <f t="shared" si="41"/>
        <v>4780841</v>
      </c>
      <c r="W16" s="27">
        <v>308</v>
      </c>
      <c r="X16" s="31">
        <f t="shared" si="7"/>
        <v>1515.3928571428571</v>
      </c>
      <c r="Y16" s="29">
        <v>689849</v>
      </c>
      <c r="Z16" s="32">
        <f t="shared" si="42"/>
        <v>4969853</v>
      </c>
      <c r="AA16" s="33">
        <f t="shared" si="8"/>
        <v>0.96196829161747843</v>
      </c>
      <c r="AB16" s="158">
        <v>400000</v>
      </c>
      <c r="AC16" s="34">
        <f t="shared" si="43"/>
        <v>4800000</v>
      </c>
      <c r="AD16" s="158"/>
      <c r="AE16" s="25"/>
      <c r="AF16" s="25"/>
      <c r="AG16" s="25"/>
      <c r="AH16" s="25"/>
      <c r="AI16" s="25"/>
      <c r="AJ16" s="25"/>
      <c r="AK16" s="25"/>
      <c r="AL16" s="158"/>
      <c r="AM16" s="25"/>
      <c r="AN16" s="158"/>
      <c r="AO16" s="25"/>
      <c r="AP16" s="25"/>
      <c r="AQ16" s="158"/>
      <c r="AR16" s="35">
        <f t="shared" si="9"/>
        <v>0</v>
      </c>
      <c r="AS16" s="172" t="str">
        <f t="shared" si="10"/>
        <v/>
      </c>
      <c r="AT16" s="36">
        <f t="shared" si="11"/>
        <v>0</v>
      </c>
      <c r="AU16" s="173"/>
      <c r="AV16" s="82">
        <f t="shared" si="12"/>
        <v>12</v>
      </c>
      <c r="AW16" s="37"/>
      <c r="AX16" s="174" t="str">
        <f t="shared" si="13"/>
        <v/>
      </c>
      <c r="AY16" s="37"/>
      <c r="AZ16" s="174" t="str">
        <f t="shared" si="14"/>
        <v/>
      </c>
      <c r="BA16" s="37"/>
      <c r="BB16" s="174" t="str">
        <f t="shared" si="15"/>
        <v/>
      </c>
      <c r="BC16" s="37"/>
      <c r="BD16" s="174" t="str">
        <f t="shared" si="16"/>
        <v/>
      </c>
      <c r="BE16" s="37"/>
      <c r="BF16" s="174" t="str">
        <f t="shared" si="17"/>
        <v/>
      </c>
      <c r="BG16" s="37"/>
      <c r="BH16" s="174" t="str">
        <f t="shared" si="18"/>
        <v/>
      </c>
      <c r="BI16" s="37"/>
      <c r="BJ16" s="174" t="str">
        <f t="shared" si="19"/>
        <v/>
      </c>
      <c r="BK16" s="37"/>
      <c r="BL16" s="174" t="str">
        <f t="shared" si="20"/>
        <v/>
      </c>
      <c r="BM16" s="37"/>
      <c r="BN16" s="174" t="str">
        <f t="shared" si="21"/>
        <v/>
      </c>
      <c r="BO16" s="37"/>
      <c r="BP16" s="174" t="str">
        <f t="shared" si="22"/>
        <v/>
      </c>
      <c r="BQ16" s="37"/>
      <c r="BR16" s="174" t="str">
        <f t="shared" si="23"/>
        <v/>
      </c>
      <c r="BS16" s="37"/>
      <c r="BT16" s="174" t="str">
        <f t="shared" si="24"/>
        <v/>
      </c>
      <c r="BU16" s="37"/>
      <c r="BV16" s="174" t="str">
        <f t="shared" si="25"/>
        <v/>
      </c>
      <c r="BW16" s="37"/>
      <c r="BX16" s="174" t="str">
        <f t="shared" si="26"/>
        <v/>
      </c>
      <c r="BY16" s="37"/>
      <c r="BZ16" s="174" t="str">
        <f t="shared" si="27"/>
        <v/>
      </c>
      <c r="CA16" s="37"/>
      <c r="CB16" s="174" t="str">
        <f t="shared" si="28"/>
        <v/>
      </c>
      <c r="CC16" s="37"/>
      <c r="CD16" s="174" t="str">
        <f t="shared" si="29"/>
        <v/>
      </c>
      <c r="CE16" s="37"/>
      <c r="CF16" s="174" t="str">
        <f t="shared" si="30"/>
        <v/>
      </c>
      <c r="CG16" s="37"/>
      <c r="CH16" s="174" t="str">
        <f t="shared" si="31"/>
        <v/>
      </c>
      <c r="CI16" s="37"/>
      <c r="CJ16" s="174" t="str">
        <f t="shared" si="32"/>
        <v/>
      </c>
      <c r="CK16" s="37"/>
      <c r="CL16" s="174" t="str">
        <f t="shared" si="33"/>
        <v/>
      </c>
      <c r="CM16" s="37"/>
      <c r="CN16" s="174" t="str">
        <f t="shared" si="34"/>
        <v/>
      </c>
      <c r="CO16" s="37"/>
      <c r="CP16" s="174" t="str">
        <f t="shared" si="35"/>
        <v/>
      </c>
      <c r="CQ16" s="37"/>
      <c r="CR16" s="174" t="str">
        <f t="shared" si="36"/>
        <v/>
      </c>
      <c r="CS16" s="37"/>
      <c r="CT16" s="174" t="str">
        <f t="shared" si="37"/>
        <v/>
      </c>
      <c r="CU16" s="38"/>
      <c r="CV16" s="87"/>
      <c r="CW16" s="90"/>
      <c r="CX16" s="38"/>
      <c r="CY16" s="39"/>
      <c r="CZ16" s="37"/>
      <c r="DA16" s="39"/>
      <c r="DB16" s="24">
        <v>12</v>
      </c>
      <c r="DC16" s="96" t="str">
        <f t="shared" si="38"/>
        <v>水</v>
      </c>
      <c r="DF16" s="125"/>
      <c r="DG16" s="40"/>
      <c r="DH16" s="40"/>
      <c r="DI16" s="40"/>
      <c r="DJ16" s="40"/>
      <c r="DK16" s="40"/>
      <c r="DL16" s="40"/>
      <c r="DM16" s="40"/>
      <c r="DN16" s="40"/>
      <c r="DO16" s="40"/>
      <c r="DP16" s="40">
        <f t="shared" si="39"/>
        <v>0</v>
      </c>
      <c r="DQ16" s="172" t="str">
        <f t="shared" si="40"/>
        <v/>
      </c>
      <c r="DS16" s="189"/>
      <c r="DT16" s="190"/>
      <c r="DU16" s="190"/>
      <c r="DV16" s="191"/>
      <c r="DW16" s="138"/>
      <c r="DX16" s="42"/>
    </row>
    <row r="17" spans="1:128" ht="13.5" customHeight="1" x14ac:dyDescent="0.4">
      <c r="A17" s="104">
        <v>13</v>
      </c>
      <c r="B17" s="23" t="s">
        <v>85</v>
      </c>
      <c r="C17" s="164"/>
      <c r="D17" s="164"/>
      <c r="E17" s="24"/>
      <c r="F17" s="29"/>
      <c r="G17" s="25" t="str">
        <f>IF(SUM($F$5:F17)=0,"",SUM($F$5:F17))</f>
        <v/>
      </c>
      <c r="H17" s="43" t="str">
        <f t="shared" si="0"/>
        <v/>
      </c>
      <c r="I17" s="148" t="e">
        <f t="array" aca="1" ref="I17" ca="1">IF($A18="",$G17/($V17-$U$5+INDIRECT(IF(_xlfn.SHEET()&lt;6,"令和8年"&amp;_xlfn.SHEET()+7&amp;"月","令和9年"&amp;_xlfn.SHEET()-5&amp;"月")&amp;"!$U$5")),$G17/($V18-$U$5))</f>
        <v>#VALUE!</v>
      </c>
      <c r="J17" s="26" t="str">
        <f t="shared" si="1"/>
        <v/>
      </c>
      <c r="K17" s="27"/>
      <c r="L17" s="165">
        <f t="shared" si="2"/>
        <v>0</v>
      </c>
      <c r="M17" s="28" t="str">
        <f t="shared" si="3"/>
        <v/>
      </c>
      <c r="N17" s="166" t="str">
        <f t="shared" si="4"/>
        <v/>
      </c>
      <c r="O17" s="167" t="str">
        <f t="shared" si="5"/>
        <v/>
      </c>
      <c r="P17" s="168"/>
      <c r="Q17" s="169" t="str">
        <f t="shared" si="6"/>
        <v/>
      </c>
      <c r="R17" s="170">
        <v>34</v>
      </c>
      <c r="S17" s="171">
        <v>26</v>
      </c>
      <c r="T17" s="24" t="s">
        <v>106</v>
      </c>
      <c r="U17" s="29">
        <v>477449</v>
      </c>
      <c r="V17" s="30">
        <f t="shared" si="41"/>
        <v>5258290</v>
      </c>
      <c r="W17" s="27">
        <v>284</v>
      </c>
      <c r="X17" s="31">
        <f t="shared" si="7"/>
        <v>1681.1584507042253</v>
      </c>
      <c r="Y17" s="29">
        <v>602087</v>
      </c>
      <c r="Z17" s="32">
        <f t="shared" si="42"/>
        <v>5571940</v>
      </c>
      <c r="AA17" s="33">
        <f t="shared" si="8"/>
        <v>0.94370901337774638</v>
      </c>
      <c r="AB17" s="158">
        <v>400000</v>
      </c>
      <c r="AC17" s="34">
        <f t="shared" si="43"/>
        <v>5200000</v>
      </c>
      <c r="AD17" s="158"/>
      <c r="AE17" s="25"/>
      <c r="AF17" s="25"/>
      <c r="AG17" s="25"/>
      <c r="AH17" s="25"/>
      <c r="AI17" s="25"/>
      <c r="AJ17" s="25"/>
      <c r="AK17" s="25"/>
      <c r="AL17" s="158"/>
      <c r="AM17" s="25"/>
      <c r="AN17" s="158"/>
      <c r="AO17" s="25"/>
      <c r="AP17" s="25"/>
      <c r="AQ17" s="158"/>
      <c r="AR17" s="35">
        <f t="shared" si="9"/>
        <v>0</v>
      </c>
      <c r="AS17" s="172" t="str">
        <f t="shared" si="10"/>
        <v/>
      </c>
      <c r="AT17" s="36">
        <f t="shared" si="11"/>
        <v>0</v>
      </c>
      <c r="AU17" s="173"/>
      <c r="AV17" s="82">
        <f t="shared" si="12"/>
        <v>13</v>
      </c>
      <c r="AW17" s="37"/>
      <c r="AX17" s="174" t="str">
        <f t="shared" si="13"/>
        <v/>
      </c>
      <c r="AY17" s="37"/>
      <c r="AZ17" s="174" t="str">
        <f t="shared" si="14"/>
        <v/>
      </c>
      <c r="BA17" s="37"/>
      <c r="BB17" s="174" t="str">
        <f t="shared" si="15"/>
        <v/>
      </c>
      <c r="BC17" s="37"/>
      <c r="BD17" s="174" t="str">
        <f t="shared" si="16"/>
        <v/>
      </c>
      <c r="BE17" s="37"/>
      <c r="BF17" s="174" t="str">
        <f t="shared" si="17"/>
        <v/>
      </c>
      <c r="BG17" s="37"/>
      <c r="BH17" s="174" t="str">
        <f t="shared" si="18"/>
        <v/>
      </c>
      <c r="BI17" s="37"/>
      <c r="BJ17" s="174" t="str">
        <f t="shared" si="19"/>
        <v/>
      </c>
      <c r="BK17" s="37"/>
      <c r="BL17" s="174" t="str">
        <f t="shared" si="20"/>
        <v/>
      </c>
      <c r="BM17" s="37"/>
      <c r="BN17" s="174" t="str">
        <f t="shared" si="21"/>
        <v/>
      </c>
      <c r="BO17" s="37"/>
      <c r="BP17" s="174" t="str">
        <f t="shared" si="22"/>
        <v/>
      </c>
      <c r="BQ17" s="37"/>
      <c r="BR17" s="174" t="str">
        <f t="shared" si="23"/>
        <v/>
      </c>
      <c r="BS17" s="37"/>
      <c r="BT17" s="174" t="str">
        <f t="shared" si="24"/>
        <v/>
      </c>
      <c r="BU17" s="37"/>
      <c r="BV17" s="174" t="str">
        <f t="shared" si="25"/>
        <v/>
      </c>
      <c r="BW17" s="37"/>
      <c r="BX17" s="174" t="str">
        <f t="shared" si="26"/>
        <v/>
      </c>
      <c r="BY17" s="37"/>
      <c r="BZ17" s="174" t="str">
        <f t="shared" si="27"/>
        <v/>
      </c>
      <c r="CA17" s="37"/>
      <c r="CB17" s="174" t="str">
        <f t="shared" si="28"/>
        <v/>
      </c>
      <c r="CC17" s="37"/>
      <c r="CD17" s="174" t="str">
        <f t="shared" si="29"/>
        <v/>
      </c>
      <c r="CE17" s="37"/>
      <c r="CF17" s="174" t="str">
        <f t="shared" si="30"/>
        <v/>
      </c>
      <c r="CG17" s="37"/>
      <c r="CH17" s="174" t="str">
        <f t="shared" si="31"/>
        <v/>
      </c>
      <c r="CI17" s="37"/>
      <c r="CJ17" s="174" t="str">
        <f t="shared" si="32"/>
        <v/>
      </c>
      <c r="CK17" s="37"/>
      <c r="CL17" s="174" t="str">
        <f t="shared" si="33"/>
        <v/>
      </c>
      <c r="CM17" s="37"/>
      <c r="CN17" s="174" t="str">
        <f t="shared" si="34"/>
        <v/>
      </c>
      <c r="CO17" s="37"/>
      <c r="CP17" s="174" t="str">
        <f t="shared" si="35"/>
        <v/>
      </c>
      <c r="CQ17" s="37"/>
      <c r="CR17" s="174" t="str">
        <f t="shared" si="36"/>
        <v/>
      </c>
      <c r="CS17" s="37"/>
      <c r="CT17" s="174" t="str">
        <f t="shared" si="37"/>
        <v/>
      </c>
      <c r="CU17" s="38"/>
      <c r="CV17" s="87"/>
      <c r="CW17" s="90"/>
      <c r="CX17" s="38"/>
      <c r="CY17" s="39"/>
      <c r="CZ17" s="37"/>
      <c r="DA17" s="39"/>
      <c r="DB17" s="24">
        <v>13</v>
      </c>
      <c r="DC17" s="96" t="str">
        <f t="shared" si="38"/>
        <v>木</v>
      </c>
      <c r="DF17" s="125"/>
      <c r="DG17" s="40"/>
      <c r="DH17" s="40"/>
      <c r="DI17" s="40"/>
      <c r="DJ17" s="40"/>
      <c r="DK17" s="40"/>
      <c r="DL17" s="40"/>
      <c r="DM17" s="40"/>
      <c r="DN17" s="40"/>
      <c r="DO17" s="40"/>
      <c r="DP17" s="40">
        <f t="shared" si="39"/>
        <v>0</v>
      </c>
      <c r="DQ17" s="172" t="str">
        <f t="shared" si="40"/>
        <v/>
      </c>
      <c r="DS17" s="189"/>
      <c r="DT17" s="190"/>
      <c r="DU17" s="190"/>
      <c r="DV17" s="191"/>
      <c r="DW17" s="41"/>
      <c r="DX17" s="42"/>
    </row>
    <row r="18" spans="1:128" ht="13.5" customHeight="1" x14ac:dyDescent="0.4">
      <c r="A18" s="104">
        <v>14</v>
      </c>
      <c r="B18" s="23" t="s">
        <v>86</v>
      </c>
      <c r="C18" s="164"/>
      <c r="D18" s="164"/>
      <c r="E18" s="24"/>
      <c r="F18" s="29"/>
      <c r="G18" s="25" t="str">
        <f>IF(SUM($F$5:F18)=0,"",SUM($F$5:F18))</f>
        <v/>
      </c>
      <c r="H18" s="43" t="str">
        <f t="shared" si="0"/>
        <v/>
      </c>
      <c r="I18" s="148" t="e">
        <f t="array" aca="1" ref="I18" ca="1">IF($A19="",$G18/($V18-$U$5+INDIRECT(IF(_xlfn.SHEET()&lt;6,"令和8年"&amp;_xlfn.SHEET()+7&amp;"月","令和9年"&amp;_xlfn.SHEET()-5&amp;"月")&amp;"!$U$5")),$G18/($V19-$U$5))</f>
        <v>#VALUE!</v>
      </c>
      <c r="J18" s="26" t="str">
        <f t="shared" si="1"/>
        <v/>
      </c>
      <c r="K18" s="27"/>
      <c r="L18" s="165">
        <f t="shared" si="2"/>
        <v>0</v>
      </c>
      <c r="M18" s="28" t="str">
        <f t="shared" si="3"/>
        <v/>
      </c>
      <c r="N18" s="166" t="str">
        <f t="shared" si="4"/>
        <v/>
      </c>
      <c r="O18" s="167" t="str">
        <f t="shared" si="5"/>
        <v/>
      </c>
      <c r="P18" s="168"/>
      <c r="Q18" s="169" t="str">
        <f t="shared" si="6"/>
        <v/>
      </c>
      <c r="R18" s="170">
        <v>36</v>
      </c>
      <c r="S18" s="171">
        <v>26</v>
      </c>
      <c r="T18" s="24" t="s">
        <v>106</v>
      </c>
      <c r="U18" s="29">
        <v>433638</v>
      </c>
      <c r="V18" s="30">
        <f t="shared" si="41"/>
        <v>5691928</v>
      </c>
      <c r="W18" s="27">
        <v>247</v>
      </c>
      <c r="X18" s="31">
        <f t="shared" si="7"/>
        <v>1755.6194331983806</v>
      </c>
      <c r="Y18" s="29">
        <v>688484</v>
      </c>
      <c r="Z18" s="32">
        <f t="shared" si="42"/>
        <v>6260424</v>
      </c>
      <c r="AA18" s="33">
        <f t="shared" si="8"/>
        <v>0.90919209305951165</v>
      </c>
      <c r="AB18" s="158">
        <v>400000</v>
      </c>
      <c r="AC18" s="34">
        <f t="shared" si="43"/>
        <v>5600000</v>
      </c>
      <c r="AD18" s="158"/>
      <c r="AE18" s="25"/>
      <c r="AF18" s="25"/>
      <c r="AG18" s="25"/>
      <c r="AH18" s="25"/>
      <c r="AI18" s="25"/>
      <c r="AJ18" s="25"/>
      <c r="AK18" s="25"/>
      <c r="AL18" s="158"/>
      <c r="AM18" s="25"/>
      <c r="AN18" s="158"/>
      <c r="AO18" s="25"/>
      <c r="AP18" s="25"/>
      <c r="AQ18" s="158"/>
      <c r="AR18" s="35">
        <f t="shared" si="9"/>
        <v>0</v>
      </c>
      <c r="AS18" s="172" t="str">
        <f t="shared" si="10"/>
        <v/>
      </c>
      <c r="AT18" s="36">
        <f t="shared" si="11"/>
        <v>0</v>
      </c>
      <c r="AU18" s="173"/>
      <c r="AV18" s="82">
        <f t="shared" si="12"/>
        <v>14</v>
      </c>
      <c r="AW18" s="37"/>
      <c r="AX18" s="174" t="str">
        <f t="shared" si="13"/>
        <v/>
      </c>
      <c r="AY18" s="37"/>
      <c r="AZ18" s="174" t="str">
        <f t="shared" si="14"/>
        <v/>
      </c>
      <c r="BA18" s="37"/>
      <c r="BB18" s="174" t="str">
        <f t="shared" si="15"/>
        <v/>
      </c>
      <c r="BC18" s="37"/>
      <c r="BD18" s="174" t="str">
        <f t="shared" si="16"/>
        <v/>
      </c>
      <c r="BE18" s="37"/>
      <c r="BF18" s="174" t="str">
        <f t="shared" si="17"/>
        <v/>
      </c>
      <c r="BG18" s="37"/>
      <c r="BH18" s="174" t="str">
        <f t="shared" si="18"/>
        <v/>
      </c>
      <c r="BI18" s="37"/>
      <c r="BJ18" s="174" t="str">
        <f t="shared" si="19"/>
        <v/>
      </c>
      <c r="BK18" s="37"/>
      <c r="BL18" s="174" t="str">
        <f t="shared" si="20"/>
        <v/>
      </c>
      <c r="BM18" s="37"/>
      <c r="BN18" s="174" t="str">
        <f t="shared" si="21"/>
        <v/>
      </c>
      <c r="BO18" s="37"/>
      <c r="BP18" s="174" t="str">
        <f t="shared" si="22"/>
        <v/>
      </c>
      <c r="BQ18" s="37"/>
      <c r="BR18" s="174" t="str">
        <f t="shared" si="23"/>
        <v/>
      </c>
      <c r="BS18" s="37"/>
      <c r="BT18" s="174" t="str">
        <f t="shared" si="24"/>
        <v/>
      </c>
      <c r="BU18" s="37"/>
      <c r="BV18" s="174" t="str">
        <f t="shared" si="25"/>
        <v/>
      </c>
      <c r="BW18" s="37"/>
      <c r="BX18" s="174" t="str">
        <f t="shared" si="26"/>
        <v/>
      </c>
      <c r="BY18" s="37"/>
      <c r="BZ18" s="174" t="str">
        <f t="shared" si="27"/>
        <v/>
      </c>
      <c r="CA18" s="37"/>
      <c r="CB18" s="174" t="str">
        <f t="shared" si="28"/>
        <v/>
      </c>
      <c r="CC18" s="37"/>
      <c r="CD18" s="174" t="str">
        <f t="shared" si="29"/>
        <v/>
      </c>
      <c r="CE18" s="37"/>
      <c r="CF18" s="174" t="str">
        <f t="shared" si="30"/>
        <v/>
      </c>
      <c r="CG18" s="37"/>
      <c r="CH18" s="174" t="str">
        <f t="shared" si="31"/>
        <v/>
      </c>
      <c r="CI18" s="37"/>
      <c r="CJ18" s="174" t="str">
        <f t="shared" si="32"/>
        <v/>
      </c>
      <c r="CK18" s="37"/>
      <c r="CL18" s="174" t="str">
        <f t="shared" si="33"/>
        <v/>
      </c>
      <c r="CM18" s="37"/>
      <c r="CN18" s="174" t="str">
        <f t="shared" si="34"/>
        <v/>
      </c>
      <c r="CO18" s="37"/>
      <c r="CP18" s="174" t="str">
        <f t="shared" si="35"/>
        <v/>
      </c>
      <c r="CQ18" s="37"/>
      <c r="CR18" s="174" t="str">
        <f t="shared" si="36"/>
        <v/>
      </c>
      <c r="CS18" s="37"/>
      <c r="CT18" s="174" t="str">
        <f t="shared" si="37"/>
        <v/>
      </c>
      <c r="CU18" s="38"/>
      <c r="CV18" s="87"/>
      <c r="CW18" s="90"/>
      <c r="CX18" s="38"/>
      <c r="CY18" s="39"/>
      <c r="CZ18" s="37"/>
      <c r="DA18" s="39"/>
      <c r="DB18" s="24">
        <v>14</v>
      </c>
      <c r="DC18" s="96" t="str">
        <f t="shared" si="38"/>
        <v>金</v>
      </c>
      <c r="DF18" s="125"/>
      <c r="DG18" s="40"/>
      <c r="DH18" s="40"/>
      <c r="DI18" s="40"/>
      <c r="DJ18" s="40"/>
      <c r="DK18" s="40"/>
      <c r="DL18" s="40"/>
      <c r="DM18" s="40"/>
      <c r="DN18" s="40"/>
      <c r="DO18" s="40"/>
      <c r="DP18" s="40">
        <f t="shared" si="39"/>
        <v>0</v>
      </c>
      <c r="DQ18" s="172" t="str">
        <f t="shared" si="40"/>
        <v/>
      </c>
      <c r="DS18" s="189"/>
      <c r="DT18" s="190"/>
      <c r="DU18" s="190"/>
      <c r="DV18" s="191"/>
      <c r="DW18" s="41"/>
      <c r="DX18" s="42"/>
    </row>
    <row r="19" spans="1:128" ht="13.5" customHeight="1" x14ac:dyDescent="0.4">
      <c r="A19" s="104">
        <v>15</v>
      </c>
      <c r="B19" s="23" t="s">
        <v>88</v>
      </c>
      <c r="C19" s="164"/>
      <c r="D19" s="164"/>
      <c r="E19" s="24"/>
      <c r="F19" s="29"/>
      <c r="G19" s="25" t="str">
        <f>IF(SUM($F$5:F19)=0,"",SUM($F$5:F19))</f>
        <v/>
      </c>
      <c r="H19" s="43" t="str">
        <f t="shared" si="0"/>
        <v/>
      </c>
      <c r="I19" s="148" t="e">
        <f t="array" aca="1" ref="I19" ca="1">IF($A20="",$G19/($V19-$U$5+INDIRECT(IF(_xlfn.SHEET()&lt;6,"令和8年"&amp;_xlfn.SHEET()+7&amp;"月","令和9年"&amp;_xlfn.SHEET()-5&amp;"月")&amp;"!$U$5")),$G19/($V20-$U$5))</f>
        <v>#VALUE!</v>
      </c>
      <c r="J19" s="26" t="str">
        <f t="shared" si="1"/>
        <v/>
      </c>
      <c r="K19" s="27"/>
      <c r="L19" s="165">
        <f t="shared" si="2"/>
        <v>0</v>
      </c>
      <c r="M19" s="28" t="str">
        <f t="shared" si="3"/>
        <v/>
      </c>
      <c r="N19" s="166" t="str">
        <f t="shared" si="4"/>
        <v/>
      </c>
      <c r="O19" s="167" t="str">
        <f t="shared" si="5"/>
        <v/>
      </c>
      <c r="P19" s="168"/>
      <c r="Q19" s="169" t="str">
        <f t="shared" si="6"/>
        <v/>
      </c>
      <c r="R19" s="170">
        <v>36</v>
      </c>
      <c r="S19" s="171">
        <v>27</v>
      </c>
      <c r="T19" s="24" t="s">
        <v>106</v>
      </c>
      <c r="U19" s="29">
        <v>563109</v>
      </c>
      <c r="V19" s="30">
        <f t="shared" si="41"/>
        <v>6255037</v>
      </c>
      <c r="W19" s="27">
        <v>259</v>
      </c>
      <c r="X19" s="31">
        <f t="shared" si="7"/>
        <v>2174.166023166023</v>
      </c>
      <c r="Y19" s="29">
        <v>688656</v>
      </c>
      <c r="Z19" s="32">
        <f t="shared" si="42"/>
        <v>6949080</v>
      </c>
      <c r="AA19" s="33">
        <f t="shared" si="8"/>
        <v>0.90012447690917363</v>
      </c>
      <c r="AB19" s="158">
        <v>700000</v>
      </c>
      <c r="AC19" s="34">
        <f t="shared" si="43"/>
        <v>6300000</v>
      </c>
      <c r="AD19" s="158"/>
      <c r="AE19" s="25"/>
      <c r="AF19" s="25"/>
      <c r="AG19" s="25"/>
      <c r="AH19" s="25"/>
      <c r="AI19" s="25"/>
      <c r="AJ19" s="25"/>
      <c r="AK19" s="25"/>
      <c r="AL19" s="158"/>
      <c r="AM19" s="25"/>
      <c r="AN19" s="158"/>
      <c r="AO19" s="25"/>
      <c r="AP19" s="25"/>
      <c r="AQ19" s="158"/>
      <c r="AR19" s="35">
        <f t="shared" si="9"/>
        <v>0</v>
      </c>
      <c r="AS19" s="172" t="str">
        <f t="shared" si="10"/>
        <v/>
      </c>
      <c r="AT19" s="36">
        <f t="shared" si="11"/>
        <v>0</v>
      </c>
      <c r="AU19" s="173"/>
      <c r="AV19" s="82">
        <f t="shared" si="12"/>
        <v>15</v>
      </c>
      <c r="AW19" s="37"/>
      <c r="AX19" s="174" t="str">
        <f t="shared" si="13"/>
        <v/>
      </c>
      <c r="AY19" s="37"/>
      <c r="AZ19" s="174" t="str">
        <f t="shared" si="14"/>
        <v/>
      </c>
      <c r="BA19" s="37"/>
      <c r="BB19" s="174" t="str">
        <f t="shared" si="15"/>
        <v/>
      </c>
      <c r="BC19" s="37"/>
      <c r="BD19" s="174" t="str">
        <f t="shared" si="16"/>
        <v/>
      </c>
      <c r="BE19" s="37"/>
      <c r="BF19" s="174" t="str">
        <f t="shared" si="17"/>
        <v/>
      </c>
      <c r="BG19" s="37"/>
      <c r="BH19" s="174" t="str">
        <f t="shared" si="18"/>
        <v/>
      </c>
      <c r="BI19" s="37"/>
      <c r="BJ19" s="174" t="str">
        <f t="shared" si="19"/>
        <v/>
      </c>
      <c r="BK19" s="37"/>
      <c r="BL19" s="174" t="str">
        <f t="shared" si="20"/>
        <v/>
      </c>
      <c r="BM19" s="37"/>
      <c r="BN19" s="174" t="str">
        <f t="shared" si="21"/>
        <v/>
      </c>
      <c r="BO19" s="37"/>
      <c r="BP19" s="174" t="str">
        <f t="shared" si="22"/>
        <v/>
      </c>
      <c r="BQ19" s="37"/>
      <c r="BR19" s="174" t="str">
        <f t="shared" si="23"/>
        <v/>
      </c>
      <c r="BS19" s="37"/>
      <c r="BT19" s="174" t="str">
        <f t="shared" si="24"/>
        <v/>
      </c>
      <c r="BU19" s="37"/>
      <c r="BV19" s="174" t="str">
        <f t="shared" si="25"/>
        <v/>
      </c>
      <c r="BW19" s="37"/>
      <c r="BX19" s="174" t="str">
        <f t="shared" si="26"/>
        <v/>
      </c>
      <c r="BY19" s="37"/>
      <c r="BZ19" s="174" t="str">
        <f t="shared" si="27"/>
        <v/>
      </c>
      <c r="CA19" s="37"/>
      <c r="CB19" s="174" t="str">
        <f t="shared" si="28"/>
        <v/>
      </c>
      <c r="CC19" s="37"/>
      <c r="CD19" s="174" t="str">
        <f t="shared" si="29"/>
        <v/>
      </c>
      <c r="CE19" s="37"/>
      <c r="CF19" s="174" t="str">
        <f t="shared" si="30"/>
        <v/>
      </c>
      <c r="CG19" s="37"/>
      <c r="CH19" s="174" t="str">
        <f t="shared" si="31"/>
        <v/>
      </c>
      <c r="CI19" s="37"/>
      <c r="CJ19" s="174" t="str">
        <f t="shared" si="32"/>
        <v/>
      </c>
      <c r="CK19" s="37"/>
      <c r="CL19" s="174" t="str">
        <f t="shared" si="33"/>
        <v/>
      </c>
      <c r="CM19" s="37"/>
      <c r="CN19" s="174" t="str">
        <f t="shared" si="34"/>
        <v/>
      </c>
      <c r="CO19" s="37"/>
      <c r="CP19" s="174" t="str">
        <f t="shared" si="35"/>
        <v/>
      </c>
      <c r="CQ19" s="37"/>
      <c r="CR19" s="174" t="str">
        <f t="shared" si="36"/>
        <v/>
      </c>
      <c r="CS19" s="37"/>
      <c r="CT19" s="174" t="str">
        <f t="shared" si="37"/>
        <v/>
      </c>
      <c r="CU19" s="38"/>
      <c r="CV19" s="87"/>
      <c r="CW19" s="90"/>
      <c r="CX19" s="38"/>
      <c r="CY19" s="39"/>
      <c r="CZ19" s="37"/>
      <c r="DA19" s="39"/>
      <c r="DB19" s="24">
        <v>15</v>
      </c>
      <c r="DC19" s="96" t="str">
        <f t="shared" si="38"/>
        <v>土</v>
      </c>
      <c r="DF19" s="125"/>
      <c r="DG19" s="40"/>
      <c r="DH19" s="40"/>
      <c r="DI19" s="40"/>
      <c r="DJ19" s="40"/>
      <c r="DK19" s="40"/>
      <c r="DL19" s="40"/>
      <c r="DM19" s="40"/>
      <c r="DN19" s="40"/>
      <c r="DO19" s="40"/>
      <c r="DP19" s="40">
        <f t="shared" si="39"/>
        <v>0</v>
      </c>
      <c r="DQ19" s="172" t="str">
        <f t="shared" si="40"/>
        <v/>
      </c>
      <c r="DS19" s="189"/>
      <c r="DT19" s="190"/>
      <c r="DU19" s="190"/>
      <c r="DV19" s="191"/>
      <c r="DW19" s="138"/>
      <c r="DX19" s="42"/>
    </row>
    <row r="20" spans="1:128" ht="13.5" customHeight="1" x14ac:dyDescent="0.4">
      <c r="A20" s="104">
        <v>16</v>
      </c>
      <c r="B20" s="23" t="s">
        <v>89</v>
      </c>
      <c r="C20" s="164"/>
      <c r="D20" s="164"/>
      <c r="E20" s="24"/>
      <c r="F20" s="29"/>
      <c r="G20" s="25" t="str">
        <f>IF(SUM($F$5:F20)=0,"",SUM($F$5:F20))</f>
        <v/>
      </c>
      <c r="H20" s="43" t="str">
        <f t="shared" si="0"/>
        <v/>
      </c>
      <c r="I20" s="148" t="e">
        <f t="array" aca="1" ref="I20" ca="1">IF($A21="",$G20/($V20-$U$5+INDIRECT(IF(_xlfn.SHEET()&lt;6,"令和8年"&amp;_xlfn.SHEET()+7&amp;"月","令和9年"&amp;_xlfn.SHEET()-5&amp;"月")&amp;"!$U$5")),$G20/($V21-$U$5))</f>
        <v>#VALUE!</v>
      </c>
      <c r="J20" s="26" t="str">
        <f t="shared" si="1"/>
        <v/>
      </c>
      <c r="K20" s="27"/>
      <c r="L20" s="165">
        <f t="shared" si="2"/>
        <v>0</v>
      </c>
      <c r="M20" s="28" t="str">
        <f t="shared" si="3"/>
        <v/>
      </c>
      <c r="N20" s="166" t="str">
        <f t="shared" si="4"/>
        <v/>
      </c>
      <c r="O20" s="167" t="str">
        <f t="shared" si="5"/>
        <v/>
      </c>
      <c r="P20" s="168"/>
      <c r="Q20" s="169" t="str">
        <f t="shared" si="6"/>
        <v/>
      </c>
      <c r="R20" s="170">
        <v>37</v>
      </c>
      <c r="S20" s="171">
        <v>27</v>
      </c>
      <c r="T20" s="24" t="s">
        <v>106</v>
      </c>
      <c r="U20" s="29">
        <v>485780</v>
      </c>
      <c r="V20" s="30">
        <f t="shared" si="41"/>
        <v>6740817</v>
      </c>
      <c r="W20" s="27">
        <v>272</v>
      </c>
      <c r="X20" s="31">
        <f t="shared" si="7"/>
        <v>1785.9558823529412</v>
      </c>
      <c r="Y20" s="29">
        <v>550172</v>
      </c>
      <c r="Z20" s="32">
        <f t="shared" si="42"/>
        <v>7499252</v>
      </c>
      <c r="AA20" s="33">
        <f t="shared" si="8"/>
        <v>0.89886524682728353</v>
      </c>
      <c r="AB20" s="158">
        <v>700000</v>
      </c>
      <c r="AC20" s="34">
        <f t="shared" si="43"/>
        <v>7000000</v>
      </c>
      <c r="AD20" s="158"/>
      <c r="AE20" s="25"/>
      <c r="AF20" s="25"/>
      <c r="AG20" s="25"/>
      <c r="AH20" s="25"/>
      <c r="AI20" s="25"/>
      <c r="AJ20" s="25"/>
      <c r="AK20" s="25"/>
      <c r="AL20" s="158"/>
      <c r="AM20" s="25"/>
      <c r="AN20" s="158"/>
      <c r="AO20" s="25"/>
      <c r="AP20" s="25"/>
      <c r="AQ20" s="158"/>
      <c r="AR20" s="35">
        <f t="shared" si="9"/>
        <v>0</v>
      </c>
      <c r="AS20" s="172" t="str">
        <f t="shared" si="10"/>
        <v/>
      </c>
      <c r="AT20" s="36">
        <f t="shared" si="11"/>
        <v>0</v>
      </c>
      <c r="AU20" s="173"/>
      <c r="AV20" s="82">
        <f t="shared" si="12"/>
        <v>16</v>
      </c>
      <c r="AW20" s="37"/>
      <c r="AX20" s="174" t="str">
        <f t="shared" si="13"/>
        <v/>
      </c>
      <c r="AY20" s="37"/>
      <c r="AZ20" s="174" t="str">
        <f t="shared" si="14"/>
        <v/>
      </c>
      <c r="BA20" s="37"/>
      <c r="BB20" s="174" t="str">
        <f t="shared" si="15"/>
        <v/>
      </c>
      <c r="BC20" s="37"/>
      <c r="BD20" s="174" t="str">
        <f t="shared" si="16"/>
        <v/>
      </c>
      <c r="BE20" s="37"/>
      <c r="BF20" s="174" t="str">
        <f t="shared" si="17"/>
        <v/>
      </c>
      <c r="BG20" s="37"/>
      <c r="BH20" s="174" t="str">
        <f t="shared" si="18"/>
        <v/>
      </c>
      <c r="BI20" s="37"/>
      <c r="BJ20" s="174" t="str">
        <f t="shared" si="19"/>
        <v/>
      </c>
      <c r="BK20" s="37"/>
      <c r="BL20" s="174" t="str">
        <f t="shared" si="20"/>
        <v/>
      </c>
      <c r="BM20" s="37"/>
      <c r="BN20" s="174" t="str">
        <f t="shared" si="21"/>
        <v/>
      </c>
      <c r="BO20" s="37"/>
      <c r="BP20" s="174" t="str">
        <f t="shared" si="22"/>
        <v/>
      </c>
      <c r="BQ20" s="37"/>
      <c r="BR20" s="174" t="str">
        <f t="shared" si="23"/>
        <v/>
      </c>
      <c r="BS20" s="37"/>
      <c r="BT20" s="174" t="str">
        <f t="shared" si="24"/>
        <v/>
      </c>
      <c r="BU20" s="37"/>
      <c r="BV20" s="174" t="str">
        <f t="shared" si="25"/>
        <v/>
      </c>
      <c r="BW20" s="37"/>
      <c r="BX20" s="174" t="str">
        <f t="shared" si="26"/>
        <v/>
      </c>
      <c r="BY20" s="37"/>
      <c r="BZ20" s="174" t="str">
        <f t="shared" si="27"/>
        <v/>
      </c>
      <c r="CA20" s="37"/>
      <c r="CB20" s="174" t="str">
        <f t="shared" si="28"/>
        <v/>
      </c>
      <c r="CC20" s="37"/>
      <c r="CD20" s="174" t="str">
        <f t="shared" si="29"/>
        <v/>
      </c>
      <c r="CE20" s="37"/>
      <c r="CF20" s="174" t="str">
        <f t="shared" si="30"/>
        <v/>
      </c>
      <c r="CG20" s="37"/>
      <c r="CH20" s="174" t="str">
        <f t="shared" si="31"/>
        <v/>
      </c>
      <c r="CI20" s="37"/>
      <c r="CJ20" s="174" t="str">
        <f t="shared" si="32"/>
        <v/>
      </c>
      <c r="CK20" s="37"/>
      <c r="CL20" s="174" t="str">
        <f t="shared" si="33"/>
        <v/>
      </c>
      <c r="CM20" s="37"/>
      <c r="CN20" s="174" t="str">
        <f t="shared" si="34"/>
        <v/>
      </c>
      <c r="CO20" s="37"/>
      <c r="CP20" s="174" t="str">
        <f t="shared" si="35"/>
        <v/>
      </c>
      <c r="CQ20" s="37"/>
      <c r="CR20" s="174" t="str">
        <f t="shared" si="36"/>
        <v/>
      </c>
      <c r="CS20" s="37"/>
      <c r="CT20" s="174" t="str">
        <f t="shared" si="37"/>
        <v/>
      </c>
      <c r="CU20" s="38"/>
      <c r="CV20" s="87"/>
      <c r="CW20" s="90"/>
      <c r="CX20" s="38"/>
      <c r="CY20" s="39"/>
      <c r="CZ20" s="37"/>
      <c r="DA20" s="39"/>
      <c r="DB20" s="24">
        <v>16</v>
      </c>
      <c r="DC20" s="96" t="str">
        <f t="shared" si="38"/>
        <v>日</v>
      </c>
      <c r="DF20" s="125"/>
      <c r="DG20" s="40"/>
      <c r="DH20" s="40"/>
      <c r="DI20" s="40"/>
      <c r="DJ20" s="40"/>
      <c r="DK20" s="40"/>
      <c r="DL20" s="40"/>
      <c r="DM20" s="40"/>
      <c r="DN20" s="40"/>
      <c r="DO20" s="40"/>
      <c r="DP20" s="40">
        <f t="shared" si="39"/>
        <v>0</v>
      </c>
      <c r="DQ20" s="172" t="str">
        <f t="shared" si="40"/>
        <v/>
      </c>
      <c r="DS20" s="189"/>
      <c r="DT20" s="190"/>
      <c r="DU20" s="190"/>
      <c r="DV20" s="191"/>
      <c r="DW20" s="41"/>
      <c r="DX20" s="42"/>
    </row>
    <row r="21" spans="1:128" ht="13.5" customHeight="1" x14ac:dyDescent="0.4">
      <c r="A21" s="104">
        <v>17</v>
      </c>
      <c r="B21" s="23" t="s">
        <v>90</v>
      </c>
      <c r="C21" s="164"/>
      <c r="D21" s="164"/>
      <c r="E21" s="24"/>
      <c r="F21" s="29"/>
      <c r="G21" s="25" t="str">
        <f>IF(SUM($F$5:F21)=0,"",SUM($F$5:F21))</f>
        <v/>
      </c>
      <c r="H21" s="43" t="str">
        <f t="shared" si="0"/>
        <v/>
      </c>
      <c r="I21" s="148" t="e">
        <f t="array" aca="1" ref="I21" ca="1">IF($A22="",$G21/($V21-$U$5+INDIRECT(IF(_xlfn.SHEET()&lt;6,"令和8年"&amp;_xlfn.SHEET()+7&amp;"月","令和9年"&amp;_xlfn.SHEET()-5&amp;"月")&amp;"!$U$5")),$G21/($V22-$U$5))</f>
        <v>#VALUE!</v>
      </c>
      <c r="J21" s="26" t="str">
        <f t="shared" si="1"/>
        <v/>
      </c>
      <c r="K21" s="27"/>
      <c r="L21" s="165">
        <f t="shared" si="2"/>
        <v>0</v>
      </c>
      <c r="M21" s="28" t="str">
        <f t="shared" si="3"/>
        <v/>
      </c>
      <c r="N21" s="166" t="str">
        <f t="shared" si="4"/>
        <v/>
      </c>
      <c r="O21" s="167" t="str">
        <f t="shared" si="5"/>
        <v/>
      </c>
      <c r="P21" s="168"/>
      <c r="Q21" s="169" t="str">
        <f t="shared" si="6"/>
        <v/>
      </c>
      <c r="R21" s="170">
        <v>36</v>
      </c>
      <c r="S21" s="171">
        <v>28</v>
      </c>
      <c r="T21" s="24" t="s">
        <v>106</v>
      </c>
      <c r="U21" s="29">
        <v>463254</v>
      </c>
      <c r="V21" s="30">
        <f t="shared" si="41"/>
        <v>7204071</v>
      </c>
      <c r="W21" s="27">
        <v>276</v>
      </c>
      <c r="X21" s="31">
        <f t="shared" si="7"/>
        <v>1678.4565217391305</v>
      </c>
      <c r="Y21" s="29">
        <v>520052</v>
      </c>
      <c r="Z21" s="32">
        <f t="shared" si="42"/>
        <v>8019304</v>
      </c>
      <c r="AA21" s="33">
        <f t="shared" si="8"/>
        <v>0.89834117773811795</v>
      </c>
      <c r="AB21" s="158">
        <v>220000</v>
      </c>
      <c r="AC21" s="34">
        <f t="shared" si="43"/>
        <v>7220000</v>
      </c>
      <c r="AD21" s="158"/>
      <c r="AE21" s="25"/>
      <c r="AF21" s="25"/>
      <c r="AG21" s="25"/>
      <c r="AH21" s="25"/>
      <c r="AI21" s="25"/>
      <c r="AJ21" s="25"/>
      <c r="AK21" s="25"/>
      <c r="AL21" s="158"/>
      <c r="AM21" s="25"/>
      <c r="AN21" s="158"/>
      <c r="AO21" s="25"/>
      <c r="AP21" s="25"/>
      <c r="AQ21" s="158"/>
      <c r="AR21" s="35">
        <f t="shared" si="9"/>
        <v>0</v>
      </c>
      <c r="AS21" s="172" t="str">
        <f t="shared" si="10"/>
        <v/>
      </c>
      <c r="AT21" s="36">
        <f t="shared" si="11"/>
        <v>0</v>
      </c>
      <c r="AU21" s="173"/>
      <c r="AV21" s="82">
        <f t="shared" si="12"/>
        <v>17</v>
      </c>
      <c r="AW21" s="37"/>
      <c r="AX21" s="174" t="str">
        <f t="shared" si="13"/>
        <v/>
      </c>
      <c r="AY21" s="37"/>
      <c r="AZ21" s="174" t="str">
        <f t="shared" si="14"/>
        <v/>
      </c>
      <c r="BA21" s="37"/>
      <c r="BB21" s="174" t="str">
        <f t="shared" si="15"/>
        <v/>
      </c>
      <c r="BC21" s="37"/>
      <c r="BD21" s="174" t="str">
        <f t="shared" si="16"/>
        <v/>
      </c>
      <c r="BE21" s="37"/>
      <c r="BF21" s="174" t="str">
        <f t="shared" si="17"/>
        <v/>
      </c>
      <c r="BG21" s="37"/>
      <c r="BH21" s="174" t="str">
        <f t="shared" si="18"/>
        <v/>
      </c>
      <c r="BI21" s="37"/>
      <c r="BJ21" s="174" t="str">
        <f t="shared" si="19"/>
        <v/>
      </c>
      <c r="BK21" s="37"/>
      <c r="BL21" s="174" t="str">
        <f t="shared" si="20"/>
        <v/>
      </c>
      <c r="BM21" s="37"/>
      <c r="BN21" s="174" t="str">
        <f t="shared" si="21"/>
        <v/>
      </c>
      <c r="BO21" s="37"/>
      <c r="BP21" s="174" t="str">
        <f t="shared" si="22"/>
        <v/>
      </c>
      <c r="BQ21" s="37"/>
      <c r="BR21" s="174" t="str">
        <f t="shared" si="23"/>
        <v/>
      </c>
      <c r="BS21" s="37"/>
      <c r="BT21" s="174" t="str">
        <f t="shared" si="24"/>
        <v/>
      </c>
      <c r="BU21" s="37"/>
      <c r="BV21" s="174" t="str">
        <f t="shared" si="25"/>
        <v/>
      </c>
      <c r="BW21" s="37"/>
      <c r="BX21" s="174" t="str">
        <f t="shared" si="26"/>
        <v/>
      </c>
      <c r="BY21" s="37"/>
      <c r="BZ21" s="174" t="str">
        <f t="shared" si="27"/>
        <v/>
      </c>
      <c r="CA21" s="37"/>
      <c r="CB21" s="174" t="str">
        <f t="shared" si="28"/>
        <v/>
      </c>
      <c r="CC21" s="37"/>
      <c r="CD21" s="174" t="str">
        <f t="shared" si="29"/>
        <v/>
      </c>
      <c r="CE21" s="37"/>
      <c r="CF21" s="174" t="str">
        <f t="shared" si="30"/>
        <v/>
      </c>
      <c r="CG21" s="37"/>
      <c r="CH21" s="174" t="str">
        <f t="shared" si="31"/>
        <v/>
      </c>
      <c r="CI21" s="37"/>
      <c r="CJ21" s="174" t="str">
        <f t="shared" si="32"/>
        <v/>
      </c>
      <c r="CK21" s="37"/>
      <c r="CL21" s="174" t="str">
        <f t="shared" si="33"/>
        <v/>
      </c>
      <c r="CM21" s="37"/>
      <c r="CN21" s="174" t="str">
        <f t="shared" si="34"/>
        <v/>
      </c>
      <c r="CO21" s="37"/>
      <c r="CP21" s="174" t="str">
        <f t="shared" si="35"/>
        <v/>
      </c>
      <c r="CQ21" s="37"/>
      <c r="CR21" s="174" t="str">
        <f t="shared" si="36"/>
        <v/>
      </c>
      <c r="CS21" s="37"/>
      <c r="CT21" s="174" t="str">
        <f t="shared" si="37"/>
        <v/>
      </c>
      <c r="CU21" s="38"/>
      <c r="CV21" s="87"/>
      <c r="CW21" s="90"/>
      <c r="CX21" s="38"/>
      <c r="CY21" s="39"/>
      <c r="CZ21" s="37"/>
      <c r="DA21" s="39"/>
      <c r="DB21" s="24">
        <v>17</v>
      </c>
      <c r="DC21" s="96" t="str">
        <f t="shared" si="38"/>
        <v>月</v>
      </c>
      <c r="DF21" s="125"/>
      <c r="DG21" s="40"/>
      <c r="DH21" s="40"/>
      <c r="DI21" s="40"/>
      <c r="DJ21" s="40"/>
      <c r="DK21" s="40"/>
      <c r="DL21" s="40"/>
      <c r="DM21" s="40"/>
      <c r="DN21" s="40"/>
      <c r="DO21" s="40"/>
      <c r="DP21" s="40">
        <f t="shared" si="39"/>
        <v>0</v>
      </c>
      <c r="DQ21" s="172" t="str">
        <f t="shared" si="40"/>
        <v/>
      </c>
      <c r="DS21" s="189"/>
      <c r="DT21" s="190"/>
      <c r="DU21" s="190"/>
      <c r="DV21" s="191"/>
      <c r="DW21" s="41"/>
      <c r="DX21" s="42"/>
    </row>
    <row r="22" spans="1:128" ht="13.5" customHeight="1" x14ac:dyDescent="0.4">
      <c r="A22" s="104">
        <v>18</v>
      </c>
      <c r="B22" s="23" t="s">
        <v>91</v>
      </c>
      <c r="C22" s="164"/>
      <c r="D22" s="164"/>
      <c r="E22" s="24"/>
      <c r="F22" s="29"/>
      <c r="G22" s="25" t="str">
        <f>IF(SUM($F$5:F22)=0,"",SUM($F$5:F22))</f>
        <v/>
      </c>
      <c r="H22" s="43" t="str">
        <f t="shared" si="0"/>
        <v/>
      </c>
      <c r="I22" s="148" t="e">
        <f t="array" aca="1" ref="I22" ca="1">IF($A23="",$G22/($V22-$U$5+INDIRECT(IF(_xlfn.SHEET()&lt;6,"令和8年"&amp;_xlfn.SHEET()+7&amp;"月","令和9年"&amp;_xlfn.SHEET()-5&amp;"月")&amp;"!$U$5")),$G22/($V23-$U$5))</f>
        <v>#VALUE!</v>
      </c>
      <c r="J22" s="26" t="str">
        <f t="shared" si="1"/>
        <v/>
      </c>
      <c r="K22" s="27"/>
      <c r="L22" s="165">
        <f t="shared" si="2"/>
        <v>0</v>
      </c>
      <c r="M22" s="28" t="str">
        <f t="shared" si="3"/>
        <v/>
      </c>
      <c r="N22" s="166" t="str">
        <f t="shared" si="4"/>
        <v/>
      </c>
      <c r="O22" s="167" t="str">
        <f t="shared" si="5"/>
        <v/>
      </c>
      <c r="P22" s="168"/>
      <c r="Q22" s="169" t="str">
        <f t="shared" si="6"/>
        <v/>
      </c>
      <c r="R22" s="170">
        <v>36</v>
      </c>
      <c r="S22" s="171">
        <v>253</v>
      </c>
      <c r="T22" s="24" t="s">
        <v>84</v>
      </c>
      <c r="U22" s="29">
        <v>214585</v>
      </c>
      <c r="V22" s="30">
        <f t="shared" si="41"/>
        <v>7418656</v>
      </c>
      <c r="W22" s="27">
        <v>103</v>
      </c>
      <c r="X22" s="31">
        <f t="shared" si="7"/>
        <v>2083.3495145631068</v>
      </c>
      <c r="Y22" s="29">
        <v>538609</v>
      </c>
      <c r="Z22" s="32">
        <f t="shared" si="42"/>
        <v>8557913</v>
      </c>
      <c r="AA22" s="33">
        <f t="shared" si="8"/>
        <v>0.86687677240934791</v>
      </c>
      <c r="AB22" s="158">
        <v>220000</v>
      </c>
      <c r="AC22" s="34">
        <f t="shared" si="43"/>
        <v>7440000</v>
      </c>
      <c r="AD22" s="158"/>
      <c r="AE22" s="25"/>
      <c r="AF22" s="25"/>
      <c r="AG22" s="25"/>
      <c r="AH22" s="25"/>
      <c r="AI22" s="25"/>
      <c r="AJ22" s="25"/>
      <c r="AK22" s="25"/>
      <c r="AL22" s="158"/>
      <c r="AM22" s="25"/>
      <c r="AN22" s="158"/>
      <c r="AO22" s="25"/>
      <c r="AP22" s="25"/>
      <c r="AQ22" s="158"/>
      <c r="AR22" s="35">
        <f t="shared" si="9"/>
        <v>0</v>
      </c>
      <c r="AS22" s="172" t="str">
        <f t="shared" si="10"/>
        <v/>
      </c>
      <c r="AT22" s="36">
        <f t="shared" si="11"/>
        <v>0</v>
      </c>
      <c r="AU22" s="173"/>
      <c r="AV22" s="82">
        <f t="shared" si="12"/>
        <v>18</v>
      </c>
      <c r="AW22" s="37"/>
      <c r="AX22" s="174" t="str">
        <f t="shared" si="13"/>
        <v/>
      </c>
      <c r="AY22" s="37"/>
      <c r="AZ22" s="174" t="str">
        <f t="shared" si="14"/>
        <v/>
      </c>
      <c r="BA22" s="37"/>
      <c r="BB22" s="174" t="str">
        <f t="shared" si="15"/>
        <v/>
      </c>
      <c r="BC22" s="37"/>
      <c r="BD22" s="174" t="str">
        <f t="shared" si="16"/>
        <v/>
      </c>
      <c r="BE22" s="37"/>
      <c r="BF22" s="174" t="str">
        <f t="shared" si="17"/>
        <v/>
      </c>
      <c r="BG22" s="37"/>
      <c r="BH22" s="174" t="str">
        <f t="shared" si="18"/>
        <v/>
      </c>
      <c r="BI22" s="37"/>
      <c r="BJ22" s="174" t="str">
        <f t="shared" si="19"/>
        <v/>
      </c>
      <c r="BK22" s="37"/>
      <c r="BL22" s="174" t="str">
        <f t="shared" si="20"/>
        <v/>
      </c>
      <c r="BM22" s="37"/>
      <c r="BN22" s="174" t="str">
        <f t="shared" si="21"/>
        <v/>
      </c>
      <c r="BO22" s="37"/>
      <c r="BP22" s="174" t="str">
        <f t="shared" si="22"/>
        <v/>
      </c>
      <c r="BQ22" s="37"/>
      <c r="BR22" s="174" t="str">
        <f t="shared" si="23"/>
        <v/>
      </c>
      <c r="BS22" s="37"/>
      <c r="BT22" s="174" t="str">
        <f t="shared" si="24"/>
        <v/>
      </c>
      <c r="BU22" s="37"/>
      <c r="BV22" s="174" t="str">
        <f t="shared" si="25"/>
        <v/>
      </c>
      <c r="BW22" s="37"/>
      <c r="BX22" s="174" t="str">
        <f t="shared" si="26"/>
        <v/>
      </c>
      <c r="BY22" s="37"/>
      <c r="BZ22" s="174" t="str">
        <f t="shared" si="27"/>
        <v/>
      </c>
      <c r="CA22" s="37"/>
      <c r="CB22" s="174" t="str">
        <f t="shared" si="28"/>
        <v/>
      </c>
      <c r="CC22" s="37"/>
      <c r="CD22" s="174" t="str">
        <f t="shared" si="29"/>
        <v/>
      </c>
      <c r="CE22" s="37"/>
      <c r="CF22" s="174" t="str">
        <f t="shared" si="30"/>
        <v/>
      </c>
      <c r="CG22" s="37"/>
      <c r="CH22" s="174" t="str">
        <f t="shared" si="31"/>
        <v/>
      </c>
      <c r="CI22" s="37"/>
      <c r="CJ22" s="174" t="str">
        <f t="shared" si="32"/>
        <v/>
      </c>
      <c r="CK22" s="37"/>
      <c r="CL22" s="174" t="str">
        <f t="shared" si="33"/>
        <v/>
      </c>
      <c r="CM22" s="37"/>
      <c r="CN22" s="174" t="str">
        <f t="shared" si="34"/>
        <v/>
      </c>
      <c r="CO22" s="37"/>
      <c r="CP22" s="174" t="str">
        <f t="shared" si="35"/>
        <v/>
      </c>
      <c r="CQ22" s="37"/>
      <c r="CR22" s="174" t="str">
        <f t="shared" si="36"/>
        <v/>
      </c>
      <c r="CS22" s="37"/>
      <c r="CT22" s="174" t="str">
        <f t="shared" si="37"/>
        <v/>
      </c>
      <c r="CU22" s="38"/>
      <c r="CV22" s="87"/>
      <c r="CW22" s="90"/>
      <c r="CX22" s="38"/>
      <c r="CY22" s="39"/>
      <c r="CZ22" s="37"/>
      <c r="DA22" s="39"/>
      <c r="DB22" s="24">
        <v>18</v>
      </c>
      <c r="DC22" s="96" t="str">
        <f t="shared" si="38"/>
        <v>火</v>
      </c>
      <c r="DF22" s="125"/>
      <c r="DG22" s="40"/>
      <c r="DH22" s="40"/>
      <c r="DI22" s="40"/>
      <c r="DJ22" s="40"/>
      <c r="DK22" s="40"/>
      <c r="DL22" s="40"/>
      <c r="DM22" s="40"/>
      <c r="DN22" s="40"/>
      <c r="DO22" s="40"/>
      <c r="DP22" s="40">
        <f t="shared" si="39"/>
        <v>0</v>
      </c>
      <c r="DQ22" s="172" t="str">
        <f t="shared" si="40"/>
        <v/>
      </c>
      <c r="DS22" s="189"/>
      <c r="DT22" s="190"/>
      <c r="DU22" s="190"/>
      <c r="DV22" s="191"/>
      <c r="DW22" s="138"/>
      <c r="DX22" s="42"/>
    </row>
    <row r="23" spans="1:128" ht="13.5" customHeight="1" x14ac:dyDescent="0.4">
      <c r="A23" s="104">
        <v>19</v>
      </c>
      <c r="B23" s="23" t="s">
        <v>83</v>
      </c>
      <c r="C23" s="164"/>
      <c r="D23" s="164"/>
      <c r="E23" s="24"/>
      <c r="F23" s="29"/>
      <c r="G23" s="25" t="str">
        <f>IF(SUM($F$5:F23)=0,"",SUM($F$5:F23))</f>
        <v/>
      </c>
      <c r="H23" s="43" t="str">
        <f t="shared" si="0"/>
        <v/>
      </c>
      <c r="I23" s="148" t="e">
        <f t="array" aca="1" ref="I23" ca="1">IF($A24="",$G23/($V23-$U$5+INDIRECT(IF(_xlfn.SHEET()&lt;6,"令和8年"&amp;_xlfn.SHEET()+7&amp;"月","令和9年"&amp;_xlfn.SHEET()-5&amp;"月")&amp;"!$U$5")),$G23/($V24-$U$5))</f>
        <v>#VALUE!</v>
      </c>
      <c r="J23" s="26" t="str">
        <f t="shared" si="1"/>
        <v/>
      </c>
      <c r="K23" s="27"/>
      <c r="L23" s="165">
        <f t="shared" si="2"/>
        <v>0</v>
      </c>
      <c r="M23" s="28" t="str">
        <f t="shared" si="3"/>
        <v/>
      </c>
      <c r="N23" s="166" t="str">
        <f t="shared" si="4"/>
        <v/>
      </c>
      <c r="O23" s="167" t="str">
        <f t="shared" si="5"/>
        <v/>
      </c>
      <c r="P23" s="168"/>
      <c r="Q23" s="169" t="str">
        <f t="shared" si="6"/>
        <v/>
      </c>
      <c r="R23" s="170">
        <v>35</v>
      </c>
      <c r="S23" s="171">
        <v>26</v>
      </c>
      <c r="T23" s="24" t="s">
        <v>84</v>
      </c>
      <c r="U23" s="29">
        <v>209190</v>
      </c>
      <c r="V23" s="30">
        <f t="shared" si="41"/>
        <v>7627846</v>
      </c>
      <c r="W23" s="27">
        <v>126</v>
      </c>
      <c r="X23" s="31">
        <f t="shared" si="7"/>
        <v>1660.2380952380952</v>
      </c>
      <c r="Y23" s="29">
        <v>251523</v>
      </c>
      <c r="Z23" s="32">
        <f t="shared" si="42"/>
        <v>8809436</v>
      </c>
      <c r="AA23" s="33">
        <f t="shared" si="8"/>
        <v>0.86587223063996377</v>
      </c>
      <c r="AB23" s="158">
        <v>220000</v>
      </c>
      <c r="AC23" s="34">
        <f t="shared" si="43"/>
        <v>7660000</v>
      </c>
      <c r="AD23" s="158"/>
      <c r="AE23" s="25"/>
      <c r="AF23" s="25"/>
      <c r="AG23" s="25"/>
      <c r="AH23" s="25"/>
      <c r="AI23" s="25"/>
      <c r="AJ23" s="25"/>
      <c r="AK23" s="25"/>
      <c r="AL23" s="158"/>
      <c r="AM23" s="25"/>
      <c r="AN23" s="158"/>
      <c r="AO23" s="25"/>
      <c r="AP23" s="25"/>
      <c r="AQ23" s="158"/>
      <c r="AR23" s="35">
        <f t="shared" si="9"/>
        <v>0</v>
      </c>
      <c r="AS23" s="172" t="str">
        <f t="shared" si="10"/>
        <v/>
      </c>
      <c r="AT23" s="36">
        <f t="shared" si="11"/>
        <v>0</v>
      </c>
      <c r="AU23" s="173"/>
      <c r="AV23" s="82">
        <f t="shared" si="12"/>
        <v>19</v>
      </c>
      <c r="AW23" s="37"/>
      <c r="AX23" s="174" t="str">
        <f t="shared" si="13"/>
        <v/>
      </c>
      <c r="AY23" s="37"/>
      <c r="AZ23" s="174" t="str">
        <f t="shared" si="14"/>
        <v/>
      </c>
      <c r="BA23" s="37"/>
      <c r="BB23" s="174" t="str">
        <f t="shared" si="15"/>
        <v/>
      </c>
      <c r="BC23" s="37"/>
      <c r="BD23" s="174" t="str">
        <f t="shared" si="16"/>
        <v/>
      </c>
      <c r="BE23" s="37"/>
      <c r="BF23" s="174" t="str">
        <f t="shared" si="17"/>
        <v/>
      </c>
      <c r="BG23" s="37"/>
      <c r="BH23" s="174" t="str">
        <f t="shared" si="18"/>
        <v/>
      </c>
      <c r="BI23" s="37"/>
      <c r="BJ23" s="174" t="str">
        <f t="shared" si="19"/>
        <v/>
      </c>
      <c r="BK23" s="37"/>
      <c r="BL23" s="174" t="str">
        <f t="shared" si="20"/>
        <v/>
      </c>
      <c r="BM23" s="37"/>
      <c r="BN23" s="174" t="str">
        <f t="shared" si="21"/>
        <v/>
      </c>
      <c r="BO23" s="37"/>
      <c r="BP23" s="174" t="str">
        <f t="shared" si="22"/>
        <v/>
      </c>
      <c r="BQ23" s="37"/>
      <c r="BR23" s="174" t="str">
        <f t="shared" si="23"/>
        <v/>
      </c>
      <c r="BS23" s="37"/>
      <c r="BT23" s="174" t="str">
        <f t="shared" si="24"/>
        <v/>
      </c>
      <c r="BU23" s="37"/>
      <c r="BV23" s="174" t="str">
        <f t="shared" si="25"/>
        <v/>
      </c>
      <c r="BW23" s="37"/>
      <c r="BX23" s="174" t="str">
        <f t="shared" si="26"/>
        <v/>
      </c>
      <c r="BY23" s="37"/>
      <c r="BZ23" s="174" t="str">
        <f t="shared" si="27"/>
        <v/>
      </c>
      <c r="CA23" s="37"/>
      <c r="CB23" s="174" t="str">
        <f t="shared" si="28"/>
        <v/>
      </c>
      <c r="CC23" s="37"/>
      <c r="CD23" s="174" t="str">
        <f t="shared" si="29"/>
        <v/>
      </c>
      <c r="CE23" s="37"/>
      <c r="CF23" s="174" t="str">
        <f t="shared" si="30"/>
        <v/>
      </c>
      <c r="CG23" s="37"/>
      <c r="CH23" s="174" t="str">
        <f t="shared" si="31"/>
        <v/>
      </c>
      <c r="CI23" s="37"/>
      <c r="CJ23" s="174" t="str">
        <f t="shared" si="32"/>
        <v/>
      </c>
      <c r="CK23" s="37"/>
      <c r="CL23" s="174" t="str">
        <f t="shared" si="33"/>
        <v/>
      </c>
      <c r="CM23" s="37"/>
      <c r="CN23" s="174" t="str">
        <f t="shared" si="34"/>
        <v/>
      </c>
      <c r="CO23" s="37"/>
      <c r="CP23" s="174" t="str">
        <f t="shared" si="35"/>
        <v/>
      </c>
      <c r="CQ23" s="37"/>
      <c r="CR23" s="174" t="str">
        <f t="shared" si="36"/>
        <v/>
      </c>
      <c r="CS23" s="37"/>
      <c r="CT23" s="174" t="str">
        <f t="shared" si="37"/>
        <v/>
      </c>
      <c r="CU23" s="38"/>
      <c r="CV23" s="87"/>
      <c r="CW23" s="90"/>
      <c r="CX23" s="38"/>
      <c r="CY23" s="39"/>
      <c r="CZ23" s="37"/>
      <c r="DA23" s="39"/>
      <c r="DB23" s="24">
        <v>19</v>
      </c>
      <c r="DC23" s="96" t="str">
        <f t="shared" si="38"/>
        <v>水</v>
      </c>
      <c r="DF23" s="125"/>
      <c r="DG23" s="40"/>
      <c r="DH23" s="40"/>
      <c r="DI23" s="40"/>
      <c r="DJ23" s="40"/>
      <c r="DK23" s="40"/>
      <c r="DL23" s="40"/>
      <c r="DM23" s="40"/>
      <c r="DN23" s="40"/>
      <c r="DO23" s="40"/>
      <c r="DP23" s="40">
        <f t="shared" si="39"/>
        <v>0</v>
      </c>
      <c r="DQ23" s="172" t="str">
        <f t="shared" si="40"/>
        <v/>
      </c>
      <c r="DS23" s="189"/>
      <c r="DT23" s="190"/>
      <c r="DU23" s="190"/>
      <c r="DV23" s="191"/>
      <c r="DW23" s="41"/>
      <c r="DX23" s="42"/>
    </row>
    <row r="24" spans="1:128" ht="13.5" customHeight="1" x14ac:dyDescent="0.4">
      <c r="A24" s="104">
        <v>20</v>
      </c>
      <c r="B24" s="23" t="s">
        <v>85</v>
      </c>
      <c r="C24" s="164"/>
      <c r="D24" s="164"/>
      <c r="E24" s="24"/>
      <c r="F24" s="29"/>
      <c r="G24" s="25" t="str">
        <f>IF(SUM($F$5:F24)=0,"",SUM($F$5:F24))</f>
        <v/>
      </c>
      <c r="H24" s="43" t="str">
        <f t="shared" si="0"/>
        <v/>
      </c>
      <c r="I24" s="148" t="e">
        <f t="array" aca="1" ref="I24" ca="1">IF($A25="",$G24/($V24-$U$5+INDIRECT(IF(_xlfn.SHEET()&lt;6,"令和8年"&amp;_xlfn.SHEET()+7&amp;"月","令和9年"&amp;_xlfn.SHEET()-5&amp;"月")&amp;"!$U$5")),$G24/($V25-$U$5))</f>
        <v>#VALUE!</v>
      </c>
      <c r="J24" s="26" t="str">
        <f t="shared" si="1"/>
        <v/>
      </c>
      <c r="K24" s="27"/>
      <c r="L24" s="165">
        <f t="shared" si="2"/>
        <v>0</v>
      </c>
      <c r="M24" s="28" t="str">
        <f t="shared" si="3"/>
        <v/>
      </c>
      <c r="N24" s="166" t="str">
        <f t="shared" si="4"/>
        <v/>
      </c>
      <c r="O24" s="167" t="str">
        <f t="shared" si="5"/>
        <v/>
      </c>
      <c r="P24" s="168"/>
      <c r="Q24" s="169" t="str">
        <f t="shared" si="6"/>
        <v/>
      </c>
      <c r="R24" s="170">
        <v>35</v>
      </c>
      <c r="S24" s="171">
        <v>26</v>
      </c>
      <c r="T24" s="24" t="s">
        <v>84</v>
      </c>
      <c r="U24" s="29">
        <v>220609</v>
      </c>
      <c r="V24" s="30">
        <f t="shared" si="41"/>
        <v>7848455</v>
      </c>
      <c r="W24" s="27">
        <v>110</v>
      </c>
      <c r="X24" s="31">
        <f t="shared" si="7"/>
        <v>2005.5363636363636</v>
      </c>
      <c r="Y24" s="29">
        <v>374542</v>
      </c>
      <c r="Z24" s="32">
        <f t="shared" si="42"/>
        <v>9183978</v>
      </c>
      <c r="AA24" s="33">
        <f t="shared" si="8"/>
        <v>0.85458120653163583</v>
      </c>
      <c r="AB24" s="158">
        <v>220000</v>
      </c>
      <c r="AC24" s="34">
        <f t="shared" si="43"/>
        <v>7880000</v>
      </c>
      <c r="AD24" s="158"/>
      <c r="AE24" s="25"/>
      <c r="AF24" s="25"/>
      <c r="AG24" s="25"/>
      <c r="AH24" s="25"/>
      <c r="AI24" s="25"/>
      <c r="AJ24" s="25"/>
      <c r="AK24" s="25"/>
      <c r="AL24" s="158"/>
      <c r="AM24" s="25"/>
      <c r="AN24" s="158"/>
      <c r="AO24" s="25"/>
      <c r="AP24" s="25"/>
      <c r="AQ24" s="158"/>
      <c r="AR24" s="35">
        <f t="shared" si="9"/>
        <v>0</v>
      </c>
      <c r="AS24" s="172" t="str">
        <f t="shared" si="10"/>
        <v/>
      </c>
      <c r="AT24" s="36">
        <f t="shared" si="11"/>
        <v>0</v>
      </c>
      <c r="AU24" s="173"/>
      <c r="AV24" s="82">
        <f t="shared" si="12"/>
        <v>20</v>
      </c>
      <c r="AW24" s="37"/>
      <c r="AX24" s="174" t="str">
        <f t="shared" si="13"/>
        <v/>
      </c>
      <c r="AY24" s="37"/>
      <c r="AZ24" s="174" t="str">
        <f t="shared" si="14"/>
        <v/>
      </c>
      <c r="BA24" s="37"/>
      <c r="BB24" s="174" t="str">
        <f t="shared" si="15"/>
        <v/>
      </c>
      <c r="BC24" s="37"/>
      <c r="BD24" s="174" t="str">
        <f t="shared" si="16"/>
        <v/>
      </c>
      <c r="BE24" s="37"/>
      <c r="BF24" s="174" t="str">
        <f t="shared" si="17"/>
        <v/>
      </c>
      <c r="BG24" s="37"/>
      <c r="BH24" s="174" t="str">
        <f t="shared" si="18"/>
        <v/>
      </c>
      <c r="BI24" s="37"/>
      <c r="BJ24" s="174" t="str">
        <f t="shared" si="19"/>
        <v/>
      </c>
      <c r="BK24" s="37"/>
      <c r="BL24" s="174" t="str">
        <f t="shared" si="20"/>
        <v/>
      </c>
      <c r="BM24" s="37"/>
      <c r="BN24" s="174" t="str">
        <f t="shared" si="21"/>
        <v/>
      </c>
      <c r="BO24" s="37"/>
      <c r="BP24" s="174" t="str">
        <f t="shared" si="22"/>
        <v/>
      </c>
      <c r="BQ24" s="37"/>
      <c r="BR24" s="174" t="str">
        <f t="shared" si="23"/>
        <v/>
      </c>
      <c r="BS24" s="37"/>
      <c r="BT24" s="174" t="str">
        <f t="shared" si="24"/>
        <v/>
      </c>
      <c r="BU24" s="37"/>
      <c r="BV24" s="174" t="str">
        <f t="shared" si="25"/>
        <v/>
      </c>
      <c r="BW24" s="37"/>
      <c r="BX24" s="174" t="str">
        <f t="shared" si="26"/>
        <v/>
      </c>
      <c r="BY24" s="37"/>
      <c r="BZ24" s="174" t="str">
        <f t="shared" si="27"/>
        <v/>
      </c>
      <c r="CA24" s="37"/>
      <c r="CB24" s="174" t="str">
        <f t="shared" si="28"/>
        <v/>
      </c>
      <c r="CC24" s="37"/>
      <c r="CD24" s="174" t="str">
        <f t="shared" si="29"/>
        <v/>
      </c>
      <c r="CE24" s="37"/>
      <c r="CF24" s="174" t="str">
        <f t="shared" si="30"/>
        <v/>
      </c>
      <c r="CG24" s="37"/>
      <c r="CH24" s="174" t="str">
        <f t="shared" si="31"/>
        <v/>
      </c>
      <c r="CI24" s="37"/>
      <c r="CJ24" s="174" t="str">
        <f t="shared" si="32"/>
        <v/>
      </c>
      <c r="CK24" s="37"/>
      <c r="CL24" s="174" t="str">
        <f t="shared" si="33"/>
        <v/>
      </c>
      <c r="CM24" s="37"/>
      <c r="CN24" s="174" t="str">
        <f t="shared" si="34"/>
        <v/>
      </c>
      <c r="CO24" s="37"/>
      <c r="CP24" s="174" t="str">
        <f t="shared" si="35"/>
        <v/>
      </c>
      <c r="CQ24" s="37"/>
      <c r="CR24" s="174" t="str">
        <f t="shared" si="36"/>
        <v/>
      </c>
      <c r="CS24" s="37"/>
      <c r="CT24" s="174" t="str">
        <f t="shared" si="37"/>
        <v/>
      </c>
      <c r="CU24" s="38"/>
      <c r="CV24" s="87"/>
      <c r="CW24" s="90"/>
      <c r="CX24" s="38"/>
      <c r="CY24" s="39"/>
      <c r="CZ24" s="37"/>
      <c r="DA24" s="39"/>
      <c r="DB24" s="24">
        <v>20</v>
      </c>
      <c r="DC24" s="96" t="str">
        <f t="shared" si="38"/>
        <v>木</v>
      </c>
      <c r="DF24" s="125"/>
      <c r="DG24" s="40"/>
      <c r="DH24" s="40"/>
      <c r="DI24" s="40"/>
      <c r="DJ24" s="40"/>
      <c r="DK24" s="40"/>
      <c r="DL24" s="40"/>
      <c r="DM24" s="40"/>
      <c r="DN24" s="40"/>
      <c r="DO24" s="40"/>
      <c r="DP24" s="40">
        <f t="shared" si="39"/>
        <v>0</v>
      </c>
      <c r="DQ24" s="172" t="str">
        <f t="shared" si="40"/>
        <v/>
      </c>
      <c r="DS24" s="189"/>
      <c r="DT24" s="190"/>
      <c r="DU24" s="190"/>
      <c r="DV24" s="191"/>
      <c r="DW24" s="41"/>
      <c r="DX24" s="42"/>
    </row>
    <row r="25" spans="1:128" ht="13.5" customHeight="1" x14ac:dyDescent="0.4">
      <c r="A25" s="104">
        <v>21</v>
      </c>
      <c r="B25" s="23" t="s">
        <v>86</v>
      </c>
      <c r="C25" s="164"/>
      <c r="D25" s="164"/>
      <c r="E25" s="24"/>
      <c r="F25" s="29"/>
      <c r="G25" s="25" t="str">
        <f>IF(SUM($F$5:F25)=0,"",SUM($F$5:F25))</f>
        <v/>
      </c>
      <c r="H25" s="43" t="str">
        <f t="shared" si="0"/>
        <v/>
      </c>
      <c r="I25" s="148" t="e">
        <f t="array" aca="1" ref="I25" ca="1">IF($A26="",$G25/($V25-$U$5+INDIRECT(IF(_xlfn.SHEET()&lt;6,"令和8年"&amp;_xlfn.SHEET()+7&amp;"月","令和9年"&amp;_xlfn.SHEET()-5&amp;"月")&amp;"!$U$5")),$G25/($V26-$U$5))</f>
        <v>#VALUE!</v>
      </c>
      <c r="J25" s="26" t="str">
        <f t="shared" si="1"/>
        <v/>
      </c>
      <c r="K25" s="27"/>
      <c r="L25" s="165">
        <f t="shared" si="2"/>
        <v>0</v>
      </c>
      <c r="M25" s="28" t="str">
        <f t="shared" si="3"/>
        <v/>
      </c>
      <c r="N25" s="166" t="str">
        <f t="shared" si="4"/>
        <v/>
      </c>
      <c r="O25" s="167" t="str">
        <f t="shared" si="5"/>
        <v/>
      </c>
      <c r="P25" s="168"/>
      <c r="Q25" s="169" t="str">
        <f t="shared" si="6"/>
        <v/>
      </c>
      <c r="R25" s="170">
        <v>38</v>
      </c>
      <c r="S25" s="171">
        <v>27</v>
      </c>
      <c r="T25" s="24" t="s">
        <v>106</v>
      </c>
      <c r="U25" s="29">
        <v>246610</v>
      </c>
      <c r="V25" s="30">
        <f t="shared" si="41"/>
        <v>8095065</v>
      </c>
      <c r="W25" s="27">
        <v>148</v>
      </c>
      <c r="X25" s="31">
        <f t="shared" si="7"/>
        <v>1666.2837837837837</v>
      </c>
      <c r="Y25" s="29">
        <v>226391</v>
      </c>
      <c r="Z25" s="32">
        <f t="shared" si="42"/>
        <v>9410369</v>
      </c>
      <c r="AA25" s="33">
        <f t="shared" si="8"/>
        <v>0.86022822271900279</v>
      </c>
      <c r="AB25" s="158">
        <v>220000</v>
      </c>
      <c r="AC25" s="34">
        <f t="shared" si="43"/>
        <v>8100000</v>
      </c>
      <c r="AD25" s="158"/>
      <c r="AE25" s="25"/>
      <c r="AF25" s="25"/>
      <c r="AG25" s="25"/>
      <c r="AH25" s="25"/>
      <c r="AI25" s="25"/>
      <c r="AJ25" s="25"/>
      <c r="AK25" s="25"/>
      <c r="AL25" s="158"/>
      <c r="AM25" s="25"/>
      <c r="AN25" s="158"/>
      <c r="AO25" s="25"/>
      <c r="AP25" s="25"/>
      <c r="AQ25" s="158"/>
      <c r="AR25" s="35">
        <f t="shared" si="9"/>
        <v>0</v>
      </c>
      <c r="AS25" s="172" t="str">
        <f t="shared" si="10"/>
        <v/>
      </c>
      <c r="AT25" s="36">
        <f t="shared" si="11"/>
        <v>0</v>
      </c>
      <c r="AU25" s="173"/>
      <c r="AV25" s="82">
        <f t="shared" si="12"/>
        <v>21</v>
      </c>
      <c r="AW25" s="37"/>
      <c r="AX25" s="174" t="str">
        <f t="shared" si="13"/>
        <v/>
      </c>
      <c r="AY25" s="37"/>
      <c r="AZ25" s="174" t="str">
        <f t="shared" si="14"/>
        <v/>
      </c>
      <c r="BA25" s="37"/>
      <c r="BB25" s="174" t="str">
        <f t="shared" si="15"/>
        <v/>
      </c>
      <c r="BC25" s="37"/>
      <c r="BD25" s="174" t="str">
        <f t="shared" si="16"/>
        <v/>
      </c>
      <c r="BE25" s="37"/>
      <c r="BF25" s="174" t="str">
        <f t="shared" si="17"/>
        <v/>
      </c>
      <c r="BG25" s="37"/>
      <c r="BH25" s="174" t="str">
        <f t="shared" si="18"/>
        <v/>
      </c>
      <c r="BI25" s="37"/>
      <c r="BJ25" s="174" t="str">
        <f t="shared" si="19"/>
        <v/>
      </c>
      <c r="BK25" s="37"/>
      <c r="BL25" s="174" t="str">
        <f t="shared" si="20"/>
        <v/>
      </c>
      <c r="BM25" s="37"/>
      <c r="BN25" s="174" t="str">
        <f t="shared" si="21"/>
        <v/>
      </c>
      <c r="BO25" s="37"/>
      <c r="BP25" s="174" t="str">
        <f t="shared" si="22"/>
        <v/>
      </c>
      <c r="BQ25" s="37"/>
      <c r="BR25" s="174" t="str">
        <f t="shared" si="23"/>
        <v/>
      </c>
      <c r="BS25" s="37"/>
      <c r="BT25" s="174" t="str">
        <f t="shared" si="24"/>
        <v/>
      </c>
      <c r="BU25" s="37"/>
      <c r="BV25" s="174" t="str">
        <f t="shared" si="25"/>
        <v/>
      </c>
      <c r="BW25" s="37"/>
      <c r="BX25" s="174" t="str">
        <f t="shared" si="26"/>
        <v/>
      </c>
      <c r="BY25" s="37"/>
      <c r="BZ25" s="174" t="str">
        <f t="shared" si="27"/>
        <v/>
      </c>
      <c r="CA25" s="37"/>
      <c r="CB25" s="174" t="str">
        <f t="shared" si="28"/>
        <v/>
      </c>
      <c r="CC25" s="37"/>
      <c r="CD25" s="174" t="str">
        <f t="shared" si="29"/>
        <v/>
      </c>
      <c r="CE25" s="37"/>
      <c r="CF25" s="174" t="str">
        <f t="shared" si="30"/>
        <v/>
      </c>
      <c r="CG25" s="37"/>
      <c r="CH25" s="174" t="str">
        <f t="shared" si="31"/>
        <v/>
      </c>
      <c r="CI25" s="37"/>
      <c r="CJ25" s="174" t="str">
        <f t="shared" si="32"/>
        <v/>
      </c>
      <c r="CK25" s="37"/>
      <c r="CL25" s="174" t="str">
        <f t="shared" si="33"/>
        <v/>
      </c>
      <c r="CM25" s="37"/>
      <c r="CN25" s="174" t="str">
        <f t="shared" si="34"/>
        <v/>
      </c>
      <c r="CO25" s="37"/>
      <c r="CP25" s="174" t="str">
        <f t="shared" si="35"/>
        <v/>
      </c>
      <c r="CQ25" s="37"/>
      <c r="CR25" s="174" t="str">
        <f t="shared" si="36"/>
        <v/>
      </c>
      <c r="CS25" s="37"/>
      <c r="CT25" s="174" t="str">
        <f t="shared" si="37"/>
        <v/>
      </c>
      <c r="CU25" s="38"/>
      <c r="CV25" s="87"/>
      <c r="CW25" s="90"/>
      <c r="CX25" s="38"/>
      <c r="CY25" s="39"/>
      <c r="CZ25" s="37"/>
      <c r="DA25" s="39"/>
      <c r="DB25" s="24">
        <v>21</v>
      </c>
      <c r="DC25" s="96" t="str">
        <f t="shared" si="38"/>
        <v>金</v>
      </c>
      <c r="DF25" s="125"/>
      <c r="DG25" s="40"/>
      <c r="DH25" s="40"/>
      <c r="DI25" s="40"/>
      <c r="DJ25" s="40"/>
      <c r="DK25" s="40"/>
      <c r="DL25" s="40"/>
      <c r="DM25" s="40"/>
      <c r="DN25" s="40"/>
      <c r="DO25" s="40"/>
      <c r="DP25" s="40">
        <f t="shared" si="39"/>
        <v>0</v>
      </c>
      <c r="DQ25" s="172" t="str">
        <f t="shared" si="40"/>
        <v/>
      </c>
      <c r="DS25" s="189"/>
      <c r="DT25" s="190"/>
      <c r="DU25" s="190"/>
      <c r="DV25" s="191"/>
      <c r="DW25" s="138"/>
      <c r="DX25" s="42"/>
    </row>
    <row r="26" spans="1:128" ht="13.5" customHeight="1" x14ac:dyDescent="0.4">
      <c r="A26" s="104">
        <v>22</v>
      </c>
      <c r="B26" s="23" t="s">
        <v>88</v>
      </c>
      <c r="C26" s="164"/>
      <c r="D26" s="164"/>
      <c r="E26" s="24"/>
      <c r="F26" s="29"/>
      <c r="G26" s="25" t="str">
        <f>IF(SUM($F$5:F26)=0,"",SUM($F$5:F26))</f>
        <v/>
      </c>
      <c r="H26" s="43" t="str">
        <f t="shared" si="0"/>
        <v/>
      </c>
      <c r="I26" s="148" t="e">
        <f t="array" aca="1" ref="I26" ca="1">IF($A27="",$G26/($V26-$U$5+INDIRECT(IF(_xlfn.SHEET()&lt;6,"令和8年"&amp;_xlfn.SHEET()+7&amp;"月","令和9年"&amp;_xlfn.SHEET()-5&amp;"月")&amp;"!$U$5")),$G26/($V27-$U$5))</f>
        <v>#VALUE!</v>
      </c>
      <c r="J26" s="26" t="str">
        <f t="shared" si="1"/>
        <v/>
      </c>
      <c r="K26" s="27"/>
      <c r="L26" s="165">
        <f t="shared" si="2"/>
        <v>0</v>
      </c>
      <c r="M26" s="28" t="str">
        <f t="shared" si="3"/>
        <v/>
      </c>
      <c r="N26" s="166" t="str">
        <f t="shared" si="4"/>
        <v/>
      </c>
      <c r="O26" s="167" t="str">
        <f t="shared" si="5"/>
        <v/>
      </c>
      <c r="P26" s="168"/>
      <c r="Q26" s="169" t="str">
        <f t="shared" si="6"/>
        <v/>
      </c>
      <c r="R26" s="170">
        <v>35</v>
      </c>
      <c r="S26" s="171">
        <v>25</v>
      </c>
      <c r="T26" s="24" t="s">
        <v>106</v>
      </c>
      <c r="U26" s="29">
        <v>229779</v>
      </c>
      <c r="V26" s="30">
        <f t="shared" si="41"/>
        <v>8324844</v>
      </c>
      <c r="W26" s="27">
        <v>146</v>
      </c>
      <c r="X26" s="31">
        <f t="shared" si="7"/>
        <v>1573.8287671232877</v>
      </c>
      <c r="Y26" s="29">
        <v>240681</v>
      </c>
      <c r="Z26" s="32">
        <f t="shared" si="42"/>
        <v>9651050</v>
      </c>
      <c r="AA26" s="33">
        <f t="shared" si="8"/>
        <v>0.86258427839457885</v>
      </c>
      <c r="AB26" s="158">
        <v>550000</v>
      </c>
      <c r="AC26" s="34">
        <f t="shared" si="43"/>
        <v>8650000</v>
      </c>
      <c r="AD26" s="158"/>
      <c r="AE26" s="25"/>
      <c r="AF26" s="25"/>
      <c r="AG26" s="25"/>
      <c r="AH26" s="25"/>
      <c r="AI26" s="25"/>
      <c r="AJ26" s="25"/>
      <c r="AK26" s="25"/>
      <c r="AL26" s="158"/>
      <c r="AM26" s="25"/>
      <c r="AN26" s="158"/>
      <c r="AO26" s="25"/>
      <c r="AP26" s="25"/>
      <c r="AQ26" s="158"/>
      <c r="AR26" s="35">
        <f t="shared" si="9"/>
        <v>0</v>
      </c>
      <c r="AS26" s="172" t="str">
        <f t="shared" si="10"/>
        <v/>
      </c>
      <c r="AT26" s="36">
        <f t="shared" si="11"/>
        <v>0</v>
      </c>
      <c r="AU26" s="173"/>
      <c r="AV26" s="82">
        <f t="shared" si="12"/>
        <v>22</v>
      </c>
      <c r="AW26" s="37"/>
      <c r="AX26" s="174" t="str">
        <f t="shared" si="13"/>
        <v/>
      </c>
      <c r="AY26" s="37"/>
      <c r="AZ26" s="174" t="str">
        <f t="shared" si="14"/>
        <v/>
      </c>
      <c r="BA26" s="37"/>
      <c r="BB26" s="174" t="str">
        <f t="shared" si="15"/>
        <v/>
      </c>
      <c r="BC26" s="37"/>
      <c r="BD26" s="174" t="str">
        <f t="shared" si="16"/>
        <v/>
      </c>
      <c r="BE26" s="37"/>
      <c r="BF26" s="174" t="str">
        <f t="shared" si="17"/>
        <v/>
      </c>
      <c r="BG26" s="37"/>
      <c r="BH26" s="174" t="str">
        <f t="shared" si="18"/>
        <v/>
      </c>
      <c r="BI26" s="37"/>
      <c r="BJ26" s="174" t="str">
        <f t="shared" si="19"/>
        <v/>
      </c>
      <c r="BK26" s="37"/>
      <c r="BL26" s="174" t="str">
        <f t="shared" si="20"/>
        <v/>
      </c>
      <c r="BM26" s="37"/>
      <c r="BN26" s="174" t="str">
        <f t="shared" si="21"/>
        <v/>
      </c>
      <c r="BO26" s="37"/>
      <c r="BP26" s="174" t="str">
        <f t="shared" si="22"/>
        <v/>
      </c>
      <c r="BQ26" s="37"/>
      <c r="BR26" s="174" t="str">
        <f t="shared" si="23"/>
        <v/>
      </c>
      <c r="BS26" s="37"/>
      <c r="BT26" s="174" t="str">
        <f t="shared" si="24"/>
        <v/>
      </c>
      <c r="BU26" s="37"/>
      <c r="BV26" s="174" t="str">
        <f t="shared" si="25"/>
        <v/>
      </c>
      <c r="BW26" s="37"/>
      <c r="BX26" s="174" t="str">
        <f t="shared" si="26"/>
        <v/>
      </c>
      <c r="BY26" s="37"/>
      <c r="BZ26" s="174" t="str">
        <f t="shared" si="27"/>
        <v/>
      </c>
      <c r="CA26" s="37"/>
      <c r="CB26" s="174" t="str">
        <f t="shared" si="28"/>
        <v/>
      </c>
      <c r="CC26" s="37"/>
      <c r="CD26" s="174" t="str">
        <f t="shared" si="29"/>
        <v/>
      </c>
      <c r="CE26" s="37"/>
      <c r="CF26" s="174" t="str">
        <f t="shared" si="30"/>
        <v/>
      </c>
      <c r="CG26" s="37"/>
      <c r="CH26" s="174" t="str">
        <f t="shared" si="31"/>
        <v/>
      </c>
      <c r="CI26" s="37"/>
      <c r="CJ26" s="174" t="str">
        <f t="shared" si="32"/>
        <v/>
      </c>
      <c r="CK26" s="37"/>
      <c r="CL26" s="174" t="str">
        <f t="shared" si="33"/>
        <v/>
      </c>
      <c r="CM26" s="37"/>
      <c r="CN26" s="174" t="str">
        <f t="shared" si="34"/>
        <v/>
      </c>
      <c r="CO26" s="37"/>
      <c r="CP26" s="174" t="str">
        <f t="shared" si="35"/>
        <v/>
      </c>
      <c r="CQ26" s="37"/>
      <c r="CR26" s="174" t="str">
        <f t="shared" si="36"/>
        <v/>
      </c>
      <c r="CS26" s="37"/>
      <c r="CT26" s="174" t="str">
        <f t="shared" si="37"/>
        <v/>
      </c>
      <c r="CU26" s="38"/>
      <c r="CV26" s="87"/>
      <c r="CW26" s="90"/>
      <c r="CX26" s="38"/>
      <c r="CY26" s="39"/>
      <c r="CZ26" s="37"/>
      <c r="DA26" s="39"/>
      <c r="DB26" s="24">
        <v>22</v>
      </c>
      <c r="DC26" s="96" t="str">
        <f t="shared" si="38"/>
        <v>土</v>
      </c>
      <c r="DF26" s="125"/>
      <c r="DG26" s="40"/>
      <c r="DH26" s="40"/>
      <c r="DI26" s="40"/>
      <c r="DJ26" s="40"/>
      <c r="DK26" s="40"/>
      <c r="DL26" s="40"/>
      <c r="DM26" s="40"/>
      <c r="DN26" s="40"/>
      <c r="DO26" s="40"/>
      <c r="DP26" s="40">
        <f t="shared" si="39"/>
        <v>0</v>
      </c>
      <c r="DQ26" s="172" t="str">
        <f t="shared" si="40"/>
        <v/>
      </c>
      <c r="DS26" s="189"/>
      <c r="DT26" s="190"/>
      <c r="DU26" s="190"/>
      <c r="DV26" s="191"/>
      <c r="DW26" s="41"/>
      <c r="DX26" s="42"/>
    </row>
    <row r="27" spans="1:128" ht="13.5" customHeight="1" x14ac:dyDescent="0.4">
      <c r="A27" s="104">
        <v>23</v>
      </c>
      <c r="B27" s="23" t="s">
        <v>89</v>
      </c>
      <c r="C27" s="164"/>
      <c r="D27" s="164"/>
      <c r="E27" s="24"/>
      <c r="F27" s="29"/>
      <c r="G27" s="25" t="str">
        <f>IF(SUM($F$5:F27)=0,"",SUM($F$5:F27))</f>
        <v/>
      </c>
      <c r="H27" s="43" t="str">
        <f t="shared" si="0"/>
        <v/>
      </c>
      <c r="I27" s="148" t="e">
        <f t="array" aca="1" ref="I27" ca="1">IF($A28="",$G27/($V27-$U$5+INDIRECT(IF(_xlfn.SHEET()&lt;6,"令和8年"&amp;_xlfn.SHEET()+7&amp;"月","令和9年"&amp;_xlfn.SHEET()-5&amp;"月")&amp;"!$U$5")),$G27/($V28-$U$5))</f>
        <v>#VALUE!</v>
      </c>
      <c r="J27" s="26" t="str">
        <f t="shared" si="1"/>
        <v/>
      </c>
      <c r="K27" s="27"/>
      <c r="L27" s="165">
        <f t="shared" si="2"/>
        <v>0</v>
      </c>
      <c r="M27" s="28" t="str">
        <f t="shared" si="3"/>
        <v/>
      </c>
      <c r="N27" s="166" t="str">
        <f t="shared" si="4"/>
        <v/>
      </c>
      <c r="O27" s="167" t="str">
        <f t="shared" si="5"/>
        <v/>
      </c>
      <c r="P27" s="168"/>
      <c r="Q27" s="169" t="str">
        <f t="shared" si="6"/>
        <v/>
      </c>
      <c r="R27" s="170">
        <v>38</v>
      </c>
      <c r="S27" s="171">
        <v>27</v>
      </c>
      <c r="T27" s="24" t="s">
        <v>106</v>
      </c>
      <c r="U27" s="29">
        <v>421840</v>
      </c>
      <c r="V27" s="30">
        <f t="shared" si="41"/>
        <v>8746684</v>
      </c>
      <c r="W27" s="27">
        <v>243</v>
      </c>
      <c r="X27" s="31">
        <f t="shared" si="7"/>
        <v>1735.9670781893003</v>
      </c>
      <c r="Y27" s="29">
        <v>220838</v>
      </c>
      <c r="Z27" s="32">
        <f t="shared" si="42"/>
        <v>9871888</v>
      </c>
      <c r="AA27" s="33">
        <f t="shared" si="8"/>
        <v>0.8860193713705018</v>
      </c>
      <c r="AB27" s="158">
        <v>550000</v>
      </c>
      <c r="AC27" s="34">
        <f t="shared" si="43"/>
        <v>9200000</v>
      </c>
      <c r="AD27" s="158"/>
      <c r="AE27" s="25"/>
      <c r="AF27" s="25"/>
      <c r="AG27" s="25"/>
      <c r="AH27" s="25"/>
      <c r="AI27" s="25"/>
      <c r="AJ27" s="25"/>
      <c r="AK27" s="25"/>
      <c r="AL27" s="158"/>
      <c r="AM27" s="25"/>
      <c r="AN27" s="158"/>
      <c r="AO27" s="25"/>
      <c r="AP27" s="25"/>
      <c r="AQ27" s="158"/>
      <c r="AR27" s="35">
        <f t="shared" si="9"/>
        <v>0</v>
      </c>
      <c r="AS27" s="172" t="str">
        <f t="shared" si="10"/>
        <v/>
      </c>
      <c r="AT27" s="36">
        <f t="shared" si="11"/>
        <v>0</v>
      </c>
      <c r="AU27" s="173"/>
      <c r="AV27" s="82">
        <f t="shared" si="12"/>
        <v>23</v>
      </c>
      <c r="AW27" s="37"/>
      <c r="AX27" s="174" t="str">
        <f t="shared" si="13"/>
        <v/>
      </c>
      <c r="AY27" s="37"/>
      <c r="AZ27" s="174" t="str">
        <f t="shared" si="14"/>
        <v/>
      </c>
      <c r="BA27" s="37"/>
      <c r="BB27" s="174" t="str">
        <f t="shared" si="15"/>
        <v/>
      </c>
      <c r="BC27" s="37"/>
      <c r="BD27" s="174" t="str">
        <f t="shared" si="16"/>
        <v/>
      </c>
      <c r="BE27" s="37"/>
      <c r="BF27" s="174" t="str">
        <f t="shared" si="17"/>
        <v/>
      </c>
      <c r="BG27" s="37"/>
      <c r="BH27" s="174" t="str">
        <f t="shared" si="18"/>
        <v/>
      </c>
      <c r="BI27" s="37"/>
      <c r="BJ27" s="174" t="str">
        <f t="shared" si="19"/>
        <v/>
      </c>
      <c r="BK27" s="37"/>
      <c r="BL27" s="174" t="str">
        <f t="shared" si="20"/>
        <v/>
      </c>
      <c r="BM27" s="37"/>
      <c r="BN27" s="174" t="str">
        <f t="shared" si="21"/>
        <v/>
      </c>
      <c r="BO27" s="37"/>
      <c r="BP27" s="174" t="str">
        <f t="shared" si="22"/>
        <v/>
      </c>
      <c r="BQ27" s="37"/>
      <c r="BR27" s="174" t="str">
        <f t="shared" si="23"/>
        <v/>
      </c>
      <c r="BS27" s="37"/>
      <c r="BT27" s="174" t="str">
        <f t="shared" si="24"/>
        <v/>
      </c>
      <c r="BU27" s="37"/>
      <c r="BV27" s="174" t="str">
        <f t="shared" si="25"/>
        <v/>
      </c>
      <c r="BW27" s="37"/>
      <c r="BX27" s="174" t="str">
        <f t="shared" si="26"/>
        <v/>
      </c>
      <c r="BY27" s="37"/>
      <c r="BZ27" s="174" t="str">
        <f t="shared" si="27"/>
        <v/>
      </c>
      <c r="CA27" s="37"/>
      <c r="CB27" s="174" t="str">
        <f t="shared" si="28"/>
        <v/>
      </c>
      <c r="CC27" s="37"/>
      <c r="CD27" s="174" t="str">
        <f t="shared" si="29"/>
        <v/>
      </c>
      <c r="CE27" s="37"/>
      <c r="CF27" s="174" t="str">
        <f t="shared" si="30"/>
        <v/>
      </c>
      <c r="CG27" s="37"/>
      <c r="CH27" s="174" t="str">
        <f t="shared" si="31"/>
        <v/>
      </c>
      <c r="CI27" s="37"/>
      <c r="CJ27" s="174" t="str">
        <f t="shared" si="32"/>
        <v/>
      </c>
      <c r="CK27" s="37"/>
      <c r="CL27" s="174" t="str">
        <f t="shared" si="33"/>
        <v/>
      </c>
      <c r="CM27" s="37"/>
      <c r="CN27" s="174" t="str">
        <f t="shared" si="34"/>
        <v/>
      </c>
      <c r="CO27" s="37"/>
      <c r="CP27" s="174" t="str">
        <f t="shared" si="35"/>
        <v/>
      </c>
      <c r="CQ27" s="37"/>
      <c r="CR27" s="174" t="str">
        <f t="shared" si="36"/>
        <v/>
      </c>
      <c r="CS27" s="37"/>
      <c r="CT27" s="174" t="str">
        <f t="shared" si="37"/>
        <v/>
      </c>
      <c r="CU27" s="38"/>
      <c r="CV27" s="87"/>
      <c r="CW27" s="90"/>
      <c r="CX27" s="38"/>
      <c r="CY27" s="39"/>
      <c r="CZ27" s="37"/>
      <c r="DA27" s="39"/>
      <c r="DB27" s="24">
        <v>23</v>
      </c>
      <c r="DC27" s="96" t="str">
        <f t="shared" si="38"/>
        <v>日</v>
      </c>
      <c r="DF27" s="125"/>
      <c r="DG27" s="40"/>
      <c r="DH27" s="40"/>
      <c r="DI27" s="40"/>
      <c r="DJ27" s="40"/>
      <c r="DK27" s="40"/>
      <c r="DL27" s="40"/>
      <c r="DM27" s="40"/>
      <c r="DN27" s="40"/>
      <c r="DO27" s="40"/>
      <c r="DP27" s="40">
        <f t="shared" si="39"/>
        <v>0</v>
      </c>
      <c r="DQ27" s="172" t="str">
        <f t="shared" si="40"/>
        <v/>
      </c>
      <c r="DS27" s="189"/>
      <c r="DT27" s="190"/>
      <c r="DU27" s="190"/>
      <c r="DV27" s="191"/>
      <c r="DW27" s="41"/>
      <c r="DX27" s="42"/>
    </row>
    <row r="28" spans="1:128" ht="13.5" customHeight="1" x14ac:dyDescent="0.4">
      <c r="A28" s="104">
        <v>24</v>
      </c>
      <c r="B28" s="23" t="s">
        <v>90</v>
      </c>
      <c r="C28" s="164"/>
      <c r="D28" s="164"/>
      <c r="E28" s="24"/>
      <c r="F28" s="29"/>
      <c r="G28" s="25" t="str">
        <f>IF(SUM($F$5:F28)=0,"",SUM($F$5:F28))</f>
        <v/>
      </c>
      <c r="H28" s="43" t="str">
        <f t="shared" si="0"/>
        <v/>
      </c>
      <c r="I28" s="148" t="e">
        <f t="array" aca="1" ref="I28" ca="1">IF($A29="",$G28/($V28-$U$5+INDIRECT(IF(_xlfn.SHEET()&lt;6,"令和8年"&amp;_xlfn.SHEET()+7&amp;"月","令和9年"&amp;_xlfn.SHEET()-5&amp;"月")&amp;"!$U$5")),$G28/($V29-$U$5))</f>
        <v>#VALUE!</v>
      </c>
      <c r="J28" s="26" t="str">
        <f t="shared" si="1"/>
        <v/>
      </c>
      <c r="K28" s="27"/>
      <c r="L28" s="165">
        <f t="shared" si="2"/>
        <v>0</v>
      </c>
      <c r="M28" s="28" t="str">
        <f t="shared" si="3"/>
        <v/>
      </c>
      <c r="N28" s="166" t="str">
        <f t="shared" si="4"/>
        <v/>
      </c>
      <c r="O28" s="167" t="str">
        <f t="shared" si="5"/>
        <v/>
      </c>
      <c r="P28" s="168"/>
      <c r="Q28" s="169" t="str">
        <f t="shared" si="6"/>
        <v/>
      </c>
      <c r="R28" s="170">
        <v>38</v>
      </c>
      <c r="S28" s="171">
        <v>27</v>
      </c>
      <c r="T28" s="24" t="s">
        <v>106</v>
      </c>
      <c r="U28" s="29">
        <v>424256</v>
      </c>
      <c r="V28" s="30">
        <f t="shared" si="41"/>
        <v>9170940</v>
      </c>
      <c r="W28" s="27">
        <v>233</v>
      </c>
      <c r="X28" s="31">
        <f t="shared" si="7"/>
        <v>1820.8412017167382</v>
      </c>
      <c r="Y28" s="29">
        <v>496370</v>
      </c>
      <c r="Z28" s="32">
        <f t="shared" si="42"/>
        <v>10368258</v>
      </c>
      <c r="AA28" s="33">
        <f t="shared" si="8"/>
        <v>0.88452081342883249</v>
      </c>
      <c r="AB28" s="158">
        <v>220000</v>
      </c>
      <c r="AC28" s="34">
        <f t="shared" si="43"/>
        <v>9420000</v>
      </c>
      <c r="AD28" s="158"/>
      <c r="AE28" s="25"/>
      <c r="AF28" s="25"/>
      <c r="AG28" s="25"/>
      <c r="AH28" s="25"/>
      <c r="AI28" s="25"/>
      <c r="AJ28" s="25"/>
      <c r="AK28" s="25"/>
      <c r="AL28" s="158"/>
      <c r="AM28" s="25"/>
      <c r="AN28" s="158"/>
      <c r="AO28" s="25"/>
      <c r="AP28" s="25"/>
      <c r="AQ28" s="158"/>
      <c r="AR28" s="35">
        <f t="shared" si="9"/>
        <v>0</v>
      </c>
      <c r="AS28" s="172" t="str">
        <f t="shared" si="10"/>
        <v/>
      </c>
      <c r="AT28" s="36">
        <f t="shared" si="11"/>
        <v>0</v>
      </c>
      <c r="AU28" s="173"/>
      <c r="AV28" s="82">
        <f t="shared" si="12"/>
        <v>24</v>
      </c>
      <c r="AW28" s="37"/>
      <c r="AX28" s="174" t="str">
        <f t="shared" si="13"/>
        <v/>
      </c>
      <c r="AY28" s="37"/>
      <c r="AZ28" s="174" t="str">
        <f t="shared" si="14"/>
        <v/>
      </c>
      <c r="BA28" s="37"/>
      <c r="BB28" s="174" t="str">
        <f t="shared" si="15"/>
        <v/>
      </c>
      <c r="BC28" s="37"/>
      <c r="BD28" s="174" t="str">
        <f t="shared" si="16"/>
        <v/>
      </c>
      <c r="BE28" s="37"/>
      <c r="BF28" s="174" t="str">
        <f t="shared" si="17"/>
        <v/>
      </c>
      <c r="BG28" s="37"/>
      <c r="BH28" s="174" t="str">
        <f t="shared" si="18"/>
        <v/>
      </c>
      <c r="BI28" s="37"/>
      <c r="BJ28" s="174" t="str">
        <f t="shared" si="19"/>
        <v/>
      </c>
      <c r="BK28" s="37"/>
      <c r="BL28" s="174" t="str">
        <f t="shared" si="20"/>
        <v/>
      </c>
      <c r="BM28" s="37"/>
      <c r="BN28" s="174" t="str">
        <f t="shared" si="21"/>
        <v/>
      </c>
      <c r="BO28" s="37"/>
      <c r="BP28" s="174" t="str">
        <f t="shared" si="22"/>
        <v/>
      </c>
      <c r="BQ28" s="37"/>
      <c r="BR28" s="174" t="str">
        <f t="shared" si="23"/>
        <v/>
      </c>
      <c r="BS28" s="37"/>
      <c r="BT28" s="174" t="str">
        <f t="shared" si="24"/>
        <v/>
      </c>
      <c r="BU28" s="37"/>
      <c r="BV28" s="174" t="str">
        <f t="shared" si="25"/>
        <v/>
      </c>
      <c r="BW28" s="37"/>
      <c r="BX28" s="174" t="str">
        <f t="shared" si="26"/>
        <v/>
      </c>
      <c r="BY28" s="37"/>
      <c r="BZ28" s="174" t="str">
        <f t="shared" si="27"/>
        <v/>
      </c>
      <c r="CA28" s="37"/>
      <c r="CB28" s="174" t="str">
        <f t="shared" si="28"/>
        <v/>
      </c>
      <c r="CC28" s="37"/>
      <c r="CD28" s="174" t="str">
        <f t="shared" si="29"/>
        <v/>
      </c>
      <c r="CE28" s="37"/>
      <c r="CF28" s="174" t="str">
        <f t="shared" si="30"/>
        <v/>
      </c>
      <c r="CG28" s="37"/>
      <c r="CH28" s="174" t="str">
        <f t="shared" si="31"/>
        <v/>
      </c>
      <c r="CI28" s="37"/>
      <c r="CJ28" s="174" t="str">
        <f t="shared" si="32"/>
        <v/>
      </c>
      <c r="CK28" s="37"/>
      <c r="CL28" s="174" t="str">
        <f t="shared" si="33"/>
        <v/>
      </c>
      <c r="CM28" s="37"/>
      <c r="CN28" s="174" t="str">
        <f t="shared" si="34"/>
        <v/>
      </c>
      <c r="CO28" s="37"/>
      <c r="CP28" s="174" t="str">
        <f t="shared" si="35"/>
        <v/>
      </c>
      <c r="CQ28" s="37"/>
      <c r="CR28" s="174" t="str">
        <f t="shared" si="36"/>
        <v/>
      </c>
      <c r="CS28" s="37"/>
      <c r="CT28" s="174" t="str">
        <f t="shared" si="37"/>
        <v/>
      </c>
      <c r="CU28" s="38"/>
      <c r="CV28" s="87"/>
      <c r="CW28" s="90"/>
      <c r="CX28" s="38"/>
      <c r="CY28" s="39"/>
      <c r="CZ28" s="37"/>
      <c r="DA28" s="39"/>
      <c r="DB28" s="24">
        <v>24</v>
      </c>
      <c r="DC28" s="96" t="str">
        <f t="shared" si="38"/>
        <v>月</v>
      </c>
      <c r="DF28" s="125"/>
      <c r="DG28" s="40"/>
      <c r="DH28" s="40"/>
      <c r="DI28" s="40"/>
      <c r="DJ28" s="40"/>
      <c r="DK28" s="40"/>
      <c r="DL28" s="40"/>
      <c r="DM28" s="40"/>
      <c r="DN28" s="40"/>
      <c r="DO28" s="40"/>
      <c r="DP28" s="40">
        <f t="shared" si="39"/>
        <v>0</v>
      </c>
      <c r="DQ28" s="172" t="str">
        <f t="shared" si="40"/>
        <v/>
      </c>
      <c r="DS28" s="189"/>
      <c r="DT28" s="190"/>
      <c r="DU28" s="190"/>
      <c r="DV28" s="191"/>
      <c r="DW28" s="138"/>
      <c r="DX28" s="42"/>
    </row>
    <row r="29" spans="1:128" ht="13.5" customHeight="1" x14ac:dyDescent="0.4">
      <c r="A29" s="104">
        <v>25</v>
      </c>
      <c r="B29" s="23" t="s">
        <v>91</v>
      </c>
      <c r="C29" s="164"/>
      <c r="D29" s="164"/>
      <c r="E29" s="24"/>
      <c r="F29" s="29"/>
      <c r="G29" s="25" t="str">
        <f>IF(SUM($F$5:F29)=0,"",SUM($F$5:F29))</f>
        <v/>
      </c>
      <c r="H29" s="43" t="str">
        <f t="shared" si="0"/>
        <v/>
      </c>
      <c r="I29" s="148" t="e">
        <f t="array" aca="1" ref="I29" ca="1">IF($A30="",$G29/($V29-$U$5+INDIRECT(IF(_xlfn.SHEET()&lt;6,"令和8年"&amp;_xlfn.SHEET()+7&amp;"月","令和9年"&amp;_xlfn.SHEET()-5&amp;"月")&amp;"!$U$5")),$G29/($V30-$U$5))</f>
        <v>#VALUE!</v>
      </c>
      <c r="J29" s="26" t="str">
        <f t="shared" si="1"/>
        <v/>
      </c>
      <c r="K29" s="27"/>
      <c r="L29" s="165">
        <f t="shared" si="2"/>
        <v>0</v>
      </c>
      <c r="M29" s="28" t="str">
        <f t="shared" si="3"/>
        <v/>
      </c>
      <c r="N29" s="166" t="str">
        <f t="shared" si="4"/>
        <v/>
      </c>
      <c r="O29" s="167" t="str">
        <f t="shared" si="5"/>
        <v/>
      </c>
      <c r="P29" s="168"/>
      <c r="Q29" s="169" t="str">
        <f t="shared" si="6"/>
        <v/>
      </c>
      <c r="R29" s="170">
        <v>35</v>
      </c>
      <c r="S29" s="171">
        <v>26</v>
      </c>
      <c r="T29" s="24" t="s">
        <v>84</v>
      </c>
      <c r="U29" s="29">
        <v>230661</v>
      </c>
      <c r="V29" s="30">
        <f t="shared" si="41"/>
        <v>9401601</v>
      </c>
      <c r="W29" s="27">
        <v>117</v>
      </c>
      <c r="X29" s="31">
        <f t="shared" si="7"/>
        <v>1971.4615384615386</v>
      </c>
      <c r="Y29" s="29">
        <v>540013</v>
      </c>
      <c r="Z29" s="32">
        <f t="shared" si="42"/>
        <v>10908271</v>
      </c>
      <c r="AA29" s="33">
        <f t="shared" si="8"/>
        <v>0.86187820232922341</v>
      </c>
      <c r="AB29" s="158">
        <v>220000</v>
      </c>
      <c r="AC29" s="34">
        <f t="shared" si="43"/>
        <v>9640000</v>
      </c>
      <c r="AD29" s="158"/>
      <c r="AE29" s="25"/>
      <c r="AF29" s="25"/>
      <c r="AG29" s="25"/>
      <c r="AH29" s="25"/>
      <c r="AI29" s="25"/>
      <c r="AJ29" s="25"/>
      <c r="AK29" s="25"/>
      <c r="AL29" s="158"/>
      <c r="AM29" s="25"/>
      <c r="AN29" s="158"/>
      <c r="AO29" s="25"/>
      <c r="AP29" s="25"/>
      <c r="AQ29" s="158"/>
      <c r="AR29" s="35">
        <f t="shared" si="9"/>
        <v>0</v>
      </c>
      <c r="AS29" s="172" t="str">
        <f t="shared" si="10"/>
        <v/>
      </c>
      <c r="AT29" s="36">
        <f t="shared" si="11"/>
        <v>0</v>
      </c>
      <c r="AU29" s="173"/>
      <c r="AV29" s="82">
        <f t="shared" si="12"/>
        <v>25</v>
      </c>
      <c r="AW29" s="37"/>
      <c r="AX29" s="174" t="str">
        <f t="shared" si="13"/>
        <v/>
      </c>
      <c r="AY29" s="37"/>
      <c r="AZ29" s="174" t="str">
        <f t="shared" si="14"/>
        <v/>
      </c>
      <c r="BA29" s="37"/>
      <c r="BB29" s="174" t="str">
        <f t="shared" si="15"/>
        <v/>
      </c>
      <c r="BC29" s="37"/>
      <c r="BD29" s="174" t="str">
        <f t="shared" si="16"/>
        <v/>
      </c>
      <c r="BE29" s="37"/>
      <c r="BF29" s="174" t="str">
        <f t="shared" si="17"/>
        <v/>
      </c>
      <c r="BG29" s="37"/>
      <c r="BH29" s="174" t="str">
        <f t="shared" si="18"/>
        <v/>
      </c>
      <c r="BI29" s="37"/>
      <c r="BJ29" s="174" t="str">
        <f t="shared" si="19"/>
        <v/>
      </c>
      <c r="BK29" s="37"/>
      <c r="BL29" s="174" t="str">
        <f t="shared" si="20"/>
        <v/>
      </c>
      <c r="BM29" s="37"/>
      <c r="BN29" s="174" t="str">
        <f t="shared" si="21"/>
        <v/>
      </c>
      <c r="BO29" s="37"/>
      <c r="BP29" s="174" t="str">
        <f t="shared" si="22"/>
        <v/>
      </c>
      <c r="BQ29" s="37"/>
      <c r="BR29" s="174" t="str">
        <f t="shared" si="23"/>
        <v/>
      </c>
      <c r="BS29" s="37"/>
      <c r="BT29" s="174" t="str">
        <f t="shared" si="24"/>
        <v/>
      </c>
      <c r="BU29" s="37"/>
      <c r="BV29" s="174" t="str">
        <f t="shared" si="25"/>
        <v/>
      </c>
      <c r="BW29" s="37"/>
      <c r="BX29" s="174" t="str">
        <f t="shared" si="26"/>
        <v/>
      </c>
      <c r="BY29" s="37"/>
      <c r="BZ29" s="174" t="str">
        <f t="shared" si="27"/>
        <v/>
      </c>
      <c r="CA29" s="37"/>
      <c r="CB29" s="174" t="str">
        <f t="shared" si="28"/>
        <v/>
      </c>
      <c r="CC29" s="37"/>
      <c r="CD29" s="174" t="str">
        <f t="shared" si="29"/>
        <v/>
      </c>
      <c r="CE29" s="37"/>
      <c r="CF29" s="174" t="str">
        <f t="shared" si="30"/>
        <v/>
      </c>
      <c r="CG29" s="37"/>
      <c r="CH29" s="174" t="str">
        <f t="shared" si="31"/>
        <v/>
      </c>
      <c r="CI29" s="37"/>
      <c r="CJ29" s="174" t="str">
        <f t="shared" si="32"/>
        <v/>
      </c>
      <c r="CK29" s="37"/>
      <c r="CL29" s="174" t="str">
        <f t="shared" si="33"/>
        <v/>
      </c>
      <c r="CM29" s="37"/>
      <c r="CN29" s="174" t="str">
        <f t="shared" si="34"/>
        <v/>
      </c>
      <c r="CO29" s="37"/>
      <c r="CP29" s="174" t="str">
        <f t="shared" si="35"/>
        <v/>
      </c>
      <c r="CQ29" s="37"/>
      <c r="CR29" s="174" t="str">
        <f t="shared" si="36"/>
        <v/>
      </c>
      <c r="CS29" s="37"/>
      <c r="CT29" s="174" t="str">
        <f t="shared" si="37"/>
        <v/>
      </c>
      <c r="CU29" s="38"/>
      <c r="CV29" s="87"/>
      <c r="CW29" s="90"/>
      <c r="CX29" s="38"/>
      <c r="CY29" s="39"/>
      <c r="CZ29" s="37"/>
      <c r="DA29" s="39"/>
      <c r="DB29" s="24">
        <v>25</v>
      </c>
      <c r="DC29" s="96" t="str">
        <f t="shared" si="38"/>
        <v>火</v>
      </c>
      <c r="DF29" s="125"/>
      <c r="DG29" s="40"/>
      <c r="DH29" s="40"/>
      <c r="DI29" s="40"/>
      <c r="DJ29" s="40"/>
      <c r="DK29" s="40"/>
      <c r="DL29" s="40"/>
      <c r="DM29" s="40"/>
      <c r="DN29" s="40"/>
      <c r="DO29" s="40"/>
      <c r="DP29" s="40">
        <f t="shared" si="39"/>
        <v>0</v>
      </c>
      <c r="DQ29" s="172" t="str">
        <f t="shared" si="40"/>
        <v/>
      </c>
      <c r="DS29" s="189"/>
      <c r="DT29" s="190"/>
      <c r="DU29" s="190"/>
      <c r="DV29" s="191"/>
      <c r="DW29" s="41"/>
      <c r="DX29" s="42"/>
    </row>
    <row r="30" spans="1:128" ht="13.5" customHeight="1" x14ac:dyDescent="0.4">
      <c r="A30" s="104">
        <v>26</v>
      </c>
      <c r="B30" s="23" t="s">
        <v>83</v>
      </c>
      <c r="C30" s="164"/>
      <c r="D30" s="164"/>
      <c r="E30" s="24"/>
      <c r="F30" s="29"/>
      <c r="G30" s="25" t="str">
        <f>IF(SUM($F$5:F30)=0,"",SUM($F$5:F30))</f>
        <v/>
      </c>
      <c r="H30" s="43" t="str">
        <f t="shared" si="0"/>
        <v/>
      </c>
      <c r="I30" s="148" t="e">
        <f t="array" aca="1" ref="I30" ca="1">IF($A31="",$G30/($V30-$U$5+INDIRECT(IF(_xlfn.SHEET()&lt;6,"令和8年"&amp;_xlfn.SHEET()+7&amp;"月","令和9年"&amp;_xlfn.SHEET()-5&amp;"月")&amp;"!$U$5")),$G30/($V31-$U$5))</f>
        <v>#VALUE!</v>
      </c>
      <c r="J30" s="26" t="str">
        <f t="shared" si="1"/>
        <v/>
      </c>
      <c r="K30" s="27"/>
      <c r="L30" s="165">
        <f t="shared" si="2"/>
        <v>0</v>
      </c>
      <c r="M30" s="28" t="str">
        <f t="shared" si="3"/>
        <v/>
      </c>
      <c r="N30" s="166" t="str">
        <f t="shared" si="4"/>
        <v/>
      </c>
      <c r="O30" s="167" t="str">
        <f t="shared" si="5"/>
        <v/>
      </c>
      <c r="P30" s="168"/>
      <c r="Q30" s="169" t="str">
        <f t="shared" si="6"/>
        <v/>
      </c>
      <c r="R30" s="170">
        <v>37</v>
      </c>
      <c r="S30" s="171">
        <v>26</v>
      </c>
      <c r="T30" s="24" t="s">
        <v>84</v>
      </c>
      <c r="U30" s="29">
        <v>230748</v>
      </c>
      <c r="V30" s="30">
        <f t="shared" si="41"/>
        <v>9632349</v>
      </c>
      <c r="W30" s="27">
        <v>135</v>
      </c>
      <c r="X30" s="31">
        <f t="shared" si="7"/>
        <v>1709.2444444444445</v>
      </c>
      <c r="Y30" s="29">
        <v>252873</v>
      </c>
      <c r="Z30" s="32">
        <f t="shared" si="42"/>
        <v>11161144</v>
      </c>
      <c r="AA30" s="33">
        <f t="shared" si="8"/>
        <v>0.86302524185692797</v>
      </c>
      <c r="AB30" s="158">
        <v>220000</v>
      </c>
      <c r="AC30" s="34">
        <f t="shared" si="43"/>
        <v>9860000</v>
      </c>
      <c r="AD30" s="158"/>
      <c r="AE30" s="25"/>
      <c r="AF30" s="25"/>
      <c r="AG30" s="25"/>
      <c r="AH30" s="25"/>
      <c r="AI30" s="25"/>
      <c r="AJ30" s="25"/>
      <c r="AK30" s="25"/>
      <c r="AL30" s="158"/>
      <c r="AM30" s="25"/>
      <c r="AN30" s="158"/>
      <c r="AO30" s="25"/>
      <c r="AP30" s="25"/>
      <c r="AQ30" s="158"/>
      <c r="AR30" s="35">
        <f t="shared" si="9"/>
        <v>0</v>
      </c>
      <c r="AS30" s="172" t="str">
        <f t="shared" si="10"/>
        <v/>
      </c>
      <c r="AT30" s="36">
        <f t="shared" si="11"/>
        <v>0</v>
      </c>
      <c r="AU30" s="173"/>
      <c r="AV30" s="82">
        <f t="shared" si="12"/>
        <v>26</v>
      </c>
      <c r="AW30" s="37"/>
      <c r="AX30" s="174" t="str">
        <f t="shared" si="13"/>
        <v/>
      </c>
      <c r="AY30" s="37"/>
      <c r="AZ30" s="174" t="str">
        <f t="shared" si="14"/>
        <v/>
      </c>
      <c r="BA30" s="37"/>
      <c r="BB30" s="174" t="str">
        <f t="shared" si="15"/>
        <v/>
      </c>
      <c r="BC30" s="37"/>
      <c r="BD30" s="174" t="str">
        <f t="shared" si="16"/>
        <v/>
      </c>
      <c r="BE30" s="37"/>
      <c r="BF30" s="174" t="str">
        <f t="shared" si="17"/>
        <v/>
      </c>
      <c r="BG30" s="37"/>
      <c r="BH30" s="174" t="str">
        <f t="shared" si="18"/>
        <v/>
      </c>
      <c r="BI30" s="37"/>
      <c r="BJ30" s="174" t="str">
        <f t="shared" si="19"/>
        <v/>
      </c>
      <c r="BK30" s="37"/>
      <c r="BL30" s="174" t="str">
        <f t="shared" si="20"/>
        <v/>
      </c>
      <c r="BM30" s="37"/>
      <c r="BN30" s="174" t="str">
        <f t="shared" si="21"/>
        <v/>
      </c>
      <c r="BO30" s="37"/>
      <c r="BP30" s="174" t="str">
        <f t="shared" si="22"/>
        <v/>
      </c>
      <c r="BQ30" s="37"/>
      <c r="BR30" s="174" t="str">
        <f t="shared" si="23"/>
        <v/>
      </c>
      <c r="BS30" s="37"/>
      <c r="BT30" s="174" t="str">
        <f t="shared" si="24"/>
        <v/>
      </c>
      <c r="BU30" s="37"/>
      <c r="BV30" s="174" t="str">
        <f t="shared" si="25"/>
        <v/>
      </c>
      <c r="BW30" s="37"/>
      <c r="BX30" s="174" t="str">
        <f t="shared" si="26"/>
        <v/>
      </c>
      <c r="BY30" s="37"/>
      <c r="BZ30" s="174" t="str">
        <f t="shared" si="27"/>
        <v/>
      </c>
      <c r="CA30" s="37"/>
      <c r="CB30" s="174" t="str">
        <f t="shared" si="28"/>
        <v/>
      </c>
      <c r="CC30" s="37"/>
      <c r="CD30" s="174" t="str">
        <f t="shared" si="29"/>
        <v/>
      </c>
      <c r="CE30" s="37"/>
      <c r="CF30" s="174" t="str">
        <f t="shared" si="30"/>
        <v/>
      </c>
      <c r="CG30" s="37"/>
      <c r="CH30" s="174" t="str">
        <f t="shared" si="31"/>
        <v/>
      </c>
      <c r="CI30" s="37"/>
      <c r="CJ30" s="174" t="str">
        <f t="shared" si="32"/>
        <v/>
      </c>
      <c r="CK30" s="37"/>
      <c r="CL30" s="174" t="str">
        <f t="shared" si="33"/>
        <v/>
      </c>
      <c r="CM30" s="37"/>
      <c r="CN30" s="174" t="str">
        <f t="shared" si="34"/>
        <v/>
      </c>
      <c r="CO30" s="37"/>
      <c r="CP30" s="174" t="str">
        <f t="shared" si="35"/>
        <v/>
      </c>
      <c r="CQ30" s="37"/>
      <c r="CR30" s="174" t="str">
        <f t="shared" si="36"/>
        <v/>
      </c>
      <c r="CS30" s="37"/>
      <c r="CT30" s="174" t="str">
        <f t="shared" si="37"/>
        <v/>
      </c>
      <c r="CU30" s="38"/>
      <c r="CV30" s="87"/>
      <c r="CW30" s="90"/>
      <c r="CX30" s="38"/>
      <c r="CY30" s="39"/>
      <c r="CZ30" s="37"/>
      <c r="DA30" s="39"/>
      <c r="DB30" s="24">
        <v>26</v>
      </c>
      <c r="DC30" s="96" t="str">
        <f t="shared" si="38"/>
        <v>水</v>
      </c>
      <c r="DF30" s="125"/>
      <c r="DG30" s="40"/>
      <c r="DH30" s="40"/>
      <c r="DI30" s="40"/>
      <c r="DJ30" s="40"/>
      <c r="DK30" s="40"/>
      <c r="DL30" s="40"/>
      <c r="DM30" s="40"/>
      <c r="DN30" s="40"/>
      <c r="DO30" s="40"/>
      <c r="DP30" s="40">
        <f t="shared" si="39"/>
        <v>0</v>
      </c>
      <c r="DQ30" s="172" t="str">
        <f t="shared" si="40"/>
        <v/>
      </c>
      <c r="DS30" s="189"/>
      <c r="DT30" s="190"/>
      <c r="DU30" s="190"/>
      <c r="DV30" s="191"/>
      <c r="DW30" s="41"/>
      <c r="DX30" s="42"/>
    </row>
    <row r="31" spans="1:128" ht="13.5" customHeight="1" x14ac:dyDescent="0.4">
      <c r="A31" s="104">
        <v>27</v>
      </c>
      <c r="B31" s="23" t="s">
        <v>85</v>
      </c>
      <c r="C31" s="164"/>
      <c r="D31" s="164"/>
      <c r="E31" s="24"/>
      <c r="F31" s="29"/>
      <c r="G31" s="25" t="str">
        <f>IF(SUM($F$5:F31)=0,"",SUM($F$5:F31))</f>
        <v/>
      </c>
      <c r="H31" s="43" t="str">
        <f t="shared" si="0"/>
        <v/>
      </c>
      <c r="I31" s="148" t="e">
        <f t="array" aca="1" ref="I31" ca="1">IF($A32="",$G31/($V31-$U$5+INDIRECT(IF(_xlfn.SHEET()&lt;6,"令和8年"&amp;_xlfn.SHEET()+7&amp;"月","令和9年"&amp;_xlfn.SHEET()-5&amp;"月")&amp;"!$U$5")),$G31/($V32-$U$5))</f>
        <v>#VALUE!</v>
      </c>
      <c r="J31" s="26" t="str">
        <f t="shared" si="1"/>
        <v/>
      </c>
      <c r="K31" s="27"/>
      <c r="L31" s="165">
        <f t="shared" si="2"/>
        <v>0</v>
      </c>
      <c r="M31" s="28" t="str">
        <f t="shared" si="3"/>
        <v/>
      </c>
      <c r="N31" s="166" t="str">
        <f t="shared" si="4"/>
        <v/>
      </c>
      <c r="O31" s="167" t="str">
        <f t="shared" si="5"/>
        <v/>
      </c>
      <c r="P31" s="168"/>
      <c r="Q31" s="169" t="str">
        <f t="shared" si="6"/>
        <v/>
      </c>
      <c r="R31" s="170">
        <v>35</v>
      </c>
      <c r="S31" s="171">
        <v>27</v>
      </c>
      <c r="T31" s="24" t="s">
        <v>84</v>
      </c>
      <c r="U31" s="29">
        <v>192087</v>
      </c>
      <c r="V31" s="30">
        <f t="shared" si="41"/>
        <v>9824436</v>
      </c>
      <c r="W31" s="27">
        <v>151</v>
      </c>
      <c r="X31" s="31">
        <f t="shared" si="7"/>
        <v>1272.0993377483444</v>
      </c>
      <c r="Y31" s="29">
        <v>232531</v>
      </c>
      <c r="Z31" s="32">
        <f t="shared" si="42"/>
        <v>11393675</v>
      </c>
      <c r="AA31" s="33">
        <f t="shared" si="8"/>
        <v>0.86227104073093186</v>
      </c>
      <c r="AB31" s="158">
        <v>220000</v>
      </c>
      <c r="AC31" s="34">
        <f t="shared" si="43"/>
        <v>10080000</v>
      </c>
      <c r="AD31" s="158"/>
      <c r="AE31" s="25"/>
      <c r="AF31" s="25"/>
      <c r="AG31" s="25"/>
      <c r="AH31" s="25"/>
      <c r="AI31" s="25"/>
      <c r="AJ31" s="25"/>
      <c r="AK31" s="25"/>
      <c r="AL31" s="158"/>
      <c r="AM31" s="25"/>
      <c r="AN31" s="158"/>
      <c r="AO31" s="25"/>
      <c r="AP31" s="25"/>
      <c r="AQ31" s="158"/>
      <c r="AR31" s="35">
        <f t="shared" si="9"/>
        <v>0</v>
      </c>
      <c r="AS31" s="172" t="str">
        <f t="shared" si="10"/>
        <v/>
      </c>
      <c r="AT31" s="36">
        <f t="shared" si="11"/>
        <v>0</v>
      </c>
      <c r="AU31" s="173"/>
      <c r="AV31" s="82">
        <f t="shared" si="12"/>
        <v>27</v>
      </c>
      <c r="AW31" s="37"/>
      <c r="AX31" s="174" t="str">
        <f t="shared" si="13"/>
        <v/>
      </c>
      <c r="AY31" s="37"/>
      <c r="AZ31" s="174" t="str">
        <f t="shared" si="14"/>
        <v/>
      </c>
      <c r="BA31" s="37"/>
      <c r="BB31" s="174" t="str">
        <f t="shared" si="15"/>
        <v/>
      </c>
      <c r="BC31" s="37"/>
      <c r="BD31" s="174" t="str">
        <f t="shared" si="16"/>
        <v/>
      </c>
      <c r="BE31" s="37"/>
      <c r="BF31" s="174" t="str">
        <f t="shared" si="17"/>
        <v/>
      </c>
      <c r="BG31" s="37"/>
      <c r="BH31" s="174" t="str">
        <f t="shared" si="18"/>
        <v/>
      </c>
      <c r="BI31" s="37"/>
      <c r="BJ31" s="174" t="str">
        <f t="shared" si="19"/>
        <v/>
      </c>
      <c r="BK31" s="37"/>
      <c r="BL31" s="174" t="str">
        <f t="shared" si="20"/>
        <v/>
      </c>
      <c r="BM31" s="37"/>
      <c r="BN31" s="174" t="str">
        <f t="shared" si="21"/>
        <v/>
      </c>
      <c r="BO31" s="37"/>
      <c r="BP31" s="174" t="str">
        <f t="shared" si="22"/>
        <v/>
      </c>
      <c r="BQ31" s="37"/>
      <c r="BR31" s="174" t="str">
        <f t="shared" si="23"/>
        <v/>
      </c>
      <c r="BS31" s="37"/>
      <c r="BT31" s="174" t="str">
        <f t="shared" si="24"/>
        <v/>
      </c>
      <c r="BU31" s="37"/>
      <c r="BV31" s="174" t="str">
        <f t="shared" si="25"/>
        <v/>
      </c>
      <c r="BW31" s="37"/>
      <c r="BX31" s="174" t="str">
        <f t="shared" si="26"/>
        <v/>
      </c>
      <c r="BY31" s="37"/>
      <c r="BZ31" s="174" t="str">
        <f t="shared" si="27"/>
        <v/>
      </c>
      <c r="CA31" s="37"/>
      <c r="CB31" s="174" t="str">
        <f t="shared" si="28"/>
        <v/>
      </c>
      <c r="CC31" s="37"/>
      <c r="CD31" s="174" t="str">
        <f t="shared" si="29"/>
        <v/>
      </c>
      <c r="CE31" s="37"/>
      <c r="CF31" s="174" t="str">
        <f t="shared" si="30"/>
        <v/>
      </c>
      <c r="CG31" s="37"/>
      <c r="CH31" s="174" t="str">
        <f t="shared" si="31"/>
        <v/>
      </c>
      <c r="CI31" s="37"/>
      <c r="CJ31" s="174" t="str">
        <f t="shared" si="32"/>
        <v/>
      </c>
      <c r="CK31" s="37"/>
      <c r="CL31" s="174" t="str">
        <f t="shared" si="33"/>
        <v/>
      </c>
      <c r="CM31" s="37"/>
      <c r="CN31" s="174" t="str">
        <f t="shared" si="34"/>
        <v/>
      </c>
      <c r="CO31" s="37"/>
      <c r="CP31" s="174" t="str">
        <f t="shared" si="35"/>
        <v/>
      </c>
      <c r="CQ31" s="37"/>
      <c r="CR31" s="174" t="str">
        <f t="shared" si="36"/>
        <v/>
      </c>
      <c r="CS31" s="37"/>
      <c r="CT31" s="174" t="str">
        <f t="shared" si="37"/>
        <v/>
      </c>
      <c r="CU31" s="38"/>
      <c r="CV31" s="87"/>
      <c r="CW31" s="90"/>
      <c r="CX31" s="38"/>
      <c r="CY31" s="39"/>
      <c r="CZ31" s="37"/>
      <c r="DA31" s="39"/>
      <c r="DB31" s="24">
        <v>27</v>
      </c>
      <c r="DC31" s="96" t="str">
        <f t="shared" si="38"/>
        <v>木</v>
      </c>
      <c r="DF31" s="125"/>
      <c r="DG31" s="40"/>
      <c r="DH31" s="40"/>
      <c r="DI31" s="40"/>
      <c r="DJ31" s="40"/>
      <c r="DK31" s="40"/>
      <c r="DL31" s="40"/>
      <c r="DM31" s="40"/>
      <c r="DN31" s="40"/>
      <c r="DO31" s="40"/>
      <c r="DP31" s="40">
        <f t="shared" si="39"/>
        <v>0</v>
      </c>
      <c r="DQ31" s="172" t="str">
        <f t="shared" si="40"/>
        <v/>
      </c>
      <c r="DS31" s="189"/>
      <c r="DT31" s="190"/>
      <c r="DU31" s="190"/>
      <c r="DV31" s="191"/>
      <c r="DW31" s="138"/>
      <c r="DX31" s="42"/>
    </row>
    <row r="32" spans="1:128" ht="13.5" customHeight="1" x14ac:dyDescent="0.4">
      <c r="A32" s="104">
        <v>28</v>
      </c>
      <c r="B32" s="23" t="s">
        <v>86</v>
      </c>
      <c r="C32" s="164"/>
      <c r="D32" s="164"/>
      <c r="E32" s="24"/>
      <c r="F32" s="29"/>
      <c r="G32" s="25" t="str">
        <f>IF(SUM($F$5:F32)=0,"",SUM($F$5:F32))</f>
        <v/>
      </c>
      <c r="H32" s="43" t="str">
        <f t="shared" si="0"/>
        <v/>
      </c>
      <c r="I32" s="148" t="e">
        <f t="array" aca="1" ref="I32" ca="1">IF($A33="",$G32/($V32-$U$5+INDIRECT(IF(_xlfn.SHEET()&lt;6,"令和8年"&amp;_xlfn.SHEET()+7&amp;"月","令和9年"&amp;_xlfn.SHEET()-5&amp;"月")&amp;"!$U$5")),$G32/($V33-$U$5))</f>
        <v>#VALUE!</v>
      </c>
      <c r="J32" s="26" t="str">
        <f t="shared" si="1"/>
        <v/>
      </c>
      <c r="K32" s="27"/>
      <c r="L32" s="165">
        <f t="shared" si="2"/>
        <v>0</v>
      </c>
      <c r="M32" s="28" t="str">
        <f t="shared" si="3"/>
        <v/>
      </c>
      <c r="N32" s="166" t="str">
        <f t="shared" si="4"/>
        <v/>
      </c>
      <c r="O32" s="167" t="str">
        <f t="shared" si="5"/>
        <v/>
      </c>
      <c r="P32" s="168"/>
      <c r="Q32" s="169" t="str">
        <f t="shared" si="6"/>
        <v/>
      </c>
      <c r="R32" s="170">
        <v>36</v>
      </c>
      <c r="S32" s="171">
        <v>26</v>
      </c>
      <c r="T32" s="24" t="s">
        <v>107</v>
      </c>
      <c r="U32" s="29">
        <v>189614</v>
      </c>
      <c r="V32" s="30">
        <f t="shared" si="41"/>
        <v>10014050</v>
      </c>
      <c r="W32" s="27">
        <v>99</v>
      </c>
      <c r="X32" s="31">
        <f t="shared" si="7"/>
        <v>1915.2929292929293</v>
      </c>
      <c r="Y32" s="29">
        <v>199631</v>
      </c>
      <c r="Z32" s="32">
        <f t="shared" si="42"/>
        <v>11593306</v>
      </c>
      <c r="AA32" s="33">
        <f t="shared" si="8"/>
        <v>0.86377863225554474</v>
      </c>
      <c r="AB32" s="158">
        <v>220000</v>
      </c>
      <c r="AC32" s="34">
        <f t="shared" si="43"/>
        <v>10300000</v>
      </c>
      <c r="AD32" s="158"/>
      <c r="AE32" s="25"/>
      <c r="AF32" s="25"/>
      <c r="AG32" s="25"/>
      <c r="AH32" s="25"/>
      <c r="AI32" s="25"/>
      <c r="AJ32" s="25"/>
      <c r="AK32" s="25"/>
      <c r="AL32" s="158"/>
      <c r="AM32" s="25"/>
      <c r="AN32" s="158"/>
      <c r="AO32" s="25"/>
      <c r="AP32" s="25"/>
      <c r="AQ32" s="158"/>
      <c r="AR32" s="35">
        <f t="shared" si="9"/>
        <v>0</v>
      </c>
      <c r="AS32" s="172" t="str">
        <f t="shared" si="10"/>
        <v/>
      </c>
      <c r="AT32" s="36">
        <f t="shared" si="11"/>
        <v>0</v>
      </c>
      <c r="AU32" s="173"/>
      <c r="AV32" s="82">
        <f t="shared" si="12"/>
        <v>28</v>
      </c>
      <c r="AW32" s="37"/>
      <c r="AX32" s="174" t="str">
        <f t="shared" si="13"/>
        <v/>
      </c>
      <c r="AY32" s="37"/>
      <c r="AZ32" s="174" t="str">
        <f t="shared" si="14"/>
        <v/>
      </c>
      <c r="BA32" s="37"/>
      <c r="BB32" s="174" t="str">
        <f t="shared" si="15"/>
        <v/>
      </c>
      <c r="BC32" s="37"/>
      <c r="BD32" s="174" t="str">
        <f t="shared" si="16"/>
        <v/>
      </c>
      <c r="BE32" s="37"/>
      <c r="BF32" s="174" t="str">
        <f t="shared" si="17"/>
        <v/>
      </c>
      <c r="BG32" s="37"/>
      <c r="BH32" s="174" t="str">
        <f t="shared" si="18"/>
        <v/>
      </c>
      <c r="BI32" s="37"/>
      <c r="BJ32" s="174" t="str">
        <f t="shared" si="19"/>
        <v/>
      </c>
      <c r="BK32" s="37"/>
      <c r="BL32" s="174" t="str">
        <f t="shared" si="20"/>
        <v/>
      </c>
      <c r="BM32" s="37"/>
      <c r="BN32" s="174" t="str">
        <f t="shared" si="21"/>
        <v/>
      </c>
      <c r="BO32" s="37"/>
      <c r="BP32" s="174" t="str">
        <f t="shared" si="22"/>
        <v/>
      </c>
      <c r="BQ32" s="37"/>
      <c r="BR32" s="174" t="str">
        <f t="shared" si="23"/>
        <v/>
      </c>
      <c r="BS32" s="37"/>
      <c r="BT32" s="174" t="str">
        <f t="shared" si="24"/>
        <v/>
      </c>
      <c r="BU32" s="37"/>
      <c r="BV32" s="174" t="str">
        <f t="shared" si="25"/>
        <v/>
      </c>
      <c r="BW32" s="37"/>
      <c r="BX32" s="174" t="str">
        <f t="shared" si="26"/>
        <v/>
      </c>
      <c r="BY32" s="37"/>
      <c r="BZ32" s="174" t="str">
        <f t="shared" si="27"/>
        <v/>
      </c>
      <c r="CA32" s="37"/>
      <c r="CB32" s="174" t="str">
        <f t="shared" si="28"/>
        <v/>
      </c>
      <c r="CC32" s="37"/>
      <c r="CD32" s="174" t="str">
        <f t="shared" si="29"/>
        <v/>
      </c>
      <c r="CE32" s="37"/>
      <c r="CF32" s="174" t="str">
        <f t="shared" si="30"/>
        <v/>
      </c>
      <c r="CG32" s="37"/>
      <c r="CH32" s="174" t="str">
        <f t="shared" si="31"/>
        <v/>
      </c>
      <c r="CI32" s="37"/>
      <c r="CJ32" s="174" t="str">
        <f t="shared" si="32"/>
        <v/>
      </c>
      <c r="CK32" s="37"/>
      <c r="CL32" s="174" t="str">
        <f t="shared" si="33"/>
        <v/>
      </c>
      <c r="CM32" s="37"/>
      <c r="CN32" s="174" t="str">
        <f t="shared" si="34"/>
        <v/>
      </c>
      <c r="CO32" s="37"/>
      <c r="CP32" s="174" t="str">
        <f t="shared" si="35"/>
        <v/>
      </c>
      <c r="CQ32" s="37"/>
      <c r="CR32" s="174" t="str">
        <f t="shared" si="36"/>
        <v/>
      </c>
      <c r="CS32" s="37"/>
      <c r="CT32" s="174" t="str">
        <f t="shared" si="37"/>
        <v/>
      </c>
      <c r="CU32" s="38"/>
      <c r="CV32" s="87"/>
      <c r="CW32" s="90"/>
      <c r="CX32" s="38"/>
      <c r="CY32" s="39"/>
      <c r="CZ32" s="37"/>
      <c r="DA32" s="39"/>
      <c r="DB32" s="24">
        <v>28</v>
      </c>
      <c r="DC32" s="96" t="str">
        <f t="shared" si="38"/>
        <v>金</v>
      </c>
      <c r="DF32" s="125"/>
      <c r="DG32" s="40"/>
      <c r="DH32" s="40"/>
      <c r="DI32" s="40"/>
      <c r="DJ32" s="40"/>
      <c r="DK32" s="40"/>
      <c r="DL32" s="40"/>
      <c r="DM32" s="40"/>
      <c r="DN32" s="40"/>
      <c r="DO32" s="40"/>
      <c r="DP32" s="40">
        <f t="shared" si="39"/>
        <v>0</v>
      </c>
      <c r="DQ32" s="172" t="str">
        <f t="shared" si="40"/>
        <v/>
      </c>
      <c r="DS32" s="189"/>
      <c r="DT32" s="190"/>
      <c r="DU32" s="190"/>
      <c r="DV32" s="191"/>
      <c r="DW32" s="41"/>
      <c r="DX32" s="42"/>
    </row>
    <row r="33" spans="1:128" ht="13.5" customHeight="1" x14ac:dyDescent="0.4">
      <c r="A33" s="104">
        <v>29</v>
      </c>
      <c r="B33" s="23" t="s">
        <v>88</v>
      </c>
      <c r="C33" s="164"/>
      <c r="D33" s="164"/>
      <c r="E33" s="24"/>
      <c r="F33" s="29"/>
      <c r="G33" s="25" t="str">
        <f>IF(SUM($F$5:F33)=0,"",SUM($F$5:F33))</f>
        <v/>
      </c>
      <c r="H33" s="43" t="str">
        <f t="shared" si="0"/>
        <v/>
      </c>
      <c r="I33" s="148" t="e">
        <f t="array" aca="1" ref="I33" ca="1">IF($A34="",$G33/($V33-$U$5+INDIRECT(IF(_xlfn.SHEET()&lt;6,"令和8年"&amp;_xlfn.SHEET()+7&amp;"月","令和9年"&amp;_xlfn.SHEET()-5&amp;"月")&amp;"!$U$5")),$G33/($V34-$U$5))</f>
        <v>#VALUE!</v>
      </c>
      <c r="J33" s="26" t="str">
        <f t="shared" si="1"/>
        <v/>
      </c>
      <c r="K33" s="27"/>
      <c r="L33" s="165">
        <f t="shared" si="2"/>
        <v>0</v>
      </c>
      <c r="M33" s="28" t="str">
        <f t="shared" si="3"/>
        <v/>
      </c>
      <c r="N33" s="166" t="str">
        <f t="shared" si="4"/>
        <v/>
      </c>
      <c r="O33" s="167" t="str">
        <f t="shared" si="5"/>
        <v/>
      </c>
      <c r="P33" s="168"/>
      <c r="Q33" s="169" t="str">
        <f t="shared" si="6"/>
        <v/>
      </c>
      <c r="R33" s="170">
        <v>38</v>
      </c>
      <c r="S33" s="171">
        <v>27</v>
      </c>
      <c r="T33" s="24" t="s">
        <v>106</v>
      </c>
      <c r="U33" s="29">
        <v>215735</v>
      </c>
      <c r="V33" s="30">
        <f t="shared" si="41"/>
        <v>10229785</v>
      </c>
      <c r="W33" s="27">
        <v>112</v>
      </c>
      <c r="X33" s="31">
        <f t="shared" si="7"/>
        <v>1926.2053571428571</v>
      </c>
      <c r="Y33" s="29">
        <v>303523</v>
      </c>
      <c r="Z33" s="32">
        <f t="shared" si="42"/>
        <v>11896829</v>
      </c>
      <c r="AA33" s="33">
        <f t="shared" si="8"/>
        <v>0.859874929697653</v>
      </c>
      <c r="AB33" s="158">
        <v>550000</v>
      </c>
      <c r="AC33" s="34">
        <f t="shared" si="43"/>
        <v>10850000</v>
      </c>
      <c r="AD33" s="158"/>
      <c r="AE33" s="25"/>
      <c r="AF33" s="25"/>
      <c r="AG33" s="25"/>
      <c r="AH33" s="25"/>
      <c r="AI33" s="25"/>
      <c r="AJ33" s="25"/>
      <c r="AK33" s="25"/>
      <c r="AL33" s="158"/>
      <c r="AM33" s="25"/>
      <c r="AN33" s="158"/>
      <c r="AO33" s="25"/>
      <c r="AP33" s="25"/>
      <c r="AQ33" s="158"/>
      <c r="AR33" s="35">
        <f t="shared" si="9"/>
        <v>0</v>
      </c>
      <c r="AS33" s="172" t="str">
        <f t="shared" si="10"/>
        <v/>
      </c>
      <c r="AT33" s="36">
        <f t="shared" si="11"/>
        <v>0</v>
      </c>
      <c r="AU33" s="173"/>
      <c r="AV33" s="82">
        <f t="shared" si="12"/>
        <v>29</v>
      </c>
      <c r="AW33" s="37"/>
      <c r="AX33" s="174" t="str">
        <f t="shared" si="13"/>
        <v/>
      </c>
      <c r="AY33" s="37"/>
      <c r="AZ33" s="174" t="str">
        <f t="shared" si="14"/>
        <v/>
      </c>
      <c r="BA33" s="37"/>
      <c r="BB33" s="174" t="str">
        <f t="shared" si="15"/>
        <v/>
      </c>
      <c r="BC33" s="37"/>
      <c r="BD33" s="174" t="str">
        <f t="shared" si="16"/>
        <v/>
      </c>
      <c r="BE33" s="37"/>
      <c r="BF33" s="174" t="str">
        <f t="shared" si="17"/>
        <v/>
      </c>
      <c r="BG33" s="37"/>
      <c r="BH33" s="174" t="str">
        <f t="shared" si="18"/>
        <v/>
      </c>
      <c r="BI33" s="37"/>
      <c r="BJ33" s="174" t="str">
        <f t="shared" si="19"/>
        <v/>
      </c>
      <c r="BK33" s="37"/>
      <c r="BL33" s="174" t="str">
        <f t="shared" si="20"/>
        <v/>
      </c>
      <c r="BM33" s="37"/>
      <c r="BN33" s="174" t="str">
        <f t="shared" si="21"/>
        <v/>
      </c>
      <c r="BO33" s="37"/>
      <c r="BP33" s="174" t="str">
        <f t="shared" si="22"/>
        <v/>
      </c>
      <c r="BQ33" s="37"/>
      <c r="BR33" s="174" t="str">
        <f t="shared" si="23"/>
        <v/>
      </c>
      <c r="BS33" s="37"/>
      <c r="BT33" s="174" t="str">
        <f t="shared" si="24"/>
        <v/>
      </c>
      <c r="BU33" s="37"/>
      <c r="BV33" s="174" t="str">
        <f t="shared" si="25"/>
        <v/>
      </c>
      <c r="BW33" s="37"/>
      <c r="BX33" s="174" t="str">
        <f t="shared" si="26"/>
        <v/>
      </c>
      <c r="BY33" s="37"/>
      <c r="BZ33" s="174" t="str">
        <f t="shared" si="27"/>
        <v/>
      </c>
      <c r="CA33" s="37"/>
      <c r="CB33" s="174" t="str">
        <f t="shared" si="28"/>
        <v/>
      </c>
      <c r="CC33" s="37"/>
      <c r="CD33" s="174" t="str">
        <f t="shared" si="29"/>
        <v/>
      </c>
      <c r="CE33" s="37"/>
      <c r="CF33" s="174" t="str">
        <f t="shared" si="30"/>
        <v/>
      </c>
      <c r="CG33" s="37"/>
      <c r="CH33" s="174" t="str">
        <f t="shared" si="31"/>
        <v/>
      </c>
      <c r="CI33" s="37"/>
      <c r="CJ33" s="174" t="str">
        <f t="shared" si="32"/>
        <v/>
      </c>
      <c r="CK33" s="37"/>
      <c r="CL33" s="174" t="str">
        <f t="shared" si="33"/>
        <v/>
      </c>
      <c r="CM33" s="37"/>
      <c r="CN33" s="174" t="str">
        <f t="shared" si="34"/>
        <v/>
      </c>
      <c r="CO33" s="37"/>
      <c r="CP33" s="174" t="str">
        <f t="shared" si="35"/>
        <v/>
      </c>
      <c r="CQ33" s="37"/>
      <c r="CR33" s="174" t="str">
        <f t="shared" si="36"/>
        <v/>
      </c>
      <c r="CS33" s="37"/>
      <c r="CT33" s="174" t="str">
        <f t="shared" si="37"/>
        <v/>
      </c>
      <c r="CU33" s="38"/>
      <c r="CV33" s="87"/>
      <c r="CW33" s="90"/>
      <c r="CX33" s="38"/>
      <c r="CY33" s="39"/>
      <c r="CZ33" s="37"/>
      <c r="DA33" s="39"/>
      <c r="DB33" s="24">
        <v>29</v>
      </c>
      <c r="DC33" s="96" t="str">
        <f t="shared" si="38"/>
        <v>土</v>
      </c>
      <c r="DF33" s="125"/>
      <c r="DG33" s="40"/>
      <c r="DH33" s="40"/>
      <c r="DI33" s="40"/>
      <c r="DJ33" s="40"/>
      <c r="DK33" s="40"/>
      <c r="DL33" s="40"/>
      <c r="DM33" s="40"/>
      <c r="DN33" s="40"/>
      <c r="DO33" s="40"/>
      <c r="DP33" s="40">
        <f t="shared" si="39"/>
        <v>0</v>
      </c>
      <c r="DQ33" s="172" t="str">
        <f t="shared" si="40"/>
        <v/>
      </c>
      <c r="DS33" s="189"/>
      <c r="DT33" s="190"/>
      <c r="DU33" s="190"/>
      <c r="DV33" s="191"/>
      <c r="DW33" s="41"/>
      <c r="DX33" s="42"/>
    </row>
    <row r="34" spans="1:128" ht="13.5" customHeight="1" x14ac:dyDescent="0.4">
      <c r="A34" s="104">
        <v>30</v>
      </c>
      <c r="B34" s="23" t="s">
        <v>89</v>
      </c>
      <c r="C34" s="164"/>
      <c r="D34" s="164"/>
      <c r="E34" s="24"/>
      <c r="F34" s="29"/>
      <c r="G34" s="25" t="str">
        <f>IF(SUM($F$5:F34)=0,"",SUM($F$5:F34))</f>
        <v/>
      </c>
      <c r="H34" s="43" t="str">
        <f t="shared" si="0"/>
        <v/>
      </c>
      <c r="I34" s="148" t="e">
        <f t="array" aca="1" ref="I34" ca="1">IF($A35="",$G34/($V34-$U$5+INDIRECT(IF(_xlfn.SHEET()&lt;6,"令和8年"&amp;_xlfn.SHEET()+7&amp;"月","令和9年"&amp;_xlfn.SHEET()-5&amp;"月")&amp;"!$U$5")),$G34/($V35-$U$5))</f>
        <v>#VALUE!</v>
      </c>
      <c r="J34" s="26" t="str">
        <f t="shared" si="1"/>
        <v/>
      </c>
      <c r="K34" s="27"/>
      <c r="L34" s="165">
        <f t="shared" si="2"/>
        <v>0</v>
      </c>
      <c r="M34" s="28" t="str">
        <f t="shared" si="3"/>
        <v/>
      </c>
      <c r="N34" s="166" t="str">
        <f t="shared" si="4"/>
        <v/>
      </c>
      <c r="O34" s="167" t="str">
        <f t="shared" si="5"/>
        <v/>
      </c>
      <c r="P34" s="168"/>
      <c r="Q34" s="169" t="str">
        <f t="shared" si="6"/>
        <v/>
      </c>
      <c r="R34" s="170">
        <v>37</v>
      </c>
      <c r="S34" s="171">
        <v>26</v>
      </c>
      <c r="T34" s="24" t="s">
        <v>106</v>
      </c>
      <c r="U34" s="29">
        <v>355008</v>
      </c>
      <c r="V34" s="30">
        <f t="shared" si="41"/>
        <v>10584793</v>
      </c>
      <c r="W34" s="27">
        <v>213</v>
      </c>
      <c r="X34" s="31">
        <f t="shared" si="7"/>
        <v>1666.7042253521126</v>
      </c>
      <c r="Y34" s="29">
        <v>270419</v>
      </c>
      <c r="Z34" s="32">
        <f t="shared" si="42"/>
        <v>12167248</v>
      </c>
      <c r="AA34" s="33">
        <f t="shared" si="8"/>
        <v>0.86994141978531214</v>
      </c>
      <c r="AB34" s="158">
        <v>550000</v>
      </c>
      <c r="AC34" s="34">
        <f t="shared" si="43"/>
        <v>11400000</v>
      </c>
      <c r="AD34" s="158"/>
      <c r="AE34" s="25"/>
      <c r="AF34" s="25"/>
      <c r="AG34" s="25"/>
      <c r="AH34" s="25"/>
      <c r="AI34" s="25"/>
      <c r="AJ34" s="25"/>
      <c r="AK34" s="25"/>
      <c r="AL34" s="158"/>
      <c r="AM34" s="25"/>
      <c r="AN34" s="158"/>
      <c r="AO34" s="25"/>
      <c r="AP34" s="25"/>
      <c r="AQ34" s="158"/>
      <c r="AR34" s="35">
        <f t="shared" si="9"/>
        <v>0</v>
      </c>
      <c r="AS34" s="172" t="str">
        <f t="shared" si="10"/>
        <v/>
      </c>
      <c r="AT34" s="36">
        <f t="shared" si="11"/>
        <v>0</v>
      </c>
      <c r="AU34" s="173"/>
      <c r="AV34" s="82">
        <f t="shared" si="12"/>
        <v>30</v>
      </c>
      <c r="AW34" s="37"/>
      <c r="AX34" s="174" t="str">
        <f t="shared" si="13"/>
        <v/>
      </c>
      <c r="AY34" s="37"/>
      <c r="AZ34" s="174" t="str">
        <f t="shared" si="14"/>
        <v/>
      </c>
      <c r="BA34" s="37"/>
      <c r="BB34" s="174" t="str">
        <f t="shared" si="15"/>
        <v/>
      </c>
      <c r="BC34" s="37"/>
      <c r="BD34" s="174" t="str">
        <f t="shared" si="16"/>
        <v/>
      </c>
      <c r="BE34" s="37"/>
      <c r="BF34" s="174" t="str">
        <f t="shared" si="17"/>
        <v/>
      </c>
      <c r="BG34" s="37"/>
      <c r="BH34" s="174" t="str">
        <f t="shared" si="18"/>
        <v/>
      </c>
      <c r="BI34" s="37"/>
      <c r="BJ34" s="174" t="str">
        <f t="shared" si="19"/>
        <v/>
      </c>
      <c r="BK34" s="37"/>
      <c r="BL34" s="174" t="str">
        <f t="shared" si="20"/>
        <v/>
      </c>
      <c r="BM34" s="37"/>
      <c r="BN34" s="174" t="str">
        <f t="shared" si="21"/>
        <v/>
      </c>
      <c r="BO34" s="37"/>
      <c r="BP34" s="174" t="str">
        <f t="shared" si="22"/>
        <v/>
      </c>
      <c r="BQ34" s="37"/>
      <c r="BR34" s="174" t="str">
        <f t="shared" si="23"/>
        <v/>
      </c>
      <c r="BS34" s="37"/>
      <c r="BT34" s="174" t="str">
        <f t="shared" si="24"/>
        <v/>
      </c>
      <c r="BU34" s="37"/>
      <c r="BV34" s="174" t="str">
        <f t="shared" si="25"/>
        <v/>
      </c>
      <c r="BW34" s="37"/>
      <c r="BX34" s="174" t="str">
        <f t="shared" si="26"/>
        <v/>
      </c>
      <c r="BY34" s="37"/>
      <c r="BZ34" s="174" t="str">
        <f t="shared" si="27"/>
        <v/>
      </c>
      <c r="CA34" s="37"/>
      <c r="CB34" s="174" t="str">
        <f t="shared" si="28"/>
        <v/>
      </c>
      <c r="CC34" s="37"/>
      <c r="CD34" s="174" t="str">
        <f t="shared" si="29"/>
        <v/>
      </c>
      <c r="CE34" s="37"/>
      <c r="CF34" s="174" t="str">
        <f t="shared" si="30"/>
        <v/>
      </c>
      <c r="CG34" s="37"/>
      <c r="CH34" s="174" t="str">
        <f t="shared" si="31"/>
        <v/>
      </c>
      <c r="CI34" s="37"/>
      <c r="CJ34" s="174" t="str">
        <f t="shared" si="32"/>
        <v/>
      </c>
      <c r="CK34" s="37"/>
      <c r="CL34" s="174" t="str">
        <f t="shared" si="33"/>
        <v/>
      </c>
      <c r="CM34" s="37"/>
      <c r="CN34" s="174" t="str">
        <f t="shared" si="34"/>
        <v/>
      </c>
      <c r="CO34" s="37"/>
      <c r="CP34" s="174" t="str">
        <f t="shared" si="35"/>
        <v/>
      </c>
      <c r="CQ34" s="37"/>
      <c r="CR34" s="174" t="str">
        <f t="shared" si="36"/>
        <v/>
      </c>
      <c r="CS34" s="37"/>
      <c r="CT34" s="174" t="str">
        <f t="shared" si="37"/>
        <v/>
      </c>
      <c r="CU34" s="38"/>
      <c r="CV34" s="87"/>
      <c r="CW34" s="90"/>
      <c r="CX34" s="38"/>
      <c r="CY34" s="39"/>
      <c r="CZ34" s="37"/>
      <c r="DA34" s="39"/>
      <c r="DB34" s="24">
        <v>30</v>
      </c>
      <c r="DC34" s="96" t="str">
        <f t="shared" si="38"/>
        <v>日</v>
      </c>
      <c r="DF34" s="125"/>
      <c r="DG34" s="40"/>
      <c r="DH34" s="40"/>
      <c r="DI34" s="40"/>
      <c r="DJ34" s="40"/>
      <c r="DK34" s="40"/>
      <c r="DL34" s="40"/>
      <c r="DM34" s="40"/>
      <c r="DN34" s="40"/>
      <c r="DO34" s="40"/>
      <c r="DP34" s="40">
        <f t="shared" si="39"/>
        <v>0</v>
      </c>
      <c r="DQ34" s="172" t="str">
        <f t="shared" si="40"/>
        <v/>
      </c>
      <c r="DS34" s="189"/>
      <c r="DT34" s="190"/>
      <c r="DU34" s="190"/>
      <c r="DV34" s="191"/>
      <c r="DW34" s="41"/>
      <c r="DX34" s="42"/>
    </row>
    <row r="35" spans="1:128" ht="13.5" customHeight="1" thickBot="1" x14ac:dyDescent="0.45">
      <c r="A35" s="105">
        <v>31</v>
      </c>
      <c r="B35" s="23" t="s">
        <v>90</v>
      </c>
      <c r="C35" s="175"/>
      <c r="D35" s="175"/>
      <c r="E35" s="24"/>
      <c r="F35" s="29"/>
      <c r="G35" s="25" t="str">
        <f>IF(SUM($F$5:F35)=0,"",SUM($F$5:F35))</f>
        <v/>
      </c>
      <c r="H35" s="43" t="str">
        <f t="shared" si="0"/>
        <v/>
      </c>
      <c r="I35" s="148" t="e">
        <f t="array" aca="1" ref="I35" ca="1">IF($A36="",$G35/($V35-$U$5+INDIRECT(IF(_xlfn.SHEET()&lt;6,"令和8年"&amp;_xlfn.SHEET()+7&amp;"月","令和9年"&amp;_xlfn.SHEET()-5&amp;"月")&amp;"!$U$5")),$G35/($V36-$U$5))</f>
        <v>#VALUE!</v>
      </c>
      <c r="J35" s="26" t="str">
        <f t="shared" si="1"/>
        <v/>
      </c>
      <c r="K35" s="27"/>
      <c r="L35" s="165">
        <f t="shared" si="2"/>
        <v>0</v>
      </c>
      <c r="M35" s="28" t="str">
        <f t="shared" si="3"/>
        <v/>
      </c>
      <c r="N35" s="166" t="str">
        <f t="shared" si="4"/>
        <v/>
      </c>
      <c r="O35" s="167" t="str">
        <f t="shared" si="5"/>
        <v/>
      </c>
      <c r="P35" s="168"/>
      <c r="Q35" s="169" t="str">
        <f t="shared" si="6"/>
        <v/>
      </c>
      <c r="R35" s="170">
        <v>37</v>
      </c>
      <c r="S35" s="176">
        <v>26</v>
      </c>
      <c r="T35" s="24" t="s">
        <v>111</v>
      </c>
      <c r="U35" s="29">
        <v>370953</v>
      </c>
      <c r="V35" s="30">
        <f t="shared" si="41"/>
        <v>10955746</v>
      </c>
      <c r="W35" s="27">
        <v>211</v>
      </c>
      <c r="X35" s="31">
        <f t="shared" si="7"/>
        <v>1758.0710900473935</v>
      </c>
      <c r="Y35" s="29">
        <v>534390</v>
      </c>
      <c r="Z35" s="32">
        <f t="shared" si="42"/>
        <v>12701638</v>
      </c>
      <c r="AA35" s="33">
        <f t="shared" si="8"/>
        <v>0.86254591730609864</v>
      </c>
      <c r="AB35" s="158">
        <v>220000</v>
      </c>
      <c r="AC35" s="34">
        <f t="shared" si="43"/>
        <v>11620000</v>
      </c>
      <c r="AD35" s="158"/>
      <c r="AE35" s="25"/>
      <c r="AF35" s="25"/>
      <c r="AG35" s="25"/>
      <c r="AH35" s="25"/>
      <c r="AI35" s="25"/>
      <c r="AJ35" s="25"/>
      <c r="AK35" s="25"/>
      <c r="AL35" s="158"/>
      <c r="AM35" s="25"/>
      <c r="AN35" s="158"/>
      <c r="AO35" s="25"/>
      <c r="AP35" s="25"/>
      <c r="AQ35" s="158"/>
      <c r="AR35" s="35">
        <f t="shared" si="9"/>
        <v>0</v>
      </c>
      <c r="AS35" s="172" t="str">
        <f t="shared" si="10"/>
        <v/>
      </c>
      <c r="AT35" s="36">
        <f t="shared" si="11"/>
        <v>0</v>
      </c>
      <c r="AU35" s="173"/>
      <c r="AV35" s="82">
        <f t="shared" si="12"/>
        <v>31</v>
      </c>
      <c r="AW35" s="37"/>
      <c r="AX35" s="174" t="str">
        <f t="shared" si="13"/>
        <v/>
      </c>
      <c r="AY35" s="37"/>
      <c r="AZ35" s="174" t="str">
        <f t="shared" si="14"/>
        <v/>
      </c>
      <c r="BA35" s="37"/>
      <c r="BB35" s="174" t="str">
        <f t="shared" si="15"/>
        <v/>
      </c>
      <c r="BC35" s="37"/>
      <c r="BD35" s="174" t="str">
        <f t="shared" si="16"/>
        <v/>
      </c>
      <c r="BE35" s="37"/>
      <c r="BF35" s="174" t="str">
        <f t="shared" si="17"/>
        <v/>
      </c>
      <c r="BG35" s="37"/>
      <c r="BH35" s="174" t="str">
        <f t="shared" si="18"/>
        <v/>
      </c>
      <c r="BI35" s="37"/>
      <c r="BJ35" s="174" t="str">
        <f t="shared" si="19"/>
        <v/>
      </c>
      <c r="BK35" s="37"/>
      <c r="BL35" s="174" t="str">
        <f t="shared" si="20"/>
        <v/>
      </c>
      <c r="BM35" s="37"/>
      <c r="BN35" s="174" t="str">
        <f t="shared" si="21"/>
        <v/>
      </c>
      <c r="BO35" s="37"/>
      <c r="BP35" s="174" t="str">
        <f t="shared" si="22"/>
        <v/>
      </c>
      <c r="BQ35" s="37"/>
      <c r="BR35" s="174" t="str">
        <f t="shared" si="23"/>
        <v/>
      </c>
      <c r="BS35" s="37"/>
      <c r="BT35" s="174" t="str">
        <f t="shared" si="24"/>
        <v/>
      </c>
      <c r="BU35" s="37"/>
      <c r="BV35" s="174" t="str">
        <f t="shared" si="25"/>
        <v/>
      </c>
      <c r="BW35" s="37"/>
      <c r="BX35" s="174" t="str">
        <f t="shared" si="26"/>
        <v/>
      </c>
      <c r="BY35" s="37"/>
      <c r="BZ35" s="174" t="str">
        <f t="shared" si="27"/>
        <v/>
      </c>
      <c r="CA35" s="37"/>
      <c r="CB35" s="174" t="str">
        <f t="shared" si="28"/>
        <v/>
      </c>
      <c r="CC35" s="37"/>
      <c r="CD35" s="174" t="str">
        <f t="shared" si="29"/>
        <v/>
      </c>
      <c r="CE35" s="37"/>
      <c r="CF35" s="174" t="str">
        <f t="shared" si="30"/>
        <v/>
      </c>
      <c r="CG35" s="37"/>
      <c r="CH35" s="174" t="str">
        <f t="shared" si="31"/>
        <v/>
      </c>
      <c r="CI35" s="37"/>
      <c r="CJ35" s="174" t="str">
        <f t="shared" si="32"/>
        <v/>
      </c>
      <c r="CK35" s="37"/>
      <c r="CL35" s="174" t="str">
        <f t="shared" si="33"/>
        <v/>
      </c>
      <c r="CM35" s="37"/>
      <c r="CN35" s="174" t="str">
        <f t="shared" si="34"/>
        <v/>
      </c>
      <c r="CO35" s="37"/>
      <c r="CP35" s="174" t="str">
        <f t="shared" si="35"/>
        <v/>
      </c>
      <c r="CQ35" s="37"/>
      <c r="CR35" s="174" t="str">
        <f t="shared" si="36"/>
        <v/>
      </c>
      <c r="CS35" s="37"/>
      <c r="CT35" s="174" t="str">
        <f t="shared" si="37"/>
        <v/>
      </c>
      <c r="CU35" s="38"/>
      <c r="CV35" s="87"/>
      <c r="CW35" s="90"/>
      <c r="CX35" s="38"/>
      <c r="CY35" s="39"/>
      <c r="CZ35" s="37"/>
      <c r="DA35" s="39"/>
      <c r="DB35" s="24">
        <v>31</v>
      </c>
      <c r="DC35" s="96" t="str">
        <f t="shared" si="38"/>
        <v>月</v>
      </c>
      <c r="DF35" s="125"/>
      <c r="DG35" s="40"/>
      <c r="DH35" s="40"/>
      <c r="DI35" s="40"/>
      <c r="DJ35" s="40"/>
      <c r="DK35" s="40"/>
      <c r="DL35" s="40"/>
      <c r="DM35" s="40"/>
      <c r="DN35" s="40"/>
      <c r="DO35" s="40"/>
      <c r="DP35" s="40">
        <f t="shared" si="39"/>
        <v>0</v>
      </c>
      <c r="DQ35" s="172" t="str">
        <f t="shared" si="40"/>
        <v/>
      </c>
      <c r="DS35" s="189"/>
      <c r="DT35" s="190"/>
      <c r="DU35" s="190"/>
      <c r="DV35" s="191"/>
      <c r="DW35" s="41"/>
      <c r="DX35" s="42"/>
    </row>
    <row r="36" spans="1:128" ht="18.75" customHeight="1" thickTop="1" thickBot="1" x14ac:dyDescent="0.45">
      <c r="A36" s="62"/>
      <c r="B36" s="103"/>
      <c r="C36" s="103"/>
      <c r="D36" s="103"/>
      <c r="E36" s="44" t="s">
        <v>95</v>
      </c>
      <c r="F36" s="25">
        <f>SUM(F5:F35)</f>
        <v>0</v>
      </c>
      <c r="G36" s="25"/>
      <c r="H36" s="43"/>
      <c r="I36" s="148"/>
      <c r="J36" s="26"/>
      <c r="K36" s="45">
        <f>SUM(K4:K35)</f>
        <v>0</v>
      </c>
      <c r="L36" s="165">
        <f t="shared" si="2"/>
        <v>0</v>
      </c>
      <c r="M36" s="46"/>
      <c r="N36" s="47" t="str">
        <f t="shared" si="4"/>
        <v/>
      </c>
      <c r="O36" s="48"/>
      <c r="P36" s="177"/>
      <c r="Q36" s="178"/>
      <c r="R36" s="49"/>
      <c r="S36" s="128"/>
      <c r="T36" s="50" t="s">
        <v>95</v>
      </c>
      <c r="U36" s="51">
        <f>SUM(U5:U35)</f>
        <v>10955746</v>
      </c>
      <c r="V36" s="30"/>
      <c r="W36" s="52">
        <f>SUM(W5:W35)</f>
        <v>6051</v>
      </c>
      <c r="X36" s="53"/>
      <c r="Y36" s="25">
        <f>SUM(Y5:Y35)</f>
        <v>12701638</v>
      </c>
      <c r="Z36" s="32"/>
      <c r="AA36" s="54"/>
      <c r="AB36" s="55"/>
      <c r="AC36" s="54"/>
      <c r="AD36" s="158">
        <f t="shared" ref="AD36:AR36" si="44">SUM(AD5:AD35)</f>
        <v>0</v>
      </c>
      <c r="AE36" s="25">
        <f t="shared" si="44"/>
        <v>0</v>
      </c>
      <c r="AF36" s="25">
        <f t="shared" si="44"/>
        <v>0</v>
      </c>
      <c r="AG36" s="25">
        <f t="shared" si="44"/>
        <v>0</v>
      </c>
      <c r="AH36" s="25">
        <f t="shared" si="44"/>
        <v>0</v>
      </c>
      <c r="AI36" s="25">
        <f t="shared" si="44"/>
        <v>0</v>
      </c>
      <c r="AJ36" s="25">
        <f t="shared" si="44"/>
        <v>0</v>
      </c>
      <c r="AK36" s="25">
        <f t="shared" si="44"/>
        <v>0</v>
      </c>
      <c r="AL36" s="25">
        <f t="shared" si="44"/>
        <v>0</v>
      </c>
      <c r="AM36" s="25">
        <f t="shared" si="44"/>
        <v>0</v>
      </c>
      <c r="AN36" s="25">
        <f t="shared" si="44"/>
        <v>0</v>
      </c>
      <c r="AO36" s="25">
        <f t="shared" si="44"/>
        <v>0</v>
      </c>
      <c r="AP36" s="25">
        <f t="shared" si="44"/>
        <v>0</v>
      </c>
      <c r="AQ36" s="158">
        <f t="shared" si="44"/>
        <v>0</v>
      </c>
      <c r="AR36" s="56">
        <f t="shared" si="44"/>
        <v>0</v>
      </c>
      <c r="AS36" s="179" t="str">
        <f>IF(ISERROR((AR36/$F36)),"",AR36/$F36)</f>
        <v/>
      </c>
      <c r="AT36" s="77">
        <f>SUM(AT5:AT35)</f>
        <v>0</v>
      </c>
      <c r="AU36" s="173"/>
      <c r="AV36" s="83" t="s">
        <v>95</v>
      </c>
      <c r="AW36" s="57">
        <f>SUM(AW5:AW35)</f>
        <v>0</v>
      </c>
      <c r="AX36" s="57"/>
      <c r="AY36" s="57">
        <f>SUM(AY5:AY35)</f>
        <v>0</v>
      </c>
      <c r="AZ36" s="57"/>
      <c r="BA36" s="57">
        <f>SUM(BA5:BA35)</f>
        <v>0</v>
      </c>
      <c r="BB36" s="57"/>
      <c r="BC36" s="57">
        <f>SUM(BC5:BC35)</f>
        <v>0</v>
      </c>
      <c r="BD36" s="57"/>
      <c r="BE36" s="57">
        <f>SUM(BE5:BE35)</f>
        <v>0</v>
      </c>
      <c r="BF36" s="57"/>
      <c r="BG36" s="57">
        <f>SUM(BG5:BG35)</f>
        <v>0</v>
      </c>
      <c r="BH36" s="57"/>
      <c r="BI36" s="57">
        <f>SUM(BI5:BI35)</f>
        <v>0</v>
      </c>
      <c r="BJ36" s="57"/>
      <c r="BK36" s="57">
        <f>SUM(BK5:BK35)</f>
        <v>0</v>
      </c>
      <c r="BL36" s="57"/>
      <c r="BM36" s="57">
        <f>SUM(BM5:BM35)</f>
        <v>0</v>
      </c>
      <c r="BN36" s="57"/>
      <c r="BO36" s="57">
        <f>SUM(BO5:BO35)</f>
        <v>0</v>
      </c>
      <c r="BP36" s="57"/>
      <c r="BQ36" s="57">
        <f>SUM(BQ5:BQ35)</f>
        <v>0</v>
      </c>
      <c r="BR36" s="57"/>
      <c r="BS36" s="57">
        <f>SUM(BS5:BS35)</f>
        <v>0</v>
      </c>
      <c r="BT36" s="57"/>
      <c r="BU36" s="57">
        <f>SUM(BU5:BU35)</f>
        <v>0</v>
      </c>
      <c r="BV36" s="57"/>
      <c r="BW36" s="57">
        <f>SUM(BW5:BW35)</f>
        <v>0</v>
      </c>
      <c r="BX36" s="57"/>
      <c r="BY36" s="57">
        <f>SUM(BY5:BY35)</f>
        <v>0</v>
      </c>
      <c r="BZ36" s="57"/>
      <c r="CA36" s="57">
        <f>SUM(CA5:CA35)</f>
        <v>0</v>
      </c>
      <c r="CB36" s="57"/>
      <c r="CC36" s="57">
        <f>SUM(CC5:CC35)</f>
        <v>0</v>
      </c>
      <c r="CD36" s="58"/>
      <c r="CE36" s="57">
        <f>SUM(CE5:CE35)</f>
        <v>0</v>
      </c>
      <c r="CF36" s="58"/>
      <c r="CG36" s="57">
        <f>SUM(CG5:CG35)</f>
        <v>0</v>
      </c>
      <c r="CH36" s="57"/>
      <c r="CI36" s="57">
        <f>SUM(CI5:CI35)</f>
        <v>0</v>
      </c>
      <c r="CJ36" s="58"/>
      <c r="CK36" s="57">
        <f>SUM(CK5:CK35)</f>
        <v>0</v>
      </c>
      <c r="CL36" s="58"/>
      <c r="CM36" s="57">
        <f>SUM(CM5:CM35)</f>
        <v>0</v>
      </c>
      <c r="CN36" s="57"/>
      <c r="CO36" s="57">
        <f>SUM(CO5:CO35)</f>
        <v>0</v>
      </c>
      <c r="CP36" s="58"/>
      <c r="CQ36" s="57">
        <f>SUM(CQ5:CQ35)</f>
        <v>0</v>
      </c>
      <c r="CR36" s="58"/>
      <c r="CS36" s="57">
        <f>SUM(CS5:CS35)</f>
        <v>0</v>
      </c>
      <c r="CT36" s="60"/>
      <c r="CU36" s="59">
        <f>SUM(CU5:CU35)</f>
        <v>0</v>
      </c>
      <c r="CV36" s="60">
        <f>SUM(CV5:CV35)</f>
        <v>0</v>
      </c>
      <c r="CW36" s="91"/>
      <c r="CX36" s="59">
        <f>SUM(CX5:CX35)</f>
        <v>0</v>
      </c>
      <c r="CY36" s="39">
        <f>SUM(CY5:CY35)</f>
        <v>0</v>
      </c>
      <c r="CZ36" s="57">
        <f>SUM(CZ5:CZ35)</f>
        <v>0</v>
      </c>
      <c r="DA36" s="61">
        <f>SUM(DA5:DA35)</f>
        <v>0</v>
      </c>
      <c r="DB36" s="44"/>
      <c r="DC36" s="96"/>
      <c r="DF36" s="125">
        <f t="shared" ref="DF36:DP36" si="45">SUM(DF5:DF35)</f>
        <v>0</v>
      </c>
      <c r="DG36" s="40">
        <f t="shared" si="45"/>
        <v>0</v>
      </c>
      <c r="DH36" s="40">
        <f t="shared" si="45"/>
        <v>0</v>
      </c>
      <c r="DI36" s="40">
        <f t="shared" si="45"/>
        <v>0</v>
      </c>
      <c r="DJ36" s="40">
        <f t="shared" si="45"/>
        <v>0</v>
      </c>
      <c r="DK36" s="40">
        <f t="shared" si="45"/>
        <v>0</v>
      </c>
      <c r="DL36" s="40">
        <f t="shared" si="45"/>
        <v>0</v>
      </c>
      <c r="DM36" s="40">
        <f t="shared" si="45"/>
        <v>0</v>
      </c>
      <c r="DN36" s="40">
        <f t="shared" si="45"/>
        <v>0</v>
      </c>
      <c r="DO36" s="40">
        <f t="shared" si="45"/>
        <v>0</v>
      </c>
      <c r="DP36" s="40">
        <f t="shared" si="45"/>
        <v>0</v>
      </c>
      <c r="DQ36" s="179" t="str">
        <f>IF(ISERROR((DP36/$F36)),"",DP36/$F36)</f>
        <v/>
      </c>
      <c r="DS36" s="198" t="s">
        <v>96</v>
      </c>
      <c r="DT36" s="199"/>
      <c r="DU36" s="199"/>
      <c r="DV36" s="199"/>
      <c r="DW36" s="199"/>
      <c r="DX36" s="199"/>
    </row>
    <row r="37" spans="1:128" ht="19.149999999999999" customHeight="1" thickTop="1" thickBot="1" x14ac:dyDescent="0.45">
      <c r="E37" s="62" t="s">
        <v>97</v>
      </c>
      <c r="F37" s="66" t="str">
        <f>IF(ISERROR(AVERAGE(F5:F35)),"",AVERAGE(F5:F35))</f>
        <v/>
      </c>
      <c r="G37" s="66"/>
      <c r="H37" s="100" t="str">
        <f>IF(ISERROR(F37/U37),"",(F37/U37))</f>
        <v/>
      </c>
      <c r="I37" s="149"/>
      <c r="J37" s="101" t="str">
        <f>IF(ISERROR(F37/AC5),"",(F37/AC5))</f>
        <v/>
      </c>
      <c r="K37" s="102" t="str">
        <f>IF(ISERROR(AVERAGE(K4:K35)),"",AVERAGE(K4:K35))</f>
        <v/>
      </c>
      <c r="L37" s="180" t="str">
        <f t="shared" si="2"/>
        <v/>
      </c>
      <c r="M37" s="102" t="str">
        <f>IF(ISERROR(AVERAGE(M4:M35)),"",AVERAGE(M4:M35))</f>
        <v/>
      </c>
      <c r="N37" s="181" t="str">
        <f t="shared" si="4"/>
        <v/>
      </c>
      <c r="O37" s="182" t="e">
        <f>AVERAGE(O4:O35)</f>
        <v>#DIV/0!</v>
      </c>
      <c r="P37" s="183"/>
      <c r="Q37" s="184" t="e">
        <f>AVERAGE(Q4:Q35)</f>
        <v>#DIV/0!</v>
      </c>
      <c r="T37" s="62" t="s">
        <v>97</v>
      </c>
      <c r="U37" s="63">
        <f>IF(ISERROR(AVERAGE(U5:U35)),"",AVERAGE(U5:U35))</f>
        <v>353411.16129032261</v>
      </c>
      <c r="V37" s="64"/>
      <c r="W37" s="65">
        <f>IF(ISERROR(AVERAGE(W5:W35)),"",AVERAGE(W5:W35))</f>
        <v>195.19354838709677</v>
      </c>
      <c r="X37" s="65">
        <f>IF(ISERROR(AVERAGE(X5:X35)),"",AVERAGE(X5:X35))</f>
        <v>1801.5606617217393</v>
      </c>
      <c r="Y37" s="66">
        <f>IF(ISERROR(AVERAGE(Y5:Y35)),"",AVERAGE(Y5:Y35))</f>
        <v>409730.25806451612</v>
      </c>
      <c r="Z37" s="66"/>
      <c r="AA37" s="67"/>
      <c r="AB37" s="201" t="s">
        <v>98</v>
      </c>
      <c r="AC37" s="202"/>
      <c r="AD37" s="68" t="str">
        <f t="shared" ref="AD37:AQ37" si="46">IF(ISERROR(AVERAGE(AD5:AD35)),"",AVERAGE(AD5:AD35))</f>
        <v/>
      </c>
      <c r="AE37" s="66" t="str">
        <f t="shared" si="46"/>
        <v/>
      </c>
      <c r="AF37" s="66" t="str">
        <f t="shared" si="46"/>
        <v/>
      </c>
      <c r="AG37" s="66" t="str">
        <f t="shared" si="46"/>
        <v/>
      </c>
      <c r="AH37" s="66" t="str">
        <f t="shared" si="46"/>
        <v/>
      </c>
      <c r="AI37" s="66" t="str">
        <f t="shared" si="46"/>
        <v/>
      </c>
      <c r="AJ37" s="66" t="str">
        <f t="shared" si="46"/>
        <v/>
      </c>
      <c r="AK37" s="66" t="str">
        <f t="shared" si="46"/>
        <v/>
      </c>
      <c r="AL37" s="66" t="str">
        <f t="shared" si="46"/>
        <v/>
      </c>
      <c r="AM37" s="66" t="str">
        <f t="shared" si="46"/>
        <v/>
      </c>
      <c r="AN37" s="66" t="str">
        <f t="shared" si="46"/>
        <v/>
      </c>
      <c r="AO37" s="66" t="str">
        <f t="shared" si="46"/>
        <v/>
      </c>
      <c r="AP37" s="66" t="str">
        <f t="shared" si="46"/>
        <v/>
      </c>
      <c r="AQ37" s="69" t="str">
        <f t="shared" si="46"/>
        <v/>
      </c>
      <c r="AR37" s="70"/>
      <c r="AS37" s="185"/>
      <c r="AT37" s="185"/>
      <c r="AU37" s="186"/>
      <c r="AV37" s="84" t="s">
        <v>97</v>
      </c>
      <c r="AW37" s="72" t="str">
        <f>IF(ISERROR(AVERAGE(AW5:AW35)),"",AVERAGE(AW5:AW35))</f>
        <v/>
      </c>
      <c r="AX37" s="187" t="e">
        <f>AVERAGE(AX5:AX35)</f>
        <v>#DIV/0!</v>
      </c>
      <c r="AY37" s="72" t="str">
        <f>IF(ISERROR(AVERAGE(AY5:AY35)),"",AVERAGE(AY5:AY35))</f>
        <v/>
      </c>
      <c r="AZ37" s="187" t="e">
        <f>AVERAGE(AZ5:AZ35)</f>
        <v>#DIV/0!</v>
      </c>
      <c r="BA37" s="72" t="str">
        <f>IF(ISERROR(AVERAGE(BA5:BA35)),"",AVERAGE(BA5:BA35))</f>
        <v/>
      </c>
      <c r="BB37" s="187" t="e">
        <f>AVERAGE(BB5:BB35)</f>
        <v>#DIV/0!</v>
      </c>
      <c r="BC37" s="72" t="str">
        <f>IF(ISERROR(AVERAGE(BC5:BC35)),"",AVERAGE(BC5:BC35))</f>
        <v/>
      </c>
      <c r="BD37" s="187" t="e">
        <f>AVERAGE(BD5:BD35)</f>
        <v>#DIV/0!</v>
      </c>
      <c r="BE37" s="72" t="str">
        <f>IF(ISERROR(AVERAGE(BE5:BE35)),"",AVERAGE(BE5:BE35))</f>
        <v/>
      </c>
      <c r="BF37" s="187" t="e">
        <f>AVERAGE(BF5:BF35)</f>
        <v>#DIV/0!</v>
      </c>
      <c r="BG37" s="72" t="str">
        <f>IF(ISERROR(AVERAGE(BG5:BG35)),"",AVERAGE(BG5:BG35))</f>
        <v/>
      </c>
      <c r="BH37" s="187" t="e">
        <f>AVERAGE(BH5:BH35)</f>
        <v>#DIV/0!</v>
      </c>
      <c r="BI37" s="72" t="str">
        <f>IF(ISERROR(AVERAGE(BI5:BI35)),"",AVERAGE(BI5:BI35))</f>
        <v/>
      </c>
      <c r="BJ37" s="187" t="e">
        <f>AVERAGE(BJ5:BJ35)</f>
        <v>#DIV/0!</v>
      </c>
      <c r="BK37" s="72" t="str">
        <f>IF(ISERROR(AVERAGE(BK5:BK35)),"",AVERAGE(BK5:BK35))</f>
        <v/>
      </c>
      <c r="BL37" s="187" t="e">
        <f>AVERAGE(BL5:BL35)</f>
        <v>#DIV/0!</v>
      </c>
      <c r="BM37" s="72" t="str">
        <f>IF(ISERROR(AVERAGE(BM5:BM35)),"",AVERAGE(BM5:BM35))</f>
        <v/>
      </c>
      <c r="BN37" s="187" t="e">
        <f>AVERAGE(BN5:BN35)</f>
        <v>#DIV/0!</v>
      </c>
      <c r="BO37" s="72" t="str">
        <f>IF(ISERROR(AVERAGE(BO5:BO35)),"",AVERAGE(BO5:BO35))</f>
        <v/>
      </c>
      <c r="BP37" s="187" t="e">
        <f>AVERAGE(BP5:BP35)</f>
        <v>#DIV/0!</v>
      </c>
      <c r="BQ37" s="72" t="str">
        <f>IF(ISERROR(AVERAGE(BQ5:BQ35)),"",AVERAGE(BQ5:BQ35))</f>
        <v/>
      </c>
      <c r="BR37" s="187" t="e">
        <f>AVERAGE(BR5:BR35)</f>
        <v>#DIV/0!</v>
      </c>
      <c r="BS37" s="72" t="str">
        <f>IF(ISERROR(AVERAGE(BS5:BS35)),"",AVERAGE(BS5:BS35))</f>
        <v/>
      </c>
      <c r="BT37" s="187" t="e">
        <f>AVERAGE(BT5:BT35)</f>
        <v>#DIV/0!</v>
      </c>
      <c r="BU37" s="72" t="str">
        <f>IF(ISERROR(AVERAGE(BU5:BU35)),"",AVERAGE(BU5:BU35))</f>
        <v/>
      </c>
      <c r="BV37" s="187" t="e">
        <f>AVERAGE(BV5:BV35)</f>
        <v>#DIV/0!</v>
      </c>
      <c r="BW37" s="72" t="str">
        <f>IF(ISERROR(AVERAGE(BW5:BW35)),"",AVERAGE(BW5:BW35))</f>
        <v/>
      </c>
      <c r="BX37" s="187" t="e">
        <f>AVERAGE(BX5:BX35)</f>
        <v>#DIV/0!</v>
      </c>
      <c r="BY37" s="72" t="str">
        <f>IF(ISERROR(AVERAGE(BY5:BY35)),"",AVERAGE(BY5:BY35))</f>
        <v/>
      </c>
      <c r="BZ37" s="187" t="e">
        <f>AVERAGE(BZ5:BZ35)</f>
        <v>#DIV/0!</v>
      </c>
      <c r="CA37" s="72" t="str">
        <f>IF(ISERROR(AVERAGE(CA5:CA35)),"",AVERAGE(CA5:CA35))</f>
        <v/>
      </c>
      <c r="CB37" s="187" t="e">
        <f>AVERAGE(CB5:CB35)</f>
        <v>#DIV/0!</v>
      </c>
      <c r="CC37" s="72" t="str">
        <f>IF(ISERROR(AVERAGE(CC5:CC35)),"",AVERAGE(CC5:CC35))</f>
        <v/>
      </c>
      <c r="CD37" s="187" t="e">
        <f>AVERAGE(CD5:CD35)</f>
        <v>#DIV/0!</v>
      </c>
      <c r="CE37" s="72" t="str">
        <f>IF(ISERROR(AVERAGE(CE5:CE35)),"",AVERAGE(CE5:CE35))</f>
        <v/>
      </c>
      <c r="CF37" s="187" t="e">
        <f>AVERAGE(CF5:CF35)</f>
        <v>#DIV/0!</v>
      </c>
      <c r="CG37" s="72" t="str">
        <f>IF(ISERROR(AVERAGE(CG5:CG35)),"",AVERAGE(CG5:CG35))</f>
        <v/>
      </c>
      <c r="CH37" s="187" t="e">
        <f>AVERAGE(CH5:CH35)</f>
        <v>#DIV/0!</v>
      </c>
      <c r="CI37" s="72" t="str">
        <f>IF(ISERROR(AVERAGE(CI5:CI35)),"",AVERAGE(CI5:CI35))</f>
        <v/>
      </c>
      <c r="CJ37" s="187" t="e">
        <f>AVERAGE(CJ5:CJ35)</f>
        <v>#DIV/0!</v>
      </c>
      <c r="CK37" s="72" t="str">
        <f>IF(ISERROR(AVERAGE(CK5:CK35)),"",AVERAGE(CK5:CK35))</f>
        <v/>
      </c>
      <c r="CL37" s="187" t="e">
        <f>AVERAGE(CL5:CL35)</f>
        <v>#DIV/0!</v>
      </c>
      <c r="CM37" s="72" t="str">
        <f>IF(ISERROR(AVERAGE(CM5:CM35)),"",AVERAGE(CM5:CM35))</f>
        <v/>
      </c>
      <c r="CN37" s="187" t="e">
        <f>AVERAGE(CN5:CN35)</f>
        <v>#DIV/0!</v>
      </c>
      <c r="CO37" s="72" t="str">
        <f>IF(ISERROR(AVERAGE(CO5:CO35)),"",AVERAGE(CO5:CO35))</f>
        <v/>
      </c>
      <c r="CP37" s="187" t="e">
        <f>AVERAGE(CP5:CP35)</f>
        <v>#DIV/0!</v>
      </c>
      <c r="CQ37" s="72" t="str">
        <f>IF(ISERROR(AVERAGE(CQ5:CQ35)),"",AVERAGE(CQ5:CQ35))</f>
        <v/>
      </c>
      <c r="CR37" s="187" t="e">
        <f>AVERAGE(CR5:CR35)</f>
        <v>#DIV/0!</v>
      </c>
      <c r="CS37" s="72" t="str">
        <f>IF(ISERROR(AVERAGE(CS5:CS35)),"",AVERAGE(CS5:CS35))</f>
        <v/>
      </c>
      <c r="CT37" s="188" t="e">
        <f>AVERAGE(CT5:CT35)</f>
        <v>#DIV/0!</v>
      </c>
      <c r="CU37" s="71" t="str">
        <f>IF(ISERROR(AVERAGE(CU5:CU35)),"",AVERAGE(CU5:CU35))</f>
        <v/>
      </c>
      <c r="CV37" s="88" t="str">
        <f>IF(ISERROR(AVERAGE(CV5:CV35)),"",AVERAGE(CV5:CV35))</f>
        <v/>
      </c>
      <c r="CW37" s="92"/>
      <c r="CX37" s="71" t="str">
        <f>IF(ISERROR(AVERAGE(CX5:CX35)),"",AVERAGE(CX5:CX35))</f>
        <v/>
      </c>
      <c r="CY37" s="154" t="str">
        <f>IF(ISERROR(AVERAGE(CY5:CY35)),"",AVERAGE(CY5:CY35))</f>
        <v/>
      </c>
      <c r="CZ37" s="72" t="str">
        <f>IF(ISERROR(AVERAGE(CZ5:CZ35)),"",AVERAGE(CZ5:CZ35))</f>
        <v/>
      </c>
      <c r="DA37" s="72" t="str">
        <f>IF(ISERROR(AVERAGE(DA5:DA35)),"",AVERAGE(DA5:DA35))</f>
        <v/>
      </c>
      <c r="DB37" s="98"/>
      <c r="DC37" s="99"/>
      <c r="DF37" s="126" t="e">
        <f t="shared" ref="DF37:DP37" si="47">AVERAGE(DF5:DF35)</f>
        <v>#DIV/0!</v>
      </c>
      <c r="DG37" s="127" t="e">
        <f t="shared" si="47"/>
        <v>#DIV/0!</v>
      </c>
      <c r="DH37" s="127" t="e">
        <f t="shared" si="47"/>
        <v>#DIV/0!</v>
      </c>
      <c r="DI37" s="127" t="e">
        <f t="shared" si="47"/>
        <v>#DIV/0!</v>
      </c>
      <c r="DJ37" s="127" t="e">
        <f t="shared" si="47"/>
        <v>#DIV/0!</v>
      </c>
      <c r="DK37" s="127" t="e">
        <f t="shared" si="47"/>
        <v>#DIV/0!</v>
      </c>
      <c r="DL37" s="127" t="e">
        <f t="shared" si="47"/>
        <v>#DIV/0!</v>
      </c>
      <c r="DM37" s="127" t="e">
        <f t="shared" si="47"/>
        <v>#DIV/0!</v>
      </c>
      <c r="DN37" s="127" t="e">
        <f t="shared" si="47"/>
        <v>#DIV/0!</v>
      </c>
      <c r="DO37" s="127" t="e">
        <f t="shared" si="47"/>
        <v>#DIV/0!</v>
      </c>
      <c r="DP37" s="127">
        <f t="shared" si="47"/>
        <v>0</v>
      </c>
      <c r="DQ37" s="188"/>
      <c r="DS37" s="198" t="s">
        <v>99</v>
      </c>
      <c r="DT37" s="199"/>
      <c r="DU37" s="199"/>
      <c r="DV37" s="199"/>
      <c r="DW37" s="199"/>
      <c r="DX37" s="199"/>
    </row>
    <row r="38" spans="1:128" ht="19.149999999999999" customHeight="1" thickTop="1" thickBot="1" x14ac:dyDescent="0.45">
      <c r="DS38" s="198" t="s">
        <v>100</v>
      </c>
      <c r="DT38" s="199"/>
      <c r="DU38" s="199"/>
      <c r="DV38" s="199"/>
      <c r="DW38" s="199"/>
      <c r="DX38" s="199"/>
    </row>
    <row r="39" spans="1:128" ht="18.75" customHeight="1" thickTop="1" x14ac:dyDescent="0.4">
      <c r="E39" s="196" t="s">
        <v>101</v>
      </c>
      <c r="F39" s="197"/>
      <c r="H39" s="137" t="s">
        <v>12</v>
      </c>
      <c r="T39" s="200" t="s">
        <v>102</v>
      </c>
      <c r="U39" s="197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 spans="1:128" ht="18.75" customHeight="1" thickBot="1" x14ac:dyDescent="0.45">
      <c r="E40" s="133" t="s">
        <v>95</v>
      </c>
      <c r="F40" s="135" t="e">
        <f>(令和8年7月!G35-令和8年7月!G19)+令和8年8月!G19</f>
        <v>#VALUE!</v>
      </c>
      <c r="H40" s="142" t="str">
        <f>IF(ISERROR(F40/U40),"",(F40/U40))</f>
        <v/>
      </c>
      <c r="I40" s="146"/>
      <c r="T40" s="133" t="s">
        <v>95</v>
      </c>
      <c r="U40" s="135">
        <f>(令和8年7月!V35-令和8年7月!V19)+令和8年8月!V19</f>
        <v>11926812</v>
      </c>
    </row>
    <row r="41" spans="1:128" ht="18.75" customHeight="1" thickTop="1" thickBot="1" x14ac:dyDescent="0.45">
      <c r="E41" s="134" t="s">
        <v>97</v>
      </c>
      <c r="F41" s="136" t="e">
        <f>F40/31</f>
        <v>#VALUE!</v>
      </c>
      <c r="T41" s="134" t="s">
        <v>97</v>
      </c>
      <c r="U41" s="136">
        <f>U40/31</f>
        <v>384735.87096774194</v>
      </c>
    </row>
    <row r="42" spans="1:128" ht="13.9" customHeight="1" thickTop="1" x14ac:dyDescent="0.4"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</row>
  </sheetData>
  <mergeCells count="44">
    <mergeCell ref="DS21:DV21"/>
    <mergeCell ref="DS31:DV31"/>
    <mergeCell ref="DS38:DX38"/>
    <mergeCell ref="DS35:DV35"/>
    <mergeCell ref="AB37:AC37"/>
    <mergeCell ref="DS37:DX37"/>
    <mergeCell ref="DS5:DV5"/>
    <mergeCell ref="G1:G2"/>
    <mergeCell ref="DS11:DV11"/>
    <mergeCell ref="AX1:BC2"/>
    <mergeCell ref="DS14:DV14"/>
    <mergeCell ref="DS12:DV12"/>
    <mergeCell ref="E39:F39"/>
    <mergeCell ref="DS8:DV8"/>
    <mergeCell ref="DS27:DV27"/>
    <mergeCell ref="DS29:DV29"/>
    <mergeCell ref="DS19:DV19"/>
    <mergeCell ref="DS10:DV10"/>
    <mergeCell ref="DS13:DV13"/>
    <mergeCell ref="DS9:DV9"/>
    <mergeCell ref="DS34:DV34"/>
    <mergeCell ref="DS28:DV28"/>
    <mergeCell ref="DS24:DV24"/>
    <mergeCell ref="DS15:DV15"/>
    <mergeCell ref="DS23:DV23"/>
    <mergeCell ref="DS17:DV17"/>
    <mergeCell ref="DS36:DX36"/>
    <mergeCell ref="T39:U39"/>
    <mergeCell ref="A1:E2"/>
    <mergeCell ref="DS30:DV30"/>
    <mergeCell ref="DS33:DV33"/>
    <mergeCell ref="DS4:DV4"/>
    <mergeCell ref="DS20:DV20"/>
    <mergeCell ref="DS16:DV16"/>
    <mergeCell ref="DS7:DV7"/>
    <mergeCell ref="DS25:DV25"/>
    <mergeCell ref="DS32:DV32"/>
    <mergeCell ref="DS26:DV26"/>
    <mergeCell ref="DS22:DV22"/>
    <mergeCell ref="F1:F2"/>
    <mergeCell ref="DS18:DV18"/>
    <mergeCell ref="H1:K2"/>
    <mergeCell ref="M1:M2"/>
    <mergeCell ref="DS6:DV6"/>
  </mergeCells>
  <phoneticPr fontId="3"/>
  <conditionalFormatting sqref="B5:D35">
    <cfRule type="expression" dxfId="346" priority="38" stopIfTrue="1">
      <formula>(B5)="土"</formula>
    </cfRule>
    <cfRule type="expression" dxfId="345" priority="39" stopIfTrue="1">
      <formula>(B5)="日"</formula>
    </cfRule>
  </conditionalFormatting>
  <conditionalFormatting sqref="R5:S35">
    <cfRule type="expression" dxfId="344" priority="1" stopIfTrue="1">
      <formula>(R5)="土"</formula>
    </cfRule>
    <cfRule type="expression" dxfId="343" priority="2" stopIfTrue="1">
      <formula>(R5)="日"</formula>
    </cfRule>
  </conditionalFormatting>
  <conditionalFormatting sqref="AX5:AX34">
    <cfRule type="cellIs" dxfId="342" priority="31" operator="equal">
      <formula>0</formula>
    </cfRule>
  </conditionalFormatting>
  <conditionalFormatting sqref="AZ5:AZ34">
    <cfRule type="cellIs" dxfId="341" priority="30" operator="equal">
      <formula>0</formula>
    </cfRule>
  </conditionalFormatting>
  <conditionalFormatting sqref="BB5:BB34">
    <cfRule type="cellIs" dxfId="340" priority="29" operator="equal">
      <formula>0</formula>
    </cfRule>
  </conditionalFormatting>
  <conditionalFormatting sqref="BD5:BD34">
    <cfRule type="cellIs" dxfId="339" priority="28" operator="equal">
      <formula>0</formula>
    </cfRule>
  </conditionalFormatting>
  <conditionalFormatting sqref="BF5:BF34">
    <cfRule type="cellIs" dxfId="338" priority="27" operator="equal">
      <formula>0</formula>
    </cfRule>
  </conditionalFormatting>
  <conditionalFormatting sqref="BH5:BH34">
    <cfRule type="cellIs" dxfId="337" priority="26" operator="equal">
      <formula>0</formula>
    </cfRule>
  </conditionalFormatting>
  <conditionalFormatting sqref="BJ5:BJ34">
    <cfRule type="cellIs" dxfId="336" priority="25" operator="equal">
      <formula>0</formula>
    </cfRule>
  </conditionalFormatting>
  <conditionalFormatting sqref="BL5:BL34">
    <cfRule type="cellIs" dxfId="335" priority="24" operator="equal">
      <formula>0</formula>
    </cfRule>
  </conditionalFormatting>
  <conditionalFormatting sqref="BN5:BN34">
    <cfRule type="cellIs" dxfId="334" priority="23" operator="equal">
      <formula>0</formula>
    </cfRule>
  </conditionalFormatting>
  <conditionalFormatting sqref="BP5:BP34">
    <cfRule type="cellIs" dxfId="333" priority="22" operator="equal">
      <formula>0</formula>
    </cfRule>
  </conditionalFormatting>
  <conditionalFormatting sqref="BR5:BR34">
    <cfRule type="cellIs" dxfId="332" priority="21" operator="equal">
      <formula>0</formula>
    </cfRule>
  </conditionalFormatting>
  <conditionalFormatting sqref="BT5:BT34">
    <cfRule type="cellIs" dxfId="331" priority="20" operator="equal">
      <formula>0</formula>
    </cfRule>
  </conditionalFormatting>
  <conditionalFormatting sqref="BV5:BV34">
    <cfRule type="cellIs" dxfId="330" priority="19" operator="equal">
      <formula>0</formula>
    </cfRule>
  </conditionalFormatting>
  <conditionalFormatting sqref="BX5:BX34">
    <cfRule type="cellIs" dxfId="329" priority="18" operator="equal">
      <formula>0</formula>
    </cfRule>
  </conditionalFormatting>
  <conditionalFormatting sqref="BZ5:BZ34">
    <cfRule type="cellIs" dxfId="328" priority="17" operator="equal">
      <formula>0</formula>
    </cfRule>
  </conditionalFormatting>
  <conditionalFormatting sqref="CB5:CB34">
    <cfRule type="cellIs" dxfId="327" priority="16" operator="equal">
      <formula>0</formula>
    </cfRule>
  </conditionalFormatting>
  <conditionalFormatting sqref="CD5:CD34">
    <cfRule type="cellIs" dxfId="326" priority="15" operator="equal">
      <formula>0</formula>
    </cfRule>
  </conditionalFormatting>
  <conditionalFormatting sqref="CF5:CF34">
    <cfRule type="cellIs" dxfId="325" priority="14" operator="equal">
      <formula>0</formula>
    </cfRule>
  </conditionalFormatting>
  <conditionalFormatting sqref="CH5:CH34">
    <cfRule type="cellIs" dxfId="324" priority="13" operator="equal">
      <formula>0</formula>
    </cfRule>
  </conditionalFormatting>
  <conditionalFormatting sqref="CJ5:CJ34">
    <cfRule type="cellIs" dxfId="323" priority="12" operator="equal">
      <formula>0</formula>
    </cfRule>
  </conditionalFormatting>
  <conditionalFormatting sqref="CL5:CL34">
    <cfRule type="cellIs" dxfId="322" priority="11" operator="equal">
      <formula>0</formula>
    </cfRule>
  </conditionalFormatting>
  <conditionalFormatting sqref="CN5:CN34">
    <cfRule type="cellIs" dxfId="321" priority="10" operator="equal">
      <formula>0</formula>
    </cfRule>
  </conditionalFormatting>
  <conditionalFormatting sqref="CP5:CP34">
    <cfRule type="cellIs" dxfId="320" priority="9" operator="equal">
      <formula>0</formula>
    </cfRule>
  </conditionalFormatting>
  <conditionalFormatting sqref="CR5:CR34">
    <cfRule type="cellIs" dxfId="319" priority="8" operator="equal">
      <formula>0</formula>
    </cfRule>
  </conditionalFormatting>
  <conditionalFormatting sqref="CT5:CT34">
    <cfRule type="cellIs" dxfId="318" priority="7" operator="equal">
      <formula>0</formula>
    </cfRule>
  </conditionalFormatting>
  <conditionalFormatting sqref="DC5:DC36">
    <cfRule type="expression" dxfId="317" priority="3" stopIfTrue="1">
      <formula>(DC5)="土"</formula>
    </cfRule>
    <cfRule type="expression" dxfId="316" priority="4" stopIfTrue="1">
      <formula>(DC5)="日"</formula>
    </cfRule>
  </conditionalFormatting>
  <pageMargins left="0.12" right="0.18" top="0.75" bottom="0.75" header="0.3" footer="0.3"/>
  <pageSetup paperSize="9" orientation="landscape" horizontalDpi="429496729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B42"/>
  <sheetViews>
    <sheetView topLeftCell="CS1" zoomScaleNormal="100" workbookViewId="0">
      <pane ySplit="4" topLeftCell="A14" activePane="bottomLeft" state="frozen"/>
      <selection pane="bottomLeft" activeCell="DD4" sqref="DD4"/>
    </sheetView>
  </sheetViews>
  <sheetFormatPr defaultRowHeight="13.5" x14ac:dyDescent="0.4"/>
  <cols>
    <col min="1" max="4" width="3.125" style="5" customWidth="1"/>
    <col min="5" max="5" width="5.625" style="5" customWidth="1"/>
    <col min="6" max="6" width="10.625" style="73" customWidth="1"/>
    <col min="7" max="7" width="12.5" style="73" customWidth="1"/>
    <col min="8" max="10" width="8.625" style="2" customWidth="1"/>
    <col min="11" max="11" width="5.625" style="2" customWidth="1"/>
    <col min="12" max="12" width="4.625" style="2" customWidth="1"/>
    <col min="13" max="13" width="5.625" style="2" customWidth="1"/>
    <col min="14" max="17" width="4.625" style="2" customWidth="1"/>
    <col min="18" max="19" width="3.125" style="5" customWidth="1"/>
    <col min="20" max="20" width="5.625" style="5" customWidth="1"/>
    <col min="21" max="21" width="7.625" style="73" customWidth="1"/>
    <col min="22" max="22" width="8.625" style="73" customWidth="1"/>
    <col min="23" max="24" width="5.625" style="2" customWidth="1"/>
    <col min="25" max="25" width="6.625" style="2" customWidth="1"/>
    <col min="26" max="26" width="9.875" style="2" customWidth="1"/>
    <col min="27" max="38" width="8.625" style="73" customWidth="1"/>
    <col min="39" max="43" width="8.625" style="73" hidden="1" customWidth="1"/>
    <col min="44" max="44" width="12.5" style="2" customWidth="1"/>
    <col min="45" max="45" width="6.75" style="2" customWidth="1"/>
    <col min="46" max="46" width="12.625" style="2" customWidth="1"/>
    <col min="47" max="47" width="8.625" style="161" customWidth="1"/>
    <col min="48" max="48" width="5.5" style="2" bestFit="1" customWidth="1"/>
    <col min="49" max="98" width="6.75" style="2" customWidth="1"/>
    <col min="99" max="100" width="8.625" style="2" customWidth="1"/>
    <col min="101" max="101" width="2.875" style="2" customWidth="1"/>
    <col min="102" max="102" width="10.625" style="2" customWidth="1"/>
    <col min="103" max="103" width="6.625" style="2" customWidth="1"/>
    <col min="104" max="104" width="10.625" style="2" customWidth="1"/>
    <col min="105" max="105" width="6.625" style="2" customWidth="1"/>
    <col min="106" max="107" width="3.125" style="5" customWidth="1"/>
    <col min="108" max="108" width="1.125" style="2" customWidth="1"/>
    <col min="109" max="109" width="2.375" style="2" customWidth="1"/>
    <col min="110" max="120" width="7.625" style="6" hidden="1" customWidth="1"/>
    <col min="121" max="121" width="6.75" style="2" hidden="1" customWidth="1"/>
    <col min="122" max="122" width="8.75" style="2" customWidth="1"/>
    <col min="123" max="126" width="8.625" style="2" customWidth="1"/>
    <col min="127" max="127" width="12.625" style="2" customWidth="1"/>
    <col min="128" max="128" width="8.625" style="2" customWidth="1"/>
    <col min="129" max="303" width="9" style="2" customWidth="1"/>
    <col min="304" max="305" width="3.125" style="2" customWidth="1"/>
    <col min="306" max="306" width="5.875" style="2" bestFit="1" customWidth="1"/>
    <col min="307" max="307" width="5.625" style="2" customWidth="1"/>
    <col min="308" max="308" width="10.625" style="2" customWidth="1"/>
    <col min="309" max="309" width="12.625" style="2" customWidth="1"/>
    <col min="310" max="310" width="8.625" style="2" customWidth="1"/>
    <col min="311" max="311" width="5.625" style="2" customWidth="1"/>
    <col min="312" max="312" width="4.625" style="2" customWidth="1"/>
    <col min="313" max="313" width="5.625" style="2" customWidth="1"/>
    <col min="314" max="317" width="4.625" style="2" customWidth="1"/>
    <col min="318" max="318" width="7.625" style="2" customWidth="1"/>
    <col min="319" max="319" width="8.625" style="2" customWidth="1"/>
    <col min="320" max="321" width="5.625" style="2" customWidth="1"/>
    <col min="322" max="322" width="6.625" style="2" customWidth="1"/>
    <col min="323" max="323" width="9.875" style="2" customWidth="1"/>
    <col min="324" max="325" width="8.625" style="2" customWidth="1"/>
    <col min="326" max="326" width="5.5" style="2" bestFit="1" customWidth="1"/>
    <col min="327" max="368" width="6.75" style="2" customWidth="1"/>
    <col min="369" max="369" width="9" style="2" customWidth="1"/>
    <col min="370" max="370" width="9.875" style="2" customWidth="1"/>
    <col min="371" max="371" width="2.875" style="2" customWidth="1"/>
    <col min="372" max="372" width="12.25" style="2" customWidth="1"/>
    <col min="373" max="373" width="6.375" style="2" customWidth="1"/>
    <col min="374" max="375" width="3.125" style="2" customWidth="1"/>
    <col min="376" max="376" width="1.125" style="2" customWidth="1"/>
    <col min="377" max="377" width="9" style="2" customWidth="1"/>
    <col min="378" max="378" width="2.375" style="2" customWidth="1"/>
    <col min="379" max="396" width="7.625" style="2" customWidth="1"/>
    <col min="397" max="559" width="9" style="2" customWidth="1"/>
    <col min="560" max="561" width="3.125" style="2" customWidth="1"/>
    <col min="562" max="562" width="5.875" style="2" bestFit="1" customWidth="1"/>
    <col min="563" max="563" width="5.625" style="2" customWidth="1"/>
    <col min="564" max="564" width="10.625" style="2" customWidth="1"/>
    <col min="565" max="565" width="12.625" style="2" customWidth="1"/>
    <col min="566" max="566" width="8.625" style="2" customWidth="1"/>
    <col min="567" max="567" width="5.625" style="2" customWidth="1"/>
    <col min="568" max="568" width="4.625" style="2" customWidth="1"/>
    <col min="569" max="569" width="5.625" style="2" customWidth="1"/>
    <col min="570" max="573" width="4.625" style="2" customWidth="1"/>
    <col min="574" max="574" width="7.625" style="2" customWidth="1"/>
    <col min="575" max="575" width="8.625" style="2" customWidth="1"/>
    <col min="576" max="577" width="5.625" style="2" customWidth="1"/>
    <col min="578" max="578" width="6.625" style="2" customWidth="1"/>
    <col min="579" max="579" width="9.875" style="2" customWidth="1"/>
    <col min="580" max="581" width="8.625" style="2" customWidth="1"/>
    <col min="582" max="582" width="5.5" style="2" bestFit="1" customWidth="1"/>
    <col min="583" max="624" width="6.75" style="2" customWidth="1"/>
    <col min="625" max="625" width="9" style="2" customWidth="1"/>
    <col min="626" max="626" width="9.875" style="2" customWidth="1"/>
    <col min="627" max="627" width="2.875" style="2" customWidth="1"/>
    <col min="628" max="628" width="12.25" style="2" customWidth="1"/>
    <col min="629" max="629" width="6.375" style="2" customWidth="1"/>
    <col min="630" max="631" width="3.125" style="2" customWidth="1"/>
    <col min="632" max="632" width="1.125" style="2" customWidth="1"/>
    <col min="633" max="633" width="9" style="2" customWidth="1"/>
    <col min="634" max="634" width="2.375" style="2" customWidth="1"/>
    <col min="635" max="652" width="7.625" style="2" customWidth="1"/>
    <col min="653" max="815" width="9" style="2" customWidth="1"/>
    <col min="816" max="817" width="3.125" style="2" customWidth="1"/>
    <col min="818" max="818" width="5.875" style="2" bestFit="1" customWidth="1"/>
    <col min="819" max="819" width="5.625" style="2" customWidth="1"/>
    <col min="820" max="820" width="10.625" style="2" customWidth="1"/>
    <col min="821" max="821" width="12.625" style="2" customWidth="1"/>
    <col min="822" max="822" width="8.625" style="2" customWidth="1"/>
    <col min="823" max="823" width="5.625" style="2" customWidth="1"/>
    <col min="824" max="824" width="4.625" style="2" customWidth="1"/>
    <col min="825" max="825" width="5.625" style="2" customWidth="1"/>
    <col min="826" max="829" width="4.625" style="2" customWidth="1"/>
    <col min="830" max="830" width="7.625" style="2" customWidth="1"/>
    <col min="831" max="831" width="8.625" style="2" customWidth="1"/>
    <col min="832" max="833" width="5.625" style="2" customWidth="1"/>
    <col min="834" max="834" width="6.625" style="2" customWidth="1"/>
    <col min="835" max="835" width="9.875" style="2" customWidth="1"/>
    <col min="836" max="837" width="8.625" style="2" customWidth="1"/>
    <col min="838" max="838" width="5.5" style="2" bestFit="1" customWidth="1"/>
    <col min="839" max="880" width="6.75" style="2" customWidth="1"/>
    <col min="881" max="881" width="9" style="2" customWidth="1"/>
    <col min="882" max="882" width="9.875" style="2" customWidth="1"/>
    <col min="883" max="883" width="2.875" style="2" customWidth="1"/>
    <col min="884" max="884" width="12.25" style="2" customWidth="1"/>
    <col min="885" max="885" width="6.375" style="2" customWidth="1"/>
    <col min="886" max="887" width="3.125" style="2" customWidth="1"/>
    <col min="888" max="888" width="1.125" style="2" customWidth="1"/>
    <col min="889" max="889" width="9" style="2" customWidth="1"/>
    <col min="890" max="890" width="2.375" style="2" customWidth="1"/>
    <col min="891" max="908" width="7.625" style="2" customWidth="1"/>
    <col min="909" max="1071" width="9" style="2" customWidth="1"/>
    <col min="1072" max="1073" width="3.125" style="2" customWidth="1"/>
    <col min="1074" max="1074" width="5.875" style="2" bestFit="1" customWidth="1"/>
    <col min="1075" max="1075" width="5.625" style="2" customWidth="1"/>
    <col min="1076" max="1076" width="10.625" style="2" customWidth="1"/>
    <col min="1077" max="1077" width="12.625" style="2" customWidth="1"/>
    <col min="1078" max="1078" width="8.625" style="2" customWidth="1"/>
    <col min="1079" max="1079" width="5.625" style="2" customWidth="1"/>
    <col min="1080" max="1080" width="4.625" style="2" customWidth="1"/>
    <col min="1081" max="1081" width="5.625" style="2" customWidth="1"/>
    <col min="1082" max="1085" width="4.625" style="2" customWidth="1"/>
    <col min="1086" max="1086" width="7.625" style="2" customWidth="1"/>
    <col min="1087" max="1087" width="8.625" style="2" customWidth="1"/>
    <col min="1088" max="1089" width="5.625" style="2" customWidth="1"/>
    <col min="1090" max="1090" width="6.625" style="2" customWidth="1"/>
    <col min="1091" max="1091" width="9.875" style="2" customWidth="1"/>
    <col min="1092" max="1093" width="8.625" style="2" customWidth="1"/>
    <col min="1094" max="1094" width="5.5" style="2" bestFit="1" customWidth="1"/>
    <col min="1095" max="1136" width="6.75" style="2" customWidth="1"/>
    <col min="1137" max="1137" width="9" style="2" customWidth="1"/>
    <col min="1138" max="1138" width="9.875" style="2" customWidth="1"/>
    <col min="1139" max="1139" width="2.875" style="2" customWidth="1"/>
    <col min="1140" max="1140" width="12.25" style="2" customWidth="1"/>
    <col min="1141" max="1141" width="6.375" style="2" customWidth="1"/>
    <col min="1142" max="1143" width="3.125" style="2" customWidth="1"/>
    <col min="1144" max="1144" width="1.125" style="2" customWidth="1"/>
    <col min="1145" max="1145" width="9" style="2" customWidth="1"/>
    <col min="1146" max="1146" width="2.375" style="2" customWidth="1"/>
    <col min="1147" max="1164" width="7.625" style="2" customWidth="1"/>
    <col min="1165" max="1327" width="9" style="2" customWidth="1"/>
    <col min="1328" max="1329" width="3.125" style="2" customWidth="1"/>
    <col min="1330" max="1330" width="5.875" style="2" bestFit="1" customWidth="1"/>
    <col min="1331" max="1331" width="5.625" style="2" customWidth="1"/>
    <col min="1332" max="1332" width="10.625" style="2" customWidth="1"/>
    <col min="1333" max="1333" width="12.625" style="2" customWidth="1"/>
    <col min="1334" max="1334" width="8.625" style="2" customWidth="1"/>
    <col min="1335" max="1335" width="5.625" style="2" customWidth="1"/>
    <col min="1336" max="1336" width="4.625" style="2" customWidth="1"/>
    <col min="1337" max="1337" width="5.625" style="2" customWidth="1"/>
    <col min="1338" max="1341" width="4.625" style="2" customWidth="1"/>
    <col min="1342" max="1342" width="7.625" style="2" customWidth="1"/>
    <col min="1343" max="1343" width="8.625" style="2" customWidth="1"/>
    <col min="1344" max="1345" width="5.625" style="2" customWidth="1"/>
    <col min="1346" max="1346" width="6.625" style="2" customWidth="1"/>
    <col min="1347" max="1347" width="9.875" style="2" customWidth="1"/>
    <col min="1348" max="1349" width="8.625" style="2" customWidth="1"/>
    <col min="1350" max="1350" width="5.5" style="2" bestFit="1" customWidth="1"/>
    <col min="1351" max="1392" width="6.75" style="2" customWidth="1"/>
    <col min="1393" max="1393" width="9" style="2" customWidth="1"/>
    <col min="1394" max="1394" width="9.875" style="2" customWidth="1"/>
    <col min="1395" max="1395" width="2.875" style="2" customWidth="1"/>
    <col min="1396" max="1396" width="12.25" style="2" customWidth="1"/>
    <col min="1397" max="1397" width="6.375" style="2" customWidth="1"/>
    <col min="1398" max="1399" width="3.125" style="2" customWidth="1"/>
    <col min="1400" max="1400" width="1.125" style="2" customWidth="1"/>
    <col min="1401" max="1401" width="9" style="2" customWidth="1"/>
    <col min="1402" max="1402" width="2.375" style="2" customWidth="1"/>
    <col min="1403" max="1420" width="7.625" style="2" customWidth="1"/>
    <col min="1421" max="1583" width="9" style="2" customWidth="1"/>
    <col min="1584" max="1585" width="3.125" style="2" customWidth="1"/>
    <col min="1586" max="1586" width="5.875" style="2" bestFit="1" customWidth="1"/>
    <col min="1587" max="1587" width="5.625" style="2" customWidth="1"/>
    <col min="1588" max="1588" width="10.625" style="2" customWidth="1"/>
    <col min="1589" max="1589" width="12.625" style="2" customWidth="1"/>
    <col min="1590" max="1590" width="8.625" style="2" customWidth="1"/>
    <col min="1591" max="1591" width="5.625" style="2" customWidth="1"/>
    <col min="1592" max="1592" width="4.625" style="2" customWidth="1"/>
    <col min="1593" max="1593" width="5.625" style="2" customWidth="1"/>
    <col min="1594" max="1597" width="4.625" style="2" customWidth="1"/>
    <col min="1598" max="1598" width="7.625" style="2" customWidth="1"/>
    <col min="1599" max="1599" width="8.625" style="2" customWidth="1"/>
    <col min="1600" max="1601" width="5.625" style="2" customWidth="1"/>
    <col min="1602" max="1602" width="6.625" style="2" customWidth="1"/>
    <col min="1603" max="1603" width="9.875" style="2" customWidth="1"/>
    <col min="1604" max="1605" width="8.625" style="2" customWidth="1"/>
    <col min="1606" max="1606" width="5.5" style="2" bestFit="1" customWidth="1"/>
    <col min="1607" max="1648" width="6.75" style="2" customWidth="1"/>
    <col min="1649" max="1649" width="9" style="2" customWidth="1"/>
    <col min="1650" max="1650" width="9.875" style="2" customWidth="1"/>
    <col min="1651" max="1651" width="2.875" style="2" customWidth="1"/>
    <col min="1652" max="1652" width="12.25" style="2" customWidth="1"/>
    <col min="1653" max="1653" width="6.375" style="2" customWidth="1"/>
    <col min="1654" max="1655" width="3.125" style="2" customWidth="1"/>
    <col min="1656" max="1656" width="1.125" style="2" customWidth="1"/>
    <col min="1657" max="1657" width="9" style="2" customWidth="1"/>
    <col min="1658" max="1658" width="2.375" style="2" customWidth="1"/>
    <col min="1659" max="1676" width="7.625" style="2" customWidth="1"/>
    <col min="1677" max="1839" width="9" style="2" customWidth="1"/>
    <col min="1840" max="1841" width="3.125" style="2" customWidth="1"/>
    <col min="1842" max="1842" width="5.875" style="2" bestFit="1" customWidth="1"/>
    <col min="1843" max="1843" width="5.625" style="2" customWidth="1"/>
    <col min="1844" max="1844" width="10.625" style="2" customWidth="1"/>
    <col min="1845" max="1845" width="12.625" style="2" customWidth="1"/>
    <col min="1846" max="1846" width="8.625" style="2" customWidth="1"/>
    <col min="1847" max="1847" width="5.625" style="2" customWidth="1"/>
    <col min="1848" max="1848" width="4.625" style="2" customWidth="1"/>
    <col min="1849" max="1849" width="5.625" style="2" customWidth="1"/>
    <col min="1850" max="1853" width="4.625" style="2" customWidth="1"/>
    <col min="1854" max="1854" width="7.625" style="2" customWidth="1"/>
    <col min="1855" max="1855" width="8.625" style="2" customWidth="1"/>
    <col min="1856" max="1857" width="5.625" style="2" customWidth="1"/>
    <col min="1858" max="1858" width="6.625" style="2" customWidth="1"/>
    <col min="1859" max="1859" width="9.875" style="2" customWidth="1"/>
    <col min="1860" max="1861" width="8.625" style="2" customWidth="1"/>
    <col min="1862" max="1862" width="5.5" style="2" bestFit="1" customWidth="1"/>
    <col min="1863" max="1904" width="6.75" style="2" customWidth="1"/>
    <col min="1905" max="1905" width="9" style="2" customWidth="1"/>
    <col min="1906" max="1906" width="9.875" style="2" customWidth="1"/>
    <col min="1907" max="1907" width="2.875" style="2" customWidth="1"/>
    <col min="1908" max="1908" width="12.25" style="2" customWidth="1"/>
    <col min="1909" max="1909" width="6.375" style="2" customWidth="1"/>
    <col min="1910" max="1911" width="3.125" style="2" customWidth="1"/>
    <col min="1912" max="1912" width="1.125" style="2" customWidth="1"/>
    <col min="1913" max="1913" width="9" style="2" customWidth="1"/>
    <col min="1914" max="1914" width="2.375" style="2" customWidth="1"/>
    <col min="1915" max="1932" width="7.625" style="2" customWidth="1"/>
    <col min="1933" max="2095" width="9" style="2" customWidth="1"/>
    <col min="2096" max="2097" width="3.125" style="2" customWidth="1"/>
    <col min="2098" max="2098" width="5.875" style="2" bestFit="1" customWidth="1"/>
    <col min="2099" max="2099" width="5.625" style="2" customWidth="1"/>
    <col min="2100" max="2100" width="10.625" style="2" customWidth="1"/>
    <col min="2101" max="2101" width="12.625" style="2" customWidth="1"/>
    <col min="2102" max="2102" width="8.625" style="2" customWidth="1"/>
    <col min="2103" max="2103" width="5.625" style="2" customWidth="1"/>
    <col min="2104" max="2104" width="4.625" style="2" customWidth="1"/>
    <col min="2105" max="2105" width="5.625" style="2" customWidth="1"/>
    <col min="2106" max="2109" width="4.625" style="2" customWidth="1"/>
    <col min="2110" max="2110" width="7.625" style="2" customWidth="1"/>
    <col min="2111" max="2111" width="8.625" style="2" customWidth="1"/>
    <col min="2112" max="2113" width="5.625" style="2" customWidth="1"/>
    <col min="2114" max="2114" width="6.625" style="2" customWidth="1"/>
    <col min="2115" max="2115" width="9.875" style="2" customWidth="1"/>
    <col min="2116" max="2117" width="8.625" style="2" customWidth="1"/>
    <col min="2118" max="2118" width="5.5" style="2" bestFit="1" customWidth="1"/>
    <col min="2119" max="2160" width="6.75" style="2" customWidth="1"/>
    <col min="2161" max="2161" width="9" style="2" customWidth="1"/>
    <col min="2162" max="2162" width="9.875" style="2" customWidth="1"/>
    <col min="2163" max="2163" width="2.875" style="2" customWidth="1"/>
    <col min="2164" max="2164" width="12.25" style="2" customWidth="1"/>
    <col min="2165" max="2165" width="6.375" style="2" customWidth="1"/>
    <col min="2166" max="2167" width="3.125" style="2" customWidth="1"/>
    <col min="2168" max="2168" width="1.125" style="2" customWidth="1"/>
    <col min="2169" max="2169" width="9" style="2" customWidth="1"/>
    <col min="2170" max="2170" width="2.375" style="2" customWidth="1"/>
    <col min="2171" max="2188" width="7.625" style="2" customWidth="1"/>
    <col min="2189" max="2351" width="9" style="2" customWidth="1"/>
    <col min="2352" max="2353" width="3.125" style="2" customWidth="1"/>
    <col min="2354" max="2354" width="5.875" style="2" bestFit="1" customWidth="1"/>
    <col min="2355" max="2355" width="5.625" style="2" customWidth="1"/>
    <col min="2356" max="2356" width="10.625" style="2" customWidth="1"/>
    <col min="2357" max="2357" width="12.625" style="2" customWidth="1"/>
    <col min="2358" max="2358" width="8.625" style="2" customWidth="1"/>
    <col min="2359" max="2359" width="5.625" style="2" customWidth="1"/>
    <col min="2360" max="2360" width="4.625" style="2" customWidth="1"/>
    <col min="2361" max="2361" width="5.625" style="2" customWidth="1"/>
    <col min="2362" max="2365" width="4.625" style="2" customWidth="1"/>
    <col min="2366" max="2366" width="7.625" style="2" customWidth="1"/>
    <col min="2367" max="2367" width="8.625" style="2" customWidth="1"/>
    <col min="2368" max="2369" width="5.625" style="2" customWidth="1"/>
    <col min="2370" max="2370" width="6.625" style="2" customWidth="1"/>
    <col min="2371" max="2371" width="9.875" style="2" customWidth="1"/>
    <col min="2372" max="2373" width="8.625" style="2" customWidth="1"/>
    <col min="2374" max="2374" width="5.5" style="2" bestFit="1" customWidth="1"/>
    <col min="2375" max="2416" width="6.75" style="2" customWidth="1"/>
    <col min="2417" max="2417" width="9" style="2" customWidth="1"/>
    <col min="2418" max="2418" width="9.875" style="2" customWidth="1"/>
    <col min="2419" max="2419" width="2.875" style="2" customWidth="1"/>
    <col min="2420" max="2420" width="12.25" style="2" customWidth="1"/>
    <col min="2421" max="2421" width="6.375" style="2" customWidth="1"/>
    <col min="2422" max="2423" width="3.125" style="2" customWidth="1"/>
    <col min="2424" max="2424" width="1.125" style="2" customWidth="1"/>
    <col min="2425" max="2425" width="9" style="2" customWidth="1"/>
    <col min="2426" max="2426" width="2.375" style="2" customWidth="1"/>
    <col min="2427" max="2444" width="7.625" style="2" customWidth="1"/>
    <col min="2445" max="2607" width="9" style="2" customWidth="1"/>
    <col min="2608" max="2609" width="3.125" style="2" customWidth="1"/>
    <col min="2610" max="2610" width="5.875" style="2" bestFit="1" customWidth="1"/>
    <col min="2611" max="2611" width="5.625" style="2" customWidth="1"/>
    <col min="2612" max="2612" width="10.625" style="2" customWidth="1"/>
    <col min="2613" max="2613" width="12.625" style="2" customWidth="1"/>
    <col min="2614" max="2614" width="8.625" style="2" customWidth="1"/>
    <col min="2615" max="2615" width="5.625" style="2" customWidth="1"/>
    <col min="2616" max="2616" width="4.625" style="2" customWidth="1"/>
    <col min="2617" max="2617" width="5.625" style="2" customWidth="1"/>
    <col min="2618" max="2621" width="4.625" style="2" customWidth="1"/>
    <col min="2622" max="2622" width="7.625" style="2" customWidth="1"/>
    <col min="2623" max="2623" width="8.625" style="2" customWidth="1"/>
    <col min="2624" max="2625" width="5.625" style="2" customWidth="1"/>
    <col min="2626" max="2626" width="6.625" style="2" customWidth="1"/>
    <col min="2627" max="2627" width="9.875" style="2" customWidth="1"/>
    <col min="2628" max="2629" width="8.625" style="2" customWidth="1"/>
    <col min="2630" max="2630" width="5.5" style="2" bestFit="1" customWidth="1"/>
    <col min="2631" max="2672" width="6.75" style="2" customWidth="1"/>
    <col min="2673" max="2673" width="9" style="2" customWidth="1"/>
    <col min="2674" max="2674" width="9.875" style="2" customWidth="1"/>
    <col min="2675" max="2675" width="2.875" style="2" customWidth="1"/>
    <col min="2676" max="2676" width="12.25" style="2" customWidth="1"/>
    <col min="2677" max="2677" width="6.375" style="2" customWidth="1"/>
    <col min="2678" max="2679" width="3.125" style="2" customWidth="1"/>
    <col min="2680" max="2680" width="1.125" style="2" customWidth="1"/>
    <col min="2681" max="2681" width="9" style="2" customWidth="1"/>
    <col min="2682" max="2682" width="2.375" style="2" customWidth="1"/>
    <col min="2683" max="2700" width="7.625" style="2" customWidth="1"/>
    <col min="2701" max="2863" width="9" style="2" customWidth="1"/>
    <col min="2864" max="2865" width="3.125" style="2" customWidth="1"/>
    <col min="2866" max="2866" width="5.875" style="2" bestFit="1" customWidth="1"/>
    <col min="2867" max="2867" width="5.625" style="2" customWidth="1"/>
    <col min="2868" max="2868" width="10.625" style="2" customWidth="1"/>
    <col min="2869" max="2869" width="12.625" style="2" customWidth="1"/>
    <col min="2870" max="2870" width="8.625" style="2" customWidth="1"/>
    <col min="2871" max="2871" width="5.625" style="2" customWidth="1"/>
    <col min="2872" max="2872" width="4.625" style="2" customWidth="1"/>
    <col min="2873" max="2873" width="5.625" style="2" customWidth="1"/>
    <col min="2874" max="2877" width="4.625" style="2" customWidth="1"/>
    <col min="2878" max="2878" width="7.625" style="2" customWidth="1"/>
    <col min="2879" max="2879" width="8.625" style="2" customWidth="1"/>
    <col min="2880" max="2881" width="5.625" style="2" customWidth="1"/>
    <col min="2882" max="2882" width="6.625" style="2" customWidth="1"/>
    <col min="2883" max="2883" width="9.875" style="2" customWidth="1"/>
    <col min="2884" max="2885" width="8.625" style="2" customWidth="1"/>
    <col min="2886" max="2886" width="5.5" style="2" bestFit="1" customWidth="1"/>
    <col min="2887" max="2928" width="6.75" style="2" customWidth="1"/>
    <col min="2929" max="2929" width="9" style="2" customWidth="1"/>
    <col min="2930" max="2930" width="9.875" style="2" customWidth="1"/>
    <col min="2931" max="2931" width="2.875" style="2" customWidth="1"/>
    <col min="2932" max="2932" width="12.25" style="2" customWidth="1"/>
    <col min="2933" max="2933" width="6.375" style="2" customWidth="1"/>
    <col min="2934" max="2935" width="3.125" style="2" customWidth="1"/>
    <col min="2936" max="2936" width="1.125" style="2" customWidth="1"/>
    <col min="2937" max="2937" width="9" style="2" customWidth="1"/>
    <col min="2938" max="2938" width="2.375" style="2" customWidth="1"/>
    <col min="2939" max="2956" width="7.625" style="2" customWidth="1"/>
    <col min="2957" max="3119" width="9" style="2" customWidth="1"/>
    <col min="3120" max="3121" width="3.125" style="2" customWidth="1"/>
    <col min="3122" max="3122" width="5.875" style="2" bestFit="1" customWidth="1"/>
    <col min="3123" max="3123" width="5.625" style="2" customWidth="1"/>
    <col min="3124" max="3124" width="10.625" style="2" customWidth="1"/>
    <col min="3125" max="3125" width="12.625" style="2" customWidth="1"/>
    <col min="3126" max="3126" width="8.625" style="2" customWidth="1"/>
    <col min="3127" max="3127" width="5.625" style="2" customWidth="1"/>
    <col min="3128" max="3128" width="4.625" style="2" customWidth="1"/>
    <col min="3129" max="3129" width="5.625" style="2" customWidth="1"/>
    <col min="3130" max="3133" width="4.625" style="2" customWidth="1"/>
    <col min="3134" max="3134" width="7.625" style="2" customWidth="1"/>
    <col min="3135" max="3135" width="8.625" style="2" customWidth="1"/>
    <col min="3136" max="3137" width="5.625" style="2" customWidth="1"/>
    <col min="3138" max="3138" width="6.625" style="2" customWidth="1"/>
    <col min="3139" max="3139" width="9.875" style="2" customWidth="1"/>
    <col min="3140" max="3141" width="8.625" style="2" customWidth="1"/>
    <col min="3142" max="3142" width="5.5" style="2" bestFit="1" customWidth="1"/>
    <col min="3143" max="3184" width="6.75" style="2" customWidth="1"/>
    <col min="3185" max="3185" width="9" style="2" customWidth="1"/>
    <col min="3186" max="3186" width="9.875" style="2" customWidth="1"/>
    <col min="3187" max="3187" width="2.875" style="2" customWidth="1"/>
    <col min="3188" max="3188" width="12.25" style="2" customWidth="1"/>
    <col min="3189" max="3189" width="6.375" style="2" customWidth="1"/>
    <col min="3190" max="3191" width="3.125" style="2" customWidth="1"/>
    <col min="3192" max="3192" width="1.125" style="2" customWidth="1"/>
    <col min="3193" max="3193" width="9" style="2" customWidth="1"/>
    <col min="3194" max="3194" width="2.375" style="2" customWidth="1"/>
    <col min="3195" max="3212" width="7.625" style="2" customWidth="1"/>
    <col min="3213" max="3375" width="9" style="2" customWidth="1"/>
    <col min="3376" max="3377" width="3.125" style="2" customWidth="1"/>
    <col min="3378" max="3378" width="5.875" style="2" bestFit="1" customWidth="1"/>
    <col min="3379" max="3379" width="5.625" style="2" customWidth="1"/>
    <col min="3380" max="3380" width="10.625" style="2" customWidth="1"/>
    <col min="3381" max="3381" width="12.625" style="2" customWidth="1"/>
    <col min="3382" max="3382" width="8.625" style="2" customWidth="1"/>
    <col min="3383" max="3383" width="5.625" style="2" customWidth="1"/>
    <col min="3384" max="3384" width="4.625" style="2" customWidth="1"/>
    <col min="3385" max="3385" width="5.625" style="2" customWidth="1"/>
    <col min="3386" max="3389" width="4.625" style="2" customWidth="1"/>
    <col min="3390" max="3390" width="7.625" style="2" customWidth="1"/>
    <col min="3391" max="3391" width="8.625" style="2" customWidth="1"/>
    <col min="3392" max="3393" width="5.625" style="2" customWidth="1"/>
    <col min="3394" max="3394" width="6.625" style="2" customWidth="1"/>
    <col min="3395" max="3395" width="9.875" style="2" customWidth="1"/>
    <col min="3396" max="3397" width="8.625" style="2" customWidth="1"/>
    <col min="3398" max="3398" width="5.5" style="2" bestFit="1" customWidth="1"/>
    <col min="3399" max="3440" width="6.75" style="2" customWidth="1"/>
    <col min="3441" max="3441" width="9" style="2" customWidth="1"/>
    <col min="3442" max="3442" width="9.875" style="2" customWidth="1"/>
    <col min="3443" max="3443" width="2.875" style="2" customWidth="1"/>
    <col min="3444" max="3444" width="12.25" style="2" customWidth="1"/>
    <col min="3445" max="3445" width="6.375" style="2" customWidth="1"/>
    <col min="3446" max="3447" width="3.125" style="2" customWidth="1"/>
    <col min="3448" max="3448" width="1.125" style="2" customWidth="1"/>
    <col min="3449" max="3449" width="9" style="2" customWidth="1"/>
    <col min="3450" max="3450" width="2.375" style="2" customWidth="1"/>
    <col min="3451" max="3468" width="7.625" style="2" customWidth="1"/>
    <col min="3469" max="3631" width="9" style="2" customWidth="1"/>
    <col min="3632" max="3633" width="3.125" style="2" customWidth="1"/>
    <col min="3634" max="3634" width="5.875" style="2" bestFit="1" customWidth="1"/>
    <col min="3635" max="3635" width="5.625" style="2" customWidth="1"/>
    <col min="3636" max="3636" width="10.625" style="2" customWidth="1"/>
    <col min="3637" max="3637" width="12.625" style="2" customWidth="1"/>
    <col min="3638" max="3638" width="8.625" style="2" customWidth="1"/>
    <col min="3639" max="3639" width="5.625" style="2" customWidth="1"/>
    <col min="3640" max="3640" width="4.625" style="2" customWidth="1"/>
    <col min="3641" max="3641" width="5.625" style="2" customWidth="1"/>
    <col min="3642" max="3645" width="4.625" style="2" customWidth="1"/>
    <col min="3646" max="3646" width="7.625" style="2" customWidth="1"/>
    <col min="3647" max="3647" width="8.625" style="2" customWidth="1"/>
    <col min="3648" max="3649" width="5.625" style="2" customWidth="1"/>
    <col min="3650" max="3650" width="6.625" style="2" customWidth="1"/>
    <col min="3651" max="3651" width="9.875" style="2" customWidth="1"/>
    <col min="3652" max="3653" width="8.625" style="2" customWidth="1"/>
    <col min="3654" max="3654" width="5.5" style="2" bestFit="1" customWidth="1"/>
    <col min="3655" max="3696" width="6.75" style="2" customWidth="1"/>
    <col min="3697" max="3697" width="9" style="2" customWidth="1"/>
    <col min="3698" max="3698" width="9.875" style="2" customWidth="1"/>
    <col min="3699" max="3699" width="2.875" style="2" customWidth="1"/>
    <col min="3700" max="3700" width="12.25" style="2" customWidth="1"/>
    <col min="3701" max="3701" width="6.375" style="2" customWidth="1"/>
    <col min="3702" max="3703" width="3.125" style="2" customWidth="1"/>
    <col min="3704" max="3704" width="1.125" style="2" customWidth="1"/>
    <col min="3705" max="3705" width="9" style="2" customWidth="1"/>
    <col min="3706" max="3706" width="2.375" style="2" customWidth="1"/>
    <col min="3707" max="3724" width="7.625" style="2" customWidth="1"/>
    <col min="3725" max="3887" width="9" style="2" customWidth="1"/>
    <col min="3888" max="3889" width="3.125" style="2" customWidth="1"/>
    <col min="3890" max="3890" width="5.875" style="2" bestFit="1" customWidth="1"/>
    <col min="3891" max="3891" width="5.625" style="2" customWidth="1"/>
    <col min="3892" max="3892" width="10.625" style="2" customWidth="1"/>
    <col min="3893" max="3893" width="12.625" style="2" customWidth="1"/>
    <col min="3894" max="3894" width="8.625" style="2" customWidth="1"/>
    <col min="3895" max="3895" width="5.625" style="2" customWidth="1"/>
    <col min="3896" max="3896" width="4.625" style="2" customWidth="1"/>
    <col min="3897" max="3897" width="5.625" style="2" customWidth="1"/>
    <col min="3898" max="3901" width="4.625" style="2" customWidth="1"/>
    <col min="3902" max="3902" width="7.625" style="2" customWidth="1"/>
    <col min="3903" max="3903" width="8.625" style="2" customWidth="1"/>
    <col min="3904" max="3905" width="5.625" style="2" customWidth="1"/>
    <col min="3906" max="3906" width="6.625" style="2" customWidth="1"/>
    <col min="3907" max="3907" width="9.875" style="2" customWidth="1"/>
    <col min="3908" max="3909" width="8.625" style="2" customWidth="1"/>
    <col min="3910" max="3910" width="5.5" style="2" bestFit="1" customWidth="1"/>
    <col min="3911" max="3952" width="6.75" style="2" customWidth="1"/>
    <col min="3953" max="3953" width="9" style="2" customWidth="1"/>
    <col min="3954" max="3954" width="9.875" style="2" customWidth="1"/>
    <col min="3955" max="3955" width="2.875" style="2" customWidth="1"/>
    <col min="3956" max="3956" width="12.25" style="2" customWidth="1"/>
    <col min="3957" max="3957" width="6.375" style="2" customWidth="1"/>
    <col min="3958" max="3959" width="3.125" style="2" customWidth="1"/>
    <col min="3960" max="3960" width="1.125" style="2" customWidth="1"/>
    <col min="3961" max="3961" width="9" style="2" customWidth="1"/>
    <col min="3962" max="3962" width="2.375" style="2" customWidth="1"/>
    <col min="3963" max="3980" width="7.625" style="2" customWidth="1"/>
    <col min="3981" max="4143" width="9" style="2" customWidth="1"/>
    <col min="4144" max="4145" width="3.125" style="2" customWidth="1"/>
    <col min="4146" max="4146" width="5.875" style="2" bestFit="1" customWidth="1"/>
    <col min="4147" max="4147" width="5.625" style="2" customWidth="1"/>
    <col min="4148" max="4148" width="10.625" style="2" customWidth="1"/>
    <col min="4149" max="4149" width="12.625" style="2" customWidth="1"/>
    <col min="4150" max="4150" width="8.625" style="2" customWidth="1"/>
    <col min="4151" max="4151" width="5.625" style="2" customWidth="1"/>
    <col min="4152" max="4152" width="4.625" style="2" customWidth="1"/>
    <col min="4153" max="4153" width="5.625" style="2" customWidth="1"/>
    <col min="4154" max="4157" width="4.625" style="2" customWidth="1"/>
    <col min="4158" max="4158" width="7.625" style="2" customWidth="1"/>
    <col min="4159" max="4159" width="8.625" style="2" customWidth="1"/>
    <col min="4160" max="4161" width="5.625" style="2" customWidth="1"/>
    <col min="4162" max="4162" width="6.625" style="2" customWidth="1"/>
    <col min="4163" max="4163" width="9.875" style="2" customWidth="1"/>
    <col min="4164" max="4165" width="8.625" style="2" customWidth="1"/>
    <col min="4166" max="4166" width="5.5" style="2" bestFit="1" customWidth="1"/>
    <col min="4167" max="4208" width="6.75" style="2" customWidth="1"/>
    <col min="4209" max="4209" width="9" style="2" customWidth="1"/>
    <col min="4210" max="4210" width="9.875" style="2" customWidth="1"/>
    <col min="4211" max="4211" width="2.875" style="2" customWidth="1"/>
    <col min="4212" max="4212" width="12.25" style="2" customWidth="1"/>
    <col min="4213" max="4213" width="6.375" style="2" customWidth="1"/>
    <col min="4214" max="4215" width="3.125" style="2" customWidth="1"/>
    <col min="4216" max="4216" width="1.125" style="2" customWidth="1"/>
    <col min="4217" max="4217" width="9" style="2" customWidth="1"/>
    <col min="4218" max="4218" width="2.375" style="2" customWidth="1"/>
    <col min="4219" max="4236" width="7.625" style="2" customWidth="1"/>
    <col min="4237" max="4399" width="9" style="2" customWidth="1"/>
    <col min="4400" max="4401" width="3.125" style="2" customWidth="1"/>
    <col min="4402" max="4402" width="5.875" style="2" bestFit="1" customWidth="1"/>
    <col min="4403" max="4403" width="5.625" style="2" customWidth="1"/>
    <col min="4404" max="4404" width="10.625" style="2" customWidth="1"/>
    <col min="4405" max="4405" width="12.625" style="2" customWidth="1"/>
    <col min="4406" max="4406" width="8.625" style="2" customWidth="1"/>
    <col min="4407" max="4407" width="5.625" style="2" customWidth="1"/>
    <col min="4408" max="4408" width="4.625" style="2" customWidth="1"/>
    <col min="4409" max="4409" width="5.625" style="2" customWidth="1"/>
    <col min="4410" max="4413" width="4.625" style="2" customWidth="1"/>
    <col min="4414" max="4414" width="7.625" style="2" customWidth="1"/>
    <col min="4415" max="4415" width="8.625" style="2" customWidth="1"/>
    <col min="4416" max="4417" width="5.625" style="2" customWidth="1"/>
    <col min="4418" max="4418" width="6.625" style="2" customWidth="1"/>
    <col min="4419" max="4419" width="9.875" style="2" customWidth="1"/>
    <col min="4420" max="4421" width="8.625" style="2" customWidth="1"/>
    <col min="4422" max="4422" width="5.5" style="2" bestFit="1" customWidth="1"/>
    <col min="4423" max="4464" width="6.75" style="2" customWidth="1"/>
    <col min="4465" max="4465" width="9" style="2" customWidth="1"/>
    <col min="4466" max="4466" width="9.875" style="2" customWidth="1"/>
    <col min="4467" max="4467" width="2.875" style="2" customWidth="1"/>
    <col min="4468" max="4468" width="12.25" style="2" customWidth="1"/>
    <col min="4469" max="4469" width="6.375" style="2" customWidth="1"/>
    <col min="4470" max="4471" width="3.125" style="2" customWidth="1"/>
    <col min="4472" max="4472" width="1.125" style="2" customWidth="1"/>
    <col min="4473" max="4473" width="9" style="2" customWidth="1"/>
    <col min="4474" max="4474" width="2.375" style="2" customWidth="1"/>
    <col min="4475" max="4492" width="7.625" style="2" customWidth="1"/>
    <col min="4493" max="4655" width="9" style="2" customWidth="1"/>
    <col min="4656" max="4657" width="3.125" style="2" customWidth="1"/>
    <col min="4658" max="4658" width="5.875" style="2" bestFit="1" customWidth="1"/>
    <col min="4659" max="4659" width="5.625" style="2" customWidth="1"/>
    <col min="4660" max="4660" width="10.625" style="2" customWidth="1"/>
    <col min="4661" max="4661" width="12.625" style="2" customWidth="1"/>
    <col min="4662" max="4662" width="8.625" style="2" customWidth="1"/>
    <col min="4663" max="4663" width="5.625" style="2" customWidth="1"/>
    <col min="4664" max="4664" width="4.625" style="2" customWidth="1"/>
    <col min="4665" max="4665" width="5.625" style="2" customWidth="1"/>
    <col min="4666" max="4669" width="4.625" style="2" customWidth="1"/>
    <col min="4670" max="4670" width="7.625" style="2" customWidth="1"/>
    <col min="4671" max="4671" width="8.625" style="2" customWidth="1"/>
    <col min="4672" max="4673" width="5.625" style="2" customWidth="1"/>
    <col min="4674" max="4674" width="6.625" style="2" customWidth="1"/>
    <col min="4675" max="4675" width="9.875" style="2" customWidth="1"/>
    <col min="4676" max="4677" width="8.625" style="2" customWidth="1"/>
    <col min="4678" max="4678" width="5.5" style="2" bestFit="1" customWidth="1"/>
    <col min="4679" max="4720" width="6.75" style="2" customWidth="1"/>
    <col min="4721" max="4721" width="9" style="2" customWidth="1"/>
    <col min="4722" max="4722" width="9.875" style="2" customWidth="1"/>
    <col min="4723" max="4723" width="2.875" style="2" customWidth="1"/>
    <col min="4724" max="4724" width="12.25" style="2" customWidth="1"/>
    <col min="4725" max="4725" width="6.375" style="2" customWidth="1"/>
    <col min="4726" max="4727" width="3.125" style="2" customWidth="1"/>
    <col min="4728" max="4728" width="1.125" style="2" customWidth="1"/>
    <col min="4729" max="4729" width="9" style="2" customWidth="1"/>
    <col min="4730" max="4730" width="2.375" style="2" customWidth="1"/>
    <col min="4731" max="4748" width="7.625" style="2" customWidth="1"/>
    <col min="4749" max="4911" width="9" style="2" customWidth="1"/>
    <col min="4912" max="4913" width="3.125" style="2" customWidth="1"/>
    <col min="4914" max="4914" width="5.875" style="2" bestFit="1" customWidth="1"/>
    <col min="4915" max="4915" width="5.625" style="2" customWidth="1"/>
    <col min="4916" max="4916" width="10.625" style="2" customWidth="1"/>
    <col min="4917" max="4917" width="12.625" style="2" customWidth="1"/>
    <col min="4918" max="4918" width="8.625" style="2" customWidth="1"/>
    <col min="4919" max="4919" width="5.625" style="2" customWidth="1"/>
    <col min="4920" max="4920" width="4.625" style="2" customWidth="1"/>
    <col min="4921" max="4921" width="5.625" style="2" customWidth="1"/>
    <col min="4922" max="4925" width="4.625" style="2" customWidth="1"/>
    <col min="4926" max="4926" width="7.625" style="2" customWidth="1"/>
    <col min="4927" max="4927" width="8.625" style="2" customWidth="1"/>
    <col min="4928" max="4929" width="5.625" style="2" customWidth="1"/>
    <col min="4930" max="4930" width="6.625" style="2" customWidth="1"/>
    <col min="4931" max="4931" width="9.875" style="2" customWidth="1"/>
    <col min="4932" max="4933" width="8.625" style="2" customWidth="1"/>
    <col min="4934" max="4934" width="5.5" style="2" bestFit="1" customWidth="1"/>
    <col min="4935" max="4976" width="6.75" style="2" customWidth="1"/>
    <col min="4977" max="4977" width="9" style="2" customWidth="1"/>
    <col min="4978" max="4978" width="9.875" style="2" customWidth="1"/>
    <col min="4979" max="4979" width="2.875" style="2" customWidth="1"/>
    <col min="4980" max="4980" width="12.25" style="2" customWidth="1"/>
    <col min="4981" max="4981" width="6.375" style="2" customWidth="1"/>
    <col min="4982" max="4983" width="3.125" style="2" customWidth="1"/>
    <col min="4984" max="4984" width="1.125" style="2" customWidth="1"/>
    <col min="4985" max="4985" width="9" style="2" customWidth="1"/>
    <col min="4986" max="4986" width="2.375" style="2" customWidth="1"/>
    <col min="4987" max="5004" width="7.625" style="2" customWidth="1"/>
    <col min="5005" max="5167" width="9" style="2" customWidth="1"/>
    <col min="5168" max="5169" width="3.125" style="2" customWidth="1"/>
    <col min="5170" max="5170" width="5.875" style="2" bestFit="1" customWidth="1"/>
    <col min="5171" max="5171" width="5.625" style="2" customWidth="1"/>
    <col min="5172" max="5172" width="10.625" style="2" customWidth="1"/>
    <col min="5173" max="5173" width="12.625" style="2" customWidth="1"/>
    <col min="5174" max="5174" width="8.625" style="2" customWidth="1"/>
    <col min="5175" max="5175" width="5.625" style="2" customWidth="1"/>
    <col min="5176" max="5176" width="4.625" style="2" customWidth="1"/>
    <col min="5177" max="5177" width="5.625" style="2" customWidth="1"/>
    <col min="5178" max="5181" width="4.625" style="2" customWidth="1"/>
    <col min="5182" max="5182" width="7.625" style="2" customWidth="1"/>
    <col min="5183" max="5183" width="8.625" style="2" customWidth="1"/>
    <col min="5184" max="5185" width="5.625" style="2" customWidth="1"/>
    <col min="5186" max="5186" width="6.625" style="2" customWidth="1"/>
    <col min="5187" max="5187" width="9.875" style="2" customWidth="1"/>
    <col min="5188" max="5189" width="8.625" style="2" customWidth="1"/>
    <col min="5190" max="5190" width="5.5" style="2" bestFit="1" customWidth="1"/>
    <col min="5191" max="5232" width="6.75" style="2" customWidth="1"/>
    <col min="5233" max="5233" width="9" style="2" customWidth="1"/>
    <col min="5234" max="5234" width="9.875" style="2" customWidth="1"/>
    <col min="5235" max="5235" width="2.875" style="2" customWidth="1"/>
    <col min="5236" max="5236" width="12.25" style="2" customWidth="1"/>
    <col min="5237" max="5237" width="6.375" style="2" customWidth="1"/>
    <col min="5238" max="5239" width="3.125" style="2" customWidth="1"/>
    <col min="5240" max="5240" width="1.125" style="2" customWidth="1"/>
    <col min="5241" max="5241" width="9" style="2" customWidth="1"/>
    <col min="5242" max="5242" width="2.375" style="2" customWidth="1"/>
    <col min="5243" max="5260" width="7.625" style="2" customWidth="1"/>
    <col min="5261" max="5423" width="9" style="2" customWidth="1"/>
    <col min="5424" max="5425" width="3.125" style="2" customWidth="1"/>
    <col min="5426" max="5426" width="5.875" style="2" bestFit="1" customWidth="1"/>
    <col min="5427" max="5427" width="5.625" style="2" customWidth="1"/>
    <col min="5428" max="5428" width="10.625" style="2" customWidth="1"/>
    <col min="5429" max="5429" width="12.625" style="2" customWidth="1"/>
    <col min="5430" max="5430" width="8.625" style="2" customWidth="1"/>
    <col min="5431" max="5431" width="5.625" style="2" customWidth="1"/>
    <col min="5432" max="5432" width="4.625" style="2" customWidth="1"/>
    <col min="5433" max="5433" width="5.625" style="2" customWidth="1"/>
    <col min="5434" max="5437" width="4.625" style="2" customWidth="1"/>
    <col min="5438" max="5438" width="7.625" style="2" customWidth="1"/>
    <col min="5439" max="5439" width="8.625" style="2" customWidth="1"/>
    <col min="5440" max="5441" width="5.625" style="2" customWidth="1"/>
    <col min="5442" max="5442" width="6.625" style="2" customWidth="1"/>
    <col min="5443" max="5443" width="9.875" style="2" customWidth="1"/>
    <col min="5444" max="5445" width="8.625" style="2" customWidth="1"/>
    <col min="5446" max="5446" width="5.5" style="2" bestFit="1" customWidth="1"/>
    <col min="5447" max="5488" width="6.75" style="2" customWidth="1"/>
    <col min="5489" max="5489" width="9" style="2" customWidth="1"/>
    <col min="5490" max="5490" width="9.875" style="2" customWidth="1"/>
    <col min="5491" max="5491" width="2.875" style="2" customWidth="1"/>
    <col min="5492" max="5492" width="12.25" style="2" customWidth="1"/>
    <col min="5493" max="5493" width="6.375" style="2" customWidth="1"/>
    <col min="5494" max="5495" width="3.125" style="2" customWidth="1"/>
    <col min="5496" max="5496" width="1.125" style="2" customWidth="1"/>
    <col min="5497" max="5497" width="9" style="2" customWidth="1"/>
    <col min="5498" max="5498" width="2.375" style="2" customWidth="1"/>
    <col min="5499" max="5516" width="7.625" style="2" customWidth="1"/>
    <col min="5517" max="5679" width="9" style="2" customWidth="1"/>
    <col min="5680" max="5681" width="3.125" style="2" customWidth="1"/>
    <col min="5682" max="5682" width="5.875" style="2" bestFit="1" customWidth="1"/>
    <col min="5683" max="5683" width="5.625" style="2" customWidth="1"/>
    <col min="5684" max="5684" width="10.625" style="2" customWidth="1"/>
    <col min="5685" max="5685" width="12.625" style="2" customWidth="1"/>
    <col min="5686" max="5686" width="8.625" style="2" customWidth="1"/>
    <col min="5687" max="5687" width="5.625" style="2" customWidth="1"/>
    <col min="5688" max="5688" width="4.625" style="2" customWidth="1"/>
    <col min="5689" max="5689" width="5.625" style="2" customWidth="1"/>
    <col min="5690" max="5693" width="4.625" style="2" customWidth="1"/>
    <col min="5694" max="5694" width="7.625" style="2" customWidth="1"/>
    <col min="5695" max="5695" width="8.625" style="2" customWidth="1"/>
    <col min="5696" max="5697" width="5.625" style="2" customWidth="1"/>
    <col min="5698" max="5698" width="6.625" style="2" customWidth="1"/>
    <col min="5699" max="5699" width="9.875" style="2" customWidth="1"/>
    <col min="5700" max="5701" width="8.625" style="2" customWidth="1"/>
    <col min="5702" max="5702" width="5.5" style="2" bestFit="1" customWidth="1"/>
    <col min="5703" max="5744" width="6.75" style="2" customWidth="1"/>
    <col min="5745" max="5745" width="9" style="2" customWidth="1"/>
    <col min="5746" max="5746" width="9.875" style="2" customWidth="1"/>
    <col min="5747" max="5747" width="2.875" style="2" customWidth="1"/>
    <col min="5748" max="5748" width="12.25" style="2" customWidth="1"/>
    <col min="5749" max="5749" width="6.375" style="2" customWidth="1"/>
    <col min="5750" max="5751" width="3.125" style="2" customWidth="1"/>
    <col min="5752" max="5752" width="1.125" style="2" customWidth="1"/>
    <col min="5753" max="5753" width="9" style="2" customWidth="1"/>
    <col min="5754" max="5754" width="2.375" style="2" customWidth="1"/>
    <col min="5755" max="5772" width="7.625" style="2" customWidth="1"/>
    <col min="5773" max="5935" width="9" style="2" customWidth="1"/>
    <col min="5936" max="5937" width="3.125" style="2" customWidth="1"/>
    <col min="5938" max="5938" width="5.875" style="2" bestFit="1" customWidth="1"/>
    <col min="5939" max="5939" width="5.625" style="2" customWidth="1"/>
    <col min="5940" max="5940" width="10.625" style="2" customWidth="1"/>
    <col min="5941" max="5941" width="12.625" style="2" customWidth="1"/>
    <col min="5942" max="5942" width="8.625" style="2" customWidth="1"/>
    <col min="5943" max="5943" width="5.625" style="2" customWidth="1"/>
    <col min="5944" max="5944" width="4.625" style="2" customWidth="1"/>
    <col min="5945" max="5945" width="5.625" style="2" customWidth="1"/>
    <col min="5946" max="5949" width="4.625" style="2" customWidth="1"/>
    <col min="5950" max="5950" width="7.625" style="2" customWidth="1"/>
    <col min="5951" max="5951" width="8.625" style="2" customWidth="1"/>
    <col min="5952" max="5953" width="5.625" style="2" customWidth="1"/>
    <col min="5954" max="5954" width="6.625" style="2" customWidth="1"/>
    <col min="5955" max="5955" width="9.875" style="2" customWidth="1"/>
    <col min="5956" max="5957" width="8.625" style="2" customWidth="1"/>
    <col min="5958" max="5958" width="5.5" style="2" bestFit="1" customWidth="1"/>
    <col min="5959" max="6000" width="6.75" style="2" customWidth="1"/>
    <col min="6001" max="6001" width="9" style="2" customWidth="1"/>
    <col min="6002" max="6002" width="9.875" style="2" customWidth="1"/>
    <col min="6003" max="6003" width="2.875" style="2" customWidth="1"/>
    <col min="6004" max="6004" width="12.25" style="2" customWidth="1"/>
    <col min="6005" max="6005" width="6.375" style="2" customWidth="1"/>
    <col min="6006" max="6007" width="3.125" style="2" customWidth="1"/>
    <col min="6008" max="6008" width="1.125" style="2" customWidth="1"/>
    <col min="6009" max="6009" width="9" style="2" customWidth="1"/>
    <col min="6010" max="6010" width="2.375" style="2" customWidth="1"/>
    <col min="6011" max="6028" width="7.625" style="2" customWidth="1"/>
    <col min="6029" max="6191" width="9" style="2" customWidth="1"/>
    <col min="6192" max="6193" width="3.125" style="2" customWidth="1"/>
    <col min="6194" max="6194" width="5.875" style="2" bestFit="1" customWidth="1"/>
    <col min="6195" max="6195" width="5.625" style="2" customWidth="1"/>
    <col min="6196" max="6196" width="10.625" style="2" customWidth="1"/>
    <col min="6197" max="6197" width="12.625" style="2" customWidth="1"/>
    <col min="6198" max="6198" width="8.625" style="2" customWidth="1"/>
    <col min="6199" max="6199" width="5.625" style="2" customWidth="1"/>
    <col min="6200" max="6200" width="4.625" style="2" customWidth="1"/>
    <col min="6201" max="6201" width="5.625" style="2" customWidth="1"/>
    <col min="6202" max="6205" width="4.625" style="2" customWidth="1"/>
    <col min="6206" max="6206" width="7.625" style="2" customWidth="1"/>
    <col min="6207" max="6207" width="8.625" style="2" customWidth="1"/>
    <col min="6208" max="6209" width="5.625" style="2" customWidth="1"/>
    <col min="6210" max="6210" width="6.625" style="2" customWidth="1"/>
    <col min="6211" max="6211" width="9.875" style="2" customWidth="1"/>
    <col min="6212" max="6213" width="8.625" style="2" customWidth="1"/>
    <col min="6214" max="6214" width="5.5" style="2" bestFit="1" customWidth="1"/>
    <col min="6215" max="6256" width="6.75" style="2" customWidth="1"/>
    <col min="6257" max="6257" width="9" style="2" customWidth="1"/>
    <col min="6258" max="6258" width="9.875" style="2" customWidth="1"/>
    <col min="6259" max="6259" width="2.875" style="2" customWidth="1"/>
    <col min="6260" max="6260" width="12.25" style="2" customWidth="1"/>
    <col min="6261" max="6261" width="6.375" style="2" customWidth="1"/>
    <col min="6262" max="6263" width="3.125" style="2" customWidth="1"/>
    <col min="6264" max="6264" width="1.125" style="2" customWidth="1"/>
    <col min="6265" max="6265" width="9" style="2" customWidth="1"/>
    <col min="6266" max="6266" width="2.375" style="2" customWidth="1"/>
    <col min="6267" max="6284" width="7.625" style="2" customWidth="1"/>
    <col min="6285" max="6447" width="9" style="2" customWidth="1"/>
    <col min="6448" max="6449" width="3.125" style="2" customWidth="1"/>
    <col min="6450" max="6450" width="5.875" style="2" bestFit="1" customWidth="1"/>
    <col min="6451" max="6451" width="5.625" style="2" customWidth="1"/>
    <col min="6452" max="6452" width="10.625" style="2" customWidth="1"/>
    <col min="6453" max="6453" width="12.625" style="2" customWidth="1"/>
    <col min="6454" max="6454" width="8.625" style="2" customWidth="1"/>
    <col min="6455" max="6455" width="5.625" style="2" customWidth="1"/>
    <col min="6456" max="6456" width="4.625" style="2" customWidth="1"/>
    <col min="6457" max="6457" width="5.625" style="2" customWidth="1"/>
    <col min="6458" max="6461" width="4.625" style="2" customWidth="1"/>
    <col min="6462" max="6462" width="7.625" style="2" customWidth="1"/>
    <col min="6463" max="6463" width="8.625" style="2" customWidth="1"/>
    <col min="6464" max="6465" width="5.625" style="2" customWidth="1"/>
    <col min="6466" max="6466" width="6.625" style="2" customWidth="1"/>
    <col min="6467" max="6467" width="9.875" style="2" customWidth="1"/>
    <col min="6468" max="6469" width="8.625" style="2" customWidth="1"/>
    <col min="6470" max="6470" width="5.5" style="2" bestFit="1" customWidth="1"/>
    <col min="6471" max="6512" width="6.75" style="2" customWidth="1"/>
    <col min="6513" max="6513" width="9" style="2" customWidth="1"/>
    <col min="6514" max="6514" width="9.875" style="2" customWidth="1"/>
    <col min="6515" max="6515" width="2.875" style="2" customWidth="1"/>
    <col min="6516" max="6516" width="12.25" style="2" customWidth="1"/>
    <col min="6517" max="6517" width="6.375" style="2" customWidth="1"/>
    <col min="6518" max="6519" width="3.125" style="2" customWidth="1"/>
    <col min="6520" max="6520" width="1.125" style="2" customWidth="1"/>
    <col min="6521" max="6521" width="9" style="2" customWidth="1"/>
    <col min="6522" max="6522" width="2.375" style="2" customWidth="1"/>
    <col min="6523" max="6540" width="7.625" style="2" customWidth="1"/>
    <col min="6541" max="6703" width="9" style="2" customWidth="1"/>
    <col min="6704" max="6705" width="3.125" style="2" customWidth="1"/>
    <col min="6706" max="6706" width="5.875" style="2" bestFit="1" customWidth="1"/>
    <col min="6707" max="6707" width="5.625" style="2" customWidth="1"/>
    <col min="6708" max="6708" width="10.625" style="2" customWidth="1"/>
    <col min="6709" max="6709" width="12.625" style="2" customWidth="1"/>
    <col min="6710" max="6710" width="8.625" style="2" customWidth="1"/>
    <col min="6711" max="6711" width="5.625" style="2" customWidth="1"/>
    <col min="6712" max="6712" width="4.625" style="2" customWidth="1"/>
    <col min="6713" max="6713" width="5.625" style="2" customWidth="1"/>
    <col min="6714" max="6717" width="4.625" style="2" customWidth="1"/>
    <col min="6718" max="6718" width="7.625" style="2" customWidth="1"/>
    <col min="6719" max="6719" width="8.625" style="2" customWidth="1"/>
    <col min="6720" max="6721" width="5.625" style="2" customWidth="1"/>
    <col min="6722" max="6722" width="6.625" style="2" customWidth="1"/>
    <col min="6723" max="6723" width="9.875" style="2" customWidth="1"/>
    <col min="6724" max="6725" width="8.625" style="2" customWidth="1"/>
    <col min="6726" max="6726" width="5.5" style="2" bestFit="1" customWidth="1"/>
    <col min="6727" max="6768" width="6.75" style="2" customWidth="1"/>
    <col min="6769" max="6769" width="9" style="2" customWidth="1"/>
    <col min="6770" max="6770" width="9.875" style="2" customWidth="1"/>
    <col min="6771" max="6771" width="2.875" style="2" customWidth="1"/>
    <col min="6772" max="6772" width="12.25" style="2" customWidth="1"/>
    <col min="6773" max="6773" width="6.375" style="2" customWidth="1"/>
    <col min="6774" max="6775" width="3.125" style="2" customWidth="1"/>
    <col min="6776" max="6776" width="1.125" style="2" customWidth="1"/>
    <col min="6777" max="6777" width="9" style="2" customWidth="1"/>
    <col min="6778" max="6778" width="2.375" style="2" customWidth="1"/>
    <col min="6779" max="6796" width="7.625" style="2" customWidth="1"/>
    <col min="6797" max="6959" width="9" style="2" customWidth="1"/>
    <col min="6960" max="6961" width="3.125" style="2" customWidth="1"/>
    <col min="6962" max="6962" width="5.875" style="2" bestFit="1" customWidth="1"/>
    <col min="6963" max="6963" width="5.625" style="2" customWidth="1"/>
    <col min="6964" max="6964" width="10.625" style="2" customWidth="1"/>
    <col min="6965" max="6965" width="12.625" style="2" customWidth="1"/>
    <col min="6966" max="6966" width="8.625" style="2" customWidth="1"/>
    <col min="6967" max="6967" width="5.625" style="2" customWidth="1"/>
    <col min="6968" max="6968" width="4.625" style="2" customWidth="1"/>
    <col min="6969" max="6969" width="5.625" style="2" customWidth="1"/>
    <col min="6970" max="6973" width="4.625" style="2" customWidth="1"/>
    <col min="6974" max="6974" width="7.625" style="2" customWidth="1"/>
    <col min="6975" max="6975" width="8.625" style="2" customWidth="1"/>
    <col min="6976" max="6977" width="5.625" style="2" customWidth="1"/>
    <col min="6978" max="6978" width="6.625" style="2" customWidth="1"/>
    <col min="6979" max="6979" width="9.875" style="2" customWidth="1"/>
    <col min="6980" max="6981" width="8.625" style="2" customWidth="1"/>
    <col min="6982" max="6982" width="5.5" style="2" bestFit="1" customWidth="1"/>
    <col min="6983" max="7024" width="6.75" style="2" customWidth="1"/>
    <col min="7025" max="7025" width="9" style="2" customWidth="1"/>
    <col min="7026" max="7026" width="9.875" style="2" customWidth="1"/>
    <col min="7027" max="7027" width="2.875" style="2" customWidth="1"/>
    <col min="7028" max="7028" width="12.25" style="2" customWidth="1"/>
    <col min="7029" max="7029" width="6.375" style="2" customWidth="1"/>
    <col min="7030" max="7031" width="3.125" style="2" customWidth="1"/>
    <col min="7032" max="7032" width="1.125" style="2" customWidth="1"/>
    <col min="7033" max="7033" width="9" style="2" customWidth="1"/>
    <col min="7034" max="7034" width="2.375" style="2" customWidth="1"/>
    <col min="7035" max="7052" width="7.625" style="2" customWidth="1"/>
    <col min="7053" max="7215" width="9" style="2" customWidth="1"/>
    <col min="7216" max="7217" width="3.125" style="2" customWidth="1"/>
    <col min="7218" max="7218" width="5.875" style="2" bestFit="1" customWidth="1"/>
    <col min="7219" max="7219" width="5.625" style="2" customWidth="1"/>
    <col min="7220" max="7220" width="10.625" style="2" customWidth="1"/>
    <col min="7221" max="7221" width="12.625" style="2" customWidth="1"/>
    <col min="7222" max="7222" width="8.625" style="2" customWidth="1"/>
    <col min="7223" max="7223" width="5.625" style="2" customWidth="1"/>
    <col min="7224" max="7224" width="4.625" style="2" customWidth="1"/>
    <col min="7225" max="7225" width="5.625" style="2" customWidth="1"/>
    <col min="7226" max="7229" width="4.625" style="2" customWidth="1"/>
    <col min="7230" max="7230" width="7.625" style="2" customWidth="1"/>
    <col min="7231" max="7231" width="8.625" style="2" customWidth="1"/>
    <col min="7232" max="7233" width="5.625" style="2" customWidth="1"/>
    <col min="7234" max="7234" width="6.625" style="2" customWidth="1"/>
    <col min="7235" max="7235" width="9.875" style="2" customWidth="1"/>
    <col min="7236" max="7237" width="8.625" style="2" customWidth="1"/>
    <col min="7238" max="7238" width="5.5" style="2" bestFit="1" customWidth="1"/>
    <col min="7239" max="7280" width="6.75" style="2" customWidth="1"/>
    <col min="7281" max="7281" width="9" style="2" customWidth="1"/>
    <col min="7282" max="7282" width="9.875" style="2" customWidth="1"/>
    <col min="7283" max="7283" width="2.875" style="2" customWidth="1"/>
    <col min="7284" max="7284" width="12.25" style="2" customWidth="1"/>
    <col min="7285" max="7285" width="6.375" style="2" customWidth="1"/>
    <col min="7286" max="7287" width="3.125" style="2" customWidth="1"/>
    <col min="7288" max="7288" width="1.125" style="2" customWidth="1"/>
    <col min="7289" max="7289" width="9" style="2" customWidth="1"/>
    <col min="7290" max="7290" width="2.375" style="2" customWidth="1"/>
    <col min="7291" max="7308" width="7.625" style="2" customWidth="1"/>
    <col min="7309" max="7471" width="9" style="2" customWidth="1"/>
    <col min="7472" max="7473" width="3.125" style="2" customWidth="1"/>
    <col min="7474" max="7474" width="5.875" style="2" bestFit="1" customWidth="1"/>
    <col min="7475" max="7475" width="5.625" style="2" customWidth="1"/>
    <col min="7476" max="7476" width="10.625" style="2" customWidth="1"/>
    <col min="7477" max="7477" width="12.625" style="2" customWidth="1"/>
    <col min="7478" max="7478" width="8.625" style="2" customWidth="1"/>
    <col min="7479" max="7479" width="5.625" style="2" customWidth="1"/>
    <col min="7480" max="7480" width="4.625" style="2" customWidth="1"/>
    <col min="7481" max="7481" width="5.625" style="2" customWidth="1"/>
    <col min="7482" max="7485" width="4.625" style="2" customWidth="1"/>
    <col min="7486" max="7486" width="7.625" style="2" customWidth="1"/>
    <col min="7487" max="7487" width="8.625" style="2" customWidth="1"/>
    <col min="7488" max="7489" width="5.625" style="2" customWidth="1"/>
    <col min="7490" max="7490" width="6.625" style="2" customWidth="1"/>
    <col min="7491" max="7491" width="9.875" style="2" customWidth="1"/>
    <col min="7492" max="7493" width="8.625" style="2" customWidth="1"/>
    <col min="7494" max="7494" width="5.5" style="2" bestFit="1" customWidth="1"/>
    <col min="7495" max="7536" width="6.75" style="2" customWidth="1"/>
    <col min="7537" max="7537" width="9" style="2" customWidth="1"/>
    <col min="7538" max="7538" width="9.875" style="2" customWidth="1"/>
    <col min="7539" max="7539" width="2.875" style="2" customWidth="1"/>
    <col min="7540" max="7540" width="12.25" style="2" customWidth="1"/>
    <col min="7541" max="7541" width="6.375" style="2" customWidth="1"/>
    <col min="7542" max="7543" width="3.125" style="2" customWidth="1"/>
    <col min="7544" max="7544" width="1.125" style="2" customWidth="1"/>
    <col min="7545" max="7545" width="9" style="2" customWidth="1"/>
    <col min="7546" max="7546" width="2.375" style="2" customWidth="1"/>
    <col min="7547" max="7564" width="7.625" style="2" customWidth="1"/>
    <col min="7565" max="7727" width="9" style="2" customWidth="1"/>
    <col min="7728" max="7729" width="3.125" style="2" customWidth="1"/>
    <col min="7730" max="7730" width="5.875" style="2" bestFit="1" customWidth="1"/>
    <col min="7731" max="7731" width="5.625" style="2" customWidth="1"/>
    <col min="7732" max="7732" width="10.625" style="2" customWidth="1"/>
    <col min="7733" max="7733" width="12.625" style="2" customWidth="1"/>
    <col min="7734" max="7734" width="8.625" style="2" customWidth="1"/>
    <col min="7735" max="7735" width="5.625" style="2" customWidth="1"/>
    <col min="7736" max="7736" width="4.625" style="2" customWidth="1"/>
    <col min="7737" max="7737" width="5.625" style="2" customWidth="1"/>
    <col min="7738" max="7741" width="4.625" style="2" customWidth="1"/>
    <col min="7742" max="7742" width="7.625" style="2" customWidth="1"/>
    <col min="7743" max="7743" width="8.625" style="2" customWidth="1"/>
    <col min="7744" max="7745" width="5.625" style="2" customWidth="1"/>
    <col min="7746" max="7746" width="6.625" style="2" customWidth="1"/>
    <col min="7747" max="7747" width="9.875" style="2" customWidth="1"/>
    <col min="7748" max="7749" width="8.625" style="2" customWidth="1"/>
    <col min="7750" max="7750" width="5.5" style="2" bestFit="1" customWidth="1"/>
    <col min="7751" max="7792" width="6.75" style="2" customWidth="1"/>
    <col min="7793" max="7793" width="9" style="2" customWidth="1"/>
    <col min="7794" max="7794" width="9.875" style="2" customWidth="1"/>
    <col min="7795" max="7795" width="2.875" style="2" customWidth="1"/>
    <col min="7796" max="7796" width="12.25" style="2" customWidth="1"/>
    <col min="7797" max="7797" width="6.375" style="2" customWidth="1"/>
    <col min="7798" max="7799" width="3.125" style="2" customWidth="1"/>
    <col min="7800" max="7800" width="1.125" style="2" customWidth="1"/>
    <col min="7801" max="7801" width="9" style="2" customWidth="1"/>
    <col min="7802" max="7802" width="2.375" style="2" customWidth="1"/>
    <col min="7803" max="7820" width="7.625" style="2" customWidth="1"/>
    <col min="7821" max="7983" width="9" style="2" customWidth="1"/>
    <col min="7984" max="7985" width="3.125" style="2" customWidth="1"/>
    <col min="7986" max="7986" width="5.875" style="2" bestFit="1" customWidth="1"/>
    <col min="7987" max="7987" width="5.625" style="2" customWidth="1"/>
    <col min="7988" max="7988" width="10.625" style="2" customWidth="1"/>
    <col min="7989" max="7989" width="12.625" style="2" customWidth="1"/>
    <col min="7990" max="7990" width="8.625" style="2" customWidth="1"/>
    <col min="7991" max="7991" width="5.625" style="2" customWidth="1"/>
    <col min="7992" max="7992" width="4.625" style="2" customWidth="1"/>
    <col min="7993" max="7993" width="5.625" style="2" customWidth="1"/>
    <col min="7994" max="7997" width="4.625" style="2" customWidth="1"/>
    <col min="7998" max="7998" width="7.625" style="2" customWidth="1"/>
    <col min="7999" max="7999" width="8.625" style="2" customWidth="1"/>
    <col min="8000" max="8001" width="5.625" style="2" customWidth="1"/>
    <col min="8002" max="8002" width="6.625" style="2" customWidth="1"/>
    <col min="8003" max="8003" width="9.875" style="2" customWidth="1"/>
    <col min="8004" max="8005" width="8.625" style="2" customWidth="1"/>
    <col min="8006" max="8006" width="5.5" style="2" bestFit="1" customWidth="1"/>
    <col min="8007" max="8048" width="6.75" style="2" customWidth="1"/>
    <col min="8049" max="8049" width="9" style="2" customWidth="1"/>
    <col min="8050" max="8050" width="9.875" style="2" customWidth="1"/>
    <col min="8051" max="8051" width="2.875" style="2" customWidth="1"/>
    <col min="8052" max="8052" width="12.25" style="2" customWidth="1"/>
    <col min="8053" max="8053" width="6.375" style="2" customWidth="1"/>
    <col min="8054" max="8055" width="3.125" style="2" customWidth="1"/>
    <col min="8056" max="8056" width="1.125" style="2" customWidth="1"/>
    <col min="8057" max="8057" width="9" style="2" customWidth="1"/>
    <col min="8058" max="8058" width="2.375" style="2" customWidth="1"/>
    <col min="8059" max="8076" width="7.625" style="2" customWidth="1"/>
    <col min="8077" max="8239" width="9" style="2" customWidth="1"/>
    <col min="8240" max="8241" width="3.125" style="2" customWidth="1"/>
    <col min="8242" max="8242" width="5.875" style="2" bestFit="1" customWidth="1"/>
    <col min="8243" max="8243" width="5.625" style="2" customWidth="1"/>
    <col min="8244" max="8244" width="10.625" style="2" customWidth="1"/>
    <col min="8245" max="8245" width="12.625" style="2" customWidth="1"/>
    <col min="8246" max="8246" width="8.625" style="2" customWidth="1"/>
    <col min="8247" max="8247" width="5.625" style="2" customWidth="1"/>
    <col min="8248" max="8248" width="4.625" style="2" customWidth="1"/>
    <col min="8249" max="8249" width="5.625" style="2" customWidth="1"/>
    <col min="8250" max="8253" width="4.625" style="2" customWidth="1"/>
    <col min="8254" max="8254" width="7.625" style="2" customWidth="1"/>
    <col min="8255" max="8255" width="8.625" style="2" customWidth="1"/>
    <col min="8256" max="8257" width="5.625" style="2" customWidth="1"/>
    <col min="8258" max="8258" width="6.625" style="2" customWidth="1"/>
    <col min="8259" max="8259" width="9.875" style="2" customWidth="1"/>
    <col min="8260" max="8261" width="8.625" style="2" customWidth="1"/>
    <col min="8262" max="8262" width="5.5" style="2" bestFit="1" customWidth="1"/>
    <col min="8263" max="8304" width="6.75" style="2" customWidth="1"/>
    <col min="8305" max="8305" width="9" style="2" customWidth="1"/>
    <col min="8306" max="8306" width="9.875" style="2" customWidth="1"/>
    <col min="8307" max="8307" width="2.875" style="2" customWidth="1"/>
    <col min="8308" max="8308" width="12.25" style="2" customWidth="1"/>
    <col min="8309" max="8309" width="6.375" style="2" customWidth="1"/>
    <col min="8310" max="8311" width="3.125" style="2" customWidth="1"/>
    <col min="8312" max="8312" width="1.125" style="2" customWidth="1"/>
    <col min="8313" max="8313" width="9" style="2" customWidth="1"/>
    <col min="8314" max="8314" width="2.375" style="2" customWidth="1"/>
    <col min="8315" max="8332" width="7.625" style="2" customWidth="1"/>
    <col min="8333" max="8495" width="9" style="2" customWidth="1"/>
    <col min="8496" max="8497" width="3.125" style="2" customWidth="1"/>
    <col min="8498" max="8498" width="5.875" style="2" bestFit="1" customWidth="1"/>
    <col min="8499" max="8499" width="5.625" style="2" customWidth="1"/>
    <col min="8500" max="8500" width="10.625" style="2" customWidth="1"/>
    <col min="8501" max="8501" width="12.625" style="2" customWidth="1"/>
    <col min="8502" max="8502" width="8.625" style="2" customWidth="1"/>
    <col min="8503" max="8503" width="5.625" style="2" customWidth="1"/>
    <col min="8504" max="8504" width="4.625" style="2" customWidth="1"/>
    <col min="8505" max="8505" width="5.625" style="2" customWidth="1"/>
    <col min="8506" max="8509" width="4.625" style="2" customWidth="1"/>
    <col min="8510" max="8510" width="7.625" style="2" customWidth="1"/>
    <col min="8511" max="8511" width="8.625" style="2" customWidth="1"/>
    <col min="8512" max="8513" width="5.625" style="2" customWidth="1"/>
    <col min="8514" max="8514" width="6.625" style="2" customWidth="1"/>
    <col min="8515" max="8515" width="9.875" style="2" customWidth="1"/>
    <col min="8516" max="8517" width="8.625" style="2" customWidth="1"/>
    <col min="8518" max="8518" width="5.5" style="2" bestFit="1" customWidth="1"/>
    <col min="8519" max="8560" width="6.75" style="2" customWidth="1"/>
    <col min="8561" max="8561" width="9" style="2" customWidth="1"/>
    <col min="8562" max="8562" width="9.875" style="2" customWidth="1"/>
    <col min="8563" max="8563" width="2.875" style="2" customWidth="1"/>
    <col min="8564" max="8564" width="12.25" style="2" customWidth="1"/>
    <col min="8565" max="8565" width="6.375" style="2" customWidth="1"/>
    <col min="8566" max="8567" width="3.125" style="2" customWidth="1"/>
    <col min="8568" max="8568" width="1.125" style="2" customWidth="1"/>
    <col min="8569" max="8569" width="9" style="2" customWidth="1"/>
    <col min="8570" max="8570" width="2.375" style="2" customWidth="1"/>
    <col min="8571" max="8588" width="7.625" style="2" customWidth="1"/>
    <col min="8589" max="8751" width="9" style="2" customWidth="1"/>
    <col min="8752" max="8753" width="3.125" style="2" customWidth="1"/>
    <col min="8754" max="8754" width="5.875" style="2" bestFit="1" customWidth="1"/>
    <col min="8755" max="8755" width="5.625" style="2" customWidth="1"/>
    <col min="8756" max="8756" width="10.625" style="2" customWidth="1"/>
    <col min="8757" max="8757" width="12.625" style="2" customWidth="1"/>
    <col min="8758" max="8758" width="8.625" style="2" customWidth="1"/>
    <col min="8759" max="8759" width="5.625" style="2" customWidth="1"/>
    <col min="8760" max="8760" width="4.625" style="2" customWidth="1"/>
    <col min="8761" max="8761" width="5.625" style="2" customWidth="1"/>
    <col min="8762" max="8765" width="4.625" style="2" customWidth="1"/>
    <col min="8766" max="8766" width="7.625" style="2" customWidth="1"/>
    <col min="8767" max="8767" width="8.625" style="2" customWidth="1"/>
    <col min="8768" max="8769" width="5.625" style="2" customWidth="1"/>
    <col min="8770" max="8770" width="6.625" style="2" customWidth="1"/>
    <col min="8771" max="8771" width="9.875" style="2" customWidth="1"/>
    <col min="8772" max="8773" width="8.625" style="2" customWidth="1"/>
    <col min="8774" max="8774" width="5.5" style="2" bestFit="1" customWidth="1"/>
    <col min="8775" max="8816" width="6.75" style="2" customWidth="1"/>
    <col min="8817" max="8817" width="9" style="2" customWidth="1"/>
    <col min="8818" max="8818" width="9.875" style="2" customWidth="1"/>
    <col min="8819" max="8819" width="2.875" style="2" customWidth="1"/>
    <col min="8820" max="8820" width="12.25" style="2" customWidth="1"/>
    <col min="8821" max="8821" width="6.375" style="2" customWidth="1"/>
    <col min="8822" max="8823" width="3.125" style="2" customWidth="1"/>
    <col min="8824" max="8824" width="1.125" style="2" customWidth="1"/>
    <col min="8825" max="8825" width="9" style="2" customWidth="1"/>
    <col min="8826" max="8826" width="2.375" style="2" customWidth="1"/>
    <col min="8827" max="8844" width="7.625" style="2" customWidth="1"/>
    <col min="8845" max="9007" width="9" style="2" customWidth="1"/>
    <col min="9008" max="9009" width="3.125" style="2" customWidth="1"/>
    <col min="9010" max="9010" width="5.875" style="2" bestFit="1" customWidth="1"/>
    <col min="9011" max="9011" width="5.625" style="2" customWidth="1"/>
    <col min="9012" max="9012" width="10.625" style="2" customWidth="1"/>
    <col min="9013" max="9013" width="12.625" style="2" customWidth="1"/>
    <col min="9014" max="9014" width="8.625" style="2" customWidth="1"/>
    <col min="9015" max="9015" width="5.625" style="2" customWidth="1"/>
    <col min="9016" max="9016" width="4.625" style="2" customWidth="1"/>
    <col min="9017" max="9017" width="5.625" style="2" customWidth="1"/>
    <col min="9018" max="9021" width="4.625" style="2" customWidth="1"/>
    <col min="9022" max="9022" width="7.625" style="2" customWidth="1"/>
    <col min="9023" max="9023" width="8.625" style="2" customWidth="1"/>
    <col min="9024" max="9025" width="5.625" style="2" customWidth="1"/>
    <col min="9026" max="9026" width="6.625" style="2" customWidth="1"/>
    <col min="9027" max="9027" width="9.875" style="2" customWidth="1"/>
    <col min="9028" max="9029" width="8.625" style="2" customWidth="1"/>
    <col min="9030" max="9030" width="5.5" style="2" bestFit="1" customWidth="1"/>
    <col min="9031" max="9072" width="6.75" style="2" customWidth="1"/>
    <col min="9073" max="9073" width="9" style="2" customWidth="1"/>
    <col min="9074" max="9074" width="9.875" style="2" customWidth="1"/>
    <col min="9075" max="9075" width="2.875" style="2" customWidth="1"/>
    <col min="9076" max="9076" width="12.25" style="2" customWidth="1"/>
    <col min="9077" max="9077" width="6.375" style="2" customWidth="1"/>
    <col min="9078" max="9079" width="3.125" style="2" customWidth="1"/>
    <col min="9080" max="9080" width="1.125" style="2" customWidth="1"/>
    <col min="9081" max="9081" width="9" style="2" customWidth="1"/>
    <col min="9082" max="9082" width="2.375" style="2" customWidth="1"/>
    <col min="9083" max="9100" width="7.625" style="2" customWidth="1"/>
    <col min="9101" max="9263" width="9" style="2" customWidth="1"/>
    <col min="9264" max="9265" width="3.125" style="2" customWidth="1"/>
    <col min="9266" max="9266" width="5.875" style="2" bestFit="1" customWidth="1"/>
    <col min="9267" max="9267" width="5.625" style="2" customWidth="1"/>
    <col min="9268" max="9268" width="10.625" style="2" customWidth="1"/>
    <col min="9269" max="9269" width="12.625" style="2" customWidth="1"/>
    <col min="9270" max="9270" width="8.625" style="2" customWidth="1"/>
    <col min="9271" max="9271" width="5.625" style="2" customWidth="1"/>
    <col min="9272" max="9272" width="4.625" style="2" customWidth="1"/>
    <col min="9273" max="9273" width="5.625" style="2" customWidth="1"/>
    <col min="9274" max="9277" width="4.625" style="2" customWidth="1"/>
    <col min="9278" max="9278" width="7.625" style="2" customWidth="1"/>
    <col min="9279" max="9279" width="8.625" style="2" customWidth="1"/>
    <col min="9280" max="9281" width="5.625" style="2" customWidth="1"/>
    <col min="9282" max="9282" width="6.625" style="2" customWidth="1"/>
    <col min="9283" max="9283" width="9.875" style="2" customWidth="1"/>
    <col min="9284" max="9285" width="8.625" style="2" customWidth="1"/>
    <col min="9286" max="9286" width="5.5" style="2" bestFit="1" customWidth="1"/>
    <col min="9287" max="9328" width="6.75" style="2" customWidth="1"/>
    <col min="9329" max="9329" width="9" style="2" customWidth="1"/>
    <col min="9330" max="9330" width="9.875" style="2" customWidth="1"/>
    <col min="9331" max="9331" width="2.875" style="2" customWidth="1"/>
    <col min="9332" max="9332" width="12.25" style="2" customWidth="1"/>
    <col min="9333" max="9333" width="6.375" style="2" customWidth="1"/>
    <col min="9334" max="9335" width="3.125" style="2" customWidth="1"/>
    <col min="9336" max="9336" width="1.125" style="2" customWidth="1"/>
    <col min="9337" max="9337" width="9" style="2" customWidth="1"/>
    <col min="9338" max="9338" width="2.375" style="2" customWidth="1"/>
    <col min="9339" max="9356" width="7.625" style="2" customWidth="1"/>
    <col min="9357" max="9519" width="9" style="2" customWidth="1"/>
    <col min="9520" max="9521" width="3.125" style="2" customWidth="1"/>
    <col min="9522" max="9522" width="5.875" style="2" bestFit="1" customWidth="1"/>
    <col min="9523" max="9523" width="5.625" style="2" customWidth="1"/>
    <col min="9524" max="9524" width="10.625" style="2" customWidth="1"/>
    <col min="9525" max="9525" width="12.625" style="2" customWidth="1"/>
    <col min="9526" max="9526" width="8.625" style="2" customWidth="1"/>
    <col min="9527" max="9527" width="5.625" style="2" customWidth="1"/>
    <col min="9528" max="9528" width="4.625" style="2" customWidth="1"/>
    <col min="9529" max="9529" width="5.625" style="2" customWidth="1"/>
    <col min="9530" max="9533" width="4.625" style="2" customWidth="1"/>
    <col min="9534" max="9534" width="7.625" style="2" customWidth="1"/>
    <col min="9535" max="9535" width="8.625" style="2" customWidth="1"/>
    <col min="9536" max="9537" width="5.625" style="2" customWidth="1"/>
    <col min="9538" max="9538" width="6.625" style="2" customWidth="1"/>
    <col min="9539" max="9539" width="9.875" style="2" customWidth="1"/>
    <col min="9540" max="9541" width="8.625" style="2" customWidth="1"/>
    <col min="9542" max="9542" width="5.5" style="2" bestFit="1" customWidth="1"/>
    <col min="9543" max="9584" width="6.75" style="2" customWidth="1"/>
    <col min="9585" max="9585" width="9" style="2" customWidth="1"/>
    <col min="9586" max="9586" width="9.875" style="2" customWidth="1"/>
    <col min="9587" max="9587" width="2.875" style="2" customWidth="1"/>
    <col min="9588" max="9588" width="12.25" style="2" customWidth="1"/>
    <col min="9589" max="9589" width="6.375" style="2" customWidth="1"/>
    <col min="9590" max="9591" width="3.125" style="2" customWidth="1"/>
    <col min="9592" max="9592" width="1.125" style="2" customWidth="1"/>
    <col min="9593" max="9593" width="9" style="2" customWidth="1"/>
    <col min="9594" max="9594" width="2.375" style="2" customWidth="1"/>
    <col min="9595" max="9612" width="7.625" style="2" customWidth="1"/>
    <col min="9613" max="9775" width="9" style="2" customWidth="1"/>
    <col min="9776" max="9777" width="3.125" style="2" customWidth="1"/>
    <col min="9778" max="9778" width="5.875" style="2" bestFit="1" customWidth="1"/>
    <col min="9779" max="9779" width="5.625" style="2" customWidth="1"/>
    <col min="9780" max="9780" width="10.625" style="2" customWidth="1"/>
    <col min="9781" max="9781" width="12.625" style="2" customWidth="1"/>
    <col min="9782" max="9782" width="8.625" style="2" customWidth="1"/>
    <col min="9783" max="9783" width="5.625" style="2" customWidth="1"/>
    <col min="9784" max="9784" width="4.625" style="2" customWidth="1"/>
    <col min="9785" max="9785" width="5.625" style="2" customWidth="1"/>
    <col min="9786" max="9789" width="4.625" style="2" customWidth="1"/>
    <col min="9790" max="9790" width="7.625" style="2" customWidth="1"/>
    <col min="9791" max="9791" width="8.625" style="2" customWidth="1"/>
    <col min="9792" max="9793" width="5.625" style="2" customWidth="1"/>
    <col min="9794" max="9794" width="6.625" style="2" customWidth="1"/>
    <col min="9795" max="9795" width="9.875" style="2" customWidth="1"/>
    <col min="9796" max="9797" width="8.625" style="2" customWidth="1"/>
    <col min="9798" max="9798" width="5.5" style="2" bestFit="1" customWidth="1"/>
    <col min="9799" max="9840" width="6.75" style="2" customWidth="1"/>
    <col min="9841" max="9841" width="9" style="2" customWidth="1"/>
    <col min="9842" max="9842" width="9.875" style="2" customWidth="1"/>
    <col min="9843" max="9843" width="2.875" style="2" customWidth="1"/>
    <col min="9844" max="9844" width="12.25" style="2" customWidth="1"/>
    <col min="9845" max="9845" width="6.375" style="2" customWidth="1"/>
    <col min="9846" max="9847" width="3.125" style="2" customWidth="1"/>
    <col min="9848" max="9848" width="1.125" style="2" customWidth="1"/>
    <col min="9849" max="9849" width="9" style="2" customWidth="1"/>
    <col min="9850" max="9850" width="2.375" style="2" customWidth="1"/>
    <col min="9851" max="9868" width="7.625" style="2" customWidth="1"/>
    <col min="9869" max="10031" width="9" style="2" customWidth="1"/>
    <col min="10032" max="10033" width="3.125" style="2" customWidth="1"/>
    <col min="10034" max="10034" width="5.875" style="2" bestFit="1" customWidth="1"/>
    <col min="10035" max="10035" width="5.625" style="2" customWidth="1"/>
    <col min="10036" max="10036" width="10.625" style="2" customWidth="1"/>
    <col min="10037" max="10037" width="12.625" style="2" customWidth="1"/>
    <col min="10038" max="10038" width="8.625" style="2" customWidth="1"/>
    <col min="10039" max="10039" width="5.625" style="2" customWidth="1"/>
    <col min="10040" max="10040" width="4.625" style="2" customWidth="1"/>
    <col min="10041" max="10041" width="5.625" style="2" customWidth="1"/>
    <col min="10042" max="10045" width="4.625" style="2" customWidth="1"/>
    <col min="10046" max="10046" width="7.625" style="2" customWidth="1"/>
    <col min="10047" max="10047" width="8.625" style="2" customWidth="1"/>
    <col min="10048" max="10049" width="5.625" style="2" customWidth="1"/>
    <col min="10050" max="10050" width="6.625" style="2" customWidth="1"/>
    <col min="10051" max="10051" width="9.875" style="2" customWidth="1"/>
    <col min="10052" max="10053" width="8.625" style="2" customWidth="1"/>
    <col min="10054" max="10054" width="5.5" style="2" bestFit="1" customWidth="1"/>
    <col min="10055" max="10096" width="6.75" style="2" customWidth="1"/>
    <col min="10097" max="10097" width="9" style="2" customWidth="1"/>
    <col min="10098" max="10098" width="9.875" style="2" customWidth="1"/>
    <col min="10099" max="10099" width="2.875" style="2" customWidth="1"/>
    <col min="10100" max="10100" width="12.25" style="2" customWidth="1"/>
    <col min="10101" max="10101" width="6.375" style="2" customWidth="1"/>
    <col min="10102" max="10103" width="3.125" style="2" customWidth="1"/>
    <col min="10104" max="10104" width="1.125" style="2" customWidth="1"/>
    <col min="10105" max="10105" width="9" style="2" customWidth="1"/>
    <col min="10106" max="10106" width="2.375" style="2" customWidth="1"/>
    <col min="10107" max="10124" width="7.625" style="2" customWidth="1"/>
    <col min="10125" max="10287" width="9" style="2" customWidth="1"/>
    <col min="10288" max="10289" width="3.125" style="2" customWidth="1"/>
    <col min="10290" max="10290" width="5.875" style="2" bestFit="1" customWidth="1"/>
    <col min="10291" max="10291" width="5.625" style="2" customWidth="1"/>
    <col min="10292" max="10292" width="10.625" style="2" customWidth="1"/>
    <col min="10293" max="10293" width="12.625" style="2" customWidth="1"/>
    <col min="10294" max="10294" width="8.625" style="2" customWidth="1"/>
    <col min="10295" max="10295" width="5.625" style="2" customWidth="1"/>
    <col min="10296" max="10296" width="4.625" style="2" customWidth="1"/>
    <col min="10297" max="10297" width="5.625" style="2" customWidth="1"/>
    <col min="10298" max="10301" width="4.625" style="2" customWidth="1"/>
    <col min="10302" max="10302" width="7.625" style="2" customWidth="1"/>
    <col min="10303" max="10303" width="8.625" style="2" customWidth="1"/>
    <col min="10304" max="10305" width="5.625" style="2" customWidth="1"/>
    <col min="10306" max="10306" width="6.625" style="2" customWidth="1"/>
    <col min="10307" max="10307" width="9.875" style="2" customWidth="1"/>
    <col min="10308" max="10309" width="8.625" style="2" customWidth="1"/>
    <col min="10310" max="10310" width="5.5" style="2" bestFit="1" customWidth="1"/>
    <col min="10311" max="10352" width="6.75" style="2" customWidth="1"/>
    <col min="10353" max="10353" width="9" style="2" customWidth="1"/>
    <col min="10354" max="10354" width="9.875" style="2" customWidth="1"/>
    <col min="10355" max="10355" width="2.875" style="2" customWidth="1"/>
    <col min="10356" max="10356" width="12.25" style="2" customWidth="1"/>
    <col min="10357" max="10357" width="6.375" style="2" customWidth="1"/>
    <col min="10358" max="10359" width="3.125" style="2" customWidth="1"/>
    <col min="10360" max="10360" width="1.125" style="2" customWidth="1"/>
    <col min="10361" max="10361" width="9" style="2" customWidth="1"/>
    <col min="10362" max="10362" width="2.375" style="2" customWidth="1"/>
    <col min="10363" max="10380" width="7.625" style="2" customWidth="1"/>
    <col min="10381" max="10543" width="9" style="2" customWidth="1"/>
    <col min="10544" max="10545" width="3.125" style="2" customWidth="1"/>
    <col min="10546" max="10546" width="5.875" style="2" bestFit="1" customWidth="1"/>
    <col min="10547" max="10547" width="5.625" style="2" customWidth="1"/>
    <col min="10548" max="10548" width="10.625" style="2" customWidth="1"/>
    <col min="10549" max="10549" width="12.625" style="2" customWidth="1"/>
    <col min="10550" max="10550" width="8.625" style="2" customWidth="1"/>
    <col min="10551" max="10551" width="5.625" style="2" customWidth="1"/>
    <col min="10552" max="10552" width="4.625" style="2" customWidth="1"/>
    <col min="10553" max="10553" width="5.625" style="2" customWidth="1"/>
    <col min="10554" max="10557" width="4.625" style="2" customWidth="1"/>
    <col min="10558" max="10558" width="7.625" style="2" customWidth="1"/>
    <col min="10559" max="10559" width="8.625" style="2" customWidth="1"/>
    <col min="10560" max="10561" width="5.625" style="2" customWidth="1"/>
    <col min="10562" max="10562" width="6.625" style="2" customWidth="1"/>
    <col min="10563" max="10563" width="9.875" style="2" customWidth="1"/>
    <col min="10564" max="10565" width="8.625" style="2" customWidth="1"/>
    <col min="10566" max="10566" width="5.5" style="2" bestFit="1" customWidth="1"/>
    <col min="10567" max="10608" width="6.75" style="2" customWidth="1"/>
    <col min="10609" max="10609" width="9" style="2" customWidth="1"/>
    <col min="10610" max="10610" width="9.875" style="2" customWidth="1"/>
    <col min="10611" max="10611" width="2.875" style="2" customWidth="1"/>
    <col min="10612" max="10612" width="12.25" style="2" customWidth="1"/>
    <col min="10613" max="10613" width="6.375" style="2" customWidth="1"/>
    <col min="10614" max="10615" width="3.125" style="2" customWidth="1"/>
    <col min="10616" max="10616" width="1.125" style="2" customWidth="1"/>
    <col min="10617" max="10617" width="9" style="2" customWidth="1"/>
    <col min="10618" max="10618" width="2.375" style="2" customWidth="1"/>
    <col min="10619" max="10636" width="7.625" style="2" customWidth="1"/>
    <col min="10637" max="10799" width="9" style="2" customWidth="1"/>
    <col min="10800" max="10801" width="3.125" style="2" customWidth="1"/>
    <col min="10802" max="10802" width="5.875" style="2" bestFit="1" customWidth="1"/>
    <col min="10803" max="10803" width="5.625" style="2" customWidth="1"/>
    <col min="10804" max="10804" width="10.625" style="2" customWidth="1"/>
    <col min="10805" max="10805" width="12.625" style="2" customWidth="1"/>
    <col min="10806" max="10806" width="8.625" style="2" customWidth="1"/>
    <col min="10807" max="10807" width="5.625" style="2" customWidth="1"/>
    <col min="10808" max="10808" width="4.625" style="2" customWidth="1"/>
    <col min="10809" max="10809" width="5.625" style="2" customWidth="1"/>
    <col min="10810" max="10813" width="4.625" style="2" customWidth="1"/>
    <col min="10814" max="10814" width="7.625" style="2" customWidth="1"/>
    <col min="10815" max="10815" width="8.625" style="2" customWidth="1"/>
    <col min="10816" max="10817" width="5.625" style="2" customWidth="1"/>
    <col min="10818" max="10818" width="6.625" style="2" customWidth="1"/>
    <col min="10819" max="10819" width="9.875" style="2" customWidth="1"/>
    <col min="10820" max="10821" width="8.625" style="2" customWidth="1"/>
    <col min="10822" max="10822" width="5.5" style="2" bestFit="1" customWidth="1"/>
    <col min="10823" max="10864" width="6.75" style="2" customWidth="1"/>
    <col min="10865" max="10865" width="9" style="2" customWidth="1"/>
    <col min="10866" max="10866" width="9.875" style="2" customWidth="1"/>
    <col min="10867" max="10867" width="2.875" style="2" customWidth="1"/>
    <col min="10868" max="10868" width="12.25" style="2" customWidth="1"/>
    <col min="10869" max="10869" width="6.375" style="2" customWidth="1"/>
    <col min="10870" max="10871" width="3.125" style="2" customWidth="1"/>
    <col min="10872" max="10872" width="1.125" style="2" customWidth="1"/>
    <col min="10873" max="10873" width="9" style="2" customWidth="1"/>
    <col min="10874" max="10874" width="2.375" style="2" customWidth="1"/>
    <col min="10875" max="10892" width="7.625" style="2" customWidth="1"/>
    <col min="10893" max="11055" width="9" style="2" customWidth="1"/>
    <col min="11056" max="11057" width="3.125" style="2" customWidth="1"/>
    <col min="11058" max="11058" width="5.875" style="2" bestFit="1" customWidth="1"/>
    <col min="11059" max="11059" width="5.625" style="2" customWidth="1"/>
    <col min="11060" max="11060" width="10.625" style="2" customWidth="1"/>
    <col min="11061" max="11061" width="12.625" style="2" customWidth="1"/>
    <col min="11062" max="11062" width="8.625" style="2" customWidth="1"/>
    <col min="11063" max="11063" width="5.625" style="2" customWidth="1"/>
    <col min="11064" max="11064" width="4.625" style="2" customWidth="1"/>
    <col min="11065" max="11065" width="5.625" style="2" customWidth="1"/>
    <col min="11066" max="11069" width="4.625" style="2" customWidth="1"/>
    <col min="11070" max="11070" width="7.625" style="2" customWidth="1"/>
    <col min="11071" max="11071" width="8.625" style="2" customWidth="1"/>
    <col min="11072" max="11073" width="5.625" style="2" customWidth="1"/>
    <col min="11074" max="11074" width="6.625" style="2" customWidth="1"/>
    <col min="11075" max="11075" width="9.875" style="2" customWidth="1"/>
    <col min="11076" max="11077" width="8.625" style="2" customWidth="1"/>
    <col min="11078" max="11078" width="5.5" style="2" bestFit="1" customWidth="1"/>
    <col min="11079" max="11120" width="6.75" style="2" customWidth="1"/>
    <col min="11121" max="11121" width="9" style="2" customWidth="1"/>
    <col min="11122" max="11122" width="9.875" style="2" customWidth="1"/>
    <col min="11123" max="11123" width="2.875" style="2" customWidth="1"/>
    <col min="11124" max="11124" width="12.25" style="2" customWidth="1"/>
    <col min="11125" max="11125" width="6.375" style="2" customWidth="1"/>
    <col min="11126" max="11127" width="3.125" style="2" customWidth="1"/>
    <col min="11128" max="11128" width="1.125" style="2" customWidth="1"/>
    <col min="11129" max="11129" width="9" style="2" customWidth="1"/>
    <col min="11130" max="11130" width="2.375" style="2" customWidth="1"/>
    <col min="11131" max="11148" width="7.625" style="2" customWidth="1"/>
    <col min="11149" max="11311" width="9" style="2" customWidth="1"/>
    <col min="11312" max="11313" width="3.125" style="2" customWidth="1"/>
    <col min="11314" max="11314" width="5.875" style="2" bestFit="1" customWidth="1"/>
    <col min="11315" max="11315" width="5.625" style="2" customWidth="1"/>
    <col min="11316" max="11316" width="10.625" style="2" customWidth="1"/>
    <col min="11317" max="11317" width="12.625" style="2" customWidth="1"/>
    <col min="11318" max="11318" width="8.625" style="2" customWidth="1"/>
    <col min="11319" max="11319" width="5.625" style="2" customWidth="1"/>
    <col min="11320" max="11320" width="4.625" style="2" customWidth="1"/>
    <col min="11321" max="11321" width="5.625" style="2" customWidth="1"/>
    <col min="11322" max="11325" width="4.625" style="2" customWidth="1"/>
    <col min="11326" max="11326" width="7.625" style="2" customWidth="1"/>
    <col min="11327" max="11327" width="8.625" style="2" customWidth="1"/>
    <col min="11328" max="11329" width="5.625" style="2" customWidth="1"/>
    <col min="11330" max="11330" width="6.625" style="2" customWidth="1"/>
    <col min="11331" max="11331" width="9.875" style="2" customWidth="1"/>
    <col min="11332" max="11333" width="8.625" style="2" customWidth="1"/>
    <col min="11334" max="11334" width="5.5" style="2" bestFit="1" customWidth="1"/>
    <col min="11335" max="11376" width="6.75" style="2" customWidth="1"/>
    <col min="11377" max="11377" width="9" style="2" customWidth="1"/>
    <col min="11378" max="11378" width="9.875" style="2" customWidth="1"/>
    <col min="11379" max="11379" width="2.875" style="2" customWidth="1"/>
    <col min="11380" max="11380" width="12.25" style="2" customWidth="1"/>
    <col min="11381" max="11381" width="6.375" style="2" customWidth="1"/>
    <col min="11382" max="11383" width="3.125" style="2" customWidth="1"/>
    <col min="11384" max="11384" width="1.125" style="2" customWidth="1"/>
    <col min="11385" max="11385" width="9" style="2" customWidth="1"/>
    <col min="11386" max="11386" width="2.375" style="2" customWidth="1"/>
    <col min="11387" max="11404" width="7.625" style="2" customWidth="1"/>
    <col min="11405" max="11567" width="9" style="2" customWidth="1"/>
    <col min="11568" max="11569" width="3.125" style="2" customWidth="1"/>
    <col min="11570" max="11570" width="5.875" style="2" bestFit="1" customWidth="1"/>
    <col min="11571" max="11571" width="5.625" style="2" customWidth="1"/>
    <col min="11572" max="11572" width="10.625" style="2" customWidth="1"/>
    <col min="11573" max="11573" width="12.625" style="2" customWidth="1"/>
    <col min="11574" max="11574" width="8.625" style="2" customWidth="1"/>
    <col min="11575" max="11575" width="5.625" style="2" customWidth="1"/>
    <col min="11576" max="11576" width="4.625" style="2" customWidth="1"/>
    <col min="11577" max="11577" width="5.625" style="2" customWidth="1"/>
    <col min="11578" max="11581" width="4.625" style="2" customWidth="1"/>
    <col min="11582" max="11582" width="7.625" style="2" customWidth="1"/>
    <col min="11583" max="11583" width="8.625" style="2" customWidth="1"/>
    <col min="11584" max="11585" width="5.625" style="2" customWidth="1"/>
    <col min="11586" max="11586" width="6.625" style="2" customWidth="1"/>
    <col min="11587" max="11587" width="9.875" style="2" customWidth="1"/>
    <col min="11588" max="11589" width="8.625" style="2" customWidth="1"/>
    <col min="11590" max="11590" width="5.5" style="2" bestFit="1" customWidth="1"/>
    <col min="11591" max="11632" width="6.75" style="2" customWidth="1"/>
    <col min="11633" max="11633" width="9" style="2" customWidth="1"/>
    <col min="11634" max="11634" width="9.875" style="2" customWidth="1"/>
    <col min="11635" max="11635" width="2.875" style="2" customWidth="1"/>
    <col min="11636" max="11636" width="12.25" style="2" customWidth="1"/>
    <col min="11637" max="11637" width="6.375" style="2" customWidth="1"/>
    <col min="11638" max="11639" width="3.125" style="2" customWidth="1"/>
    <col min="11640" max="11640" width="1.125" style="2" customWidth="1"/>
    <col min="11641" max="11641" width="9" style="2" customWidth="1"/>
    <col min="11642" max="11642" width="2.375" style="2" customWidth="1"/>
    <col min="11643" max="11660" width="7.625" style="2" customWidth="1"/>
    <col min="11661" max="11823" width="9" style="2" customWidth="1"/>
    <col min="11824" max="11825" width="3.125" style="2" customWidth="1"/>
    <col min="11826" max="11826" width="5.875" style="2" bestFit="1" customWidth="1"/>
    <col min="11827" max="11827" width="5.625" style="2" customWidth="1"/>
    <col min="11828" max="11828" width="10.625" style="2" customWidth="1"/>
    <col min="11829" max="11829" width="12.625" style="2" customWidth="1"/>
    <col min="11830" max="11830" width="8.625" style="2" customWidth="1"/>
    <col min="11831" max="11831" width="5.625" style="2" customWidth="1"/>
    <col min="11832" max="11832" width="4.625" style="2" customWidth="1"/>
    <col min="11833" max="11833" width="5.625" style="2" customWidth="1"/>
    <col min="11834" max="11837" width="4.625" style="2" customWidth="1"/>
    <col min="11838" max="11838" width="7.625" style="2" customWidth="1"/>
    <col min="11839" max="11839" width="8.625" style="2" customWidth="1"/>
    <col min="11840" max="11841" width="5.625" style="2" customWidth="1"/>
    <col min="11842" max="11842" width="6.625" style="2" customWidth="1"/>
    <col min="11843" max="11843" width="9.875" style="2" customWidth="1"/>
    <col min="11844" max="11845" width="8.625" style="2" customWidth="1"/>
    <col min="11846" max="11846" width="5.5" style="2" bestFit="1" customWidth="1"/>
    <col min="11847" max="11888" width="6.75" style="2" customWidth="1"/>
    <col min="11889" max="11889" width="9" style="2" customWidth="1"/>
    <col min="11890" max="11890" width="9.875" style="2" customWidth="1"/>
    <col min="11891" max="11891" width="2.875" style="2" customWidth="1"/>
    <col min="11892" max="11892" width="12.25" style="2" customWidth="1"/>
    <col min="11893" max="11893" width="6.375" style="2" customWidth="1"/>
    <col min="11894" max="11895" width="3.125" style="2" customWidth="1"/>
    <col min="11896" max="11896" width="1.125" style="2" customWidth="1"/>
    <col min="11897" max="11897" width="9" style="2" customWidth="1"/>
    <col min="11898" max="11898" width="2.375" style="2" customWidth="1"/>
    <col min="11899" max="11916" width="7.625" style="2" customWidth="1"/>
    <col min="11917" max="12079" width="9" style="2" customWidth="1"/>
    <col min="12080" max="12081" width="3.125" style="2" customWidth="1"/>
    <col min="12082" max="12082" width="5.875" style="2" bestFit="1" customWidth="1"/>
    <col min="12083" max="12083" width="5.625" style="2" customWidth="1"/>
    <col min="12084" max="12084" width="10.625" style="2" customWidth="1"/>
    <col min="12085" max="12085" width="12.625" style="2" customWidth="1"/>
    <col min="12086" max="12086" width="8.625" style="2" customWidth="1"/>
    <col min="12087" max="12087" width="5.625" style="2" customWidth="1"/>
    <col min="12088" max="12088" width="4.625" style="2" customWidth="1"/>
    <col min="12089" max="12089" width="5.625" style="2" customWidth="1"/>
    <col min="12090" max="12093" width="4.625" style="2" customWidth="1"/>
    <col min="12094" max="12094" width="7.625" style="2" customWidth="1"/>
    <col min="12095" max="12095" width="8.625" style="2" customWidth="1"/>
    <col min="12096" max="12097" width="5.625" style="2" customWidth="1"/>
    <col min="12098" max="12098" width="6.625" style="2" customWidth="1"/>
    <col min="12099" max="12099" width="9.875" style="2" customWidth="1"/>
    <col min="12100" max="12101" width="8.625" style="2" customWidth="1"/>
    <col min="12102" max="12102" width="5.5" style="2" bestFit="1" customWidth="1"/>
    <col min="12103" max="12144" width="6.75" style="2" customWidth="1"/>
    <col min="12145" max="12145" width="9" style="2" customWidth="1"/>
    <col min="12146" max="12146" width="9.875" style="2" customWidth="1"/>
    <col min="12147" max="12147" width="2.875" style="2" customWidth="1"/>
    <col min="12148" max="12148" width="12.25" style="2" customWidth="1"/>
    <col min="12149" max="12149" width="6.375" style="2" customWidth="1"/>
    <col min="12150" max="12151" width="3.125" style="2" customWidth="1"/>
    <col min="12152" max="12152" width="1.125" style="2" customWidth="1"/>
    <col min="12153" max="12153" width="9" style="2" customWidth="1"/>
    <col min="12154" max="12154" width="2.375" style="2" customWidth="1"/>
    <col min="12155" max="12172" width="7.625" style="2" customWidth="1"/>
    <col min="12173" max="12335" width="9" style="2" customWidth="1"/>
    <col min="12336" max="12337" width="3.125" style="2" customWidth="1"/>
    <col min="12338" max="12338" width="5.875" style="2" bestFit="1" customWidth="1"/>
    <col min="12339" max="12339" width="5.625" style="2" customWidth="1"/>
    <col min="12340" max="12340" width="10.625" style="2" customWidth="1"/>
    <col min="12341" max="12341" width="12.625" style="2" customWidth="1"/>
    <col min="12342" max="12342" width="8.625" style="2" customWidth="1"/>
    <col min="12343" max="12343" width="5.625" style="2" customWidth="1"/>
    <col min="12344" max="12344" width="4.625" style="2" customWidth="1"/>
    <col min="12345" max="12345" width="5.625" style="2" customWidth="1"/>
    <col min="12346" max="12349" width="4.625" style="2" customWidth="1"/>
    <col min="12350" max="12350" width="7.625" style="2" customWidth="1"/>
    <col min="12351" max="12351" width="8.625" style="2" customWidth="1"/>
    <col min="12352" max="12353" width="5.625" style="2" customWidth="1"/>
    <col min="12354" max="12354" width="6.625" style="2" customWidth="1"/>
    <col min="12355" max="12355" width="9.875" style="2" customWidth="1"/>
    <col min="12356" max="12357" width="8.625" style="2" customWidth="1"/>
    <col min="12358" max="12358" width="5.5" style="2" bestFit="1" customWidth="1"/>
    <col min="12359" max="12400" width="6.75" style="2" customWidth="1"/>
    <col min="12401" max="12401" width="9" style="2" customWidth="1"/>
    <col min="12402" max="12402" width="9.875" style="2" customWidth="1"/>
    <col min="12403" max="12403" width="2.875" style="2" customWidth="1"/>
    <col min="12404" max="12404" width="12.25" style="2" customWidth="1"/>
    <col min="12405" max="12405" width="6.375" style="2" customWidth="1"/>
    <col min="12406" max="12407" width="3.125" style="2" customWidth="1"/>
    <col min="12408" max="12408" width="1.125" style="2" customWidth="1"/>
    <col min="12409" max="12409" width="9" style="2" customWidth="1"/>
    <col min="12410" max="12410" width="2.375" style="2" customWidth="1"/>
    <col min="12411" max="12428" width="7.625" style="2" customWidth="1"/>
    <col min="12429" max="12591" width="9" style="2" customWidth="1"/>
    <col min="12592" max="12593" width="3.125" style="2" customWidth="1"/>
    <col min="12594" max="12594" width="5.875" style="2" bestFit="1" customWidth="1"/>
    <col min="12595" max="12595" width="5.625" style="2" customWidth="1"/>
    <col min="12596" max="12596" width="10.625" style="2" customWidth="1"/>
    <col min="12597" max="12597" width="12.625" style="2" customWidth="1"/>
    <col min="12598" max="12598" width="8.625" style="2" customWidth="1"/>
    <col min="12599" max="12599" width="5.625" style="2" customWidth="1"/>
    <col min="12600" max="12600" width="4.625" style="2" customWidth="1"/>
    <col min="12601" max="12601" width="5.625" style="2" customWidth="1"/>
    <col min="12602" max="12605" width="4.625" style="2" customWidth="1"/>
    <col min="12606" max="12606" width="7.625" style="2" customWidth="1"/>
    <col min="12607" max="12607" width="8.625" style="2" customWidth="1"/>
    <col min="12608" max="12609" width="5.625" style="2" customWidth="1"/>
    <col min="12610" max="12610" width="6.625" style="2" customWidth="1"/>
    <col min="12611" max="12611" width="9.875" style="2" customWidth="1"/>
    <col min="12612" max="12613" width="8.625" style="2" customWidth="1"/>
    <col min="12614" max="12614" width="5.5" style="2" bestFit="1" customWidth="1"/>
    <col min="12615" max="12656" width="6.75" style="2" customWidth="1"/>
    <col min="12657" max="12657" width="9" style="2" customWidth="1"/>
    <col min="12658" max="12658" width="9.875" style="2" customWidth="1"/>
    <col min="12659" max="12659" width="2.875" style="2" customWidth="1"/>
    <col min="12660" max="12660" width="12.25" style="2" customWidth="1"/>
    <col min="12661" max="12661" width="6.375" style="2" customWidth="1"/>
    <col min="12662" max="12663" width="3.125" style="2" customWidth="1"/>
    <col min="12664" max="12664" width="1.125" style="2" customWidth="1"/>
    <col min="12665" max="12665" width="9" style="2" customWidth="1"/>
    <col min="12666" max="12666" width="2.375" style="2" customWidth="1"/>
    <col min="12667" max="12684" width="7.625" style="2" customWidth="1"/>
    <col min="12685" max="12847" width="9" style="2" customWidth="1"/>
    <col min="12848" max="12849" width="3.125" style="2" customWidth="1"/>
    <col min="12850" max="12850" width="5.875" style="2" bestFit="1" customWidth="1"/>
    <col min="12851" max="12851" width="5.625" style="2" customWidth="1"/>
    <col min="12852" max="12852" width="10.625" style="2" customWidth="1"/>
    <col min="12853" max="12853" width="12.625" style="2" customWidth="1"/>
    <col min="12854" max="12854" width="8.625" style="2" customWidth="1"/>
    <col min="12855" max="12855" width="5.625" style="2" customWidth="1"/>
    <col min="12856" max="12856" width="4.625" style="2" customWidth="1"/>
    <col min="12857" max="12857" width="5.625" style="2" customWidth="1"/>
    <col min="12858" max="12861" width="4.625" style="2" customWidth="1"/>
    <col min="12862" max="12862" width="7.625" style="2" customWidth="1"/>
    <col min="12863" max="12863" width="8.625" style="2" customWidth="1"/>
    <col min="12864" max="12865" width="5.625" style="2" customWidth="1"/>
    <col min="12866" max="12866" width="6.625" style="2" customWidth="1"/>
    <col min="12867" max="12867" width="9.875" style="2" customWidth="1"/>
    <col min="12868" max="12869" width="8.625" style="2" customWidth="1"/>
    <col min="12870" max="12870" width="5.5" style="2" bestFit="1" customWidth="1"/>
    <col min="12871" max="12912" width="6.75" style="2" customWidth="1"/>
    <col min="12913" max="12913" width="9" style="2" customWidth="1"/>
    <col min="12914" max="12914" width="9.875" style="2" customWidth="1"/>
    <col min="12915" max="12915" width="2.875" style="2" customWidth="1"/>
    <col min="12916" max="12916" width="12.25" style="2" customWidth="1"/>
    <col min="12917" max="12917" width="6.375" style="2" customWidth="1"/>
    <col min="12918" max="12919" width="3.125" style="2" customWidth="1"/>
    <col min="12920" max="12920" width="1.125" style="2" customWidth="1"/>
    <col min="12921" max="12921" width="9" style="2" customWidth="1"/>
    <col min="12922" max="12922" width="2.375" style="2" customWidth="1"/>
    <col min="12923" max="12940" width="7.625" style="2" customWidth="1"/>
    <col min="12941" max="13103" width="9" style="2" customWidth="1"/>
    <col min="13104" max="13105" width="3.125" style="2" customWidth="1"/>
    <col min="13106" max="13106" width="5.875" style="2" bestFit="1" customWidth="1"/>
    <col min="13107" max="13107" width="5.625" style="2" customWidth="1"/>
    <col min="13108" max="13108" width="10.625" style="2" customWidth="1"/>
    <col min="13109" max="13109" width="12.625" style="2" customWidth="1"/>
    <col min="13110" max="13110" width="8.625" style="2" customWidth="1"/>
    <col min="13111" max="13111" width="5.625" style="2" customWidth="1"/>
    <col min="13112" max="13112" width="4.625" style="2" customWidth="1"/>
    <col min="13113" max="13113" width="5.625" style="2" customWidth="1"/>
    <col min="13114" max="13117" width="4.625" style="2" customWidth="1"/>
    <col min="13118" max="13118" width="7.625" style="2" customWidth="1"/>
    <col min="13119" max="13119" width="8.625" style="2" customWidth="1"/>
    <col min="13120" max="13121" width="5.625" style="2" customWidth="1"/>
    <col min="13122" max="13122" width="6.625" style="2" customWidth="1"/>
    <col min="13123" max="13123" width="9.875" style="2" customWidth="1"/>
    <col min="13124" max="13125" width="8.625" style="2" customWidth="1"/>
    <col min="13126" max="13126" width="5.5" style="2" bestFit="1" customWidth="1"/>
    <col min="13127" max="13168" width="6.75" style="2" customWidth="1"/>
    <col min="13169" max="13169" width="9" style="2" customWidth="1"/>
    <col min="13170" max="13170" width="9.875" style="2" customWidth="1"/>
    <col min="13171" max="13171" width="2.875" style="2" customWidth="1"/>
    <col min="13172" max="13172" width="12.25" style="2" customWidth="1"/>
    <col min="13173" max="13173" width="6.375" style="2" customWidth="1"/>
    <col min="13174" max="13175" width="3.125" style="2" customWidth="1"/>
    <col min="13176" max="13176" width="1.125" style="2" customWidth="1"/>
    <col min="13177" max="13177" width="9" style="2" customWidth="1"/>
    <col min="13178" max="13178" width="2.375" style="2" customWidth="1"/>
    <col min="13179" max="13196" width="7.625" style="2" customWidth="1"/>
    <col min="13197" max="13359" width="9" style="2" customWidth="1"/>
    <col min="13360" max="13361" width="3.125" style="2" customWidth="1"/>
    <col min="13362" max="13362" width="5.875" style="2" bestFit="1" customWidth="1"/>
    <col min="13363" max="13363" width="5.625" style="2" customWidth="1"/>
    <col min="13364" max="13364" width="10.625" style="2" customWidth="1"/>
    <col min="13365" max="13365" width="12.625" style="2" customWidth="1"/>
    <col min="13366" max="13366" width="8.625" style="2" customWidth="1"/>
    <col min="13367" max="13367" width="5.625" style="2" customWidth="1"/>
    <col min="13368" max="13368" width="4.625" style="2" customWidth="1"/>
    <col min="13369" max="13369" width="5.625" style="2" customWidth="1"/>
    <col min="13370" max="13373" width="4.625" style="2" customWidth="1"/>
    <col min="13374" max="13374" width="7.625" style="2" customWidth="1"/>
    <col min="13375" max="13375" width="8.625" style="2" customWidth="1"/>
    <col min="13376" max="13377" width="5.625" style="2" customWidth="1"/>
    <col min="13378" max="13378" width="6.625" style="2" customWidth="1"/>
    <col min="13379" max="13379" width="9.875" style="2" customWidth="1"/>
    <col min="13380" max="13381" width="8.625" style="2" customWidth="1"/>
    <col min="13382" max="13382" width="5.5" style="2" bestFit="1" customWidth="1"/>
    <col min="13383" max="13424" width="6.75" style="2" customWidth="1"/>
    <col min="13425" max="13425" width="9" style="2" customWidth="1"/>
    <col min="13426" max="13426" width="9.875" style="2" customWidth="1"/>
    <col min="13427" max="13427" width="2.875" style="2" customWidth="1"/>
    <col min="13428" max="13428" width="12.25" style="2" customWidth="1"/>
    <col min="13429" max="13429" width="6.375" style="2" customWidth="1"/>
    <col min="13430" max="13431" width="3.125" style="2" customWidth="1"/>
    <col min="13432" max="13432" width="1.125" style="2" customWidth="1"/>
    <col min="13433" max="13433" width="9" style="2" customWidth="1"/>
    <col min="13434" max="13434" width="2.375" style="2" customWidth="1"/>
    <col min="13435" max="13452" width="7.625" style="2" customWidth="1"/>
    <col min="13453" max="13615" width="9" style="2" customWidth="1"/>
    <col min="13616" max="13617" width="3.125" style="2" customWidth="1"/>
    <col min="13618" max="13618" width="5.875" style="2" bestFit="1" customWidth="1"/>
    <col min="13619" max="13619" width="5.625" style="2" customWidth="1"/>
    <col min="13620" max="13620" width="10.625" style="2" customWidth="1"/>
    <col min="13621" max="13621" width="12.625" style="2" customWidth="1"/>
    <col min="13622" max="13622" width="8.625" style="2" customWidth="1"/>
    <col min="13623" max="13623" width="5.625" style="2" customWidth="1"/>
    <col min="13624" max="13624" width="4.625" style="2" customWidth="1"/>
    <col min="13625" max="13625" width="5.625" style="2" customWidth="1"/>
    <col min="13626" max="13629" width="4.625" style="2" customWidth="1"/>
    <col min="13630" max="13630" width="7.625" style="2" customWidth="1"/>
    <col min="13631" max="13631" width="8.625" style="2" customWidth="1"/>
    <col min="13632" max="13633" width="5.625" style="2" customWidth="1"/>
    <col min="13634" max="13634" width="6.625" style="2" customWidth="1"/>
    <col min="13635" max="13635" width="9.875" style="2" customWidth="1"/>
    <col min="13636" max="13637" width="8.625" style="2" customWidth="1"/>
    <col min="13638" max="13638" width="5.5" style="2" bestFit="1" customWidth="1"/>
    <col min="13639" max="13680" width="6.75" style="2" customWidth="1"/>
    <col min="13681" max="13681" width="9" style="2" customWidth="1"/>
    <col min="13682" max="13682" width="9.875" style="2" customWidth="1"/>
    <col min="13683" max="13683" width="2.875" style="2" customWidth="1"/>
    <col min="13684" max="13684" width="12.25" style="2" customWidth="1"/>
    <col min="13685" max="13685" width="6.375" style="2" customWidth="1"/>
    <col min="13686" max="13687" width="3.125" style="2" customWidth="1"/>
    <col min="13688" max="13688" width="1.125" style="2" customWidth="1"/>
    <col min="13689" max="13689" width="9" style="2" customWidth="1"/>
    <col min="13690" max="13690" width="2.375" style="2" customWidth="1"/>
    <col min="13691" max="13708" width="7.625" style="2" customWidth="1"/>
    <col min="13709" max="13871" width="9" style="2" customWidth="1"/>
    <col min="13872" max="13873" width="3.125" style="2" customWidth="1"/>
    <col min="13874" max="13874" width="5.875" style="2" bestFit="1" customWidth="1"/>
    <col min="13875" max="13875" width="5.625" style="2" customWidth="1"/>
    <col min="13876" max="13876" width="10.625" style="2" customWidth="1"/>
    <col min="13877" max="13877" width="12.625" style="2" customWidth="1"/>
    <col min="13878" max="13878" width="8.625" style="2" customWidth="1"/>
    <col min="13879" max="13879" width="5.625" style="2" customWidth="1"/>
    <col min="13880" max="13880" width="4.625" style="2" customWidth="1"/>
    <col min="13881" max="13881" width="5.625" style="2" customWidth="1"/>
    <col min="13882" max="13885" width="4.625" style="2" customWidth="1"/>
    <col min="13886" max="13886" width="7.625" style="2" customWidth="1"/>
    <col min="13887" max="13887" width="8.625" style="2" customWidth="1"/>
    <col min="13888" max="13889" width="5.625" style="2" customWidth="1"/>
    <col min="13890" max="13890" width="6.625" style="2" customWidth="1"/>
    <col min="13891" max="13891" width="9.875" style="2" customWidth="1"/>
    <col min="13892" max="13893" width="8.625" style="2" customWidth="1"/>
    <col min="13894" max="13894" width="5.5" style="2" bestFit="1" customWidth="1"/>
    <col min="13895" max="13936" width="6.75" style="2" customWidth="1"/>
    <col min="13937" max="13937" width="9" style="2" customWidth="1"/>
    <col min="13938" max="13938" width="9.875" style="2" customWidth="1"/>
    <col min="13939" max="13939" width="2.875" style="2" customWidth="1"/>
    <col min="13940" max="13940" width="12.25" style="2" customWidth="1"/>
    <col min="13941" max="13941" width="6.375" style="2" customWidth="1"/>
    <col min="13942" max="13943" width="3.125" style="2" customWidth="1"/>
    <col min="13944" max="13944" width="1.125" style="2" customWidth="1"/>
    <col min="13945" max="13945" width="9" style="2" customWidth="1"/>
    <col min="13946" max="13946" width="2.375" style="2" customWidth="1"/>
    <col min="13947" max="13964" width="7.625" style="2" customWidth="1"/>
    <col min="13965" max="14127" width="9" style="2" customWidth="1"/>
    <col min="14128" max="14129" width="3.125" style="2" customWidth="1"/>
    <col min="14130" max="14130" width="5.875" style="2" bestFit="1" customWidth="1"/>
    <col min="14131" max="14131" width="5.625" style="2" customWidth="1"/>
    <col min="14132" max="14132" width="10.625" style="2" customWidth="1"/>
    <col min="14133" max="14133" width="12.625" style="2" customWidth="1"/>
    <col min="14134" max="14134" width="8.625" style="2" customWidth="1"/>
    <col min="14135" max="14135" width="5.625" style="2" customWidth="1"/>
    <col min="14136" max="14136" width="4.625" style="2" customWidth="1"/>
    <col min="14137" max="14137" width="5.625" style="2" customWidth="1"/>
    <col min="14138" max="14141" width="4.625" style="2" customWidth="1"/>
    <col min="14142" max="14142" width="7.625" style="2" customWidth="1"/>
    <col min="14143" max="14143" width="8.625" style="2" customWidth="1"/>
    <col min="14144" max="14145" width="5.625" style="2" customWidth="1"/>
    <col min="14146" max="14146" width="6.625" style="2" customWidth="1"/>
    <col min="14147" max="14147" width="9.875" style="2" customWidth="1"/>
    <col min="14148" max="14149" width="8.625" style="2" customWidth="1"/>
    <col min="14150" max="14150" width="5.5" style="2" bestFit="1" customWidth="1"/>
    <col min="14151" max="14192" width="6.75" style="2" customWidth="1"/>
    <col min="14193" max="14193" width="9" style="2" customWidth="1"/>
    <col min="14194" max="14194" width="9.875" style="2" customWidth="1"/>
    <col min="14195" max="14195" width="2.875" style="2" customWidth="1"/>
    <col min="14196" max="14196" width="12.25" style="2" customWidth="1"/>
    <col min="14197" max="14197" width="6.375" style="2" customWidth="1"/>
    <col min="14198" max="14199" width="3.125" style="2" customWidth="1"/>
    <col min="14200" max="14200" width="1.125" style="2" customWidth="1"/>
    <col min="14201" max="14201" width="9" style="2" customWidth="1"/>
    <col min="14202" max="14202" width="2.375" style="2" customWidth="1"/>
    <col min="14203" max="14220" width="7.625" style="2" customWidth="1"/>
    <col min="14221" max="14383" width="9" style="2" customWidth="1"/>
    <col min="14384" max="14385" width="3.125" style="2" customWidth="1"/>
    <col min="14386" max="14386" width="5.875" style="2" bestFit="1" customWidth="1"/>
    <col min="14387" max="14387" width="5.625" style="2" customWidth="1"/>
    <col min="14388" max="14388" width="10.625" style="2" customWidth="1"/>
    <col min="14389" max="14389" width="12.625" style="2" customWidth="1"/>
    <col min="14390" max="14390" width="8.625" style="2" customWidth="1"/>
    <col min="14391" max="14391" width="5.625" style="2" customWidth="1"/>
    <col min="14392" max="14392" width="4.625" style="2" customWidth="1"/>
    <col min="14393" max="14393" width="5.625" style="2" customWidth="1"/>
    <col min="14394" max="14397" width="4.625" style="2" customWidth="1"/>
    <col min="14398" max="14398" width="7.625" style="2" customWidth="1"/>
    <col min="14399" max="14399" width="8.625" style="2" customWidth="1"/>
    <col min="14400" max="14401" width="5.625" style="2" customWidth="1"/>
    <col min="14402" max="14402" width="6.625" style="2" customWidth="1"/>
    <col min="14403" max="14403" width="9.875" style="2" customWidth="1"/>
    <col min="14404" max="14405" width="8.625" style="2" customWidth="1"/>
    <col min="14406" max="14406" width="5.5" style="2" bestFit="1" customWidth="1"/>
    <col min="14407" max="14448" width="6.75" style="2" customWidth="1"/>
    <col min="14449" max="14449" width="9" style="2" customWidth="1"/>
    <col min="14450" max="14450" width="9.875" style="2" customWidth="1"/>
    <col min="14451" max="14451" width="2.875" style="2" customWidth="1"/>
    <col min="14452" max="14452" width="12.25" style="2" customWidth="1"/>
    <col min="14453" max="14453" width="6.375" style="2" customWidth="1"/>
    <col min="14454" max="14455" width="3.125" style="2" customWidth="1"/>
    <col min="14456" max="14456" width="1.125" style="2" customWidth="1"/>
    <col min="14457" max="14457" width="9" style="2" customWidth="1"/>
    <col min="14458" max="14458" width="2.375" style="2" customWidth="1"/>
    <col min="14459" max="14476" width="7.625" style="2" customWidth="1"/>
    <col min="14477" max="14639" width="9" style="2" customWidth="1"/>
    <col min="14640" max="14641" width="3.125" style="2" customWidth="1"/>
    <col min="14642" max="14642" width="5.875" style="2" bestFit="1" customWidth="1"/>
    <col min="14643" max="14643" width="5.625" style="2" customWidth="1"/>
    <col min="14644" max="14644" width="10.625" style="2" customWidth="1"/>
    <col min="14645" max="14645" width="12.625" style="2" customWidth="1"/>
    <col min="14646" max="14646" width="8.625" style="2" customWidth="1"/>
    <col min="14647" max="14647" width="5.625" style="2" customWidth="1"/>
    <col min="14648" max="14648" width="4.625" style="2" customWidth="1"/>
    <col min="14649" max="14649" width="5.625" style="2" customWidth="1"/>
    <col min="14650" max="14653" width="4.625" style="2" customWidth="1"/>
    <col min="14654" max="14654" width="7.625" style="2" customWidth="1"/>
    <col min="14655" max="14655" width="8.625" style="2" customWidth="1"/>
    <col min="14656" max="14657" width="5.625" style="2" customWidth="1"/>
    <col min="14658" max="14658" width="6.625" style="2" customWidth="1"/>
    <col min="14659" max="14659" width="9.875" style="2" customWidth="1"/>
    <col min="14660" max="14661" width="8.625" style="2" customWidth="1"/>
    <col min="14662" max="14662" width="5.5" style="2" bestFit="1" customWidth="1"/>
    <col min="14663" max="14704" width="6.75" style="2" customWidth="1"/>
    <col min="14705" max="14705" width="9" style="2" customWidth="1"/>
    <col min="14706" max="14706" width="9.875" style="2" customWidth="1"/>
    <col min="14707" max="14707" width="2.875" style="2" customWidth="1"/>
    <col min="14708" max="14708" width="12.25" style="2" customWidth="1"/>
    <col min="14709" max="14709" width="6.375" style="2" customWidth="1"/>
    <col min="14710" max="14711" width="3.125" style="2" customWidth="1"/>
    <col min="14712" max="14712" width="1.125" style="2" customWidth="1"/>
    <col min="14713" max="14713" width="9" style="2" customWidth="1"/>
    <col min="14714" max="14714" width="2.375" style="2" customWidth="1"/>
    <col min="14715" max="14732" width="7.625" style="2" customWidth="1"/>
    <col min="14733" max="14895" width="9" style="2" customWidth="1"/>
    <col min="14896" max="14897" width="3.125" style="2" customWidth="1"/>
    <col min="14898" max="14898" width="5.875" style="2" bestFit="1" customWidth="1"/>
    <col min="14899" max="14899" width="5.625" style="2" customWidth="1"/>
    <col min="14900" max="14900" width="10.625" style="2" customWidth="1"/>
    <col min="14901" max="14901" width="12.625" style="2" customWidth="1"/>
    <col min="14902" max="14902" width="8.625" style="2" customWidth="1"/>
    <col min="14903" max="14903" width="5.625" style="2" customWidth="1"/>
    <col min="14904" max="14904" width="4.625" style="2" customWidth="1"/>
    <col min="14905" max="14905" width="5.625" style="2" customWidth="1"/>
    <col min="14906" max="14909" width="4.625" style="2" customWidth="1"/>
    <col min="14910" max="14910" width="7.625" style="2" customWidth="1"/>
    <col min="14911" max="14911" width="8.625" style="2" customWidth="1"/>
    <col min="14912" max="14913" width="5.625" style="2" customWidth="1"/>
    <col min="14914" max="14914" width="6.625" style="2" customWidth="1"/>
    <col min="14915" max="14915" width="9.875" style="2" customWidth="1"/>
    <col min="14916" max="14917" width="8.625" style="2" customWidth="1"/>
    <col min="14918" max="14918" width="5.5" style="2" bestFit="1" customWidth="1"/>
    <col min="14919" max="14960" width="6.75" style="2" customWidth="1"/>
    <col min="14961" max="14961" width="9" style="2" customWidth="1"/>
    <col min="14962" max="14962" width="9.875" style="2" customWidth="1"/>
    <col min="14963" max="14963" width="2.875" style="2" customWidth="1"/>
    <col min="14964" max="14964" width="12.25" style="2" customWidth="1"/>
    <col min="14965" max="14965" width="6.375" style="2" customWidth="1"/>
    <col min="14966" max="14967" width="3.125" style="2" customWidth="1"/>
    <col min="14968" max="14968" width="1.125" style="2" customWidth="1"/>
    <col min="14969" max="14969" width="9" style="2" customWidth="1"/>
    <col min="14970" max="14970" width="2.375" style="2" customWidth="1"/>
    <col min="14971" max="14988" width="7.625" style="2" customWidth="1"/>
    <col min="14989" max="15151" width="9" style="2" customWidth="1"/>
    <col min="15152" max="15153" width="3.125" style="2" customWidth="1"/>
    <col min="15154" max="15154" width="5.875" style="2" bestFit="1" customWidth="1"/>
    <col min="15155" max="15155" width="5.625" style="2" customWidth="1"/>
    <col min="15156" max="15156" width="10.625" style="2" customWidth="1"/>
    <col min="15157" max="15157" width="12.625" style="2" customWidth="1"/>
    <col min="15158" max="15158" width="8.625" style="2" customWidth="1"/>
    <col min="15159" max="15159" width="5.625" style="2" customWidth="1"/>
    <col min="15160" max="15160" width="4.625" style="2" customWidth="1"/>
    <col min="15161" max="15161" width="5.625" style="2" customWidth="1"/>
    <col min="15162" max="15165" width="4.625" style="2" customWidth="1"/>
    <col min="15166" max="15166" width="7.625" style="2" customWidth="1"/>
    <col min="15167" max="15167" width="8.625" style="2" customWidth="1"/>
    <col min="15168" max="15169" width="5.625" style="2" customWidth="1"/>
    <col min="15170" max="15170" width="6.625" style="2" customWidth="1"/>
    <col min="15171" max="15171" width="9.875" style="2" customWidth="1"/>
    <col min="15172" max="15173" width="8.625" style="2" customWidth="1"/>
    <col min="15174" max="15174" width="5.5" style="2" bestFit="1" customWidth="1"/>
    <col min="15175" max="15216" width="6.75" style="2" customWidth="1"/>
    <col min="15217" max="15217" width="9" style="2" customWidth="1"/>
    <col min="15218" max="15218" width="9.875" style="2" customWidth="1"/>
    <col min="15219" max="15219" width="2.875" style="2" customWidth="1"/>
    <col min="15220" max="15220" width="12.25" style="2" customWidth="1"/>
    <col min="15221" max="15221" width="6.375" style="2" customWidth="1"/>
    <col min="15222" max="15223" width="3.125" style="2" customWidth="1"/>
    <col min="15224" max="15224" width="1.125" style="2" customWidth="1"/>
    <col min="15225" max="15225" width="9" style="2" customWidth="1"/>
    <col min="15226" max="15226" width="2.375" style="2" customWidth="1"/>
    <col min="15227" max="15244" width="7.625" style="2" customWidth="1"/>
    <col min="15245" max="15407" width="9" style="2" customWidth="1"/>
    <col min="15408" max="15409" width="3.125" style="2" customWidth="1"/>
    <col min="15410" max="15410" width="5.875" style="2" bestFit="1" customWidth="1"/>
    <col min="15411" max="15411" width="5.625" style="2" customWidth="1"/>
    <col min="15412" max="15412" width="10.625" style="2" customWidth="1"/>
    <col min="15413" max="15413" width="12.625" style="2" customWidth="1"/>
    <col min="15414" max="15414" width="8.625" style="2" customWidth="1"/>
    <col min="15415" max="15415" width="5.625" style="2" customWidth="1"/>
    <col min="15416" max="15416" width="4.625" style="2" customWidth="1"/>
    <col min="15417" max="15417" width="5.625" style="2" customWidth="1"/>
    <col min="15418" max="15421" width="4.625" style="2" customWidth="1"/>
    <col min="15422" max="15422" width="7.625" style="2" customWidth="1"/>
    <col min="15423" max="15423" width="8.625" style="2" customWidth="1"/>
    <col min="15424" max="15425" width="5.625" style="2" customWidth="1"/>
    <col min="15426" max="15426" width="6.625" style="2" customWidth="1"/>
    <col min="15427" max="15427" width="9.875" style="2" customWidth="1"/>
    <col min="15428" max="15429" width="8.625" style="2" customWidth="1"/>
    <col min="15430" max="15430" width="5.5" style="2" bestFit="1" customWidth="1"/>
    <col min="15431" max="15472" width="6.75" style="2" customWidth="1"/>
    <col min="15473" max="15473" width="9" style="2" customWidth="1"/>
    <col min="15474" max="15474" width="9.875" style="2" customWidth="1"/>
    <col min="15475" max="15475" width="2.875" style="2" customWidth="1"/>
    <col min="15476" max="15476" width="12.25" style="2" customWidth="1"/>
    <col min="15477" max="15477" width="6.375" style="2" customWidth="1"/>
    <col min="15478" max="15479" width="3.125" style="2" customWidth="1"/>
    <col min="15480" max="15480" width="1.125" style="2" customWidth="1"/>
    <col min="15481" max="15481" width="9" style="2" customWidth="1"/>
    <col min="15482" max="15482" width="2.375" style="2" customWidth="1"/>
    <col min="15483" max="15500" width="7.625" style="2" customWidth="1"/>
    <col min="15501" max="15663" width="9" style="2" customWidth="1"/>
    <col min="15664" max="15665" width="3.125" style="2" customWidth="1"/>
    <col min="15666" max="15666" width="5.875" style="2" bestFit="1" customWidth="1"/>
    <col min="15667" max="15667" width="5.625" style="2" customWidth="1"/>
    <col min="15668" max="15668" width="10.625" style="2" customWidth="1"/>
    <col min="15669" max="15669" width="12.625" style="2" customWidth="1"/>
    <col min="15670" max="15670" width="8.625" style="2" customWidth="1"/>
    <col min="15671" max="15671" width="5.625" style="2" customWidth="1"/>
    <col min="15672" max="15672" width="4.625" style="2" customWidth="1"/>
    <col min="15673" max="15673" width="5.625" style="2" customWidth="1"/>
    <col min="15674" max="15677" width="4.625" style="2" customWidth="1"/>
    <col min="15678" max="15678" width="7.625" style="2" customWidth="1"/>
    <col min="15679" max="15679" width="8.625" style="2" customWidth="1"/>
    <col min="15680" max="15681" width="5.625" style="2" customWidth="1"/>
    <col min="15682" max="15682" width="6.625" style="2" customWidth="1"/>
    <col min="15683" max="15683" width="9.875" style="2" customWidth="1"/>
    <col min="15684" max="15685" width="8.625" style="2" customWidth="1"/>
    <col min="15686" max="15686" width="5.5" style="2" bestFit="1" customWidth="1"/>
    <col min="15687" max="15728" width="6.75" style="2" customWidth="1"/>
    <col min="15729" max="15729" width="9" style="2" customWidth="1"/>
    <col min="15730" max="15730" width="9.875" style="2" customWidth="1"/>
    <col min="15731" max="15731" width="2.875" style="2" customWidth="1"/>
    <col min="15732" max="15732" width="12.25" style="2" customWidth="1"/>
    <col min="15733" max="15733" width="6.375" style="2" customWidth="1"/>
    <col min="15734" max="15735" width="3.125" style="2" customWidth="1"/>
    <col min="15736" max="15736" width="1.125" style="2" customWidth="1"/>
    <col min="15737" max="15737" width="9" style="2" customWidth="1"/>
    <col min="15738" max="15738" width="2.375" style="2" customWidth="1"/>
    <col min="15739" max="15756" width="7.625" style="2" customWidth="1"/>
    <col min="15757" max="15919" width="9" style="2" customWidth="1"/>
    <col min="15920" max="15921" width="3.125" style="2" customWidth="1"/>
    <col min="15922" max="15922" width="5.875" style="2" bestFit="1" customWidth="1"/>
    <col min="15923" max="15923" width="5.625" style="2" customWidth="1"/>
    <col min="15924" max="15924" width="10.625" style="2" customWidth="1"/>
    <col min="15925" max="15925" width="12.625" style="2" customWidth="1"/>
    <col min="15926" max="15926" width="8.625" style="2" customWidth="1"/>
    <col min="15927" max="15927" width="5.625" style="2" customWidth="1"/>
    <col min="15928" max="15928" width="4.625" style="2" customWidth="1"/>
    <col min="15929" max="15929" width="5.625" style="2" customWidth="1"/>
    <col min="15930" max="15933" width="4.625" style="2" customWidth="1"/>
    <col min="15934" max="15934" width="7.625" style="2" customWidth="1"/>
    <col min="15935" max="15935" width="8.625" style="2" customWidth="1"/>
    <col min="15936" max="15937" width="5.625" style="2" customWidth="1"/>
    <col min="15938" max="15938" width="6.625" style="2" customWidth="1"/>
    <col min="15939" max="15939" width="9.875" style="2" customWidth="1"/>
    <col min="15940" max="15941" width="8.625" style="2" customWidth="1"/>
    <col min="15942" max="15942" width="5.5" style="2" bestFit="1" customWidth="1"/>
    <col min="15943" max="15984" width="6.75" style="2" customWidth="1"/>
    <col min="15985" max="15985" width="9" style="2" customWidth="1"/>
    <col min="15986" max="15986" width="9.875" style="2" customWidth="1"/>
    <col min="15987" max="15987" width="2.875" style="2" customWidth="1"/>
    <col min="15988" max="15988" width="12.25" style="2" customWidth="1"/>
    <col min="15989" max="15989" width="6.375" style="2" customWidth="1"/>
    <col min="15990" max="15991" width="3.125" style="2" customWidth="1"/>
    <col min="15992" max="15992" width="1.125" style="2" customWidth="1"/>
    <col min="15993" max="15993" width="9" style="2" customWidth="1"/>
    <col min="15994" max="15994" width="2.375" style="2" customWidth="1"/>
    <col min="15995" max="16012" width="7.625" style="2" customWidth="1"/>
    <col min="16013" max="16175" width="9" style="2" customWidth="1"/>
    <col min="16176" max="16177" width="3.125" style="2" customWidth="1"/>
    <col min="16178" max="16178" width="5.875" style="2" bestFit="1" customWidth="1"/>
    <col min="16179" max="16179" width="5.625" style="2" customWidth="1"/>
    <col min="16180" max="16180" width="10.625" style="2" customWidth="1"/>
    <col min="16181" max="16181" width="12.625" style="2" customWidth="1"/>
    <col min="16182" max="16182" width="8.625" style="2" customWidth="1"/>
    <col min="16183" max="16183" width="5.625" style="2" customWidth="1"/>
    <col min="16184" max="16184" width="4.625" style="2" customWidth="1"/>
    <col min="16185" max="16185" width="5.625" style="2" customWidth="1"/>
    <col min="16186" max="16189" width="4.625" style="2" customWidth="1"/>
    <col min="16190" max="16190" width="7.625" style="2" customWidth="1"/>
    <col min="16191" max="16191" width="8.625" style="2" customWidth="1"/>
    <col min="16192" max="16193" width="5.625" style="2" customWidth="1"/>
    <col min="16194" max="16194" width="6.625" style="2" customWidth="1"/>
    <col min="16195" max="16195" width="9.875" style="2" customWidth="1"/>
    <col min="16196" max="16197" width="8.625" style="2" customWidth="1"/>
    <col min="16198" max="16198" width="5.5" style="2" bestFit="1" customWidth="1"/>
    <col min="16199" max="16240" width="6.75" style="2" customWidth="1"/>
    <col min="16241" max="16241" width="9" style="2" customWidth="1"/>
    <col min="16242" max="16242" width="9.875" style="2" customWidth="1"/>
    <col min="16243" max="16243" width="2.875" style="2" customWidth="1"/>
    <col min="16244" max="16244" width="12.25" style="2" customWidth="1"/>
    <col min="16245" max="16245" width="6.375" style="2" customWidth="1"/>
    <col min="16246" max="16247" width="3.125" style="2" customWidth="1"/>
    <col min="16248" max="16248" width="1.125" style="2" customWidth="1"/>
    <col min="16249" max="16249" width="9" style="2" customWidth="1"/>
    <col min="16250" max="16250" width="2.375" style="2" customWidth="1"/>
    <col min="16251" max="16268" width="7.625" style="2" customWidth="1"/>
    <col min="16269" max="16384" width="9" style="2" customWidth="1"/>
  </cols>
  <sheetData>
    <row r="1" spans="1:132" ht="13.5" customHeight="1" x14ac:dyDescent="0.4">
      <c r="A1" s="203" t="str">
        <f>令和8年7月!$A$1</f>
        <v>天理</v>
      </c>
      <c r="B1" s="193"/>
      <c r="C1" s="193"/>
      <c r="D1" s="193"/>
      <c r="E1" s="193"/>
      <c r="F1" s="192" t="s">
        <v>0</v>
      </c>
      <c r="G1" s="195" t="s">
        <v>1</v>
      </c>
      <c r="H1" s="194" t="s">
        <v>2</v>
      </c>
      <c r="I1" s="193"/>
      <c r="J1" s="193"/>
      <c r="K1" s="193"/>
      <c r="L1" s="159"/>
      <c r="M1" s="194" t="s">
        <v>112</v>
      </c>
      <c r="N1" s="159"/>
      <c r="O1" s="159"/>
      <c r="P1" s="159"/>
      <c r="Q1" s="159"/>
      <c r="R1" s="159"/>
      <c r="S1" s="159"/>
      <c r="T1" s="159"/>
      <c r="U1" s="1"/>
      <c r="V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U1" s="162"/>
      <c r="AX1" s="204" t="s">
        <v>4</v>
      </c>
      <c r="AY1" s="199"/>
      <c r="AZ1" s="199"/>
      <c r="BA1" s="199"/>
      <c r="BB1" s="199"/>
      <c r="BC1" s="199"/>
      <c r="BD1" s="4"/>
    </row>
    <row r="2" spans="1:132" ht="13.5" customHeight="1" x14ac:dyDescent="0.4">
      <c r="A2" s="193"/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59"/>
      <c r="M2" s="193"/>
      <c r="N2" s="159"/>
      <c r="O2" s="159"/>
      <c r="P2" s="159"/>
      <c r="Q2" s="159"/>
      <c r="R2" s="159"/>
      <c r="S2" s="159"/>
      <c r="T2" s="159"/>
      <c r="U2" s="1"/>
      <c r="V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U2" s="162"/>
      <c r="AX2" s="199"/>
      <c r="AY2" s="199"/>
      <c r="AZ2" s="199"/>
      <c r="BA2" s="199"/>
      <c r="BB2" s="199"/>
      <c r="BC2" s="199"/>
      <c r="BD2" s="4"/>
    </row>
    <row r="3" spans="1:132" ht="13.9" customHeight="1" thickBot="1" x14ac:dyDescent="0.45">
      <c r="AC3" s="7"/>
      <c r="AW3" s="2">
        <v>95</v>
      </c>
      <c r="AX3" s="2">
        <v>1</v>
      </c>
      <c r="AZ3" s="2">
        <v>2</v>
      </c>
      <c r="BB3" s="2">
        <v>3</v>
      </c>
      <c r="BD3" s="2">
        <v>4</v>
      </c>
      <c r="BF3" s="2">
        <v>6</v>
      </c>
      <c r="BH3" s="2">
        <v>7</v>
      </c>
      <c r="BJ3" s="2">
        <v>8</v>
      </c>
      <c r="BL3" s="2">
        <v>9</v>
      </c>
      <c r="BN3" s="2">
        <v>10</v>
      </c>
      <c r="BP3" s="2">
        <v>11</v>
      </c>
      <c r="BR3" s="2">
        <v>12</v>
      </c>
      <c r="BT3" s="2">
        <v>15</v>
      </c>
      <c r="BV3" s="2">
        <v>28</v>
      </c>
      <c r="BX3" s="2">
        <v>33</v>
      </c>
      <c r="BZ3" s="2">
        <v>40</v>
      </c>
      <c r="CB3" s="2">
        <v>41</v>
      </c>
      <c r="CD3" s="2">
        <v>45</v>
      </c>
      <c r="CF3" s="2">
        <v>46</v>
      </c>
      <c r="CH3" s="2">
        <v>36</v>
      </c>
      <c r="CJ3" s="2">
        <v>47</v>
      </c>
      <c r="CL3" s="2">
        <v>31</v>
      </c>
      <c r="CN3" s="2">
        <v>48</v>
      </c>
    </row>
    <row r="4" spans="1:132" ht="26.45" customHeight="1" thickTop="1" thickBot="1" x14ac:dyDescent="0.45">
      <c r="A4" s="106" t="s">
        <v>5</v>
      </c>
      <c r="B4" s="94" t="s">
        <v>6</v>
      </c>
      <c r="C4" s="131" t="s">
        <v>7</v>
      </c>
      <c r="D4" s="131" t="s">
        <v>8</v>
      </c>
      <c r="E4" s="107" t="s">
        <v>9</v>
      </c>
      <c r="F4" s="108" t="s">
        <v>10</v>
      </c>
      <c r="G4" s="109" t="s">
        <v>11</v>
      </c>
      <c r="H4" s="110" t="s">
        <v>12</v>
      </c>
      <c r="I4" s="147" t="s">
        <v>13</v>
      </c>
      <c r="J4" s="111" t="s">
        <v>14</v>
      </c>
      <c r="K4" s="112" t="s">
        <v>15</v>
      </c>
      <c r="L4" s="113" t="s">
        <v>16</v>
      </c>
      <c r="M4" s="114" t="s">
        <v>17</v>
      </c>
      <c r="N4" s="115" t="s">
        <v>16</v>
      </c>
      <c r="O4" s="116" t="s">
        <v>18</v>
      </c>
      <c r="P4" s="117" t="s">
        <v>19</v>
      </c>
      <c r="Q4" s="118" t="s">
        <v>20</v>
      </c>
      <c r="R4" s="129" t="s">
        <v>21</v>
      </c>
      <c r="S4" s="130" t="s">
        <v>22</v>
      </c>
      <c r="T4" s="8" t="s">
        <v>23</v>
      </c>
      <c r="U4" s="9" t="s">
        <v>24</v>
      </c>
      <c r="V4" s="10" t="s">
        <v>25</v>
      </c>
      <c r="W4" s="11" t="s">
        <v>26</v>
      </c>
      <c r="X4" s="12" t="s">
        <v>27</v>
      </c>
      <c r="Y4" s="13" t="s">
        <v>28</v>
      </c>
      <c r="Z4" s="119" t="s">
        <v>29</v>
      </c>
      <c r="AA4" s="14" t="s">
        <v>30</v>
      </c>
      <c r="AB4" s="15" t="s">
        <v>31</v>
      </c>
      <c r="AC4" s="16" t="s">
        <v>32</v>
      </c>
      <c r="AD4" s="17" t="s">
        <v>33</v>
      </c>
      <c r="AE4" s="18" t="s">
        <v>34</v>
      </c>
      <c r="AF4" s="18" t="s">
        <v>35</v>
      </c>
      <c r="AG4" s="18" t="s">
        <v>36</v>
      </c>
      <c r="AH4" s="18" t="s">
        <v>37</v>
      </c>
      <c r="AI4" s="18" t="s">
        <v>38</v>
      </c>
      <c r="AJ4" s="18" t="s">
        <v>39</v>
      </c>
      <c r="AK4" s="18" t="s">
        <v>40</v>
      </c>
      <c r="AL4" s="17" t="s">
        <v>41</v>
      </c>
      <c r="AM4" s="18" t="str">
        <f>令和8年7月!$AM$4</f>
        <v>フリー①</v>
      </c>
      <c r="AN4" s="132" t="str">
        <f>令和8年7月!$AN$4</f>
        <v>フリー②</v>
      </c>
      <c r="AO4" s="18" t="str">
        <f>令和8年7月!$AO$4</f>
        <v>フリー③</v>
      </c>
      <c r="AP4" s="18" t="str">
        <f>令和8年7月!$AP$4</f>
        <v>フリー④</v>
      </c>
      <c r="AQ4" s="78" t="str">
        <f>令和8年7月!$AQ$4</f>
        <v>フリー⑤</v>
      </c>
      <c r="AR4" s="19" t="s">
        <v>47</v>
      </c>
      <c r="AS4" s="20" t="s">
        <v>48</v>
      </c>
      <c r="AT4" s="21" t="s">
        <v>49</v>
      </c>
      <c r="AU4" s="163"/>
      <c r="AV4" s="80" t="s">
        <v>5</v>
      </c>
      <c r="AW4" s="80" t="s">
        <v>144</v>
      </c>
      <c r="AX4" s="76" t="s">
        <v>145</v>
      </c>
      <c r="AY4" s="75" t="s">
        <v>146</v>
      </c>
      <c r="AZ4" s="76" t="s">
        <v>147</v>
      </c>
      <c r="BA4" s="75" t="s">
        <v>146</v>
      </c>
      <c r="BB4" s="76" t="s">
        <v>52</v>
      </c>
      <c r="BC4" s="75" t="s">
        <v>146</v>
      </c>
      <c r="BD4" s="76" t="s">
        <v>53</v>
      </c>
      <c r="BE4" s="75" t="s">
        <v>146</v>
      </c>
      <c r="BF4" s="76" t="s">
        <v>148</v>
      </c>
      <c r="BG4" s="75" t="s">
        <v>146</v>
      </c>
      <c r="BH4" s="76" t="s">
        <v>149</v>
      </c>
      <c r="BI4" s="75" t="s">
        <v>146</v>
      </c>
      <c r="BJ4" s="76" t="s">
        <v>150</v>
      </c>
      <c r="BK4" s="75" t="s">
        <v>146</v>
      </c>
      <c r="BL4" s="76" t="s">
        <v>57</v>
      </c>
      <c r="BM4" s="75" t="s">
        <v>146</v>
      </c>
      <c r="BN4" s="76" t="s">
        <v>58</v>
      </c>
      <c r="BO4" s="75" t="s">
        <v>146</v>
      </c>
      <c r="BP4" s="76" t="s">
        <v>151</v>
      </c>
      <c r="BQ4" s="75" t="s">
        <v>146</v>
      </c>
      <c r="BR4" s="76" t="s">
        <v>60</v>
      </c>
      <c r="BS4" s="75" t="s">
        <v>146</v>
      </c>
      <c r="BT4" s="76" t="s">
        <v>152</v>
      </c>
      <c r="BU4" s="75" t="s">
        <v>146</v>
      </c>
      <c r="BV4" s="76" t="s">
        <v>153</v>
      </c>
      <c r="BW4" s="75" t="s">
        <v>146</v>
      </c>
      <c r="BX4" s="76" t="s">
        <v>154</v>
      </c>
      <c r="BY4" s="75" t="s">
        <v>48</v>
      </c>
      <c r="BZ4" s="76" t="s">
        <v>155</v>
      </c>
      <c r="CA4" s="75" t="s">
        <v>156</v>
      </c>
      <c r="CB4" s="76" t="s">
        <v>157</v>
      </c>
      <c r="CC4" s="75" t="s">
        <v>48</v>
      </c>
      <c r="CD4" s="76" t="s">
        <v>158</v>
      </c>
      <c r="CE4" s="81" t="s">
        <v>48</v>
      </c>
      <c r="CF4" s="76" t="s">
        <v>159</v>
      </c>
      <c r="CG4" s="81" t="s">
        <v>48</v>
      </c>
      <c r="CH4" s="76" t="s">
        <v>160</v>
      </c>
      <c r="CI4" s="75" t="s">
        <v>48</v>
      </c>
      <c r="CJ4" s="76" t="s">
        <v>161</v>
      </c>
      <c r="CK4" s="81" t="s">
        <v>48</v>
      </c>
      <c r="CL4" s="76" t="s">
        <v>162</v>
      </c>
      <c r="CM4" s="81" t="s">
        <v>48</v>
      </c>
      <c r="CN4" s="76" t="s">
        <v>163</v>
      </c>
      <c r="CO4" s="76" t="s">
        <v>67</v>
      </c>
      <c r="CP4" s="81" t="s">
        <v>48</v>
      </c>
      <c r="CQ4" s="76" t="s">
        <v>68</v>
      </c>
      <c r="CR4" s="81" t="s">
        <v>48</v>
      </c>
      <c r="CS4" s="76" t="s">
        <v>69</v>
      </c>
      <c r="CT4" s="20" t="s">
        <v>48</v>
      </c>
      <c r="CU4" s="85" t="s">
        <v>70</v>
      </c>
      <c r="CV4" s="86" t="s">
        <v>71</v>
      </c>
      <c r="CW4" s="89"/>
      <c r="CX4" s="85" t="s">
        <v>104</v>
      </c>
      <c r="CY4" s="153" t="s">
        <v>15</v>
      </c>
      <c r="CZ4" s="155" t="s">
        <v>105</v>
      </c>
      <c r="DA4" s="93" t="s">
        <v>15</v>
      </c>
      <c r="DB4" s="94" t="s">
        <v>5</v>
      </c>
      <c r="DC4" s="95" t="s">
        <v>6</v>
      </c>
      <c r="DD4" s="2" t="s">
        <v>164</v>
      </c>
      <c r="DF4" s="121" t="s">
        <v>74</v>
      </c>
      <c r="DG4" s="122" t="s">
        <v>75</v>
      </c>
      <c r="DH4" s="122" t="s">
        <v>76</v>
      </c>
      <c r="DI4" s="122" t="s">
        <v>77</v>
      </c>
      <c r="DJ4" s="122" t="s">
        <v>78</v>
      </c>
      <c r="DK4" s="122" t="s">
        <v>42</v>
      </c>
      <c r="DL4" s="122" t="s">
        <v>43</v>
      </c>
      <c r="DM4" s="122" t="s">
        <v>44</v>
      </c>
      <c r="DN4" s="122" t="s">
        <v>45</v>
      </c>
      <c r="DO4" s="122" t="s">
        <v>46</v>
      </c>
      <c r="DP4" s="123" t="s">
        <v>79</v>
      </c>
      <c r="DQ4" s="124" t="s">
        <v>48</v>
      </c>
      <c r="DS4" s="205" t="s">
        <v>80</v>
      </c>
      <c r="DT4" s="206"/>
      <c r="DU4" s="206"/>
      <c r="DV4" s="207"/>
      <c r="DW4" s="160" t="s">
        <v>81</v>
      </c>
      <c r="DX4" s="160" t="s">
        <v>82</v>
      </c>
      <c r="DY4" s="22"/>
      <c r="DZ4" s="22"/>
      <c r="EA4" s="22"/>
    </row>
    <row r="5" spans="1:132" ht="13.5" customHeight="1" x14ac:dyDescent="0.4">
      <c r="A5" s="104">
        <v>1</v>
      </c>
      <c r="B5" s="23" t="s">
        <v>91</v>
      </c>
      <c r="C5" s="164"/>
      <c r="D5" s="164"/>
      <c r="E5" s="24"/>
      <c r="F5" s="29"/>
      <c r="G5" s="25" t="str">
        <f>IF(SUM($F$5:F5)=0,"",SUM($F$5:F5))</f>
        <v/>
      </c>
      <c r="H5" s="43" t="str">
        <f t="shared" ref="H5:H35" si="0">IF(ISERROR(G5/V5),"",(G5/V5))</f>
        <v/>
      </c>
      <c r="I5" s="148" t="e">
        <f t="array" aca="1" ref="I5" ca="1">IF($A6="",$G5/($V5-$U$5+INDIRECT(IF(_xlfn.SHEET()&lt;6,"令和8年"&amp;_xlfn.SHEET()+7&amp;"月","令和9年"&amp;_xlfn.SHEET()-5&amp;"月")&amp;"!$U$5")),$G5/($V6-$U$5))</f>
        <v>#VALUE!</v>
      </c>
      <c r="J5" s="26" t="str">
        <f t="shared" ref="J5:J35" si="1">IFERROR(G5/AC5,"")</f>
        <v/>
      </c>
      <c r="K5" s="27"/>
      <c r="L5" s="165">
        <f t="shared" ref="L5:L37" si="2">IF(ISERROR(K5/W5),"",(K5/W5))</f>
        <v>0</v>
      </c>
      <c r="M5" s="28" t="str">
        <f t="shared" ref="M5:M35" si="3">IF(ISERROR(F5/K5),"",(F5/K5))</f>
        <v/>
      </c>
      <c r="N5" s="166" t="str">
        <f t="shared" ref="N5:N37" si="4">IF(ISERROR(M5/X5),"",(M5/X5))</f>
        <v/>
      </c>
      <c r="O5" s="167" t="str">
        <f t="shared" ref="O5:O35" si="5">IF(ISERROR(F5/P5),"",(F5/P5))</f>
        <v/>
      </c>
      <c r="P5" s="168"/>
      <c r="Q5" s="169" t="str">
        <f t="shared" ref="Q5:Q35" si="6">IF(ISERROR(P5/K5),"",(P5/K5))</f>
        <v/>
      </c>
      <c r="R5" s="170">
        <v>36</v>
      </c>
      <c r="S5" s="171">
        <v>26</v>
      </c>
      <c r="T5" s="24" t="s">
        <v>106</v>
      </c>
      <c r="U5" s="29">
        <v>111341</v>
      </c>
      <c r="V5" s="30">
        <f>SUM(U5)</f>
        <v>111341</v>
      </c>
      <c r="W5" s="27">
        <v>79</v>
      </c>
      <c r="X5" s="31">
        <f t="shared" ref="X5:X35" si="7">IF(ISERROR(U5/W5),"",(U5/W5))</f>
        <v>1409.379746835443</v>
      </c>
      <c r="Y5" s="29">
        <v>591820</v>
      </c>
      <c r="Z5" s="32">
        <f>SUM(Y5)</f>
        <v>591820</v>
      </c>
      <c r="AA5" s="33">
        <f t="shared" ref="AA5:AA35" si="8">IF(ISERROR(V5/Z5),"",(V5/Z5))</f>
        <v>0.18813321618059545</v>
      </c>
      <c r="AB5" s="158">
        <v>200000</v>
      </c>
      <c r="AC5" s="34">
        <f>AB5</f>
        <v>200000</v>
      </c>
      <c r="AD5" s="158"/>
      <c r="AE5" s="25"/>
      <c r="AF5" s="25"/>
      <c r="AG5" s="25"/>
      <c r="AH5" s="25"/>
      <c r="AI5" s="25"/>
      <c r="AJ5" s="25"/>
      <c r="AK5" s="25"/>
      <c r="AL5" s="158"/>
      <c r="AM5" s="25"/>
      <c r="AN5" s="158"/>
      <c r="AO5" s="25"/>
      <c r="AP5" s="25"/>
      <c r="AQ5" s="158"/>
      <c r="AR5" s="35">
        <f t="shared" ref="AR5:AR35" si="9">SUM(AD5:AQ5)</f>
        <v>0</v>
      </c>
      <c r="AS5" s="172" t="str">
        <f t="shared" ref="AS5:AS35" si="10">IF(ISERROR((AR5/F5)),"",AR5/F5)</f>
        <v/>
      </c>
      <c r="AT5" s="36">
        <f t="shared" ref="AT5:AT35" si="11">F5-AR5+DW5</f>
        <v>0</v>
      </c>
      <c r="AU5" s="173"/>
      <c r="AV5" s="82">
        <f t="shared" ref="AV5:AV35" si="12">A5</f>
        <v>1</v>
      </c>
      <c r="AW5" s="37"/>
      <c r="AX5" s="174" t="str">
        <f t="shared" ref="AX5:AX35" si="13">IF(ISERROR((AW5/$F5)),"",AW5/$F5)</f>
        <v/>
      </c>
      <c r="AY5" s="37"/>
      <c r="AZ5" s="174" t="str">
        <f t="shared" ref="AZ5:AZ35" si="14">IF(ISERROR((AY5/$F5)),"",AY5/$F5)</f>
        <v/>
      </c>
      <c r="BA5" s="37"/>
      <c r="BB5" s="174" t="str">
        <f t="shared" ref="BB5:BB35" si="15">IF(ISERROR((BA5/$F5)),"",BA5/$F5)</f>
        <v/>
      </c>
      <c r="BC5" s="37"/>
      <c r="BD5" s="174" t="str">
        <f t="shared" ref="BD5:BD35" si="16">IF(ISERROR((BC5/$F5)),"",BC5/$F5)</f>
        <v/>
      </c>
      <c r="BE5" s="37"/>
      <c r="BF5" s="174" t="str">
        <f t="shared" ref="BF5:BF35" si="17">IF(ISERROR((BE5/$F5)),"",BE5/$F5)</f>
        <v/>
      </c>
      <c r="BG5" s="37"/>
      <c r="BH5" s="174" t="str">
        <f t="shared" ref="BH5:BH35" si="18">IF(ISERROR((BG5/$F5)),"",BG5/$F5)</f>
        <v/>
      </c>
      <c r="BI5" s="37"/>
      <c r="BJ5" s="174" t="str">
        <f t="shared" ref="BJ5:BJ35" si="19">IF(ISERROR((BI5/$F5)),"",BI5/$F5)</f>
        <v/>
      </c>
      <c r="BK5" s="37"/>
      <c r="BL5" s="174" t="str">
        <f t="shared" ref="BL5:BL35" si="20">IF(ISERROR((BK5/$F5)),"",BK5/$F5)</f>
        <v/>
      </c>
      <c r="BM5" s="37"/>
      <c r="BN5" s="174" t="str">
        <f t="shared" ref="BN5:BN35" si="21">IF(ISERROR((BM5/$F5)),"",BM5/$F5)</f>
        <v/>
      </c>
      <c r="BO5" s="37"/>
      <c r="BP5" s="174" t="str">
        <f t="shared" ref="BP5:BP35" si="22">IF(ISERROR((BO5/$F5)),"",BO5/$F5)</f>
        <v/>
      </c>
      <c r="BQ5" s="37"/>
      <c r="BR5" s="174" t="str">
        <f t="shared" ref="BR5:BR35" si="23">IF(ISERROR((BQ5/$F5)),"",BQ5/$F5)</f>
        <v/>
      </c>
      <c r="BS5" s="37"/>
      <c r="BT5" s="174" t="str">
        <f t="shared" ref="BT5:BT35" si="24">IF(ISERROR((BS5/$F5)),"",BS5/$F5)</f>
        <v/>
      </c>
      <c r="BU5" s="37"/>
      <c r="BV5" s="174" t="str">
        <f t="shared" ref="BV5:BV35" si="25">IF(ISERROR((BU5/$F5)),"",BU5/$F5)</f>
        <v/>
      </c>
      <c r="BW5" s="37"/>
      <c r="BX5" s="174" t="str">
        <f t="shared" ref="BX5:BX35" si="26">IF(ISERROR((BW5/$F5)),"",BW5/$F5)</f>
        <v/>
      </c>
      <c r="BY5" s="37"/>
      <c r="BZ5" s="174" t="str">
        <f t="shared" ref="BZ5:BZ35" si="27">IF(ISERROR((BY5/$F5)),"",BY5/$F5)</f>
        <v/>
      </c>
      <c r="CA5" s="37"/>
      <c r="CB5" s="174" t="str">
        <f t="shared" ref="CB5:CB35" si="28">IF(ISERROR((CA5/$F5)),"",CA5/$F5)</f>
        <v/>
      </c>
      <c r="CC5" s="37"/>
      <c r="CD5" s="174" t="str">
        <f t="shared" ref="CD5:CD35" si="29">IF(ISERROR((CC5/$F5)),"",CC5/$F5)</f>
        <v/>
      </c>
      <c r="CE5" s="37"/>
      <c r="CF5" s="174" t="str">
        <f t="shared" ref="CF5:CF35" si="30">IF(ISERROR((CE5/$F5)),"",CE5/$F5)</f>
        <v/>
      </c>
      <c r="CG5" s="37"/>
      <c r="CH5" s="174" t="str">
        <f t="shared" ref="CH5:CH35" si="31">IF(ISERROR((CG5/$F5)),"",CG5/$F5)</f>
        <v/>
      </c>
      <c r="CI5" s="37"/>
      <c r="CJ5" s="174" t="str">
        <f t="shared" ref="CJ5:CJ35" si="32">IF(ISERROR((CI5/$F5)),"",CI5/$F5)</f>
        <v/>
      </c>
      <c r="CK5" s="37"/>
      <c r="CL5" s="174" t="str">
        <f t="shared" ref="CL5:CL35" si="33">IF(ISERROR((CK5/$F5)),"",CK5/$F5)</f>
        <v/>
      </c>
      <c r="CM5" s="37"/>
      <c r="CN5" s="174" t="str">
        <f t="shared" ref="CN5:CN35" si="34">IF(ISERROR((CM5/$F5)),"",CM5/$F5)</f>
        <v/>
      </c>
      <c r="CO5" s="37"/>
      <c r="CP5" s="174" t="str">
        <f t="shared" ref="CP5:CP35" si="35">IF(ISERROR((CO5/$F5)),"",CO5/$F5)</f>
        <v/>
      </c>
      <c r="CQ5" s="37"/>
      <c r="CR5" s="174" t="str">
        <f t="shared" ref="CR5:CR35" si="36">IF(ISERROR((CQ5/$F5)),"",CQ5/$F5)</f>
        <v/>
      </c>
      <c r="CS5" s="37"/>
      <c r="CT5" s="174" t="str">
        <f t="shared" ref="CT5:CT35" si="37">IF(ISERROR((CS5/$F5)),"",CS5/$F5)</f>
        <v/>
      </c>
      <c r="CU5" s="38"/>
      <c r="CV5" s="87"/>
      <c r="CW5" s="90"/>
      <c r="CX5" s="38"/>
      <c r="CY5" s="39"/>
      <c r="CZ5" s="37"/>
      <c r="DA5" s="39"/>
      <c r="DB5" s="24">
        <v>1</v>
      </c>
      <c r="DC5" s="96" t="str">
        <f t="shared" ref="DC5:DC35" si="38">B5</f>
        <v>火</v>
      </c>
      <c r="DF5" s="125"/>
      <c r="DG5" s="40"/>
      <c r="DH5" s="40"/>
      <c r="DI5" s="40"/>
      <c r="DJ5" s="40"/>
      <c r="DK5" s="40"/>
      <c r="DL5" s="40"/>
      <c r="DM5" s="40"/>
      <c r="DN5" s="40"/>
      <c r="DO5" s="40"/>
      <c r="DP5" s="40">
        <f t="shared" ref="DP5:DP35" si="39">SUM(DF5:DO5)</f>
        <v>0</v>
      </c>
      <c r="DQ5" s="172" t="str">
        <f t="shared" ref="DQ5:DQ35" si="40">IF(ISERROR((DP5/F5)),"",DP5/F5)</f>
        <v/>
      </c>
      <c r="DS5" s="189"/>
      <c r="DT5" s="190"/>
      <c r="DU5" s="190"/>
      <c r="DV5" s="191"/>
      <c r="DW5" s="41"/>
      <c r="DX5" s="42"/>
      <c r="DY5" s="22"/>
      <c r="DZ5" s="22"/>
      <c r="EA5" s="22"/>
    </row>
    <row r="6" spans="1:132" ht="13.5" customHeight="1" x14ac:dyDescent="0.4">
      <c r="A6" s="104">
        <v>2</v>
      </c>
      <c r="B6" s="23" t="s">
        <v>83</v>
      </c>
      <c r="C6" s="164"/>
      <c r="D6" s="164"/>
      <c r="E6" s="24"/>
      <c r="F6" s="29"/>
      <c r="G6" s="25" t="str">
        <f>IF(SUM($F$5:F6)=0,"",SUM($F$5:F6))</f>
        <v/>
      </c>
      <c r="H6" s="43" t="str">
        <f t="shared" si="0"/>
        <v/>
      </c>
      <c r="I6" s="148" t="e">
        <f t="array" aca="1" ref="I6" ca="1">IF($A7="",$G6/($V6-$U$5+INDIRECT(IF(_xlfn.SHEET()&lt;6,"令和8年"&amp;_xlfn.SHEET()+7&amp;"月","令和9年"&amp;_xlfn.SHEET()-5&amp;"月")&amp;"!$U$5")),$G6/($V7-$U$5))</f>
        <v>#VALUE!</v>
      </c>
      <c r="J6" s="26" t="str">
        <f t="shared" si="1"/>
        <v/>
      </c>
      <c r="K6" s="27"/>
      <c r="L6" s="165">
        <f t="shared" si="2"/>
        <v>0</v>
      </c>
      <c r="M6" s="28" t="str">
        <f t="shared" si="3"/>
        <v/>
      </c>
      <c r="N6" s="166" t="str">
        <f t="shared" si="4"/>
        <v/>
      </c>
      <c r="O6" s="167" t="str">
        <f t="shared" si="5"/>
        <v/>
      </c>
      <c r="P6" s="168"/>
      <c r="Q6" s="169" t="str">
        <f t="shared" si="6"/>
        <v/>
      </c>
      <c r="R6" s="170">
        <v>37</v>
      </c>
      <c r="S6" s="171">
        <v>27</v>
      </c>
      <c r="T6" s="24" t="s">
        <v>106</v>
      </c>
      <c r="U6" s="29">
        <v>151102</v>
      </c>
      <c r="V6" s="30">
        <f t="shared" ref="V6:V35" si="41">SUM(V5+U6)</f>
        <v>262443</v>
      </c>
      <c r="W6" s="27">
        <v>79</v>
      </c>
      <c r="X6" s="31">
        <f t="shared" si="7"/>
        <v>1912.6835443037974</v>
      </c>
      <c r="Y6" s="29">
        <v>176687</v>
      </c>
      <c r="Z6" s="32">
        <f t="shared" ref="Z6:Z35" si="42">SUM(Z5+Y6)</f>
        <v>768507</v>
      </c>
      <c r="AA6" s="33">
        <f t="shared" si="8"/>
        <v>0.34149721472933886</v>
      </c>
      <c r="AB6" s="158">
        <v>200000</v>
      </c>
      <c r="AC6" s="34">
        <f t="shared" ref="AC6:AC35" si="43">AB6+AC5</f>
        <v>400000</v>
      </c>
      <c r="AD6" s="158"/>
      <c r="AE6" s="25"/>
      <c r="AF6" s="25"/>
      <c r="AG6" s="25"/>
      <c r="AH6" s="25"/>
      <c r="AI6" s="25"/>
      <c r="AJ6" s="25"/>
      <c r="AK6" s="25"/>
      <c r="AL6" s="158"/>
      <c r="AM6" s="25"/>
      <c r="AN6" s="158"/>
      <c r="AO6" s="25"/>
      <c r="AP6" s="25"/>
      <c r="AQ6" s="158"/>
      <c r="AR6" s="35">
        <f t="shared" si="9"/>
        <v>0</v>
      </c>
      <c r="AS6" s="172" t="str">
        <f t="shared" si="10"/>
        <v/>
      </c>
      <c r="AT6" s="36">
        <f t="shared" si="11"/>
        <v>0</v>
      </c>
      <c r="AU6" s="173"/>
      <c r="AV6" s="82">
        <f t="shared" si="12"/>
        <v>2</v>
      </c>
      <c r="AW6" s="37"/>
      <c r="AX6" s="174" t="str">
        <f t="shared" si="13"/>
        <v/>
      </c>
      <c r="AY6" s="37"/>
      <c r="AZ6" s="174" t="str">
        <f t="shared" si="14"/>
        <v/>
      </c>
      <c r="BA6" s="37"/>
      <c r="BB6" s="174" t="str">
        <f t="shared" si="15"/>
        <v/>
      </c>
      <c r="BC6" s="37"/>
      <c r="BD6" s="174" t="str">
        <f t="shared" si="16"/>
        <v/>
      </c>
      <c r="BE6" s="37"/>
      <c r="BF6" s="174" t="str">
        <f t="shared" si="17"/>
        <v/>
      </c>
      <c r="BG6" s="37"/>
      <c r="BH6" s="174" t="str">
        <f t="shared" si="18"/>
        <v/>
      </c>
      <c r="BI6" s="37"/>
      <c r="BJ6" s="174" t="str">
        <f t="shared" si="19"/>
        <v/>
      </c>
      <c r="BK6" s="37"/>
      <c r="BL6" s="174" t="str">
        <f t="shared" si="20"/>
        <v/>
      </c>
      <c r="BM6" s="37"/>
      <c r="BN6" s="174" t="str">
        <f t="shared" si="21"/>
        <v/>
      </c>
      <c r="BO6" s="37"/>
      <c r="BP6" s="174" t="str">
        <f t="shared" si="22"/>
        <v/>
      </c>
      <c r="BQ6" s="37"/>
      <c r="BR6" s="174" t="str">
        <f t="shared" si="23"/>
        <v/>
      </c>
      <c r="BS6" s="37"/>
      <c r="BT6" s="174" t="str">
        <f t="shared" si="24"/>
        <v/>
      </c>
      <c r="BU6" s="37"/>
      <c r="BV6" s="174" t="str">
        <f t="shared" si="25"/>
        <v/>
      </c>
      <c r="BW6" s="37"/>
      <c r="BX6" s="174" t="str">
        <f t="shared" si="26"/>
        <v/>
      </c>
      <c r="BY6" s="37"/>
      <c r="BZ6" s="174" t="str">
        <f t="shared" si="27"/>
        <v/>
      </c>
      <c r="CA6" s="37"/>
      <c r="CB6" s="174" t="str">
        <f t="shared" si="28"/>
        <v/>
      </c>
      <c r="CC6" s="37"/>
      <c r="CD6" s="174" t="str">
        <f t="shared" si="29"/>
        <v/>
      </c>
      <c r="CE6" s="37"/>
      <c r="CF6" s="174" t="str">
        <f t="shared" si="30"/>
        <v/>
      </c>
      <c r="CG6" s="37"/>
      <c r="CH6" s="174" t="str">
        <f t="shared" si="31"/>
        <v/>
      </c>
      <c r="CI6" s="37"/>
      <c r="CJ6" s="174" t="str">
        <f t="shared" si="32"/>
        <v/>
      </c>
      <c r="CK6" s="37"/>
      <c r="CL6" s="174" t="str">
        <f t="shared" si="33"/>
        <v/>
      </c>
      <c r="CM6" s="37"/>
      <c r="CN6" s="174" t="str">
        <f t="shared" si="34"/>
        <v/>
      </c>
      <c r="CO6" s="37"/>
      <c r="CP6" s="174" t="str">
        <f t="shared" si="35"/>
        <v/>
      </c>
      <c r="CQ6" s="37"/>
      <c r="CR6" s="174" t="str">
        <f t="shared" si="36"/>
        <v/>
      </c>
      <c r="CS6" s="37"/>
      <c r="CT6" s="174" t="str">
        <f t="shared" si="37"/>
        <v/>
      </c>
      <c r="CU6" s="38"/>
      <c r="CV6" s="87"/>
      <c r="CW6" s="90"/>
      <c r="CX6" s="38"/>
      <c r="CY6" s="39"/>
      <c r="CZ6" s="37"/>
      <c r="DA6" s="39"/>
      <c r="DB6" s="24">
        <v>2</v>
      </c>
      <c r="DC6" s="96" t="str">
        <f t="shared" si="38"/>
        <v>水</v>
      </c>
      <c r="DF6" s="125"/>
      <c r="DG6" s="40"/>
      <c r="DH6" s="40"/>
      <c r="DI6" s="40"/>
      <c r="DJ6" s="40"/>
      <c r="DK6" s="40"/>
      <c r="DL6" s="40"/>
      <c r="DM6" s="40"/>
      <c r="DN6" s="40"/>
      <c r="DO6" s="40"/>
      <c r="DP6" s="40">
        <f t="shared" si="39"/>
        <v>0</v>
      </c>
      <c r="DQ6" s="172" t="str">
        <f t="shared" si="40"/>
        <v/>
      </c>
      <c r="DS6" s="189"/>
      <c r="DT6" s="190"/>
      <c r="DU6" s="190"/>
      <c r="DV6" s="191"/>
      <c r="DW6" s="41"/>
      <c r="DX6" s="42"/>
      <c r="DY6" s="22"/>
      <c r="DZ6" s="22"/>
      <c r="EA6" s="22"/>
    </row>
    <row r="7" spans="1:132" ht="13.5" customHeight="1" x14ac:dyDescent="0.4">
      <c r="A7" s="104">
        <v>3</v>
      </c>
      <c r="B7" s="23" t="s">
        <v>85</v>
      </c>
      <c r="C7" s="164"/>
      <c r="D7" s="164"/>
      <c r="E7" s="24"/>
      <c r="F7" s="29"/>
      <c r="G7" s="25" t="str">
        <f>IF(SUM($F$5:F7)=0,"",SUM($F$5:F7))</f>
        <v/>
      </c>
      <c r="H7" s="43" t="str">
        <f t="shared" si="0"/>
        <v/>
      </c>
      <c r="I7" s="148" t="e">
        <f t="array" aca="1" ref="I7" ca="1">IF($A8="",$G7/($V7-$U$5+INDIRECT(IF(_xlfn.SHEET()&lt;6,"令和8年"&amp;_xlfn.SHEET()+7&amp;"月","令和9年"&amp;_xlfn.SHEET()-5&amp;"月")&amp;"!$U$5")),$G7/($V8-$U$5))</f>
        <v>#VALUE!</v>
      </c>
      <c r="J7" s="26" t="str">
        <f t="shared" si="1"/>
        <v/>
      </c>
      <c r="K7" s="27"/>
      <c r="L7" s="165">
        <f t="shared" si="2"/>
        <v>0</v>
      </c>
      <c r="M7" s="28" t="str">
        <f t="shared" si="3"/>
        <v/>
      </c>
      <c r="N7" s="166" t="str">
        <f t="shared" si="4"/>
        <v/>
      </c>
      <c r="O7" s="167" t="str">
        <f t="shared" si="5"/>
        <v/>
      </c>
      <c r="P7" s="168"/>
      <c r="Q7" s="169" t="str">
        <f t="shared" si="6"/>
        <v/>
      </c>
      <c r="R7" s="170">
        <v>34</v>
      </c>
      <c r="S7" s="171">
        <v>24</v>
      </c>
      <c r="T7" s="24" t="s">
        <v>84</v>
      </c>
      <c r="U7" s="29">
        <v>203117</v>
      </c>
      <c r="V7" s="30">
        <f t="shared" si="41"/>
        <v>465560</v>
      </c>
      <c r="W7" s="27">
        <v>101</v>
      </c>
      <c r="X7" s="31">
        <f t="shared" si="7"/>
        <v>2011.0594059405942</v>
      </c>
      <c r="Y7" s="29">
        <v>193254</v>
      </c>
      <c r="Z7" s="32">
        <f t="shared" si="42"/>
        <v>961761</v>
      </c>
      <c r="AA7" s="33">
        <f t="shared" si="8"/>
        <v>0.48407036675431836</v>
      </c>
      <c r="AB7" s="158">
        <v>200000</v>
      </c>
      <c r="AC7" s="34">
        <f t="shared" si="43"/>
        <v>600000</v>
      </c>
      <c r="AD7" s="158"/>
      <c r="AE7" s="25"/>
      <c r="AF7" s="25"/>
      <c r="AG7" s="25"/>
      <c r="AH7" s="25"/>
      <c r="AI7" s="25"/>
      <c r="AJ7" s="25"/>
      <c r="AK7" s="25"/>
      <c r="AL7" s="158"/>
      <c r="AM7" s="25"/>
      <c r="AN7" s="158"/>
      <c r="AO7" s="25"/>
      <c r="AP7" s="25"/>
      <c r="AQ7" s="158"/>
      <c r="AR7" s="35">
        <f t="shared" si="9"/>
        <v>0</v>
      </c>
      <c r="AS7" s="172" t="str">
        <f t="shared" si="10"/>
        <v/>
      </c>
      <c r="AT7" s="36">
        <f t="shared" si="11"/>
        <v>0</v>
      </c>
      <c r="AU7" s="173"/>
      <c r="AV7" s="82">
        <f t="shared" si="12"/>
        <v>3</v>
      </c>
      <c r="AW7" s="37"/>
      <c r="AX7" s="174" t="str">
        <f t="shared" si="13"/>
        <v/>
      </c>
      <c r="AY7" s="37"/>
      <c r="AZ7" s="174" t="str">
        <f t="shared" si="14"/>
        <v/>
      </c>
      <c r="BA7" s="37"/>
      <c r="BB7" s="174" t="str">
        <f t="shared" si="15"/>
        <v/>
      </c>
      <c r="BC7" s="37"/>
      <c r="BD7" s="174" t="str">
        <f t="shared" si="16"/>
        <v/>
      </c>
      <c r="BE7" s="37"/>
      <c r="BF7" s="174" t="str">
        <f t="shared" si="17"/>
        <v/>
      </c>
      <c r="BG7" s="37"/>
      <c r="BH7" s="174" t="str">
        <f t="shared" si="18"/>
        <v/>
      </c>
      <c r="BI7" s="37"/>
      <c r="BJ7" s="174" t="str">
        <f t="shared" si="19"/>
        <v/>
      </c>
      <c r="BK7" s="37"/>
      <c r="BL7" s="174" t="str">
        <f t="shared" si="20"/>
        <v/>
      </c>
      <c r="BM7" s="37"/>
      <c r="BN7" s="174" t="str">
        <f t="shared" si="21"/>
        <v/>
      </c>
      <c r="BO7" s="37"/>
      <c r="BP7" s="174" t="str">
        <f t="shared" si="22"/>
        <v/>
      </c>
      <c r="BQ7" s="37"/>
      <c r="BR7" s="174" t="str">
        <f t="shared" si="23"/>
        <v/>
      </c>
      <c r="BS7" s="37"/>
      <c r="BT7" s="174" t="str">
        <f t="shared" si="24"/>
        <v/>
      </c>
      <c r="BU7" s="37"/>
      <c r="BV7" s="174" t="str">
        <f t="shared" si="25"/>
        <v/>
      </c>
      <c r="BW7" s="37"/>
      <c r="BX7" s="174" t="str">
        <f t="shared" si="26"/>
        <v/>
      </c>
      <c r="BY7" s="37"/>
      <c r="BZ7" s="174" t="str">
        <f t="shared" si="27"/>
        <v/>
      </c>
      <c r="CA7" s="37"/>
      <c r="CB7" s="174" t="str">
        <f t="shared" si="28"/>
        <v/>
      </c>
      <c r="CC7" s="37"/>
      <c r="CD7" s="174" t="str">
        <f t="shared" si="29"/>
        <v/>
      </c>
      <c r="CE7" s="37"/>
      <c r="CF7" s="174" t="str">
        <f t="shared" si="30"/>
        <v/>
      </c>
      <c r="CG7" s="37"/>
      <c r="CH7" s="174" t="str">
        <f t="shared" si="31"/>
        <v/>
      </c>
      <c r="CI7" s="37"/>
      <c r="CJ7" s="174" t="str">
        <f t="shared" si="32"/>
        <v/>
      </c>
      <c r="CK7" s="37"/>
      <c r="CL7" s="174" t="str">
        <f t="shared" si="33"/>
        <v/>
      </c>
      <c r="CM7" s="37"/>
      <c r="CN7" s="174" t="str">
        <f t="shared" si="34"/>
        <v/>
      </c>
      <c r="CO7" s="37"/>
      <c r="CP7" s="174" t="str">
        <f t="shared" si="35"/>
        <v/>
      </c>
      <c r="CQ7" s="37"/>
      <c r="CR7" s="174" t="str">
        <f t="shared" si="36"/>
        <v/>
      </c>
      <c r="CS7" s="37"/>
      <c r="CT7" s="174" t="str">
        <f t="shared" si="37"/>
        <v/>
      </c>
      <c r="CU7" s="38"/>
      <c r="CV7" s="87"/>
      <c r="CW7" s="90"/>
      <c r="CX7" s="38"/>
      <c r="CY7" s="39"/>
      <c r="CZ7" s="37"/>
      <c r="DA7" s="39"/>
      <c r="DB7" s="24">
        <v>3</v>
      </c>
      <c r="DC7" s="96" t="str">
        <f t="shared" si="38"/>
        <v>木</v>
      </c>
      <c r="DF7" s="125"/>
      <c r="DG7" s="40"/>
      <c r="DH7" s="40"/>
      <c r="DI7" s="40"/>
      <c r="DJ7" s="40"/>
      <c r="DK7" s="40"/>
      <c r="DL7" s="40"/>
      <c r="DM7" s="40"/>
      <c r="DN7" s="40"/>
      <c r="DO7" s="40"/>
      <c r="DP7" s="40">
        <f t="shared" si="39"/>
        <v>0</v>
      </c>
      <c r="DQ7" s="172" t="str">
        <f t="shared" si="40"/>
        <v/>
      </c>
      <c r="DS7" s="189"/>
      <c r="DT7" s="190"/>
      <c r="DU7" s="190"/>
      <c r="DV7" s="191"/>
      <c r="DW7" s="138"/>
      <c r="DX7" s="42"/>
      <c r="DY7" s="139"/>
      <c r="DZ7" s="139"/>
      <c r="EA7" s="139"/>
      <c r="EB7" s="139"/>
    </row>
    <row r="8" spans="1:132" ht="13.5" customHeight="1" x14ac:dyDescent="0.4">
      <c r="A8" s="104">
        <v>4</v>
      </c>
      <c r="B8" s="23" t="s">
        <v>86</v>
      </c>
      <c r="C8" s="164"/>
      <c r="D8" s="164"/>
      <c r="E8" s="24"/>
      <c r="F8" s="29"/>
      <c r="G8" s="25" t="str">
        <f>IF(SUM($F$5:F8)=0,"",SUM($F$5:F8))</f>
        <v/>
      </c>
      <c r="H8" s="43" t="str">
        <f t="shared" si="0"/>
        <v/>
      </c>
      <c r="I8" s="148" t="e">
        <f t="array" aca="1" ref="I8" ca="1">IF($A9="",$G8/($V8-$U$5+INDIRECT(IF(_xlfn.SHEET()&lt;6,"令和8年"&amp;_xlfn.SHEET()+7&amp;"月","令和9年"&amp;_xlfn.SHEET()-5&amp;"月")&amp;"!$U$5")),$G8/($V9-$U$5))</f>
        <v>#VALUE!</v>
      </c>
      <c r="J8" s="26" t="str">
        <f t="shared" si="1"/>
        <v/>
      </c>
      <c r="K8" s="27"/>
      <c r="L8" s="165">
        <f t="shared" si="2"/>
        <v>0</v>
      </c>
      <c r="M8" s="28" t="str">
        <f t="shared" si="3"/>
        <v/>
      </c>
      <c r="N8" s="166" t="str">
        <f t="shared" si="4"/>
        <v/>
      </c>
      <c r="O8" s="167" t="str">
        <f t="shared" si="5"/>
        <v/>
      </c>
      <c r="P8" s="168"/>
      <c r="Q8" s="169" t="str">
        <f t="shared" si="6"/>
        <v/>
      </c>
      <c r="R8" s="170">
        <v>36</v>
      </c>
      <c r="S8" s="171">
        <v>25</v>
      </c>
      <c r="T8" s="24" t="s">
        <v>107</v>
      </c>
      <c r="U8" s="29">
        <v>127858</v>
      </c>
      <c r="V8" s="30">
        <f t="shared" si="41"/>
        <v>593418</v>
      </c>
      <c r="W8" s="27">
        <v>93</v>
      </c>
      <c r="X8" s="31">
        <f t="shared" si="7"/>
        <v>1374.8172043010752</v>
      </c>
      <c r="Y8" s="29">
        <v>139921</v>
      </c>
      <c r="Z8" s="32">
        <f t="shared" si="42"/>
        <v>1101682</v>
      </c>
      <c r="AA8" s="33">
        <f t="shared" si="8"/>
        <v>0.53864726844951627</v>
      </c>
      <c r="AB8" s="158">
        <v>200000</v>
      </c>
      <c r="AC8" s="34">
        <f t="shared" si="43"/>
        <v>800000</v>
      </c>
      <c r="AD8" s="158"/>
      <c r="AE8" s="25"/>
      <c r="AF8" s="25"/>
      <c r="AG8" s="25"/>
      <c r="AH8" s="25"/>
      <c r="AI8" s="25"/>
      <c r="AJ8" s="25"/>
      <c r="AK8" s="79"/>
      <c r="AL8" s="120"/>
      <c r="AM8" s="79"/>
      <c r="AN8" s="120"/>
      <c r="AO8" s="79"/>
      <c r="AP8" s="79"/>
      <c r="AQ8" s="158"/>
      <c r="AR8" s="35">
        <f t="shared" si="9"/>
        <v>0</v>
      </c>
      <c r="AS8" s="172" t="str">
        <f t="shared" si="10"/>
        <v/>
      </c>
      <c r="AT8" s="36">
        <f t="shared" si="11"/>
        <v>0</v>
      </c>
      <c r="AU8" s="173"/>
      <c r="AV8" s="82">
        <f t="shared" si="12"/>
        <v>4</v>
      </c>
      <c r="AW8" s="37"/>
      <c r="AX8" s="174" t="str">
        <f t="shared" si="13"/>
        <v/>
      </c>
      <c r="AY8" s="37"/>
      <c r="AZ8" s="174" t="str">
        <f t="shared" si="14"/>
        <v/>
      </c>
      <c r="BA8" s="37"/>
      <c r="BB8" s="174" t="str">
        <f t="shared" si="15"/>
        <v/>
      </c>
      <c r="BC8" s="37"/>
      <c r="BD8" s="174" t="str">
        <f t="shared" si="16"/>
        <v/>
      </c>
      <c r="BE8" s="37"/>
      <c r="BF8" s="174" t="str">
        <f t="shared" si="17"/>
        <v/>
      </c>
      <c r="BG8" s="37"/>
      <c r="BH8" s="174" t="str">
        <f t="shared" si="18"/>
        <v/>
      </c>
      <c r="BI8" s="37"/>
      <c r="BJ8" s="174" t="str">
        <f t="shared" si="19"/>
        <v/>
      </c>
      <c r="BK8" s="37"/>
      <c r="BL8" s="174" t="str">
        <f t="shared" si="20"/>
        <v/>
      </c>
      <c r="BM8" s="37"/>
      <c r="BN8" s="174" t="str">
        <f t="shared" si="21"/>
        <v/>
      </c>
      <c r="BO8" s="37"/>
      <c r="BP8" s="174" t="str">
        <f t="shared" si="22"/>
        <v/>
      </c>
      <c r="BQ8" s="37"/>
      <c r="BR8" s="174" t="str">
        <f t="shared" si="23"/>
        <v/>
      </c>
      <c r="BS8" s="37"/>
      <c r="BT8" s="174" t="str">
        <f t="shared" si="24"/>
        <v/>
      </c>
      <c r="BU8" s="37"/>
      <c r="BV8" s="174" t="str">
        <f t="shared" si="25"/>
        <v/>
      </c>
      <c r="BW8" s="37"/>
      <c r="BX8" s="174" t="str">
        <f t="shared" si="26"/>
        <v/>
      </c>
      <c r="BY8" s="37"/>
      <c r="BZ8" s="174" t="str">
        <f t="shared" si="27"/>
        <v/>
      </c>
      <c r="CA8" s="37"/>
      <c r="CB8" s="174" t="str">
        <f t="shared" si="28"/>
        <v/>
      </c>
      <c r="CC8" s="37"/>
      <c r="CD8" s="174" t="str">
        <f t="shared" si="29"/>
        <v/>
      </c>
      <c r="CE8" s="37"/>
      <c r="CF8" s="174" t="str">
        <f t="shared" si="30"/>
        <v/>
      </c>
      <c r="CG8" s="37"/>
      <c r="CH8" s="174" t="str">
        <f t="shared" si="31"/>
        <v/>
      </c>
      <c r="CI8" s="37"/>
      <c r="CJ8" s="174" t="str">
        <f t="shared" si="32"/>
        <v/>
      </c>
      <c r="CK8" s="37"/>
      <c r="CL8" s="174" t="str">
        <f t="shared" si="33"/>
        <v/>
      </c>
      <c r="CM8" s="37"/>
      <c r="CN8" s="174" t="str">
        <f t="shared" si="34"/>
        <v/>
      </c>
      <c r="CO8" s="37"/>
      <c r="CP8" s="174" t="str">
        <f t="shared" si="35"/>
        <v/>
      </c>
      <c r="CQ8" s="37"/>
      <c r="CR8" s="174" t="str">
        <f t="shared" si="36"/>
        <v/>
      </c>
      <c r="CS8" s="37"/>
      <c r="CT8" s="174" t="str">
        <f t="shared" si="37"/>
        <v/>
      </c>
      <c r="CU8" s="38"/>
      <c r="CV8" s="87"/>
      <c r="CW8" s="90"/>
      <c r="CX8" s="38"/>
      <c r="CY8" s="39"/>
      <c r="CZ8" s="37"/>
      <c r="DA8" s="39"/>
      <c r="DB8" s="24">
        <v>4</v>
      </c>
      <c r="DC8" s="96" t="str">
        <f t="shared" si="38"/>
        <v>金</v>
      </c>
      <c r="DF8" s="125"/>
      <c r="DG8" s="40"/>
      <c r="DH8" s="40"/>
      <c r="DI8" s="40"/>
      <c r="DJ8" s="40"/>
      <c r="DK8" s="40"/>
      <c r="DL8" s="40"/>
      <c r="DM8" s="40"/>
      <c r="DN8" s="40"/>
      <c r="DO8" s="40"/>
      <c r="DP8" s="40">
        <f t="shared" si="39"/>
        <v>0</v>
      </c>
      <c r="DQ8" s="172" t="str">
        <f t="shared" si="40"/>
        <v/>
      </c>
      <c r="DS8" s="189"/>
      <c r="DT8" s="190"/>
      <c r="DU8" s="190"/>
      <c r="DV8" s="191"/>
      <c r="DW8" s="41"/>
      <c r="DX8" s="42"/>
      <c r="DY8" s="139"/>
      <c r="DZ8" s="139"/>
      <c r="EA8" s="139"/>
      <c r="EB8" s="139"/>
    </row>
    <row r="9" spans="1:132" ht="13.5" customHeight="1" x14ac:dyDescent="0.4">
      <c r="A9" s="104">
        <v>5</v>
      </c>
      <c r="B9" s="23" t="s">
        <v>88</v>
      </c>
      <c r="C9" s="164"/>
      <c r="D9" s="164"/>
      <c r="E9" s="24"/>
      <c r="F9" s="29"/>
      <c r="G9" s="25" t="str">
        <f>IF(SUM($F$5:F9)=0,"",SUM($F$5:F9))</f>
        <v/>
      </c>
      <c r="H9" s="43" t="str">
        <f t="shared" si="0"/>
        <v/>
      </c>
      <c r="I9" s="148" t="e">
        <f t="array" aca="1" ref="I9" ca="1">IF($A10="",$G9/($V9-$U$5+INDIRECT(IF(_xlfn.SHEET()&lt;6,"令和8年"&amp;_xlfn.SHEET()+7&amp;"月","令和9年"&amp;_xlfn.SHEET()-5&amp;"月")&amp;"!$U$5")),$G9/($V10-$U$5))</f>
        <v>#VALUE!</v>
      </c>
      <c r="J9" s="26" t="str">
        <f t="shared" si="1"/>
        <v/>
      </c>
      <c r="K9" s="27"/>
      <c r="L9" s="165">
        <f t="shared" si="2"/>
        <v>0</v>
      </c>
      <c r="M9" s="28" t="str">
        <f t="shared" si="3"/>
        <v/>
      </c>
      <c r="N9" s="166" t="str">
        <f t="shared" si="4"/>
        <v/>
      </c>
      <c r="O9" s="167" t="str">
        <f t="shared" si="5"/>
        <v/>
      </c>
      <c r="P9" s="168"/>
      <c r="Q9" s="169" t="str">
        <f t="shared" si="6"/>
        <v/>
      </c>
      <c r="R9" s="170">
        <v>30</v>
      </c>
      <c r="S9" s="171">
        <v>23</v>
      </c>
      <c r="T9" s="24" t="s">
        <v>113</v>
      </c>
      <c r="U9" s="29">
        <v>99149</v>
      </c>
      <c r="V9" s="30">
        <f t="shared" si="41"/>
        <v>692567</v>
      </c>
      <c r="W9" s="27">
        <v>73</v>
      </c>
      <c r="X9" s="31">
        <f t="shared" si="7"/>
        <v>1358.2054794520548</v>
      </c>
      <c r="Y9" s="29">
        <v>174589</v>
      </c>
      <c r="Z9" s="32">
        <f t="shared" si="42"/>
        <v>1276271</v>
      </c>
      <c r="AA9" s="33">
        <f t="shared" si="8"/>
        <v>0.54264885749186498</v>
      </c>
      <c r="AB9" s="158">
        <v>600000</v>
      </c>
      <c r="AC9" s="34">
        <f t="shared" si="43"/>
        <v>1400000</v>
      </c>
      <c r="AD9" s="158"/>
      <c r="AE9" s="25"/>
      <c r="AF9" s="25"/>
      <c r="AG9" s="25"/>
      <c r="AH9" s="25"/>
      <c r="AI9" s="25"/>
      <c r="AJ9" s="25"/>
      <c r="AK9" s="25"/>
      <c r="AL9" s="158"/>
      <c r="AM9" s="25"/>
      <c r="AN9" s="158"/>
      <c r="AO9" s="25"/>
      <c r="AP9" s="25"/>
      <c r="AQ9" s="158"/>
      <c r="AR9" s="35">
        <f t="shared" si="9"/>
        <v>0</v>
      </c>
      <c r="AS9" s="172" t="str">
        <f t="shared" si="10"/>
        <v/>
      </c>
      <c r="AT9" s="36">
        <f t="shared" si="11"/>
        <v>0</v>
      </c>
      <c r="AU9" s="173"/>
      <c r="AV9" s="82">
        <f t="shared" si="12"/>
        <v>5</v>
      </c>
      <c r="AW9" s="37"/>
      <c r="AX9" s="174" t="str">
        <f t="shared" si="13"/>
        <v/>
      </c>
      <c r="AY9" s="37"/>
      <c r="AZ9" s="174" t="str">
        <f t="shared" si="14"/>
        <v/>
      </c>
      <c r="BA9" s="37"/>
      <c r="BB9" s="174" t="str">
        <f t="shared" si="15"/>
        <v/>
      </c>
      <c r="BC9" s="37"/>
      <c r="BD9" s="174" t="str">
        <f t="shared" si="16"/>
        <v/>
      </c>
      <c r="BE9" s="37"/>
      <c r="BF9" s="174" t="str">
        <f t="shared" si="17"/>
        <v/>
      </c>
      <c r="BG9" s="37"/>
      <c r="BH9" s="174" t="str">
        <f t="shared" si="18"/>
        <v/>
      </c>
      <c r="BI9" s="37"/>
      <c r="BJ9" s="174" t="str">
        <f t="shared" si="19"/>
        <v/>
      </c>
      <c r="BK9" s="37"/>
      <c r="BL9" s="174" t="str">
        <f t="shared" si="20"/>
        <v/>
      </c>
      <c r="BM9" s="37"/>
      <c r="BN9" s="174" t="str">
        <f t="shared" si="21"/>
        <v/>
      </c>
      <c r="BO9" s="37"/>
      <c r="BP9" s="174" t="str">
        <f t="shared" si="22"/>
        <v/>
      </c>
      <c r="BQ9" s="37"/>
      <c r="BR9" s="174" t="str">
        <f t="shared" si="23"/>
        <v/>
      </c>
      <c r="BS9" s="37"/>
      <c r="BT9" s="174" t="str">
        <f t="shared" si="24"/>
        <v/>
      </c>
      <c r="BU9" s="37"/>
      <c r="BV9" s="174" t="str">
        <f t="shared" si="25"/>
        <v/>
      </c>
      <c r="BW9" s="37"/>
      <c r="BX9" s="174" t="str">
        <f t="shared" si="26"/>
        <v/>
      </c>
      <c r="BY9" s="37"/>
      <c r="BZ9" s="174" t="str">
        <f t="shared" si="27"/>
        <v/>
      </c>
      <c r="CA9" s="37"/>
      <c r="CB9" s="174" t="str">
        <f t="shared" si="28"/>
        <v/>
      </c>
      <c r="CC9" s="37"/>
      <c r="CD9" s="174" t="str">
        <f t="shared" si="29"/>
        <v/>
      </c>
      <c r="CE9" s="37"/>
      <c r="CF9" s="174" t="str">
        <f t="shared" si="30"/>
        <v/>
      </c>
      <c r="CG9" s="37"/>
      <c r="CH9" s="174" t="str">
        <f t="shared" si="31"/>
        <v/>
      </c>
      <c r="CI9" s="37"/>
      <c r="CJ9" s="174" t="str">
        <f t="shared" si="32"/>
        <v/>
      </c>
      <c r="CK9" s="37"/>
      <c r="CL9" s="174" t="str">
        <f t="shared" si="33"/>
        <v/>
      </c>
      <c r="CM9" s="37"/>
      <c r="CN9" s="174" t="str">
        <f t="shared" si="34"/>
        <v/>
      </c>
      <c r="CO9" s="37"/>
      <c r="CP9" s="174" t="str">
        <f t="shared" si="35"/>
        <v/>
      </c>
      <c r="CQ9" s="37"/>
      <c r="CR9" s="174" t="str">
        <f t="shared" si="36"/>
        <v/>
      </c>
      <c r="CS9" s="37"/>
      <c r="CT9" s="174" t="str">
        <f t="shared" si="37"/>
        <v/>
      </c>
      <c r="CU9" s="38"/>
      <c r="CV9" s="87"/>
      <c r="CW9" s="90"/>
      <c r="CX9" s="38"/>
      <c r="CY9" s="39"/>
      <c r="CZ9" s="37"/>
      <c r="DA9" s="39"/>
      <c r="DB9" s="24">
        <v>5</v>
      </c>
      <c r="DC9" s="96" t="str">
        <f t="shared" si="38"/>
        <v>土</v>
      </c>
      <c r="DF9" s="125"/>
      <c r="DG9" s="40"/>
      <c r="DH9" s="40"/>
      <c r="DI9" s="40"/>
      <c r="DJ9" s="40"/>
      <c r="DK9" s="40"/>
      <c r="DL9" s="40"/>
      <c r="DM9" s="40"/>
      <c r="DN9" s="40"/>
      <c r="DO9" s="40"/>
      <c r="DP9" s="40">
        <f t="shared" si="39"/>
        <v>0</v>
      </c>
      <c r="DQ9" s="172" t="str">
        <f t="shared" si="40"/>
        <v/>
      </c>
      <c r="DS9" s="189"/>
      <c r="DT9" s="190"/>
      <c r="DU9" s="190"/>
      <c r="DV9" s="191"/>
      <c r="DW9" s="41"/>
      <c r="DX9" s="42"/>
      <c r="DY9" s="139"/>
      <c r="DZ9" s="139"/>
      <c r="EA9" s="139"/>
      <c r="EB9" s="139"/>
    </row>
    <row r="10" spans="1:132" ht="13.5" customHeight="1" x14ac:dyDescent="0.4">
      <c r="A10" s="104">
        <v>6</v>
      </c>
      <c r="B10" s="23" t="s">
        <v>89</v>
      </c>
      <c r="C10" s="164"/>
      <c r="D10" s="164"/>
      <c r="E10" s="24"/>
      <c r="F10" s="29"/>
      <c r="G10" s="25" t="str">
        <f>IF(SUM($F$5:F10)=0,"",SUM($F$5:F10))</f>
        <v/>
      </c>
      <c r="H10" s="43" t="str">
        <f t="shared" si="0"/>
        <v/>
      </c>
      <c r="I10" s="148" t="e">
        <f t="array" aca="1" ref="I10" ca="1">IF($A11="",$G10/($V10-$U$5+INDIRECT(IF(_xlfn.SHEET()&lt;6,"令和8年"&amp;_xlfn.SHEET()+7&amp;"月","令和9年"&amp;_xlfn.SHEET()-5&amp;"月")&amp;"!$U$5")),$G10/($V11-$U$5))</f>
        <v>#VALUE!</v>
      </c>
      <c r="J10" s="26" t="str">
        <f t="shared" si="1"/>
        <v/>
      </c>
      <c r="K10" s="27"/>
      <c r="L10" s="165">
        <f t="shared" si="2"/>
        <v>0</v>
      </c>
      <c r="M10" s="28" t="str">
        <f t="shared" si="3"/>
        <v/>
      </c>
      <c r="N10" s="166" t="str">
        <f t="shared" si="4"/>
        <v/>
      </c>
      <c r="O10" s="167" t="str">
        <f t="shared" si="5"/>
        <v/>
      </c>
      <c r="P10" s="168"/>
      <c r="Q10" s="169" t="str">
        <f t="shared" si="6"/>
        <v/>
      </c>
      <c r="R10" s="170">
        <v>37</v>
      </c>
      <c r="S10" s="171">
        <v>26</v>
      </c>
      <c r="T10" s="24" t="s">
        <v>106</v>
      </c>
      <c r="U10" s="29">
        <v>438695</v>
      </c>
      <c r="V10" s="30">
        <f t="shared" si="41"/>
        <v>1131262</v>
      </c>
      <c r="W10" s="27">
        <v>291</v>
      </c>
      <c r="X10" s="31">
        <f t="shared" si="7"/>
        <v>1507.5429553264605</v>
      </c>
      <c r="Y10" s="29">
        <v>174754</v>
      </c>
      <c r="Z10" s="32">
        <f t="shared" si="42"/>
        <v>1451025</v>
      </c>
      <c r="AA10" s="33">
        <f t="shared" si="8"/>
        <v>0.77962957219896278</v>
      </c>
      <c r="AB10" s="158">
        <v>600000</v>
      </c>
      <c r="AC10" s="34">
        <f t="shared" si="43"/>
        <v>2000000</v>
      </c>
      <c r="AD10" s="158"/>
      <c r="AE10" s="25"/>
      <c r="AF10" s="25"/>
      <c r="AG10" s="25"/>
      <c r="AH10" s="25"/>
      <c r="AI10" s="25"/>
      <c r="AJ10" s="25"/>
      <c r="AK10" s="25"/>
      <c r="AL10" s="158"/>
      <c r="AM10" s="25"/>
      <c r="AN10" s="158"/>
      <c r="AO10" s="25"/>
      <c r="AP10" s="25"/>
      <c r="AQ10" s="158"/>
      <c r="AR10" s="35">
        <f t="shared" si="9"/>
        <v>0</v>
      </c>
      <c r="AS10" s="172" t="str">
        <f t="shared" si="10"/>
        <v/>
      </c>
      <c r="AT10" s="36">
        <f t="shared" si="11"/>
        <v>0</v>
      </c>
      <c r="AU10" s="173"/>
      <c r="AV10" s="82">
        <f t="shared" si="12"/>
        <v>6</v>
      </c>
      <c r="AW10" s="37"/>
      <c r="AX10" s="174" t="str">
        <f t="shared" si="13"/>
        <v/>
      </c>
      <c r="AY10" s="37"/>
      <c r="AZ10" s="174" t="str">
        <f t="shared" si="14"/>
        <v/>
      </c>
      <c r="BA10" s="37"/>
      <c r="BB10" s="174" t="str">
        <f t="shared" si="15"/>
        <v/>
      </c>
      <c r="BC10" s="37"/>
      <c r="BD10" s="174" t="str">
        <f t="shared" si="16"/>
        <v/>
      </c>
      <c r="BE10" s="37"/>
      <c r="BF10" s="174" t="str">
        <f t="shared" si="17"/>
        <v/>
      </c>
      <c r="BG10" s="37"/>
      <c r="BH10" s="174" t="str">
        <f t="shared" si="18"/>
        <v/>
      </c>
      <c r="BI10" s="37"/>
      <c r="BJ10" s="174" t="str">
        <f t="shared" si="19"/>
        <v/>
      </c>
      <c r="BK10" s="37"/>
      <c r="BL10" s="174" t="str">
        <f t="shared" si="20"/>
        <v/>
      </c>
      <c r="BM10" s="37"/>
      <c r="BN10" s="174" t="str">
        <f t="shared" si="21"/>
        <v/>
      </c>
      <c r="BO10" s="37"/>
      <c r="BP10" s="174" t="str">
        <f t="shared" si="22"/>
        <v/>
      </c>
      <c r="BQ10" s="37"/>
      <c r="BR10" s="174" t="str">
        <f t="shared" si="23"/>
        <v/>
      </c>
      <c r="BS10" s="37"/>
      <c r="BT10" s="174" t="str">
        <f t="shared" si="24"/>
        <v/>
      </c>
      <c r="BU10" s="37"/>
      <c r="BV10" s="174" t="str">
        <f t="shared" si="25"/>
        <v/>
      </c>
      <c r="BW10" s="37"/>
      <c r="BX10" s="174" t="str">
        <f t="shared" si="26"/>
        <v/>
      </c>
      <c r="BY10" s="37"/>
      <c r="BZ10" s="174" t="str">
        <f t="shared" si="27"/>
        <v/>
      </c>
      <c r="CA10" s="37"/>
      <c r="CB10" s="174" t="str">
        <f t="shared" si="28"/>
        <v/>
      </c>
      <c r="CC10" s="37"/>
      <c r="CD10" s="174" t="str">
        <f t="shared" si="29"/>
        <v/>
      </c>
      <c r="CE10" s="37"/>
      <c r="CF10" s="174" t="str">
        <f t="shared" si="30"/>
        <v/>
      </c>
      <c r="CG10" s="37"/>
      <c r="CH10" s="174" t="str">
        <f t="shared" si="31"/>
        <v/>
      </c>
      <c r="CI10" s="37"/>
      <c r="CJ10" s="174" t="str">
        <f t="shared" si="32"/>
        <v/>
      </c>
      <c r="CK10" s="37"/>
      <c r="CL10" s="174" t="str">
        <f t="shared" si="33"/>
        <v/>
      </c>
      <c r="CM10" s="37"/>
      <c r="CN10" s="174" t="str">
        <f t="shared" si="34"/>
        <v/>
      </c>
      <c r="CO10" s="37"/>
      <c r="CP10" s="174" t="str">
        <f t="shared" si="35"/>
        <v/>
      </c>
      <c r="CQ10" s="37"/>
      <c r="CR10" s="174" t="str">
        <f t="shared" si="36"/>
        <v/>
      </c>
      <c r="CS10" s="37"/>
      <c r="CT10" s="174" t="str">
        <f t="shared" si="37"/>
        <v/>
      </c>
      <c r="CU10" s="38"/>
      <c r="CV10" s="87"/>
      <c r="CW10" s="90"/>
      <c r="CX10" s="38"/>
      <c r="CY10" s="39"/>
      <c r="CZ10" s="37"/>
      <c r="DA10" s="39"/>
      <c r="DB10" s="24">
        <v>6</v>
      </c>
      <c r="DC10" s="96" t="str">
        <f t="shared" si="38"/>
        <v>日</v>
      </c>
      <c r="DF10" s="125"/>
      <c r="DG10" s="40"/>
      <c r="DH10" s="40"/>
      <c r="DI10" s="40"/>
      <c r="DJ10" s="40"/>
      <c r="DK10" s="40"/>
      <c r="DL10" s="40"/>
      <c r="DM10" s="40"/>
      <c r="DN10" s="40"/>
      <c r="DO10" s="40"/>
      <c r="DP10" s="40">
        <f t="shared" si="39"/>
        <v>0</v>
      </c>
      <c r="DQ10" s="172" t="str">
        <f t="shared" si="40"/>
        <v/>
      </c>
      <c r="DS10" s="189"/>
      <c r="DT10" s="190"/>
      <c r="DU10" s="190"/>
      <c r="DV10" s="191"/>
      <c r="DW10" s="138"/>
      <c r="DX10" s="42"/>
      <c r="DY10" s="139"/>
      <c r="DZ10" s="139"/>
      <c r="EA10" s="139"/>
      <c r="EB10" s="139"/>
    </row>
    <row r="11" spans="1:132" ht="13.5" customHeight="1" x14ac:dyDescent="0.4">
      <c r="A11" s="104">
        <v>7</v>
      </c>
      <c r="B11" s="23" t="s">
        <v>90</v>
      </c>
      <c r="C11" s="164"/>
      <c r="D11" s="164"/>
      <c r="E11" s="24"/>
      <c r="F11" s="29"/>
      <c r="G11" s="25" t="str">
        <f>IF(SUM($F$5:F11)=0,"",SUM($F$5:F11))</f>
        <v/>
      </c>
      <c r="H11" s="43" t="str">
        <f t="shared" si="0"/>
        <v/>
      </c>
      <c r="I11" s="148" t="e">
        <f t="array" aca="1" ref="I11" ca="1">IF($A12="",$G11/($V11-$U$5+INDIRECT(IF(_xlfn.SHEET()&lt;6,"令和8年"&amp;_xlfn.SHEET()+7&amp;"月","令和9年"&amp;_xlfn.SHEET()-5&amp;"月")&amp;"!$U$5")),$G11/($V12-$U$5))</f>
        <v>#VALUE!</v>
      </c>
      <c r="J11" s="26" t="str">
        <f t="shared" si="1"/>
        <v/>
      </c>
      <c r="K11" s="27"/>
      <c r="L11" s="165">
        <f t="shared" si="2"/>
        <v>0</v>
      </c>
      <c r="M11" s="28" t="str">
        <f t="shared" si="3"/>
        <v/>
      </c>
      <c r="N11" s="166" t="str">
        <f t="shared" si="4"/>
        <v/>
      </c>
      <c r="O11" s="167" t="str">
        <f t="shared" si="5"/>
        <v/>
      </c>
      <c r="P11" s="168"/>
      <c r="Q11" s="169" t="str">
        <f t="shared" si="6"/>
        <v/>
      </c>
      <c r="R11" s="170">
        <v>34</v>
      </c>
      <c r="S11" s="171">
        <v>23</v>
      </c>
      <c r="T11" s="24" t="s">
        <v>84</v>
      </c>
      <c r="U11" s="29">
        <v>670578</v>
      </c>
      <c r="V11" s="30">
        <f t="shared" si="41"/>
        <v>1801840</v>
      </c>
      <c r="W11" s="27">
        <v>382</v>
      </c>
      <c r="X11" s="31">
        <f t="shared" si="7"/>
        <v>1755.4397905759163</v>
      </c>
      <c r="Y11" s="29">
        <v>421713</v>
      </c>
      <c r="Z11" s="32">
        <f t="shared" si="42"/>
        <v>1872738</v>
      </c>
      <c r="AA11" s="33">
        <f t="shared" si="8"/>
        <v>0.96214206151634663</v>
      </c>
      <c r="AB11" s="158">
        <v>200000</v>
      </c>
      <c r="AC11" s="34">
        <f t="shared" si="43"/>
        <v>2200000</v>
      </c>
      <c r="AD11" s="158"/>
      <c r="AE11" s="25"/>
      <c r="AF11" s="25"/>
      <c r="AG11" s="25"/>
      <c r="AH11" s="25"/>
      <c r="AI11" s="25"/>
      <c r="AJ11" s="25"/>
      <c r="AK11" s="25"/>
      <c r="AL11" s="158"/>
      <c r="AM11" s="25"/>
      <c r="AN11" s="158"/>
      <c r="AO11" s="25"/>
      <c r="AP11" s="25"/>
      <c r="AQ11" s="158"/>
      <c r="AR11" s="35">
        <f t="shared" si="9"/>
        <v>0</v>
      </c>
      <c r="AS11" s="172" t="str">
        <f t="shared" si="10"/>
        <v/>
      </c>
      <c r="AT11" s="36">
        <f t="shared" si="11"/>
        <v>0</v>
      </c>
      <c r="AU11" s="173"/>
      <c r="AV11" s="82">
        <f t="shared" si="12"/>
        <v>7</v>
      </c>
      <c r="AW11" s="37"/>
      <c r="AX11" s="174" t="str">
        <f t="shared" si="13"/>
        <v/>
      </c>
      <c r="AY11" s="37"/>
      <c r="AZ11" s="174" t="str">
        <f t="shared" si="14"/>
        <v/>
      </c>
      <c r="BA11" s="37"/>
      <c r="BB11" s="174" t="str">
        <f t="shared" si="15"/>
        <v/>
      </c>
      <c r="BC11" s="37"/>
      <c r="BD11" s="174" t="str">
        <f t="shared" si="16"/>
        <v/>
      </c>
      <c r="BE11" s="37"/>
      <c r="BF11" s="174" t="str">
        <f t="shared" si="17"/>
        <v/>
      </c>
      <c r="BG11" s="37"/>
      <c r="BH11" s="174" t="str">
        <f t="shared" si="18"/>
        <v/>
      </c>
      <c r="BI11" s="37"/>
      <c r="BJ11" s="174" t="str">
        <f t="shared" si="19"/>
        <v/>
      </c>
      <c r="BK11" s="37"/>
      <c r="BL11" s="174" t="str">
        <f t="shared" si="20"/>
        <v/>
      </c>
      <c r="BM11" s="37"/>
      <c r="BN11" s="174" t="str">
        <f t="shared" si="21"/>
        <v/>
      </c>
      <c r="BO11" s="37"/>
      <c r="BP11" s="174" t="str">
        <f t="shared" si="22"/>
        <v/>
      </c>
      <c r="BQ11" s="37"/>
      <c r="BR11" s="174" t="str">
        <f t="shared" si="23"/>
        <v/>
      </c>
      <c r="BS11" s="37"/>
      <c r="BT11" s="174" t="str">
        <f t="shared" si="24"/>
        <v/>
      </c>
      <c r="BU11" s="37"/>
      <c r="BV11" s="174" t="str">
        <f t="shared" si="25"/>
        <v/>
      </c>
      <c r="BW11" s="37"/>
      <c r="BX11" s="174" t="str">
        <f t="shared" si="26"/>
        <v/>
      </c>
      <c r="BY11" s="37"/>
      <c r="BZ11" s="174" t="str">
        <f t="shared" si="27"/>
        <v/>
      </c>
      <c r="CA11" s="37"/>
      <c r="CB11" s="174" t="str">
        <f t="shared" si="28"/>
        <v/>
      </c>
      <c r="CC11" s="37"/>
      <c r="CD11" s="174" t="str">
        <f t="shared" si="29"/>
        <v/>
      </c>
      <c r="CE11" s="37"/>
      <c r="CF11" s="174" t="str">
        <f t="shared" si="30"/>
        <v/>
      </c>
      <c r="CG11" s="37"/>
      <c r="CH11" s="174" t="str">
        <f t="shared" si="31"/>
        <v/>
      </c>
      <c r="CI11" s="37"/>
      <c r="CJ11" s="174" t="str">
        <f t="shared" si="32"/>
        <v/>
      </c>
      <c r="CK11" s="37"/>
      <c r="CL11" s="174" t="str">
        <f t="shared" si="33"/>
        <v/>
      </c>
      <c r="CM11" s="37"/>
      <c r="CN11" s="174" t="str">
        <f t="shared" si="34"/>
        <v/>
      </c>
      <c r="CO11" s="37"/>
      <c r="CP11" s="174" t="str">
        <f t="shared" si="35"/>
        <v/>
      </c>
      <c r="CQ11" s="37"/>
      <c r="CR11" s="174" t="str">
        <f t="shared" si="36"/>
        <v/>
      </c>
      <c r="CS11" s="37"/>
      <c r="CT11" s="174" t="str">
        <f t="shared" si="37"/>
        <v/>
      </c>
      <c r="CU11" s="38"/>
      <c r="CV11" s="87"/>
      <c r="CW11" s="90"/>
      <c r="CX11" s="38"/>
      <c r="CY11" s="39"/>
      <c r="CZ11" s="37"/>
      <c r="DA11" s="39"/>
      <c r="DB11" s="24">
        <v>7</v>
      </c>
      <c r="DC11" s="96" t="str">
        <f t="shared" si="38"/>
        <v>月</v>
      </c>
      <c r="DF11" s="125"/>
      <c r="DG11" s="40"/>
      <c r="DH11" s="40"/>
      <c r="DI11" s="40"/>
      <c r="DJ11" s="40"/>
      <c r="DK11" s="40"/>
      <c r="DL11" s="40"/>
      <c r="DM11" s="40"/>
      <c r="DN11" s="40"/>
      <c r="DO11" s="40"/>
      <c r="DP11" s="40">
        <f t="shared" si="39"/>
        <v>0</v>
      </c>
      <c r="DQ11" s="172" t="str">
        <f t="shared" si="40"/>
        <v/>
      </c>
      <c r="DS11" s="189"/>
      <c r="DT11" s="190"/>
      <c r="DU11" s="190"/>
      <c r="DV11" s="191"/>
      <c r="DW11" s="41"/>
      <c r="DX11" s="42"/>
    </row>
    <row r="12" spans="1:132" ht="13.5" customHeight="1" x14ac:dyDescent="0.4">
      <c r="A12" s="104">
        <v>8</v>
      </c>
      <c r="B12" s="23" t="s">
        <v>91</v>
      </c>
      <c r="C12" s="164"/>
      <c r="D12" s="164"/>
      <c r="E12" s="24"/>
      <c r="F12" s="29"/>
      <c r="G12" s="25" t="str">
        <f>IF(SUM($F$5:F12)=0,"",SUM($F$5:F12))</f>
        <v/>
      </c>
      <c r="H12" s="43" t="str">
        <f t="shared" si="0"/>
        <v/>
      </c>
      <c r="I12" s="148" t="e">
        <f t="array" aca="1" ref="I12" ca="1">IF($A13="",$G12/($V12-$U$5+INDIRECT(IF(_xlfn.SHEET()&lt;6,"令和8年"&amp;_xlfn.SHEET()+7&amp;"月","令和9年"&amp;_xlfn.SHEET()-5&amp;"月")&amp;"!$U$5")),$G12/($V13-$U$5))</f>
        <v>#VALUE!</v>
      </c>
      <c r="J12" s="26" t="str">
        <f t="shared" si="1"/>
        <v/>
      </c>
      <c r="K12" s="27"/>
      <c r="L12" s="165">
        <f t="shared" si="2"/>
        <v>0</v>
      </c>
      <c r="M12" s="28" t="str">
        <f t="shared" si="3"/>
        <v/>
      </c>
      <c r="N12" s="166" t="str">
        <f t="shared" si="4"/>
        <v/>
      </c>
      <c r="O12" s="167" t="str">
        <f t="shared" si="5"/>
        <v/>
      </c>
      <c r="P12" s="168"/>
      <c r="Q12" s="169" t="str">
        <f t="shared" si="6"/>
        <v/>
      </c>
      <c r="R12" s="170">
        <v>37</v>
      </c>
      <c r="S12" s="171">
        <v>28</v>
      </c>
      <c r="T12" s="24" t="s">
        <v>84</v>
      </c>
      <c r="U12" s="29">
        <v>175221</v>
      </c>
      <c r="V12" s="30">
        <f t="shared" si="41"/>
        <v>1977061</v>
      </c>
      <c r="W12" s="27">
        <v>110</v>
      </c>
      <c r="X12" s="31">
        <f t="shared" si="7"/>
        <v>1592.9181818181819</v>
      </c>
      <c r="Y12" s="29">
        <v>707626</v>
      </c>
      <c r="Z12" s="32">
        <f t="shared" si="42"/>
        <v>2580364</v>
      </c>
      <c r="AA12" s="33">
        <f t="shared" si="8"/>
        <v>0.76619461440323922</v>
      </c>
      <c r="AB12" s="158">
        <v>200000</v>
      </c>
      <c r="AC12" s="34">
        <f t="shared" si="43"/>
        <v>2400000</v>
      </c>
      <c r="AD12" s="158"/>
      <c r="AE12" s="25"/>
      <c r="AF12" s="25"/>
      <c r="AG12" s="25"/>
      <c r="AH12" s="25"/>
      <c r="AI12" s="25"/>
      <c r="AJ12" s="25"/>
      <c r="AK12" s="25"/>
      <c r="AL12" s="158"/>
      <c r="AM12" s="25"/>
      <c r="AN12" s="158"/>
      <c r="AO12" s="25"/>
      <c r="AP12" s="25"/>
      <c r="AQ12" s="158"/>
      <c r="AR12" s="35">
        <f t="shared" si="9"/>
        <v>0</v>
      </c>
      <c r="AS12" s="172" t="str">
        <f t="shared" si="10"/>
        <v/>
      </c>
      <c r="AT12" s="36">
        <f t="shared" si="11"/>
        <v>0</v>
      </c>
      <c r="AU12" s="173"/>
      <c r="AV12" s="82">
        <f t="shared" si="12"/>
        <v>8</v>
      </c>
      <c r="AW12" s="37"/>
      <c r="AX12" s="174" t="str">
        <f t="shared" si="13"/>
        <v/>
      </c>
      <c r="AY12" s="37"/>
      <c r="AZ12" s="174" t="str">
        <f t="shared" si="14"/>
        <v/>
      </c>
      <c r="BA12" s="37"/>
      <c r="BB12" s="174" t="str">
        <f t="shared" si="15"/>
        <v/>
      </c>
      <c r="BC12" s="37"/>
      <c r="BD12" s="174" t="str">
        <f t="shared" si="16"/>
        <v/>
      </c>
      <c r="BE12" s="37"/>
      <c r="BF12" s="174" t="str">
        <f t="shared" si="17"/>
        <v/>
      </c>
      <c r="BG12" s="37"/>
      <c r="BH12" s="174" t="str">
        <f t="shared" si="18"/>
        <v/>
      </c>
      <c r="BI12" s="37"/>
      <c r="BJ12" s="174" t="str">
        <f t="shared" si="19"/>
        <v/>
      </c>
      <c r="BK12" s="37"/>
      <c r="BL12" s="174" t="str">
        <f t="shared" si="20"/>
        <v/>
      </c>
      <c r="BM12" s="37"/>
      <c r="BN12" s="174" t="str">
        <f t="shared" si="21"/>
        <v/>
      </c>
      <c r="BO12" s="37"/>
      <c r="BP12" s="174" t="str">
        <f t="shared" si="22"/>
        <v/>
      </c>
      <c r="BQ12" s="37"/>
      <c r="BR12" s="174" t="str">
        <f t="shared" si="23"/>
        <v/>
      </c>
      <c r="BS12" s="37"/>
      <c r="BT12" s="174" t="str">
        <f t="shared" si="24"/>
        <v/>
      </c>
      <c r="BU12" s="37"/>
      <c r="BV12" s="174" t="str">
        <f t="shared" si="25"/>
        <v/>
      </c>
      <c r="BW12" s="37"/>
      <c r="BX12" s="174" t="str">
        <f t="shared" si="26"/>
        <v/>
      </c>
      <c r="BY12" s="37"/>
      <c r="BZ12" s="174" t="str">
        <f t="shared" si="27"/>
        <v/>
      </c>
      <c r="CA12" s="37"/>
      <c r="CB12" s="174" t="str">
        <f t="shared" si="28"/>
        <v/>
      </c>
      <c r="CC12" s="37"/>
      <c r="CD12" s="174" t="str">
        <f t="shared" si="29"/>
        <v/>
      </c>
      <c r="CE12" s="37"/>
      <c r="CF12" s="174" t="str">
        <f t="shared" si="30"/>
        <v/>
      </c>
      <c r="CG12" s="37"/>
      <c r="CH12" s="174" t="str">
        <f t="shared" si="31"/>
        <v/>
      </c>
      <c r="CI12" s="37"/>
      <c r="CJ12" s="174" t="str">
        <f t="shared" si="32"/>
        <v/>
      </c>
      <c r="CK12" s="37"/>
      <c r="CL12" s="174" t="str">
        <f t="shared" si="33"/>
        <v/>
      </c>
      <c r="CM12" s="37"/>
      <c r="CN12" s="174" t="str">
        <f t="shared" si="34"/>
        <v/>
      </c>
      <c r="CO12" s="37"/>
      <c r="CP12" s="174" t="str">
        <f t="shared" si="35"/>
        <v/>
      </c>
      <c r="CQ12" s="37"/>
      <c r="CR12" s="174" t="str">
        <f t="shared" si="36"/>
        <v/>
      </c>
      <c r="CS12" s="37"/>
      <c r="CT12" s="174" t="str">
        <f t="shared" si="37"/>
        <v/>
      </c>
      <c r="CU12" s="38"/>
      <c r="CV12" s="87"/>
      <c r="CW12" s="90"/>
      <c r="CX12" s="38"/>
      <c r="CY12" s="39"/>
      <c r="CZ12" s="37"/>
      <c r="DA12" s="39"/>
      <c r="DB12" s="24">
        <v>8</v>
      </c>
      <c r="DC12" s="96" t="str">
        <f t="shared" si="38"/>
        <v>火</v>
      </c>
      <c r="DF12" s="125"/>
      <c r="DG12" s="40"/>
      <c r="DH12" s="40"/>
      <c r="DI12" s="40"/>
      <c r="DJ12" s="40"/>
      <c r="DK12" s="40"/>
      <c r="DL12" s="40"/>
      <c r="DM12" s="40"/>
      <c r="DN12" s="40"/>
      <c r="DO12" s="40"/>
      <c r="DP12" s="40">
        <f t="shared" si="39"/>
        <v>0</v>
      </c>
      <c r="DQ12" s="172" t="str">
        <f t="shared" si="40"/>
        <v/>
      </c>
      <c r="DS12" s="189"/>
      <c r="DT12" s="190"/>
      <c r="DU12" s="190"/>
      <c r="DV12" s="191"/>
      <c r="DW12" s="41"/>
      <c r="DX12" s="42"/>
    </row>
    <row r="13" spans="1:132" ht="13.5" customHeight="1" x14ac:dyDescent="0.4">
      <c r="A13" s="104">
        <v>9</v>
      </c>
      <c r="B13" s="23" t="s">
        <v>83</v>
      </c>
      <c r="C13" s="164"/>
      <c r="D13" s="164"/>
      <c r="E13" s="24"/>
      <c r="F13" s="29"/>
      <c r="G13" s="25" t="str">
        <f>IF(SUM($F$5:F13)=0,"",SUM($F$5:F13))</f>
        <v/>
      </c>
      <c r="H13" s="43" t="str">
        <f t="shared" si="0"/>
        <v/>
      </c>
      <c r="I13" s="148" t="e">
        <f t="array" aca="1" ref="I13" ca="1">IF($A14="",$G13/($V13-$U$5+INDIRECT(IF(_xlfn.SHEET()&lt;6,"令和8年"&amp;_xlfn.SHEET()+7&amp;"月","令和9年"&amp;_xlfn.SHEET()-5&amp;"月")&amp;"!$U$5")),$G13/($V14-$U$5))</f>
        <v>#VALUE!</v>
      </c>
      <c r="J13" s="26" t="str">
        <f t="shared" si="1"/>
        <v/>
      </c>
      <c r="K13" s="27"/>
      <c r="L13" s="165">
        <f t="shared" si="2"/>
        <v>0</v>
      </c>
      <c r="M13" s="28" t="str">
        <f t="shared" si="3"/>
        <v/>
      </c>
      <c r="N13" s="166" t="str">
        <f t="shared" si="4"/>
        <v/>
      </c>
      <c r="O13" s="167" t="str">
        <f t="shared" si="5"/>
        <v/>
      </c>
      <c r="P13" s="168"/>
      <c r="Q13" s="169" t="str">
        <f t="shared" si="6"/>
        <v/>
      </c>
      <c r="R13" s="170">
        <v>37</v>
      </c>
      <c r="S13" s="171">
        <v>26</v>
      </c>
      <c r="T13" s="24" t="s">
        <v>84</v>
      </c>
      <c r="U13" s="29">
        <v>376189</v>
      </c>
      <c r="V13" s="30">
        <f t="shared" si="41"/>
        <v>2353250</v>
      </c>
      <c r="W13" s="27">
        <v>154</v>
      </c>
      <c r="X13" s="31">
        <f t="shared" si="7"/>
        <v>2442.7857142857142</v>
      </c>
      <c r="Y13" s="29">
        <v>182214</v>
      </c>
      <c r="Z13" s="32">
        <f t="shared" si="42"/>
        <v>2762578</v>
      </c>
      <c r="AA13" s="33">
        <f t="shared" si="8"/>
        <v>0.85183115191679659</v>
      </c>
      <c r="AB13" s="158">
        <v>200000</v>
      </c>
      <c r="AC13" s="34">
        <f t="shared" si="43"/>
        <v>2600000</v>
      </c>
      <c r="AD13" s="158"/>
      <c r="AE13" s="25"/>
      <c r="AF13" s="25"/>
      <c r="AG13" s="25"/>
      <c r="AH13" s="25"/>
      <c r="AI13" s="25"/>
      <c r="AJ13" s="25"/>
      <c r="AK13" s="25"/>
      <c r="AL13" s="158"/>
      <c r="AM13" s="25"/>
      <c r="AN13" s="158"/>
      <c r="AO13" s="25"/>
      <c r="AP13" s="25"/>
      <c r="AQ13" s="158"/>
      <c r="AR13" s="35">
        <f t="shared" si="9"/>
        <v>0</v>
      </c>
      <c r="AS13" s="172" t="str">
        <f t="shared" si="10"/>
        <v/>
      </c>
      <c r="AT13" s="36">
        <f t="shared" si="11"/>
        <v>0</v>
      </c>
      <c r="AU13" s="173"/>
      <c r="AV13" s="82">
        <f t="shared" si="12"/>
        <v>9</v>
      </c>
      <c r="AW13" s="37"/>
      <c r="AX13" s="174" t="str">
        <f t="shared" si="13"/>
        <v/>
      </c>
      <c r="AY13" s="37"/>
      <c r="AZ13" s="174" t="str">
        <f t="shared" si="14"/>
        <v/>
      </c>
      <c r="BA13" s="37"/>
      <c r="BB13" s="174" t="str">
        <f t="shared" si="15"/>
        <v/>
      </c>
      <c r="BC13" s="37"/>
      <c r="BD13" s="174" t="str">
        <f t="shared" si="16"/>
        <v/>
      </c>
      <c r="BE13" s="37"/>
      <c r="BF13" s="174" t="str">
        <f t="shared" si="17"/>
        <v/>
      </c>
      <c r="BG13" s="37"/>
      <c r="BH13" s="174" t="str">
        <f t="shared" si="18"/>
        <v/>
      </c>
      <c r="BI13" s="37"/>
      <c r="BJ13" s="174" t="str">
        <f t="shared" si="19"/>
        <v/>
      </c>
      <c r="BK13" s="37"/>
      <c r="BL13" s="174" t="str">
        <f t="shared" si="20"/>
        <v/>
      </c>
      <c r="BM13" s="37"/>
      <c r="BN13" s="174" t="str">
        <f t="shared" si="21"/>
        <v/>
      </c>
      <c r="BO13" s="37"/>
      <c r="BP13" s="174" t="str">
        <f t="shared" si="22"/>
        <v/>
      </c>
      <c r="BQ13" s="37"/>
      <c r="BR13" s="174" t="str">
        <f t="shared" si="23"/>
        <v/>
      </c>
      <c r="BS13" s="37"/>
      <c r="BT13" s="174" t="str">
        <f t="shared" si="24"/>
        <v/>
      </c>
      <c r="BU13" s="37"/>
      <c r="BV13" s="174" t="str">
        <f t="shared" si="25"/>
        <v/>
      </c>
      <c r="BW13" s="37"/>
      <c r="BX13" s="174" t="str">
        <f t="shared" si="26"/>
        <v/>
      </c>
      <c r="BY13" s="37"/>
      <c r="BZ13" s="174" t="str">
        <f t="shared" si="27"/>
        <v/>
      </c>
      <c r="CA13" s="37"/>
      <c r="CB13" s="174" t="str">
        <f t="shared" si="28"/>
        <v/>
      </c>
      <c r="CC13" s="37"/>
      <c r="CD13" s="174" t="str">
        <f t="shared" si="29"/>
        <v/>
      </c>
      <c r="CE13" s="37"/>
      <c r="CF13" s="174" t="str">
        <f t="shared" si="30"/>
        <v/>
      </c>
      <c r="CG13" s="37"/>
      <c r="CH13" s="174" t="str">
        <f t="shared" si="31"/>
        <v/>
      </c>
      <c r="CI13" s="37"/>
      <c r="CJ13" s="174" t="str">
        <f t="shared" si="32"/>
        <v/>
      </c>
      <c r="CK13" s="37"/>
      <c r="CL13" s="174" t="str">
        <f t="shared" si="33"/>
        <v/>
      </c>
      <c r="CM13" s="37"/>
      <c r="CN13" s="174" t="str">
        <f t="shared" si="34"/>
        <v/>
      </c>
      <c r="CO13" s="37"/>
      <c r="CP13" s="174" t="str">
        <f t="shared" si="35"/>
        <v/>
      </c>
      <c r="CQ13" s="37"/>
      <c r="CR13" s="174" t="str">
        <f t="shared" si="36"/>
        <v/>
      </c>
      <c r="CS13" s="37"/>
      <c r="CT13" s="174" t="str">
        <f t="shared" si="37"/>
        <v/>
      </c>
      <c r="CU13" s="38"/>
      <c r="CV13" s="87"/>
      <c r="CW13" s="90"/>
      <c r="CX13" s="38"/>
      <c r="CY13" s="39"/>
      <c r="CZ13" s="37"/>
      <c r="DA13" s="39"/>
      <c r="DB13" s="24">
        <v>9</v>
      </c>
      <c r="DC13" s="96" t="str">
        <f t="shared" si="38"/>
        <v>水</v>
      </c>
      <c r="DF13" s="125"/>
      <c r="DG13" s="40"/>
      <c r="DH13" s="40"/>
      <c r="DI13" s="40"/>
      <c r="DJ13" s="40"/>
      <c r="DK13" s="40"/>
      <c r="DL13" s="40"/>
      <c r="DM13" s="40"/>
      <c r="DN13" s="40"/>
      <c r="DO13" s="40"/>
      <c r="DP13" s="40">
        <f t="shared" si="39"/>
        <v>0</v>
      </c>
      <c r="DQ13" s="172" t="str">
        <f t="shared" si="40"/>
        <v/>
      </c>
      <c r="DS13" s="189"/>
      <c r="DT13" s="190"/>
      <c r="DU13" s="190"/>
      <c r="DV13" s="191"/>
      <c r="DW13" s="138"/>
      <c r="DX13" s="42"/>
    </row>
    <row r="14" spans="1:132" ht="13.5" customHeight="1" x14ac:dyDescent="0.4">
      <c r="A14" s="104">
        <v>10</v>
      </c>
      <c r="B14" s="23" t="s">
        <v>85</v>
      </c>
      <c r="C14" s="164"/>
      <c r="D14" s="164"/>
      <c r="E14" s="24"/>
      <c r="F14" s="29"/>
      <c r="G14" s="25" t="str">
        <f>IF(SUM($F$5:F14)=0,"",SUM($F$5:F14))</f>
        <v/>
      </c>
      <c r="H14" s="43" t="str">
        <f t="shared" si="0"/>
        <v/>
      </c>
      <c r="I14" s="148" t="e">
        <f t="array" aca="1" ref="I14" ca="1">IF($A15="",$G14/($V14-$U$5+INDIRECT(IF(_xlfn.SHEET()&lt;6,"令和8年"&amp;_xlfn.SHEET()+7&amp;"月","令和9年"&amp;_xlfn.SHEET()-5&amp;"月")&amp;"!$U$5")),$G14/($V15-$U$5))</f>
        <v>#VALUE!</v>
      </c>
      <c r="J14" s="26" t="str">
        <f t="shared" si="1"/>
        <v/>
      </c>
      <c r="K14" s="27"/>
      <c r="L14" s="165">
        <f t="shared" si="2"/>
        <v>0</v>
      </c>
      <c r="M14" s="28" t="str">
        <f t="shared" si="3"/>
        <v/>
      </c>
      <c r="N14" s="166" t="str">
        <f t="shared" si="4"/>
        <v/>
      </c>
      <c r="O14" s="167" t="str">
        <f t="shared" si="5"/>
        <v/>
      </c>
      <c r="P14" s="168"/>
      <c r="Q14" s="169" t="str">
        <f t="shared" si="6"/>
        <v/>
      </c>
      <c r="R14" s="170">
        <v>34</v>
      </c>
      <c r="S14" s="171">
        <v>26</v>
      </c>
      <c r="T14" s="24" t="s">
        <v>84</v>
      </c>
      <c r="U14" s="29">
        <v>160322</v>
      </c>
      <c r="V14" s="30">
        <f t="shared" si="41"/>
        <v>2513572</v>
      </c>
      <c r="W14" s="27">
        <v>156</v>
      </c>
      <c r="X14" s="31">
        <f t="shared" si="7"/>
        <v>1027.7051282051282</v>
      </c>
      <c r="Y14" s="29">
        <v>200247</v>
      </c>
      <c r="Z14" s="32">
        <f t="shared" si="42"/>
        <v>2962825</v>
      </c>
      <c r="AA14" s="33">
        <f t="shared" si="8"/>
        <v>0.84837005223055695</v>
      </c>
      <c r="AB14" s="158">
        <v>200000</v>
      </c>
      <c r="AC14" s="34">
        <f t="shared" si="43"/>
        <v>2800000</v>
      </c>
      <c r="AD14" s="158"/>
      <c r="AE14" s="25"/>
      <c r="AF14" s="25"/>
      <c r="AG14" s="25"/>
      <c r="AH14" s="25"/>
      <c r="AI14" s="25"/>
      <c r="AJ14" s="25"/>
      <c r="AK14" s="25"/>
      <c r="AL14" s="158"/>
      <c r="AM14" s="25"/>
      <c r="AN14" s="158"/>
      <c r="AO14" s="25"/>
      <c r="AP14" s="25"/>
      <c r="AQ14" s="158"/>
      <c r="AR14" s="35">
        <f t="shared" si="9"/>
        <v>0</v>
      </c>
      <c r="AS14" s="172" t="str">
        <f t="shared" si="10"/>
        <v/>
      </c>
      <c r="AT14" s="36">
        <f t="shared" si="11"/>
        <v>0</v>
      </c>
      <c r="AU14" s="173"/>
      <c r="AV14" s="82">
        <f t="shared" si="12"/>
        <v>10</v>
      </c>
      <c r="AW14" s="37"/>
      <c r="AX14" s="174" t="str">
        <f t="shared" si="13"/>
        <v/>
      </c>
      <c r="AY14" s="37"/>
      <c r="AZ14" s="174" t="str">
        <f t="shared" si="14"/>
        <v/>
      </c>
      <c r="BA14" s="37"/>
      <c r="BB14" s="174" t="str">
        <f t="shared" si="15"/>
        <v/>
      </c>
      <c r="BC14" s="37"/>
      <c r="BD14" s="174" t="str">
        <f t="shared" si="16"/>
        <v/>
      </c>
      <c r="BE14" s="37"/>
      <c r="BF14" s="174" t="str">
        <f t="shared" si="17"/>
        <v/>
      </c>
      <c r="BG14" s="37"/>
      <c r="BH14" s="174" t="str">
        <f t="shared" si="18"/>
        <v/>
      </c>
      <c r="BI14" s="37"/>
      <c r="BJ14" s="174" t="str">
        <f t="shared" si="19"/>
        <v/>
      </c>
      <c r="BK14" s="37"/>
      <c r="BL14" s="174" t="str">
        <f t="shared" si="20"/>
        <v/>
      </c>
      <c r="BM14" s="37"/>
      <c r="BN14" s="174" t="str">
        <f t="shared" si="21"/>
        <v/>
      </c>
      <c r="BO14" s="37"/>
      <c r="BP14" s="174" t="str">
        <f t="shared" si="22"/>
        <v/>
      </c>
      <c r="BQ14" s="37"/>
      <c r="BR14" s="174" t="str">
        <f t="shared" si="23"/>
        <v/>
      </c>
      <c r="BS14" s="37"/>
      <c r="BT14" s="174" t="str">
        <f t="shared" si="24"/>
        <v/>
      </c>
      <c r="BU14" s="37"/>
      <c r="BV14" s="174" t="str">
        <f t="shared" si="25"/>
        <v/>
      </c>
      <c r="BW14" s="37"/>
      <c r="BX14" s="174" t="str">
        <f t="shared" si="26"/>
        <v/>
      </c>
      <c r="BY14" s="37"/>
      <c r="BZ14" s="174" t="str">
        <f t="shared" si="27"/>
        <v/>
      </c>
      <c r="CA14" s="37"/>
      <c r="CB14" s="174" t="str">
        <f t="shared" si="28"/>
        <v/>
      </c>
      <c r="CC14" s="37"/>
      <c r="CD14" s="174" t="str">
        <f t="shared" si="29"/>
        <v/>
      </c>
      <c r="CE14" s="37"/>
      <c r="CF14" s="174" t="str">
        <f t="shared" si="30"/>
        <v/>
      </c>
      <c r="CG14" s="37"/>
      <c r="CH14" s="174" t="str">
        <f t="shared" si="31"/>
        <v/>
      </c>
      <c r="CI14" s="37"/>
      <c r="CJ14" s="174" t="str">
        <f t="shared" si="32"/>
        <v/>
      </c>
      <c r="CK14" s="37"/>
      <c r="CL14" s="174" t="str">
        <f t="shared" si="33"/>
        <v/>
      </c>
      <c r="CM14" s="37"/>
      <c r="CN14" s="174" t="str">
        <f t="shared" si="34"/>
        <v/>
      </c>
      <c r="CO14" s="37"/>
      <c r="CP14" s="174" t="str">
        <f t="shared" si="35"/>
        <v/>
      </c>
      <c r="CQ14" s="37"/>
      <c r="CR14" s="174" t="str">
        <f t="shared" si="36"/>
        <v/>
      </c>
      <c r="CS14" s="37"/>
      <c r="CT14" s="174" t="str">
        <f t="shared" si="37"/>
        <v/>
      </c>
      <c r="CU14" s="38"/>
      <c r="CV14" s="87"/>
      <c r="CW14" s="90"/>
      <c r="CX14" s="38"/>
      <c r="CY14" s="39"/>
      <c r="CZ14" s="37"/>
      <c r="DA14" s="39"/>
      <c r="DB14" s="24">
        <v>10</v>
      </c>
      <c r="DC14" s="96" t="str">
        <f t="shared" si="38"/>
        <v>木</v>
      </c>
      <c r="DF14" s="125"/>
      <c r="DG14" s="40"/>
      <c r="DH14" s="40"/>
      <c r="DI14" s="40"/>
      <c r="DJ14" s="40"/>
      <c r="DK14" s="40"/>
      <c r="DL14" s="40"/>
      <c r="DM14" s="40"/>
      <c r="DN14" s="40"/>
      <c r="DO14" s="40"/>
      <c r="DP14" s="40">
        <f t="shared" si="39"/>
        <v>0</v>
      </c>
      <c r="DQ14" s="172" t="str">
        <f t="shared" si="40"/>
        <v/>
      </c>
      <c r="DS14" s="189"/>
      <c r="DT14" s="190"/>
      <c r="DU14" s="190"/>
      <c r="DV14" s="191"/>
      <c r="DW14" s="41"/>
      <c r="DX14" s="42"/>
    </row>
    <row r="15" spans="1:132" ht="13.5" customHeight="1" x14ac:dyDescent="0.4">
      <c r="A15" s="104">
        <v>11</v>
      </c>
      <c r="B15" s="23" t="s">
        <v>86</v>
      </c>
      <c r="C15" s="164"/>
      <c r="D15" s="164"/>
      <c r="E15" s="24"/>
      <c r="F15" s="29"/>
      <c r="G15" s="25" t="str">
        <f>IF(SUM($F$5:F15)=0,"",SUM($F$5:F15))</f>
        <v/>
      </c>
      <c r="H15" s="43" t="str">
        <f t="shared" si="0"/>
        <v/>
      </c>
      <c r="I15" s="148" t="e">
        <f t="array" aca="1" ref="I15" ca="1">IF($A16="",$G15/($V15-$U$5+INDIRECT(IF(_xlfn.SHEET()&lt;6,"令和8年"&amp;_xlfn.SHEET()+7&amp;"月","令和9年"&amp;_xlfn.SHEET()-5&amp;"月")&amp;"!$U$5")),$G15/($V16-$U$5))</f>
        <v>#VALUE!</v>
      </c>
      <c r="J15" s="26" t="str">
        <f t="shared" si="1"/>
        <v/>
      </c>
      <c r="K15" s="27"/>
      <c r="L15" s="165">
        <f t="shared" si="2"/>
        <v>0</v>
      </c>
      <c r="M15" s="28" t="str">
        <f t="shared" si="3"/>
        <v/>
      </c>
      <c r="N15" s="166" t="str">
        <f t="shared" si="4"/>
        <v/>
      </c>
      <c r="O15" s="167" t="str">
        <f t="shared" si="5"/>
        <v/>
      </c>
      <c r="P15" s="168"/>
      <c r="Q15" s="169" t="str">
        <f t="shared" si="6"/>
        <v/>
      </c>
      <c r="R15" s="170">
        <v>31</v>
      </c>
      <c r="S15" s="171">
        <v>24</v>
      </c>
      <c r="T15" s="24" t="s">
        <v>84</v>
      </c>
      <c r="U15" s="29">
        <v>266360</v>
      </c>
      <c r="V15" s="30">
        <f t="shared" si="41"/>
        <v>2779932</v>
      </c>
      <c r="W15" s="27">
        <v>203</v>
      </c>
      <c r="X15" s="31">
        <f t="shared" si="7"/>
        <v>1312.1182266009853</v>
      </c>
      <c r="Y15" s="29">
        <v>290680</v>
      </c>
      <c r="Z15" s="32">
        <f t="shared" si="42"/>
        <v>3253505</v>
      </c>
      <c r="AA15" s="33">
        <f t="shared" si="8"/>
        <v>0.85444220924818004</v>
      </c>
      <c r="AB15" s="158">
        <v>200000</v>
      </c>
      <c r="AC15" s="34">
        <f t="shared" si="43"/>
        <v>3000000</v>
      </c>
      <c r="AD15" s="158"/>
      <c r="AE15" s="25"/>
      <c r="AF15" s="25"/>
      <c r="AG15" s="25"/>
      <c r="AH15" s="25"/>
      <c r="AI15" s="25"/>
      <c r="AJ15" s="25"/>
      <c r="AK15" s="25"/>
      <c r="AL15" s="158"/>
      <c r="AM15" s="25"/>
      <c r="AN15" s="158"/>
      <c r="AO15" s="25"/>
      <c r="AP15" s="25"/>
      <c r="AQ15" s="158"/>
      <c r="AR15" s="35">
        <f t="shared" si="9"/>
        <v>0</v>
      </c>
      <c r="AS15" s="172" t="str">
        <f t="shared" si="10"/>
        <v/>
      </c>
      <c r="AT15" s="36">
        <f t="shared" si="11"/>
        <v>0</v>
      </c>
      <c r="AU15" s="173"/>
      <c r="AV15" s="82">
        <f t="shared" si="12"/>
        <v>11</v>
      </c>
      <c r="AW15" s="37"/>
      <c r="AX15" s="174" t="str">
        <f t="shared" si="13"/>
        <v/>
      </c>
      <c r="AY15" s="37"/>
      <c r="AZ15" s="174" t="str">
        <f t="shared" si="14"/>
        <v/>
      </c>
      <c r="BA15" s="37"/>
      <c r="BB15" s="174" t="str">
        <f t="shared" si="15"/>
        <v/>
      </c>
      <c r="BC15" s="37"/>
      <c r="BD15" s="174" t="str">
        <f t="shared" si="16"/>
        <v/>
      </c>
      <c r="BE15" s="37"/>
      <c r="BF15" s="174" t="str">
        <f t="shared" si="17"/>
        <v/>
      </c>
      <c r="BG15" s="37"/>
      <c r="BH15" s="174" t="str">
        <f t="shared" si="18"/>
        <v/>
      </c>
      <c r="BI15" s="37"/>
      <c r="BJ15" s="174" t="str">
        <f t="shared" si="19"/>
        <v/>
      </c>
      <c r="BK15" s="37"/>
      <c r="BL15" s="174" t="str">
        <f t="shared" si="20"/>
        <v/>
      </c>
      <c r="BM15" s="37"/>
      <c r="BN15" s="174" t="str">
        <f t="shared" si="21"/>
        <v/>
      </c>
      <c r="BO15" s="37"/>
      <c r="BP15" s="174" t="str">
        <f t="shared" si="22"/>
        <v/>
      </c>
      <c r="BQ15" s="37"/>
      <c r="BR15" s="174" t="str">
        <f t="shared" si="23"/>
        <v/>
      </c>
      <c r="BS15" s="37"/>
      <c r="BT15" s="174" t="str">
        <f t="shared" si="24"/>
        <v/>
      </c>
      <c r="BU15" s="37"/>
      <c r="BV15" s="174" t="str">
        <f t="shared" si="25"/>
        <v/>
      </c>
      <c r="BW15" s="37"/>
      <c r="BX15" s="174" t="str">
        <f t="shared" si="26"/>
        <v/>
      </c>
      <c r="BY15" s="37"/>
      <c r="BZ15" s="174" t="str">
        <f t="shared" si="27"/>
        <v/>
      </c>
      <c r="CA15" s="37"/>
      <c r="CB15" s="174" t="str">
        <f t="shared" si="28"/>
        <v/>
      </c>
      <c r="CC15" s="37"/>
      <c r="CD15" s="174" t="str">
        <f t="shared" si="29"/>
        <v/>
      </c>
      <c r="CE15" s="37"/>
      <c r="CF15" s="174" t="str">
        <f t="shared" si="30"/>
        <v/>
      </c>
      <c r="CG15" s="37"/>
      <c r="CH15" s="174" t="str">
        <f t="shared" si="31"/>
        <v/>
      </c>
      <c r="CI15" s="37"/>
      <c r="CJ15" s="174" t="str">
        <f t="shared" si="32"/>
        <v/>
      </c>
      <c r="CK15" s="37"/>
      <c r="CL15" s="174" t="str">
        <f t="shared" si="33"/>
        <v/>
      </c>
      <c r="CM15" s="37"/>
      <c r="CN15" s="174" t="str">
        <f t="shared" si="34"/>
        <v/>
      </c>
      <c r="CO15" s="37"/>
      <c r="CP15" s="174" t="str">
        <f t="shared" si="35"/>
        <v/>
      </c>
      <c r="CQ15" s="37"/>
      <c r="CR15" s="174" t="str">
        <f t="shared" si="36"/>
        <v/>
      </c>
      <c r="CS15" s="37"/>
      <c r="CT15" s="174" t="str">
        <f t="shared" si="37"/>
        <v/>
      </c>
      <c r="CU15" s="38"/>
      <c r="CV15" s="87"/>
      <c r="CW15" s="90"/>
      <c r="CX15" s="38"/>
      <c r="CY15" s="39"/>
      <c r="CZ15" s="37"/>
      <c r="DA15" s="39"/>
      <c r="DB15" s="24">
        <v>11</v>
      </c>
      <c r="DC15" s="96" t="str">
        <f t="shared" si="38"/>
        <v>金</v>
      </c>
      <c r="DF15" s="125"/>
      <c r="DG15" s="40"/>
      <c r="DH15" s="40"/>
      <c r="DI15" s="40"/>
      <c r="DJ15" s="40"/>
      <c r="DK15" s="40"/>
      <c r="DL15" s="40"/>
      <c r="DM15" s="40"/>
      <c r="DN15" s="40"/>
      <c r="DO15" s="40"/>
      <c r="DP15" s="40">
        <f t="shared" si="39"/>
        <v>0</v>
      </c>
      <c r="DQ15" s="172" t="str">
        <f t="shared" si="40"/>
        <v/>
      </c>
      <c r="DS15" s="189"/>
      <c r="DT15" s="190"/>
      <c r="DU15" s="190"/>
      <c r="DV15" s="191"/>
      <c r="DW15" s="41"/>
      <c r="DX15" s="42"/>
    </row>
    <row r="16" spans="1:132" ht="13.5" customHeight="1" x14ac:dyDescent="0.4">
      <c r="A16" s="104">
        <v>12</v>
      </c>
      <c r="B16" s="23" t="s">
        <v>88</v>
      </c>
      <c r="C16" s="164"/>
      <c r="D16" s="164"/>
      <c r="E16" s="24"/>
      <c r="F16" s="29"/>
      <c r="G16" s="25" t="str">
        <f>IF(SUM($F$5:F16)=0,"",SUM($F$5:F16))</f>
        <v/>
      </c>
      <c r="H16" s="43" t="str">
        <f t="shared" si="0"/>
        <v/>
      </c>
      <c r="I16" s="148" t="e">
        <f t="array" aca="1" ref="I16" ca="1">IF($A17="",$G16/($V16-$U$5+INDIRECT(IF(_xlfn.SHEET()&lt;6,"令和8年"&amp;_xlfn.SHEET()+7&amp;"月","令和9年"&amp;_xlfn.SHEET()-5&amp;"月")&amp;"!$U$5")),$G16/($V17-$U$5))</f>
        <v>#VALUE!</v>
      </c>
      <c r="J16" s="26" t="str">
        <f t="shared" si="1"/>
        <v/>
      </c>
      <c r="K16" s="27"/>
      <c r="L16" s="165">
        <f t="shared" si="2"/>
        <v>0</v>
      </c>
      <c r="M16" s="28" t="str">
        <f t="shared" si="3"/>
        <v/>
      </c>
      <c r="N16" s="166" t="str">
        <f t="shared" si="4"/>
        <v/>
      </c>
      <c r="O16" s="167" t="str">
        <f t="shared" si="5"/>
        <v/>
      </c>
      <c r="P16" s="168"/>
      <c r="Q16" s="169" t="str">
        <f t="shared" si="6"/>
        <v/>
      </c>
      <c r="R16" s="170">
        <v>37</v>
      </c>
      <c r="S16" s="171">
        <v>26</v>
      </c>
      <c r="T16" s="24" t="s">
        <v>94</v>
      </c>
      <c r="U16" s="29">
        <v>237371</v>
      </c>
      <c r="V16" s="30">
        <f t="shared" si="41"/>
        <v>3017303</v>
      </c>
      <c r="W16" s="27">
        <v>165</v>
      </c>
      <c r="X16" s="31">
        <f t="shared" si="7"/>
        <v>1438.6121212121211</v>
      </c>
      <c r="Y16" s="29">
        <v>221379</v>
      </c>
      <c r="Z16" s="32">
        <f t="shared" si="42"/>
        <v>3474884</v>
      </c>
      <c r="AA16" s="33">
        <f t="shared" si="8"/>
        <v>0.86831761866007617</v>
      </c>
      <c r="AB16" s="158">
        <v>600000</v>
      </c>
      <c r="AC16" s="34">
        <f t="shared" si="43"/>
        <v>3600000</v>
      </c>
      <c r="AD16" s="158"/>
      <c r="AE16" s="25"/>
      <c r="AF16" s="25"/>
      <c r="AG16" s="25"/>
      <c r="AH16" s="25"/>
      <c r="AI16" s="25"/>
      <c r="AJ16" s="25"/>
      <c r="AK16" s="25"/>
      <c r="AL16" s="158"/>
      <c r="AM16" s="25"/>
      <c r="AN16" s="158"/>
      <c r="AO16" s="25"/>
      <c r="AP16" s="25"/>
      <c r="AQ16" s="158"/>
      <c r="AR16" s="35">
        <f t="shared" si="9"/>
        <v>0</v>
      </c>
      <c r="AS16" s="172" t="str">
        <f t="shared" si="10"/>
        <v/>
      </c>
      <c r="AT16" s="36">
        <f t="shared" si="11"/>
        <v>0</v>
      </c>
      <c r="AU16" s="173"/>
      <c r="AV16" s="82">
        <f t="shared" si="12"/>
        <v>12</v>
      </c>
      <c r="AW16" s="37"/>
      <c r="AX16" s="174" t="str">
        <f t="shared" si="13"/>
        <v/>
      </c>
      <c r="AY16" s="37"/>
      <c r="AZ16" s="174" t="str">
        <f t="shared" si="14"/>
        <v/>
      </c>
      <c r="BA16" s="37"/>
      <c r="BB16" s="174" t="str">
        <f t="shared" si="15"/>
        <v/>
      </c>
      <c r="BC16" s="37"/>
      <c r="BD16" s="174" t="str">
        <f t="shared" si="16"/>
        <v/>
      </c>
      <c r="BE16" s="37"/>
      <c r="BF16" s="174" t="str">
        <f t="shared" si="17"/>
        <v/>
      </c>
      <c r="BG16" s="37"/>
      <c r="BH16" s="174" t="str">
        <f t="shared" si="18"/>
        <v/>
      </c>
      <c r="BI16" s="37"/>
      <c r="BJ16" s="174" t="str">
        <f t="shared" si="19"/>
        <v/>
      </c>
      <c r="BK16" s="37"/>
      <c r="BL16" s="174" t="str">
        <f t="shared" si="20"/>
        <v/>
      </c>
      <c r="BM16" s="37"/>
      <c r="BN16" s="174" t="str">
        <f t="shared" si="21"/>
        <v/>
      </c>
      <c r="BO16" s="37"/>
      <c r="BP16" s="174" t="str">
        <f t="shared" si="22"/>
        <v/>
      </c>
      <c r="BQ16" s="37"/>
      <c r="BR16" s="174" t="str">
        <f t="shared" si="23"/>
        <v/>
      </c>
      <c r="BS16" s="37"/>
      <c r="BT16" s="174" t="str">
        <f t="shared" si="24"/>
        <v/>
      </c>
      <c r="BU16" s="37"/>
      <c r="BV16" s="174" t="str">
        <f t="shared" si="25"/>
        <v/>
      </c>
      <c r="BW16" s="37"/>
      <c r="BX16" s="174" t="str">
        <f t="shared" si="26"/>
        <v/>
      </c>
      <c r="BY16" s="37"/>
      <c r="BZ16" s="174" t="str">
        <f t="shared" si="27"/>
        <v/>
      </c>
      <c r="CA16" s="37"/>
      <c r="CB16" s="174" t="str">
        <f t="shared" si="28"/>
        <v/>
      </c>
      <c r="CC16" s="37"/>
      <c r="CD16" s="174" t="str">
        <f t="shared" si="29"/>
        <v/>
      </c>
      <c r="CE16" s="37"/>
      <c r="CF16" s="174" t="str">
        <f t="shared" si="30"/>
        <v/>
      </c>
      <c r="CG16" s="37"/>
      <c r="CH16" s="174" t="str">
        <f t="shared" si="31"/>
        <v/>
      </c>
      <c r="CI16" s="37"/>
      <c r="CJ16" s="174" t="str">
        <f t="shared" si="32"/>
        <v/>
      </c>
      <c r="CK16" s="37"/>
      <c r="CL16" s="174" t="str">
        <f t="shared" si="33"/>
        <v/>
      </c>
      <c r="CM16" s="37"/>
      <c r="CN16" s="174" t="str">
        <f t="shared" si="34"/>
        <v/>
      </c>
      <c r="CO16" s="37"/>
      <c r="CP16" s="174" t="str">
        <f t="shared" si="35"/>
        <v/>
      </c>
      <c r="CQ16" s="37"/>
      <c r="CR16" s="174" t="str">
        <f t="shared" si="36"/>
        <v/>
      </c>
      <c r="CS16" s="37"/>
      <c r="CT16" s="174" t="str">
        <f t="shared" si="37"/>
        <v/>
      </c>
      <c r="CU16" s="38"/>
      <c r="CV16" s="87"/>
      <c r="CW16" s="90"/>
      <c r="CX16" s="38"/>
      <c r="CY16" s="39"/>
      <c r="CZ16" s="37"/>
      <c r="DA16" s="39"/>
      <c r="DB16" s="24">
        <v>12</v>
      </c>
      <c r="DC16" s="96" t="str">
        <f t="shared" si="38"/>
        <v>土</v>
      </c>
      <c r="DF16" s="125"/>
      <c r="DG16" s="40"/>
      <c r="DH16" s="40"/>
      <c r="DI16" s="40"/>
      <c r="DJ16" s="40"/>
      <c r="DK16" s="40"/>
      <c r="DL16" s="40"/>
      <c r="DM16" s="40"/>
      <c r="DN16" s="40"/>
      <c r="DO16" s="40"/>
      <c r="DP16" s="40">
        <f t="shared" si="39"/>
        <v>0</v>
      </c>
      <c r="DQ16" s="172" t="str">
        <f t="shared" si="40"/>
        <v/>
      </c>
      <c r="DS16" s="189"/>
      <c r="DT16" s="190"/>
      <c r="DU16" s="190"/>
      <c r="DV16" s="191"/>
      <c r="DW16" s="138"/>
      <c r="DX16" s="42"/>
    </row>
    <row r="17" spans="1:128" ht="13.5" customHeight="1" x14ac:dyDescent="0.4">
      <c r="A17" s="104">
        <v>13</v>
      </c>
      <c r="B17" s="23" t="s">
        <v>89</v>
      </c>
      <c r="C17" s="164"/>
      <c r="D17" s="164"/>
      <c r="E17" s="24"/>
      <c r="F17" s="29"/>
      <c r="G17" s="25" t="str">
        <f>IF(SUM($F$5:F17)=0,"",SUM($F$5:F17))</f>
        <v/>
      </c>
      <c r="H17" s="43" t="str">
        <f t="shared" si="0"/>
        <v/>
      </c>
      <c r="I17" s="148" t="e">
        <f t="array" aca="1" ref="I17" ca="1">IF($A18="",$G17/($V17-$U$5+INDIRECT(IF(_xlfn.SHEET()&lt;6,"令和8年"&amp;_xlfn.SHEET()+7&amp;"月","令和9年"&amp;_xlfn.SHEET()-5&amp;"月")&amp;"!$U$5")),$G17/($V18-$U$5))</f>
        <v>#VALUE!</v>
      </c>
      <c r="J17" s="26" t="str">
        <f t="shared" si="1"/>
        <v/>
      </c>
      <c r="K17" s="27"/>
      <c r="L17" s="165">
        <f t="shared" si="2"/>
        <v>0</v>
      </c>
      <c r="M17" s="28" t="str">
        <f t="shared" si="3"/>
        <v/>
      </c>
      <c r="N17" s="166" t="str">
        <f t="shared" si="4"/>
        <v/>
      </c>
      <c r="O17" s="167" t="str">
        <f t="shared" si="5"/>
        <v/>
      </c>
      <c r="P17" s="168"/>
      <c r="Q17" s="169" t="str">
        <f t="shared" si="6"/>
        <v/>
      </c>
      <c r="R17" s="170">
        <v>36</v>
      </c>
      <c r="S17" s="171">
        <v>25</v>
      </c>
      <c r="T17" s="24" t="s">
        <v>84</v>
      </c>
      <c r="U17" s="29">
        <v>520445</v>
      </c>
      <c r="V17" s="30">
        <f t="shared" si="41"/>
        <v>3537748</v>
      </c>
      <c r="W17" s="27">
        <v>353</v>
      </c>
      <c r="X17" s="31">
        <f t="shared" si="7"/>
        <v>1474.3484419263457</v>
      </c>
      <c r="Y17" s="29">
        <v>162865</v>
      </c>
      <c r="Z17" s="32">
        <f t="shared" si="42"/>
        <v>3637749</v>
      </c>
      <c r="AA17" s="33">
        <f t="shared" si="8"/>
        <v>0.97251019792734461</v>
      </c>
      <c r="AB17" s="158">
        <v>600000</v>
      </c>
      <c r="AC17" s="34">
        <f t="shared" si="43"/>
        <v>4200000</v>
      </c>
      <c r="AD17" s="158"/>
      <c r="AE17" s="25"/>
      <c r="AF17" s="25"/>
      <c r="AG17" s="25"/>
      <c r="AH17" s="25"/>
      <c r="AI17" s="25"/>
      <c r="AJ17" s="25"/>
      <c r="AK17" s="25"/>
      <c r="AL17" s="158"/>
      <c r="AM17" s="25"/>
      <c r="AN17" s="158"/>
      <c r="AO17" s="25"/>
      <c r="AP17" s="25"/>
      <c r="AQ17" s="158"/>
      <c r="AR17" s="35">
        <f t="shared" si="9"/>
        <v>0</v>
      </c>
      <c r="AS17" s="172" t="str">
        <f t="shared" si="10"/>
        <v/>
      </c>
      <c r="AT17" s="36">
        <f t="shared" si="11"/>
        <v>0</v>
      </c>
      <c r="AU17" s="173"/>
      <c r="AV17" s="82">
        <f t="shared" si="12"/>
        <v>13</v>
      </c>
      <c r="AW17" s="37"/>
      <c r="AX17" s="174" t="str">
        <f t="shared" si="13"/>
        <v/>
      </c>
      <c r="AY17" s="37"/>
      <c r="AZ17" s="174" t="str">
        <f t="shared" si="14"/>
        <v/>
      </c>
      <c r="BA17" s="37"/>
      <c r="BB17" s="174" t="str">
        <f t="shared" si="15"/>
        <v/>
      </c>
      <c r="BC17" s="37"/>
      <c r="BD17" s="174" t="str">
        <f t="shared" si="16"/>
        <v/>
      </c>
      <c r="BE17" s="37"/>
      <c r="BF17" s="174" t="str">
        <f t="shared" si="17"/>
        <v/>
      </c>
      <c r="BG17" s="37"/>
      <c r="BH17" s="174" t="str">
        <f t="shared" si="18"/>
        <v/>
      </c>
      <c r="BI17" s="37"/>
      <c r="BJ17" s="174" t="str">
        <f t="shared" si="19"/>
        <v/>
      </c>
      <c r="BK17" s="37"/>
      <c r="BL17" s="174" t="str">
        <f t="shared" si="20"/>
        <v/>
      </c>
      <c r="BM17" s="37"/>
      <c r="BN17" s="174" t="str">
        <f t="shared" si="21"/>
        <v/>
      </c>
      <c r="BO17" s="37"/>
      <c r="BP17" s="174" t="str">
        <f t="shared" si="22"/>
        <v/>
      </c>
      <c r="BQ17" s="37"/>
      <c r="BR17" s="174" t="str">
        <f t="shared" si="23"/>
        <v/>
      </c>
      <c r="BS17" s="37"/>
      <c r="BT17" s="174" t="str">
        <f t="shared" si="24"/>
        <v/>
      </c>
      <c r="BU17" s="37"/>
      <c r="BV17" s="174" t="str">
        <f t="shared" si="25"/>
        <v/>
      </c>
      <c r="BW17" s="37"/>
      <c r="BX17" s="174" t="str">
        <f t="shared" si="26"/>
        <v/>
      </c>
      <c r="BY17" s="37"/>
      <c r="BZ17" s="174" t="str">
        <f t="shared" si="27"/>
        <v/>
      </c>
      <c r="CA17" s="37"/>
      <c r="CB17" s="174" t="str">
        <f t="shared" si="28"/>
        <v/>
      </c>
      <c r="CC17" s="37"/>
      <c r="CD17" s="174" t="str">
        <f t="shared" si="29"/>
        <v/>
      </c>
      <c r="CE17" s="37"/>
      <c r="CF17" s="174" t="str">
        <f t="shared" si="30"/>
        <v/>
      </c>
      <c r="CG17" s="37"/>
      <c r="CH17" s="174" t="str">
        <f t="shared" si="31"/>
        <v/>
      </c>
      <c r="CI17" s="37"/>
      <c r="CJ17" s="174" t="str">
        <f t="shared" si="32"/>
        <v/>
      </c>
      <c r="CK17" s="37"/>
      <c r="CL17" s="174" t="str">
        <f t="shared" si="33"/>
        <v/>
      </c>
      <c r="CM17" s="37"/>
      <c r="CN17" s="174" t="str">
        <f t="shared" si="34"/>
        <v/>
      </c>
      <c r="CO17" s="37"/>
      <c r="CP17" s="174" t="str">
        <f t="shared" si="35"/>
        <v/>
      </c>
      <c r="CQ17" s="37"/>
      <c r="CR17" s="174" t="str">
        <f t="shared" si="36"/>
        <v/>
      </c>
      <c r="CS17" s="37"/>
      <c r="CT17" s="174" t="str">
        <f t="shared" si="37"/>
        <v/>
      </c>
      <c r="CU17" s="38"/>
      <c r="CV17" s="87"/>
      <c r="CW17" s="90"/>
      <c r="CX17" s="38"/>
      <c r="CY17" s="39"/>
      <c r="CZ17" s="37"/>
      <c r="DA17" s="39"/>
      <c r="DB17" s="24">
        <v>13</v>
      </c>
      <c r="DC17" s="96" t="str">
        <f t="shared" si="38"/>
        <v>日</v>
      </c>
      <c r="DF17" s="125"/>
      <c r="DG17" s="40"/>
      <c r="DH17" s="40"/>
      <c r="DI17" s="40"/>
      <c r="DJ17" s="40"/>
      <c r="DK17" s="40"/>
      <c r="DL17" s="40"/>
      <c r="DM17" s="40"/>
      <c r="DN17" s="40"/>
      <c r="DO17" s="40"/>
      <c r="DP17" s="40">
        <f t="shared" si="39"/>
        <v>0</v>
      </c>
      <c r="DQ17" s="172" t="str">
        <f t="shared" si="40"/>
        <v/>
      </c>
      <c r="DS17" s="189"/>
      <c r="DT17" s="190"/>
      <c r="DU17" s="190"/>
      <c r="DV17" s="191"/>
      <c r="DW17" s="41"/>
      <c r="DX17" s="42"/>
    </row>
    <row r="18" spans="1:128" ht="13.5" customHeight="1" x14ac:dyDescent="0.4">
      <c r="A18" s="104">
        <v>14</v>
      </c>
      <c r="B18" s="141" t="s">
        <v>90</v>
      </c>
      <c r="C18" s="164"/>
      <c r="D18" s="164"/>
      <c r="E18" s="24"/>
      <c r="F18" s="29"/>
      <c r="G18" s="25" t="str">
        <f>IF(SUM($F$5:F18)=0,"",SUM($F$5:F18))</f>
        <v/>
      </c>
      <c r="H18" s="43" t="str">
        <f t="shared" si="0"/>
        <v/>
      </c>
      <c r="I18" s="148" t="e">
        <f t="array" aca="1" ref="I18" ca="1">IF($A19="",$G18/($V18-$U$5+INDIRECT(IF(_xlfn.SHEET()&lt;6,"令和8年"&amp;_xlfn.SHEET()+7&amp;"月","令和9年"&amp;_xlfn.SHEET()-5&amp;"月")&amp;"!$U$5")),$G18/($V19-$U$5))</f>
        <v>#VALUE!</v>
      </c>
      <c r="J18" s="26" t="str">
        <f t="shared" si="1"/>
        <v/>
      </c>
      <c r="K18" s="27"/>
      <c r="L18" s="165">
        <f t="shared" si="2"/>
        <v>0</v>
      </c>
      <c r="M18" s="28" t="str">
        <f t="shared" si="3"/>
        <v/>
      </c>
      <c r="N18" s="166" t="str">
        <f t="shared" si="4"/>
        <v/>
      </c>
      <c r="O18" s="167" t="str">
        <f t="shared" si="5"/>
        <v/>
      </c>
      <c r="P18" s="168"/>
      <c r="Q18" s="169" t="str">
        <f t="shared" si="6"/>
        <v/>
      </c>
      <c r="R18" s="170">
        <v>32</v>
      </c>
      <c r="S18" s="171">
        <v>26</v>
      </c>
      <c r="T18" s="24" t="s">
        <v>84</v>
      </c>
      <c r="U18" s="29">
        <v>698592</v>
      </c>
      <c r="V18" s="30">
        <f t="shared" si="41"/>
        <v>4236340</v>
      </c>
      <c r="W18" s="27">
        <v>461</v>
      </c>
      <c r="X18" s="31">
        <f t="shared" si="7"/>
        <v>1515.3839479392625</v>
      </c>
      <c r="Y18" s="29">
        <v>649146</v>
      </c>
      <c r="Z18" s="32">
        <f t="shared" si="42"/>
        <v>4286895</v>
      </c>
      <c r="AA18" s="33">
        <f t="shared" si="8"/>
        <v>0.98820708228216458</v>
      </c>
      <c r="AB18" s="158">
        <v>200000</v>
      </c>
      <c r="AC18" s="34">
        <f t="shared" si="43"/>
        <v>4400000</v>
      </c>
      <c r="AD18" s="158"/>
      <c r="AE18" s="25"/>
      <c r="AF18" s="25"/>
      <c r="AG18" s="25"/>
      <c r="AH18" s="25"/>
      <c r="AI18" s="25"/>
      <c r="AJ18" s="25"/>
      <c r="AK18" s="25"/>
      <c r="AL18" s="158"/>
      <c r="AM18" s="25"/>
      <c r="AN18" s="158"/>
      <c r="AO18" s="25"/>
      <c r="AP18" s="25"/>
      <c r="AQ18" s="158"/>
      <c r="AR18" s="35">
        <f t="shared" si="9"/>
        <v>0</v>
      </c>
      <c r="AS18" s="172" t="str">
        <f t="shared" si="10"/>
        <v/>
      </c>
      <c r="AT18" s="36">
        <f t="shared" si="11"/>
        <v>0</v>
      </c>
      <c r="AU18" s="173"/>
      <c r="AV18" s="82">
        <f t="shared" si="12"/>
        <v>14</v>
      </c>
      <c r="AW18" s="37"/>
      <c r="AX18" s="174" t="str">
        <f t="shared" si="13"/>
        <v/>
      </c>
      <c r="AY18" s="37"/>
      <c r="AZ18" s="174" t="str">
        <f t="shared" si="14"/>
        <v/>
      </c>
      <c r="BA18" s="37"/>
      <c r="BB18" s="174" t="str">
        <f t="shared" si="15"/>
        <v/>
      </c>
      <c r="BC18" s="37"/>
      <c r="BD18" s="174" t="str">
        <f t="shared" si="16"/>
        <v/>
      </c>
      <c r="BE18" s="37"/>
      <c r="BF18" s="174" t="str">
        <f t="shared" si="17"/>
        <v/>
      </c>
      <c r="BG18" s="37"/>
      <c r="BH18" s="174" t="str">
        <f t="shared" si="18"/>
        <v/>
      </c>
      <c r="BI18" s="37"/>
      <c r="BJ18" s="174" t="str">
        <f t="shared" si="19"/>
        <v/>
      </c>
      <c r="BK18" s="37"/>
      <c r="BL18" s="174" t="str">
        <f t="shared" si="20"/>
        <v/>
      </c>
      <c r="BM18" s="37"/>
      <c r="BN18" s="174" t="str">
        <f t="shared" si="21"/>
        <v/>
      </c>
      <c r="BO18" s="37"/>
      <c r="BP18" s="174" t="str">
        <f t="shared" si="22"/>
        <v/>
      </c>
      <c r="BQ18" s="37"/>
      <c r="BR18" s="174" t="str">
        <f t="shared" si="23"/>
        <v/>
      </c>
      <c r="BS18" s="37"/>
      <c r="BT18" s="174" t="str">
        <f t="shared" si="24"/>
        <v/>
      </c>
      <c r="BU18" s="37"/>
      <c r="BV18" s="174" t="str">
        <f t="shared" si="25"/>
        <v/>
      </c>
      <c r="BW18" s="37"/>
      <c r="BX18" s="174" t="str">
        <f t="shared" si="26"/>
        <v/>
      </c>
      <c r="BY18" s="37"/>
      <c r="BZ18" s="174" t="str">
        <f t="shared" si="27"/>
        <v/>
      </c>
      <c r="CA18" s="37"/>
      <c r="CB18" s="174" t="str">
        <f t="shared" si="28"/>
        <v/>
      </c>
      <c r="CC18" s="37"/>
      <c r="CD18" s="174" t="str">
        <f t="shared" si="29"/>
        <v/>
      </c>
      <c r="CE18" s="37"/>
      <c r="CF18" s="174" t="str">
        <f t="shared" si="30"/>
        <v/>
      </c>
      <c r="CG18" s="37"/>
      <c r="CH18" s="174" t="str">
        <f t="shared" si="31"/>
        <v/>
      </c>
      <c r="CI18" s="37"/>
      <c r="CJ18" s="174" t="str">
        <f t="shared" si="32"/>
        <v/>
      </c>
      <c r="CK18" s="37"/>
      <c r="CL18" s="174" t="str">
        <f t="shared" si="33"/>
        <v/>
      </c>
      <c r="CM18" s="37"/>
      <c r="CN18" s="174" t="str">
        <f t="shared" si="34"/>
        <v/>
      </c>
      <c r="CO18" s="37"/>
      <c r="CP18" s="174" t="str">
        <f t="shared" si="35"/>
        <v/>
      </c>
      <c r="CQ18" s="37"/>
      <c r="CR18" s="174" t="str">
        <f t="shared" si="36"/>
        <v/>
      </c>
      <c r="CS18" s="37"/>
      <c r="CT18" s="174" t="str">
        <f t="shared" si="37"/>
        <v/>
      </c>
      <c r="CU18" s="38"/>
      <c r="CV18" s="87"/>
      <c r="CW18" s="90"/>
      <c r="CX18" s="38"/>
      <c r="CY18" s="39"/>
      <c r="CZ18" s="37"/>
      <c r="DA18" s="39"/>
      <c r="DB18" s="24">
        <v>14</v>
      </c>
      <c r="DC18" s="96" t="str">
        <f t="shared" si="38"/>
        <v>月</v>
      </c>
      <c r="DF18" s="125"/>
      <c r="DG18" s="40"/>
      <c r="DH18" s="40"/>
      <c r="DI18" s="40"/>
      <c r="DJ18" s="40"/>
      <c r="DK18" s="40"/>
      <c r="DL18" s="40"/>
      <c r="DM18" s="40"/>
      <c r="DN18" s="40"/>
      <c r="DO18" s="40"/>
      <c r="DP18" s="40">
        <f t="shared" si="39"/>
        <v>0</v>
      </c>
      <c r="DQ18" s="172" t="str">
        <f t="shared" si="40"/>
        <v/>
      </c>
      <c r="DS18" s="189"/>
      <c r="DT18" s="190"/>
      <c r="DU18" s="190"/>
      <c r="DV18" s="191"/>
      <c r="DW18" s="41"/>
      <c r="DX18" s="42"/>
    </row>
    <row r="19" spans="1:128" ht="13.5" customHeight="1" x14ac:dyDescent="0.4">
      <c r="A19" s="104">
        <v>15</v>
      </c>
      <c r="B19" s="23" t="s">
        <v>91</v>
      </c>
      <c r="C19" s="164"/>
      <c r="D19" s="164"/>
      <c r="E19" s="24"/>
      <c r="F19" s="29"/>
      <c r="G19" s="25" t="str">
        <f>IF(SUM($F$5:F19)=0,"",SUM($F$5:F19))</f>
        <v/>
      </c>
      <c r="H19" s="43" t="str">
        <f t="shared" si="0"/>
        <v/>
      </c>
      <c r="I19" s="148" t="e">
        <f t="array" aca="1" ref="I19" ca="1">IF($A20="",$G19/($V19-$U$5+INDIRECT(IF(_xlfn.SHEET()&lt;6,"令和8年"&amp;_xlfn.SHEET()+7&amp;"月","令和9年"&amp;_xlfn.SHEET()-5&amp;"月")&amp;"!$U$5")),$G19/($V20-$U$5))</f>
        <v>#VALUE!</v>
      </c>
      <c r="J19" s="26" t="str">
        <f t="shared" si="1"/>
        <v/>
      </c>
      <c r="K19" s="27"/>
      <c r="L19" s="165">
        <f t="shared" si="2"/>
        <v>0</v>
      </c>
      <c r="M19" s="28" t="str">
        <f t="shared" si="3"/>
        <v/>
      </c>
      <c r="N19" s="166" t="str">
        <f t="shared" si="4"/>
        <v/>
      </c>
      <c r="O19" s="167" t="str">
        <f t="shared" si="5"/>
        <v/>
      </c>
      <c r="P19" s="168"/>
      <c r="Q19" s="169" t="str">
        <f t="shared" si="6"/>
        <v/>
      </c>
      <c r="R19" s="170">
        <v>35</v>
      </c>
      <c r="S19" s="171">
        <v>26</v>
      </c>
      <c r="T19" s="24" t="s">
        <v>84</v>
      </c>
      <c r="U19" s="29">
        <v>629349</v>
      </c>
      <c r="V19" s="30">
        <f t="shared" si="41"/>
        <v>4865689</v>
      </c>
      <c r="W19" s="27">
        <v>384</v>
      </c>
      <c r="X19" s="31">
        <f t="shared" si="7"/>
        <v>1638.9296875</v>
      </c>
      <c r="Y19" s="29">
        <v>836289</v>
      </c>
      <c r="Z19" s="32">
        <f t="shared" si="42"/>
        <v>5123184</v>
      </c>
      <c r="AA19" s="33">
        <f t="shared" si="8"/>
        <v>0.94973926370788164</v>
      </c>
      <c r="AB19" s="158">
        <v>200000</v>
      </c>
      <c r="AC19" s="34">
        <f t="shared" si="43"/>
        <v>4600000</v>
      </c>
      <c r="AD19" s="158"/>
      <c r="AE19" s="25"/>
      <c r="AF19" s="25"/>
      <c r="AG19" s="25"/>
      <c r="AH19" s="25"/>
      <c r="AI19" s="25"/>
      <c r="AJ19" s="25"/>
      <c r="AK19" s="25"/>
      <c r="AL19" s="158"/>
      <c r="AM19" s="25"/>
      <c r="AN19" s="158"/>
      <c r="AO19" s="25"/>
      <c r="AP19" s="25"/>
      <c r="AQ19" s="158"/>
      <c r="AR19" s="35">
        <f t="shared" si="9"/>
        <v>0</v>
      </c>
      <c r="AS19" s="172" t="str">
        <f t="shared" si="10"/>
        <v/>
      </c>
      <c r="AT19" s="36">
        <f t="shared" si="11"/>
        <v>0</v>
      </c>
      <c r="AU19" s="173"/>
      <c r="AV19" s="82">
        <f t="shared" si="12"/>
        <v>15</v>
      </c>
      <c r="AW19" s="37"/>
      <c r="AX19" s="174" t="str">
        <f t="shared" si="13"/>
        <v/>
      </c>
      <c r="AY19" s="37"/>
      <c r="AZ19" s="174" t="str">
        <f t="shared" si="14"/>
        <v/>
      </c>
      <c r="BA19" s="37"/>
      <c r="BB19" s="174" t="str">
        <f t="shared" si="15"/>
        <v/>
      </c>
      <c r="BC19" s="37"/>
      <c r="BD19" s="174" t="str">
        <f t="shared" si="16"/>
        <v/>
      </c>
      <c r="BE19" s="37"/>
      <c r="BF19" s="174" t="str">
        <f t="shared" si="17"/>
        <v/>
      </c>
      <c r="BG19" s="37"/>
      <c r="BH19" s="174" t="str">
        <f t="shared" si="18"/>
        <v/>
      </c>
      <c r="BI19" s="37"/>
      <c r="BJ19" s="174" t="str">
        <f t="shared" si="19"/>
        <v/>
      </c>
      <c r="BK19" s="37"/>
      <c r="BL19" s="174" t="str">
        <f t="shared" si="20"/>
        <v/>
      </c>
      <c r="BM19" s="37"/>
      <c r="BN19" s="174" t="str">
        <f t="shared" si="21"/>
        <v/>
      </c>
      <c r="BO19" s="37"/>
      <c r="BP19" s="174" t="str">
        <f t="shared" si="22"/>
        <v/>
      </c>
      <c r="BQ19" s="37"/>
      <c r="BR19" s="174" t="str">
        <f t="shared" si="23"/>
        <v/>
      </c>
      <c r="BS19" s="37"/>
      <c r="BT19" s="174" t="str">
        <f t="shared" si="24"/>
        <v/>
      </c>
      <c r="BU19" s="37"/>
      <c r="BV19" s="174" t="str">
        <f t="shared" si="25"/>
        <v/>
      </c>
      <c r="BW19" s="37"/>
      <c r="BX19" s="174" t="str">
        <f t="shared" si="26"/>
        <v/>
      </c>
      <c r="BY19" s="37"/>
      <c r="BZ19" s="174" t="str">
        <f t="shared" si="27"/>
        <v/>
      </c>
      <c r="CA19" s="37"/>
      <c r="CB19" s="174" t="str">
        <f t="shared" si="28"/>
        <v/>
      </c>
      <c r="CC19" s="37"/>
      <c r="CD19" s="174" t="str">
        <f t="shared" si="29"/>
        <v/>
      </c>
      <c r="CE19" s="37"/>
      <c r="CF19" s="174" t="str">
        <f t="shared" si="30"/>
        <v/>
      </c>
      <c r="CG19" s="37"/>
      <c r="CH19" s="174" t="str">
        <f t="shared" si="31"/>
        <v/>
      </c>
      <c r="CI19" s="37"/>
      <c r="CJ19" s="174" t="str">
        <f t="shared" si="32"/>
        <v/>
      </c>
      <c r="CK19" s="37"/>
      <c r="CL19" s="174" t="str">
        <f t="shared" si="33"/>
        <v/>
      </c>
      <c r="CM19" s="37"/>
      <c r="CN19" s="174" t="str">
        <f t="shared" si="34"/>
        <v/>
      </c>
      <c r="CO19" s="37"/>
      <c r="CP19" s="174" t="str">
        <f t="shared" si="35"/>
        <v/>
      </c>
      <c r="CQ19" s="37"/>
      <c r="CR19" s="174" t="str">
        <f t="shared" si="36"/>
        <v/>
      </c>
      <c r="CS19" s="37"/>
      <c r="CT19" s="174" t="str">
        <f t="shared" si="37"/>
        <v/>
      </c>
      <c r="CU19" s="38"/>
      <c r="CV19" s="87"/>
      <c r="CW19" s="90"/>
      <c r="CX19" s="38"/>
      <c r="CY19" s="39"/>
      <c r="CZ19" s="37"/>
      <c r="DA19" s="39"/>
      <c r="DB19" s="24">
        <v>15</v>
      </c>
      <c r="DC19" s="96" t="str">
        <f t="shared" si="38"/>
        <v>火</v>
      </c>
      <c r="DF19" s="125"/>
      <c r="DG19" s="40"/>
      <c r="DH19" s="40"/>
      <c r="DI19" s="40"/>
      <c r="DJ19" s="40"/>
      <c r="DK19" s="40"/>
      <c r="DL19" s="40"/>
      <c r="DM19" s="40"/>
      <c r="DN19" s="40"/>
      <c r="DO19" s="40"/>
      <c r="DP19" s="40">
        <f t="shared" si="39"/>
        <v>0</v>
      </c>
      <c r="DQ19" s="172" t="str">
        <f t="shared" si="40"/>
        <v/>
      </c>
      <c r="DS19" s="189"/>
      <c r="DT19" s="190"/>
      <c r="DU19" s="190"/>
      <c r="DV19" s="191"/>
      <c r="DW19" s="138"/>
      <c r="DX19" s="42"/>
    </row>
    <row r="20" spans="1:128" ht="13.5" customHeight="1" x14ac:dyDescent="0.4">
      <c r="A20" s="104">
        <v>16</v>
      </c>
      <c r="B20" s="23" t="s">
        <v>83</v>
      </c>
      <c r="C20" s="164"/>
      <c r="D20" s="164"/>
      <c r="E20" s="24"/>
      <c r="F20" s="29"/>
      <c r="G20" s="25" t="str">
        <f>IF(SUM($F$5:F20)=0,"",SUM($F$5:F20))</f>
        <v/>
      </c>
      <c r="H20" s="43" t="str">
        <f t="shared" si="0"/>
        <v/>
      </c>
      <c r="I20" s="148" t="e">
        <f t="array" aca="1" ref="I20" ca="1">IF($A21="",$G20/($V20-$U$5+INDIRECT(IF(_xlfn.SHEET()&lt;6,"令和8年"&amp;_xlfn.SHEET()+7&amp;"月","令和9年"&amp;_xlfn.SHEET()-5&amp;"月")&amp;"!$U$5")),$G20/($V21-$U$5))</f>
        <v>#VALUE!</v>
      </c>
      <c r="J20" s="26" t="str">
        <f t="shared" si="1"/>
        <v/>
      </c>
      <c r="K20" s="27"/>
      <c r="L20" s="165">
        <f t="shared" si="2"/>
        <v>0</v>
      </c>
      <c r="M20" s="28" t="str">
        <f t="shared" si="3"/>
        <v/>
      </c>
      <c r="N20" s="166" t="str">
        <f t="shared" si="4"/>
        <v/>
      </c>
      <c r="O20" s="167" t="str">
        <f t="shared" si="5"/>
        <v/>
      </c>
      <c r="P20" s="168"/>
      <c r="Q20" s="169" t="str">
        <f t="shared" si="6"/>
        <v/>
      </c>
      <c r="R20" s="170">
        <v>36</v>
      </c>
      <c r="S20" s="171">
        <v>24</v>
      </c>
      <c r="T20" s="24" t="s">
        <v>84</v>
      </c>
      <c r="U20" s="29">
        <v>164929</v>
      </c>
      <c r="V20" s="30">
        <f t="shared" si="41"/>
        <v>5030618</v>
      </c>
      <c r="W20" s="27">
        <v>130</v>
      </c>
      <c r="X20" s="31">
        <f t="shared" si="7"/>
        <v>1268.6846153846154</v>
      </c>
      <c r="Y20" s="29">
        <v>612607</v>
      </c>
      <c r="Z20" s="32">
        <f t="shared" si="42"/>
        <v>5735791</v>
      </c>
      <c r="AA20" s="33">
        <f t="shared" si="8"/>
        <v>0.87705741021595796</v>
      </c>
      <c r="AB20" s="158">
        <v>200000</v>
      </c>
      <c r="AC20" s="34">
        <f t="shared" si="43"/>
        <v>4800000</v>
      </c>
      <c r="AD20" s="158"/>
      <c r="AE20" s="25"/>
      <c r="AF20" s="25"/>
      <c r="AG20" s="25"/>
      <c r="AH20" s="25"/>
      <c r="AI20" s="25"/>
      <c r="AJ20" s="25"/>
      <c r="AK20" s="25"/>
      <c r="AL20" s="158"/>
      <c r="AM20" s="25"/>
      <c r="AN20" s="158"/>
      <c r="AO20" s="25"/>
      <c r="AP20" s="25"/>
      <c r="AQ20" s="158"/>
      <c r="AR20" s="35">
        <f t="shared" si="9"/>
        <v>0</v>
      </c>
      <c r="AS20" s="172" t="str">
        <f t="shared" si="10"/>
        <v/>
      </c>
      <c r="AT20" s="36">
        <f t="shared" si="11"/>
        <v>0</v>
      </c>
      <c r="AU20" s="173"/>
      <c r="AV20" s="82">
        <f t="shared" si="12"/>
        <v>16</v>
      </c>
      <c r="AW20" s="37"/>
      <c r="AX20" s="174" t="str">
        <f t="shared" si="13"/>
        <v/>
      </c>
      <c r="AY20" s="37"/>
      <c r="AZ20" s="174" t="str">
        <f t="shared" si="14"/>
        <v/>
      </c>
      <c r="BA20" s="37"/>
      <c r="BB20" s="174" t="str">
        <f t="shared" si="15"/>
        <v/>
      </c>
      <c r="BC20" s="37"/>
      <c r="BD20" s="174" t="str">
        <f t="shared" si="16"/>
        <v/>
      </c>
      <c r="BE20" s="37"/>
      <c r="BF20" s="174" t="str">
        <f t="shared" si="17"/>
        <v/>
      </c>
      <c r="BG20" s="37"/>
      <c r="BH20" s="174" t="str">
        <f t="shared" si="18"/>
        <v/>
      </c>
      <c r="BI20" s="37"/>
      <c r="BJ20" s="174" t="str">
        <f t="shared" si="19"/>
        <v/>
      </c>
      <c r="BK20" s="37"/>
      <c r="BL20" s="174" t="str">
        <f t="shared" si="20"/>
        <v/>
      </c>
      <c r="BM20" s="37"/>
      <c r="BN20" s="174" t="str">
        <f t="shared" si="21"/>
        <v/>
      </c>
      <c r="BO20" s="37"/>
      <c r="BP20" s="174" t="str">
        <f t="shared" si="22"/>
        <v/>
      </c>
      <c r="BQ20" s="37"/>
      <c r="BR20" s="174" t="str">
        <f t="shared" si="23"/>
        <v/>
      </c>
      <c r="BS20" s="37"/>
      <c r="BT20" s="174" t="str">
        <f t="shared" si="24"/>
        <v/>
      </c>
      <c r="BU20" s="37"/>
      <c r="BV20" s="174" t="str">
        <f t="shared" si="25"/>
        <v/>
      </c>
      <c r="BW20" s="37"/>
      <c r="BX20" s="174" t="str">
        <f t="shared" si="26"/>
        <v/>
      </c>
      <c r="BY20" s="37"/>
      <c r="BZ20" s="174" t="str">
        <f t="shared" si="27"/>
        <v/>
      </c>
      <c r="CA20" s="37"/>
      <c r="CB20" s="174" t="str">
        <f t="shared" si="28"/>
        <v/>
      </c>
      <c r="CC20" s="37"/>
      <c r="CD20" s="174" t="str">
        <f t="shared" si="29"/>
        <v/>
      </c>
      <c r="CE20" s="37"/>
      <c r="CF20" s="174" t="str">
        <f t="shared" si="30"/>
        <v/>
      </c>
      <c r="CG20" s="37"/>
      <c r="CH20" s="174" t="str">
        <f t="shared" si="31"/>
        <v/>
      </c>
      <c r="CI20" s="37"/>
      <c r="CJ20" s="174" t="str">
        <f t="shared" si="32"/>
        <v/>
      </c>
      <c r="CK20" s="37"/>
      <c r="CL20" s="174" t="str">
        <f t="shared" si="33"/>
        <v/>
      </c>
      <c r="CM20" s="37"/>
      <c r="CN20" s="174" t="str">
        <f t="shared" si="34"/>
        <v/>
      </c>
      <c r="CO20" s="37"/>
      <c r="CP20" s="174" t="str">
        <f t="shared" si="35"/>
        <v/>
      </c>
      <c r="CQ20" s="37"/>
      <c r="CR20" s="174" t="str">
        <f t="shared" si="36"/>
        <v/>
      </c>
      <c r="CS20" s="37"/>
      <c r="CT20" s="174" t="str">
        <f t="shared" si="37"/>
        <v/>
      </c>
      <c r="CU20" s="38"/>
      <c r="CV20" s="87"/>
      <c r="CW20" s="90"/>
      <c r="CX20" s="38"/>
      <c r="CY20" s="39"/>
      <c r="CZ20" s="37"/>
      <c r="DA20" s="39"/>
      <c r="DB20" s="24">
        <v>16</v>
      </c>
      <c r="DC20" s="96" t="str">
        <f t="shared" si="38"/>
        <v>水</v>
      </c>
      <c r="DF20" s="125"/>
      <c r="DG20" s="40"/>
      <c r="DH20" s="40"/>
      <c r="DI20" s="40"/>
      <c r="DJ20" s="40"/>
      <c r="DK20" s="40"/>
      <c r="DL20" s="40"/>
      <c r="DM20" s="40"/>
      <c r="DN20" s="40"/>
      <c r="DO20" s="40"/>
      <c r="DP20" s="40">
        <f t="shared" si="39"/>
        <v>0</v>
      </c>
      <c r="DQ20" s="172" t="str">
        <f t="shared" si="40"/>
        <v/>
      </c>
      <c r="DS20" s="189"/>
      <c r="DT20" s="190"/>
      <c r="DU20" s="190"/>
      <c r="DV20" s="191"/>
      <c r="DW20" s="41"/>
      <c r="DX20" s="42"/>
    </row>
    <row r="21" spans="1:128" ht="13.5" customHeight="1" x14ac:dyDescent="0.4">
      <c r="A21" s="104">
        <v>17</v>
      </c>
      <c r="B21" s="23" t="s">
        <v>85</v>
      </c>
      <c r="C21" s="164"/>
      <c r="D21" s="164"/>
      <c r="E21" s="24"/>
      <c r="F21" s="29"/>
      <c r="G21" s="25" t="str">
        <f>IF(SUM($F$5:F21)=0,"",SUM($F$5:F21))</f>
        <v/>
      </c>
      <c r="H21" s="43" t="str">
        <f t="shared" si="0"/>
        <v/>
      </c>
      <c r="I21" s="148" t="e">
        <f t="array" aca="1" ref="I21" ca="1">IF($A22="",$G21/($V21-$U$5+INDIRECT(IF(_xlfn.SHEET()&lt;6,"令和8年"&amp;_xlfn.SHEET()+7&amp;"月","令和9年"&amp;_xlfn.SHEET()-5&amp;"月")&amp;"!$U$5")),$G21/($V22-$U$5))</f>
        <v>#VALUE!</v>
      </c>
      <c r="J21" s="26" t="str">
        <f t="shared" si="1"/>
        <v/>
      </c>
      <c r="K21" s="27"/>
      <c r="L21" s="165">
        <f t="shared" si="2"/>
        <v>0</v>
      </c>
      <c r="M21" s="28" t="str">
        <f t="shared" si="3"/>
        <v/>
      </c>
      <c r="N21" s="166" t="str">
        <f t="shared" si="4"/>
        <v/>
      </c>
      <c r="O21" s="167" t="str">
        <f t="shared" si="5"/>
        <v/>
      </c>
      <c r="P21" s="168"/>
      <c r="Q21" s="169" t="str">
        <f t="shared" si="6"/>
        <v/>
      </c>
      <c r="R21" s="170">
        <v>34</v>
      </c>
      <c r="S21" s="171">
        <v>24</v>
      </c>
      <c r="T21" s="24" t="s">
        <v>84</v>
      </c>
      <c r="U21" s="29">
        <v>210239</v>
      </c>
      <c r="V21" s="30">
        <f t="shared" si="41"/>
        <v>5240857</v>
      </c>
      <c r="W21" s="27">
        <v>161</v>
      </c>
      <c r="X21" s="31">
        <f t="shared" si="7"/>
        <v>1305.8322981366459</v>
      </c>
      <c r="Y21" s="29">
        <v>184941</v>
      </c>
      <c r="Z21" s="32">
        <f t="shared" si="42"/>
        <v>5920732</v>
      </c>
      <c r="AA21" s="33">
        <f t="shared" si="8"/>
        <v>0.88517044851886562</v>
      </c>
      <c r="AB21" s="158">
        <v>200000</v>
      </c>
      <c r="AC21" s="34">
        <f t="shared" si="43"/>
        <v>5000000</v>
      </c>
      <c r="AD21" s="158"/>
      <c r="AE21" s="25"/>
      <c r="AF21" s="25"/>
      <c r="AG21" s="25"/>
      <c r="AH21" s="25"/>
      <c r="AI21" s="25"/>
      <c r="AJ21" s="25"/>
      <c r="AK21" s="25"/>
      <c r="AL21" s="158"/>
      <c r="AM21" s="25"/>
      <c r="AN21" s="158"/>
      <c r="AO21" s="25"/>
      <c r="AP21" s="25"/>
      <c r="AQ21" s="158"/>
      <c r="AR21" s="35">
        <f t="shared" si="9"/>
        <v>0</v>
      </c>
      <c r="AS21" s="172" t="str">
        <f t="shared" si="10"/>
        <v/>
      </c>
      <c r="AT21" s="36">
        <f t="shared" si="11"/>
        <v>0</v>
      </c>
      <c r="AU21" s="173"/>
      <c r="AV21" s="82">
        <f t="shared" si="12"/>
        <v>17</v>
      </c>
      <c r="AW21" s="37"/>
      <c r="AX21" s="174" t="str">
        <f t="shared" si="13"/>
        <v/>
      </c>
      <c r="AY21" s="37"/>
      <c r="AZ21" s="174" t="str">
        <f t="shared" si="14"/>
        <v/>
      </c>
      <c r="BA21" s="37"/>
      <c r="BB21" s="174" t="str">
        <f t="shared" si="15"/>
        <v/>
      </c>
      <c r="BC21" s="37"/>
      <c r="BD21" s="174" t="str">
        <f t="shared" si="16"/>
        <v/>
      </c>
      <c r="BE21" s="37"/>
      <c r="BF21" s="174" t="str">
        <f t="shared" si="17"/>
        <v/>
      </c>
      <c r="BG21" s="37"/>
      <c r="BH21" s="174" t="str">
        <f t="shared" si="18"/>
        <v/>
      </c>
      <c r="BI21" s="37"/>
      <c r="BJ21" s="174" t="str">
        <f t="shared" si="19"/>
        <v/>
      </c>
      <c r="BK21" s="37"/>
      <c r="BL21" s="174" t="str">
        <f t="shared" si="20"/>
        <v/>
      </c>
      <c r="BM21" s="37"/>
      <c r="BN21" s="174" t="str">
        <f t="shared" si="21"/>
        <v/>
      </c>
      <c r="BO21" s="37"/>
      <c r="BP21" s="174" t="str">
        <f t="shared" si="22"/>
        <v/>
      </c>
      <c r="BQ21" s="37"/>
      <c r="BR21" s="174" t="str">
        <f t="shared" si="23"/>
        <v/>
      </c>
      <c r="BS21" s="37"/>
      <c r="BT21" s="174" t="str">
        <f t="shared" si="24"/>
        <v/>
      </c>
      <c r="BU21" s="37"/>
      <c r="BV21" s="174" t="str">
        <f t="shared" si="25"/>
        <v/>
      </c>
      <c r="BW21" s="37"/>
      <c r="BX21" s="174" t="str">
        <f t="shared" si="26"/>
        <v/>
      </c>
      <c r="BY21" s="37"/>
      <c r="BZ21" s="174" t="str">
        <f t="shared" si="27"/>
        <v/>
      </c>
      <c r="CA21" s="37"/>
      <c r="CB21" s="174" t="str">
        <f t="shared" si="28"/>
        <v/>
      </c>
      <c r="CC21" s="37"/>
      <c r="CD21" s="174" t="str">
        <f t="shared" si="29"/>
        <v/>
      </c>
      <c r="CE21" s="37"/>
      <c r="CF21" s="174" t="str">
        <f t="shared" si="30"/>
        <v/>
      </c>
      <c r="CG21" s="37"/>
      <c r="CH21" s="174" t="str">
        <f t="shared" si="31"/>
        <v/>
      </c>
      <c r="CI21" s="37"/>
      <c r="CJ21" s="174" t="str">
        <f t="shared" si="32"/>
        <v/>
      </c>
      <c r="CK21" s="37"/>
      <c r="CL21" s="174" t="str">
        <f t="shared" si="33"/>
        <v/>
      </c>
      <c r="CM21" s="37"/>
      <c r="CN21" s="174" t="str">
        <f t="shared" si="34"/>
        <v/>
      </c>
      <c r="CO21" s="37"/>
      <c r="CP21" s="174" t="str">
        <f t="shared" si="35"/>
        <v/>
      </c>
      <c r="CQ21" s="37"/>
      <c r="CR21" s="174" t="str">
        <f t="shared" si="36"/>
        <v/>
      </c>
      <c r="CS21" s="37"/>
      <c r="CT21" s="174" t="str">
        <f t="shared" si="37"/>
        <v/>
      </c>
      <c r="CU21" s="38"/>
      <c r="CV21" s="87"/>
      <c r="CW21" s="90"/>
      <c r="CX21" s="38"/>
      <c r="CY21" s="39"/>
      <c r="CZ21" s="37"/>
      <c r="DA21" s="39"/>
      <c r="DB21" s="24">
        <v>17</v>
      </c>
      <c r="DC21" s="96" t="str">
        <f t="shared" si="38"/>
        <v>木</v>
      </c>
      <c r="DF21" s="125"/>
      <c r="DG21" s="40"/>
      <c r="DH21" s="40"/>
      <c r="DI21" s="40"/>
      <c r="DJ21" s="40"/>
      <c r="DK21" s="40"/>
      <c r="DL21" s="40"/>
      <c r="DM21" s="40"/>
      <c r="DN21" s="40"/>
      <c r="DO21" s="40"/>
      <c r="DP21" s="40">
        <f t="shared" si="39"/>
        <v>0</v>
      </c>
      <c r="DQ21" s="172" t="str">
        <f t="shared" si="40"/>
        <v/>
      </c>
      <c r="DS21" s="189"/>
      <c r="DT21" s="190"/>
      <c r="DU21" s="190"/>
      <c r="DV21" s="191"/>
      <c r="DW21" s="41"/>
      <c r="DX21" s="42"/>
    </row>
    <row r="22" spans="1:128" ht="13.5" customHeight="1" x14ac:dyDescent="0.4">
      <c r="A22" s="104">
        <v>18</v>
      </c>
      <c r="B22" s="23" t="s">
        <v>86</v>
      </c>
      <c r="C22" s="164"/>
      <c r="D22" s="164"/>
      <c r="E22" s="24"/>
      <c r="F22" s="29"/>
      <c r="G22" s="25" t="str">
        <f>IF(SUM($F$5:F22)=0,"",SUM($F$5:F22))</f>
        <v/>
      </c>
      <c r="H22" s="43" t="str">
        <f t="shared" si="0"/>
        <v/>
      </c>
      <c r="I22" s="148" t="e">
        <f t="array" aca="1" ref="I22" ca="1">IF($A23="",$G22/($V22-$U$5+INDIRECT(IF(_xlfn.SHEET()&lt;6,"令和8年"&amp;_xlfn.SHEET()+7&amp;"月","令和9年"&amp;_xlfn.SHEET()-5&amp;"月")&amp;"!$U$5")),$G22/($V23-$U$5))</f>
        <v>#VALUE!</v>
      </c>
      <c r="J22" s="26" t="str">
        <f t="shared" si="1"/>
        <v/>
      </c>
      <c r="K22" s="27"/>
      <c r="L22" s="165">
        <f t="shared" si="2"/>
        <v>0</v>
      </c>
      <c r="M22" s="28" t="str">
        <f t="shared" si="3"/>
        <v/>
      </c>
      <c r="N22" s="166" t="str">
        <f t="shared" si="4"/>
        <v/>
      </c>
      <c r="O22" s="167" t="str">
        <f t="shared" si="5"/>
        <v/>
      </c>
      <c r="P22" s="168"/>
      <c r="Q22" s="169" t="str">
        <f t="shared" si="6"/>
        <v/>
      </c>
      <c r="R22" s="170">
        <v>32</v>
      </c>
      <c r="S22" s="171">
        <v>23</v>
      </c>
      <c r="T22" s="24" t="s">
        <v>109</v>
      </c>
      <c r="U22" s="29">
        <v>136399</v>
      </c>
      <c r="V22" s="30">
        <f t="shared" si="41"/>
        <v>5377256</v>
      </c>
      <c r="W22" s="27">
        <v>104</v>
      </c>
      <c r="X22" s="31">
        <f t="shared" si="7"/>
        <v>1311.5288461538462</v>
      </c>
      <c r="Y22" s="29">
        <v>203171</v>
      </c>
      <c r="Z22" s="32">
        <f t="shared" si="42"/>
        <v>6123903</v>
      </c>
      <c r="AA22" s="33">
        <f t="shared" si="8"/>
        <v>0.87807661225202294</v>
      </c>
      <c r="AB22" s="158">
        <v>200000</v>
      </c>
      <c r="AC22" s="34">
        <f t="shared" si="43"/>
        <v>5200000</v>
      </c>
      <c r="AD22" s="158"/>
      <c r="AE22" s="25"/>
      <c r="AF22" s="25"/>
      <c r="AG22" s="25"/>
      <c r="AH22" s="25"/>
      <c r="AI22" s="25"/>
      <c r="AJ22" s="25"/>
      <c r="AK22" s="25"/>
      <c r="AL22" s="158"/>
      <c r="AM22" s="25"/>
      <c r="AN22" s="158"/>
      <c r="AO22" s="25"/>
      <c r="AP22" s="25"/>
      <c r="AQ22" s="158"/>
      <c r="AR22" s="35">
        <f t="shared" si="9"/>
        <v>0</v>
      </c>
      <c r="AS22" s="172" t="str">
        <f t="shared" si="10"/>
        <v/>
      </c>
      <c r="AT22" s="36">
        <f t="shared" si="11"/>
        <v>0</v>
      </c>
      <c r="AU22" s="173"/>
      <c r="AV22" s="82">
        <f t="shared" si="12"/>
        <v>18</v>
      </c>
      <c r="AW22" s="37"/>
      <c r="AX22" s="174" t="str">
        <f t="shared" si="13"/>
        <v/>
      </c>
      <c r="AY22" s="37"/>
      <c r="AZ22" s="174" t="str">
        <f t="shared" si="14"/>
        <v/>
      </c>
      <c r="BA22" s="37"/>
      <c r="BB22" s="174" t="str">
        <f t="shared" si="15"/>
        <v/>
      </c>
      <c r="BC22" s="37"/>
      <c r="BD22" s="174" t="str">
        <f t="shared" si="16"/>
        <v/>
      </c>
      <c r="BE22" s="37"/>
      <c r="BF22" s="174" t="str">
        <f t="shared" si="17"/>
        <v/>
      </c>
      <c r="BG22" s="37"/>
      <c r="BH22" s="174" t="str">
        <f t="shared" si="18"/>
        <v/>
      </c>
      <c r="BI22" s="37"/>
      <c r="BJ22" s="174" t="str">
        <f t="shared" si="19"/>
        <v/>
      </c>
      <c r="BK22" s="37"/>
      <c r="BL22" s="174" t="str">
        <f t="shared" si="20"/>
        <v/>
      </c>
      <c r="BM22" s="37"/>
      <c r="BN22" s="174" t="str">
        <f t="shared" si="21"/>
        <v/>
      </c>
      <c r="BO22" s="37"/>
      <c r="BP22" s="174" t="str">
        <f t="shared" si="22"/>
        <v/>
      </c>
      <c r="BQ22" s="37"/>
      <c r="BR22" s="174" t="str">
        <f t="shared" si="23"/>
        <v/>
      </c>
      <c r="BS22" s="37"/>
      <c r="BT22" s="174" t="str">
        <f t="shared" si="24"/>
        <v/>
      </c>
      <c r="BU22" s="37"/>
      <c r="BV22" s="174" t="str">
        <f t="shared" si="25"/>
        <v/>
      </c>
      <c r="BW22" s="37"/>
      <c r="BX22" s="174" t="str">
        <f t="shared" si="26"/>
        <v/>
      </c>
      <c r="BY22" s="37"/>
      <c r="BZ22" s="174" t="str">
        <f t="shared" si="27"/>
        <v/>
      </c>
      <c r="CA22" s="37"/>
      <c r="CB22" s="174" t="str">
        <f t="shared" si="28"/>
        <v/>
      </c>
      <c r="CC22" s="37"/>
      <c r="CD22" s="174" t="str">
        <f t="shared" si="29"/>
        <v/>
      </c>
      <c r="CE22" s="37"/>
      <c r="CF22" s="174" t="str">
        <f t="shared" si="30"/>
        <v/>
      </c>
      <c r="CG22" s="37"/>
      <c r="CH22" s="174" t="str">
        <f t="shared" si="31"/>
        <v/>
      </c>
      <c r="CI22" s="37"/>
      <c r="CJ22" s="174" t="str">
        <f t="shared" si="32"/>
        <v/>
      </c>
      <c r="CK22" s="37"/>
      <c r="CL22" s="174" t="str">
        <f t="shared" si="33"/>
        <v/>
      </c>
      <c r="CM22" s="37"/>
      <c r="CN22" s="174" t="str">
        <f t="shared" si="34"/>
        <v/>
      </c>
      <c r="CO22" s="37"/>
      <c r="CP22" s="174" t="str">
        <f t="shared" si="35"/>
        <v/>
      </c>
      <c r="CQ22" s="37"/>
      <c r="CR22" s="174" t="str">
        <f t="shared" si="36"/>
        <v/>
      </c>
      <c r="CS22" s="37"/>
      <c r="CT22" s="174" t="str">
        <f t="shared" si="37"/>
        <v/>
      </c>
      <c r="CU22" s="38"/>
      <c r="CV22" s="87"/>
      <c r="CW22" s="90"/>
      <c r="CX22" s="38"/>
      <c r="CY22" s="39"/>
      <c r="CZ22" s="37"/>
      <c r="DA22" s="39"/>
      <c r="DB22" s="24">
        <v>18</v>
      </c>
      <c r="DC22" s="96" t="str">
        <f t="shared" si="38"/>
        <v>金</v>
      </c>
      <c r="DF22" s="125"/>
      <c r="DG22" s="40"/>
      <c r="DH22" s="40"/>
      <c r="DI22" s="40"/>
      <c r="DJ22" s="40"/>
      <c r="DK22" s="40"/>
      <c r="DL22" s="40"/>
      <c r="DM22" s="40"/>
      <c r="DN22" s="40"/>
      <c r="DO22" s="40"/>
      <c r="DP22" s="40">
        <f t="shared" si="39"/>
        <v>0</v>
      </c>
      <c r="DQ22" s="172" t="str">
        <f t="shared" si="40"/>
        <v/>
      </c>
      <c r="DS22" s="189"/>
      <c r="DT22" s="190"/>
      <c r="DU22" s="190"/>
      <c r="DV22" s="191"/>
      <c r="DW22" s="138"/>
      <c r="DX22" s="42"/>
    </row>
    <row r="23" spans="1:128" ht="13.5" customHeight="1" x14ac:dyDescent="0.4">
      <c r="A23" s="104">
        <v>19</v>
      </c>
      <c r="B23" s="23" t="s">
        <v>88</v>
      </c>
      <c r="C23" s="164"/>
      <c r="D23" s="164"/>
      <c r="E23" s="24"/>
      <c r="F23" s="29"/>
      <c r="G23" s="25" t="str">
        <f>IF(SUM($F$5:F23)=0,"",SUM($F$5:F23))</f>
        <v/>
      </c>
      <c r="H23" s="43" t="str">
        <f t="shared" si="0"/>
        <v/>
      </c>
      <c r="I23" s="148" t="e">
        <f t="array" aca="1" ref="I23" ca="1">IF($A24="",$G23/($V23-$U$5+INDIRECT(IF(_xlfn.SHEET()&lt;6,"令和8年"&amp;_xlfn.SHEET()+7&amp;"月","令和9年"&amp;_xlfn.SHEET()-5&amp;"月")&amp;"!$U$5")),$G23/($V24-$U$5))</f>
        <v>#VALUE!</v>
      </c>
      <c r="J23" s="26" t="str">
        <f t="shared" si="1"/>
        <v/>
      </c>
      <c r="K23" s="27"/>
      <c r="L23" s="165">
        <f t="shared" si="2"/>
        <v>0</v>
      </c>
      <c r="M23" s="28" t="str">
        <f t="shared" si="3"/>
        <v/>
      </c>
      <c r="N23" s="166" t="str">
        <f t="shared" si="4"/>
        <v/>
      </c>
      <c r="O23" s="167" t="str">
        <f t="shared" si="5"/>
        <v/>
      </c>
      <c r="P23" s="168"/>
      <c r="Q23" s="169" t="str">
        <f t="shared" si="6"/>
        <v/>
      </c>
      <c r="R23" s="170">
        <v>33</v>
      </c>
      <c r="S23" s="171">
        <v>22</v>
      </c>
      <c r="T23" s="24" t="s">
        <v>84</v>
      </c>
      <c r="U23" s="29">
        <v>255714</v>
      </c>
      <c r="V23" s="30">
        <f t="shared" si="41"/>
        <v>5632970</v>
      </c>
      <c r="W23" s="27">
        <v>166</v>
      </c>
      <c r="X23" s="31">
        <f t="shared" si="7"/>
        <v>1540.4457831325301</v>
      </c>
      <c r="Y23" s="29">
        <v>137564</v>
      </c>
      <c r="Z23" s="32">
        <f t="shared" si="42"/>
        <v>6261467</v>
      </c>
      <c r="AA23" s="33">
        <f t="shared" si="8"/>
        <v>0.89962464067925296</v>
      </c>
      <c r="AB23" s="158">
        <v>700000</v>
      </c>
      <c r="AC23" s="34">
        <f t="shared" si="43"/>
        <v>5900000</v>
      </c>
      <c r="AD23" s="158"/>
      <c r="AE23" s="25"/>
      <c r="AF23" s="25"/>
      <c r="AG23" s="25"/>
      <c r="AH23" s="25"/>
      <c r="AI23" s="25"/>
      <c r="AJ23" s="25"/>
      <c r="AK23" s="25"/>
      <c r="AL23" s="158"/>
      <c r="AM23" s="25"/>
      <c r="AN23" s="158"/>
      <c r="AO23" s="25"/>
      <c r="AP23" s="25"/>
      <c r="AQ23" s="158"/>
      <c r="AR23" s="35">
        <f t="shared" si="9"/>
        <v>0</v>
      </c>
      <c r="AS23" s="172" t="str">
        <f t="shared" si="10"/>
        <v/>
      </c>
      <c r="AT23" s="36">
        <f t="shared" si="11"/>
        <v>0</v>
      </c>
      <c r="AU23" s="173"/>
      <c r="AV23" s="82">
        <f t="shared" si="12"/>
        <v>19</v>
      </c>
      <c r="AW23" s="37"/>
      <c r="AX23" s="174" t="str">
        <f t="shared" si="13"/>
        <v/>
      </c>
      <c r="AY23" s="37"/>
      <c r="AZ23" s="174" t="str">
        <f t="shared" si="14"/>
        <v/>
      </c>
      <c r="BA23" s="37"/>
      <c r="BB23" s="174" t="str">
        <f t="shared" si="15"/>
        <v/>
      </c>
      <c r="BC23" s="37"/>
      <c r="BD23" s="174" t="str">
        <f t="shared" si="16"/>
        <v/>
      </c>
      <c r="BE23" s="37"/>
      <c r="BF23" s="174" t="str">
        <f t="shared" si="17"/>
        <v/>
      </c>
      <c r="BG23" s="37"/>
      <c r="BH23" s="174" t="str">
        <f t="shared" si="18"/>
        <v/>
      </c>
      <c r="BI23" s="37"/>
      <c r="BJ23" s="174" t="str">
        <f t="shared" si="19"/>
        <v/>
      </c>
      <c r="BK23" s="37"/>
      <c r="BL23" s="174" t="str">
        <f t="shared" si="20"/>
        <v/>
      </c>
      <c r="BM23" s="37"/>
      <c r="BN23" s="174" t="str">
        <f t="shared" si="21"/>
        <v/>
      </c>
      <c r="BO23" s="37"/>
      <c r="BP23" s="174" t="str">
        <f t="shared" si="22"/>
        <v/>
      </c>
      <c r="BQ23" s="37"/>
      <c r="BR23" s="174" t="str">
        <f t="shared" si="23"/>
        <v/>
      </c>
      <c r="BS23" s="37"/>
      <c r="BT23" s="174" t="str">
        <f t="shared" si="24"/>
        <v/>
      </c>
      <c r="BU23" s="37"/>
      <c r="BV23" s="174" t="str">
        <f t="shared" si="25"/>
        <v/>
      </c>
      <c r="BW23" s="37"/>
      <c r="BX23" s="174" t="str">
        <f t="shared" si="26"/>
        <v/>
      </c>
      <c r="BY23" s="37"/>
      <c r="BZ23" s="174" t="str">
        <f t="shared" si="27"/>
        <v/>
      </c>
      <c r="CA23" s="37"/>
      <c r="CB23" s="174" t="str">
        <f t="shared" si="28"/>
        <v/>
      </c>
      <c r="CC23" s="37"/>
      <c r="CD23" s="174" t="str">
        <f t="shared" si="29"/>
        <v/>
      </c>
      <c r="CE23" s="37"/>
      <c r="CF23" s="174" t="str">
        <f t="shared" si="30"/>
        <v/>
      </c>
      <c r="CG23" s="37"/>
      <c r="CH23" s="174" t="str">
        <f t="shared" si="31"/>
        <v/>
      </c>
      <c r="CI23" s="37"/>
      <c r="CJ23" s="174" t="str">
        <f t="shared" si="32"/>
        <v/>
      </c>
      <c r="CK23" s="37"/>
      <c r="CL23" s="174" t="str">
        <f t="shared" si="33"/>
        <v/>
      </c>
      <c r="CM23" s="37"/>
      <c r="CN23" s="174" t="str">
        <f t="shared" si="34"/>
        <v/>
      </c>
      <c r="CO23" s="37"/>
      <c r="CP23" s="174" t="str">
        <f t="shared" si="35"/>
        <v/>
      </c>
      <c r="CQ23" s="37"/>
      <c r="CR23" s="174" t="str">
        <f t="shared" si="36"/>
        <v/>
      </c>
      <c r="CS23" s="37"/>
      <c r="CT23" s="174" t="str">
        <f t="shared" si="37"/>
        <v/>
      </c>
      <c r="CU23" s="38"/>
      <c r="CV23" s="87"/>
      <c r="CW23" s="90"/>
      <c r="CX23" s="38"/>
      <c r="CY23" s="39"/>
      <c r="CZ23" s="37"/>
      <c r="DA23" s="39"/>
      <c r="DB23" s="24">
        <v>19</v>
      </c>
      <c r="DC23" s="96" t="str">
        <f t="shared" si="38"/>
        <v>土</v>
      </c>
      <c r="DF23" s="125"/>
      <c r="DG23" s="40"/>
      <c r="DH23" s="40"/>
      <c r="DI23" s="40"/>
      <c r="DJ23" s="40"/>
      <c r="DK23" s="40"/>
      <c r="DL23" s="40"/>
      <c r="DM23" s="40"/>
      <c r="DN23" s="40"/>
      <c r="DO23" s="40"/>
      <c r="DP23" s="40">
        <f t="shared" si="39"/>
        <v>0</v>
      </c>
      <c r="DQ23" s="172" t="str">
        <f t="shared" si="40"/>
        <v/>
      </c>
      <c r="DS23" s="189"/>
      <c r="DT23" s="190"/>
      <c r="DU23" s="190"/>
      <c r="DV23" s="191"/>
      <c r="DW23" s="41"/>
      <c r="DX23" s="42"/>
    </row>
    <row r="24" spans="1:128" ht="13.5" customHeight="1" x14ac:dyDescent="0.4">
      <c r="A24" s="104">
        <v>20</v>
      </c>
      <c r="B24" s="23" t="s">
        <v>89</v>
      </c>
      <c r="C24" s="164"/>
      <c r="D24" s="164"/>
      <c r="E24" s="24"/>
      <c r="F24" s="29"/>
      <c r="G24" s="25" t="str">
        <f>IF(SUM($F$5:F24)=0,"",SUM($F$5:F24))</f>
        <v/>
      </c>
      <c r="H24" s="43" t="str">
        <f t="shared" si="0"/>
        <v/>
      </c>
      <c r="I24" s="148" t="e">
        <f t="array" aca="1" ref="I24" ca="1">IF($A25="",$G24/($V24-$U$5+INDIRECT(IF(_xlfn.SHEET()&lt;6,"令和8年"&amp;_xlfn.SHEET()+7&amp;"月","令和9年"&amp;_xlfn.SHEET()-5&amp;"月")&amp;"!$U$5")),$G24/($V25-$U$5))</f>
        <v>#VALUE!</v>
      </c>
      <c r="J24" s="26" t="str">
        <f t="shared" si="1"/>
        <v/>
      </c>
      <c r="K24" s="27"/>
      <c r="L24" s="165">
        <f t="shared" si="2"/>
        <v>0</v>
      </c>
      <c r="M24" s="28" t="str">
        <f t="shared" si="3"/>
        <v/>
      </c>
      <c r="N24" s="166" t="str">
        <f t="shared" si="4"/>
        <v/>
      </c>
      <c r="O24" s="167" t="str">
        <f t="shared" si="5"/>
        <v/>
      </c>
      <c r="P24" s="168"/>
      <c r="Q24" s="169" t="str">
        <f t="shared" si="6"/>
        <v/>
      </c>
      <c r="R24" s="170">
        <v>32</v>
      </c>
      <c r="S24" s="171">
        <v>25</v>
      </c>
      <c r="T24" s="24" t="s">
        <v>94</v>
      </c>
      <c r="U24" s="29">
        <v>547804</v>
      </c>
      <c r="V24" s="30">
        <f t="shared" si="41"/>
        <v>6180774</v>
      </c>
      <c r="W24" s="27">
        <v>392</v>
      </c>
      <c r="X24" s="31">
        <f t="shared" si="7"/>
        <v>1397.4591836734694</v>
      </c>
      <c r="Y24" s="29">
        <v>174642</v>
      </c>
      <c r="Z24" s="32">
        <f t="shared" si="42"/>
        <v>6436109</v>
      </c>
      <c r="AA24" s="33">
        <f t="shared" si="8"/>
        <v>0.96032773838976315</v>
      </c>
      <c r="AB24" s="158">
        <v>700000</v>
      </c>
      <c r="AC24" s="34">
        <f t="shared" si="43"/>
        <v>6600000</v>
      </c>
      <c r="AD24" s="158"/>
      <c r="AE24" s="25"/>
      <c r="AF24" s="25"/>
      <c r="AG24" s="25"/>
      <c r="AH24" s="25"/>
      <c r="AI24" s="25"/>
      <c r="AJ24" s="25"/>
      <c r="AK24" s="25"/>
      <c r="AL24" s="158"/>
      <c r="AM24" s="25"/>
      <c r="AN24" s="158"/>
      <c r="AO24" s="25"/>
      <c r="AP24" s="25"/>
      <c r="AQ24" s="158"/>
      <c r="AR24" s="35">
        <f t="shared" si="9"/>
        <v>0</v>
      </c>
      <c r="AS24" s="172" t="str">
        <f t="shared" si="10"/>
        <v/>
      </c>
      <c r="AT24" s="36">
        <f t="shared" si="11"/>
        <v>0</v>
      </c>
      <c r="AU24" s="173"/>
      <c r="AV24" s="82">
        <f t="shared" si="12"/>
        <v>20</v>
      </c>
      <c r="AW24" s="37"/>
      <c r="AX24" s="174" t="str">
        <f t="shared" si="13"/>
        <v/>
      </c>
      <c r="AY24" s="37"/>
      <c r="AZ24" s="174" t="str">
        <f t="shared" si="14"/>
        <v/>
      </c>
      <c r="BA24" s="37"/>
      <c r="BB24" s="174" t="str">
        <f t="shared" si="15"/>
        <v/>
      </c>
      <c r="BC24" s="37"/>
      <c r="BD24" s="174" t="str">
        <f t="shared" si="16"/>
        <v/>
      </c>
      <c r="BE24" s="37"/>
      <c r="BF24" s="174" t="str">
        <f t="shared" si="17"/>
        <v/>
      </c>
      <c r="BG24" s="37"/>
      <c r="BH24" s="174" t="str">
        <f t="shared" si="18"/>
        <v/>
      </c>
      <c r="BI24" s="37"/>
      <c r="BJ24" s="174" t="str">
        <f t="shared" si="19"/>
        <v/>
      </c>
      <c r="BK24" s="37"/>
      <c r="BL24" s="174" t="str">
        <f t="shared" si="20"/>
        <v/>
      </c>
      <c r="BM24" s="37"/>
      <c r="BN24" s="174" t="str">
        <f t="shared" si="21"/>
        <v/>
      </c>
      <c r="BO24" s="37"/>
      <c r="BP24" s="174" t="str">
        <f t="shared" si="22"/>
        <v/>
      </c>
      <c r="BQ24" s="37"/>
      <c r="BR24" s="174" t="str">
        <f t="shared" si="23"/>
        <v/>
      </c>
      <c r="BS24" s="37"/>
      <c r="BT24" s="174" t="str">
        <f t="shared" si="24"/>
        <v/>
      </c>
      <c r="BU24" s="37"/>
      <c r="BV24" s="174" t="str">
        <f t="shared" si="25"/>
        <v/>
      </c>
      <c r="BW24" s="37"/>
      <c r="BX24" s="174" t="str">
        <f t="shared" si="26"/>
        <v/>
      </c>
      <c r="BY24" s="37"/>
      <c r="BZ24" s="174" t="str">
        <f t="shared" si="27"/>
        <v/>
      </c>
      <c r="CA24" s="37"/>
      <c r="CB24" s="174" t="str">
        <f t="shared" si="28"/>
        <v/>
      </c>
      <c r="CC24" s="37"/>
      <c r="CD24" s="174" t="str">
        <f t="shared" si="29"/>
        <v/>
      </c>
      <c r="CE24" s="37"/>
      <c r="CF24" s="174" t="str">
        <f t="shared" si="30"/>
        <v/>
      </c>
      <c r="CG24" s="37"/>
      <c r="CH24" s="174" t="str">
        <f t="shared" si="31"/>
        <v/>
      </c>
      <c r="CI24" s="37"/>
      <c r="CJ24" s="174" t="str">
        <f t="shared" si="32"/>
        <v/>
      </c>
      <c r="CK24" s="37"/>
      <c r="CL24" s="174" t="str">
        <f t="shared" si="33"/>
        <v/>
      </c>
      <c r="CM24" s="37"/>
      <c r="CN24" s="174" t="str">
        <f t="shared" si="34"/>
        <v/>
      </c>
      <c r="CO24" s="37"/>
      <c r="CP24" s="174" t="str">
        <f t="shared" si="35"/>
        <v/>
      </c>
      <c r="CQ24" s="37"/>
      <c r="CR24" s="174" t="str">
        <f t="shared" si="36"/>
        <v/>
      </c>
      <c r="CS24" s="37"/>
      <c r="CT24" s="174" t="str">
        <f t="shared" si="37"/>
        <v/>
      </c>
      <c r="CU24" s="38"/>
      <c r="CV24" s="87"/>
      <c r="CW24" s="90"/>
      <c r="CX24" s="38"/>
      <c r="CY24" s="39"/>
      <c r="CZ24" s="37"/>
      <c r="DA24" s="39"/>
      <c r="DB24" s="24">
        <v>20</v>
      </c>
      <c r="DC24" s="96" t="str">
        <f t="shared" si="38"/>
        <v>日</v>
      </c>
      <c r="DF24" s="125"/>
      <c r="DG24" s="40"/>
      <c r="DH24" s="40"/>
      <c r="DI24" s="40"/>
      <c r="DJ24" s="40"/>
      <c r="DK24" s="40"/>
      <c r="DL24" s="40"/>
      <c r="DM24" s="40"/>
      <c r="DN24" s="40"/>
      <c r="DO24" s="40"/>
      <c r="DP24" s="40">
        <f t="shared" si="39"/>
        <v>0</v>
      </c>
      <c r="DQ24" s="172" t="str">
        <f t="shared" si="40"/>
        <v/>
      </c>
      <c r="DS24" s="189"/>
      <c r="DT24" s="190"/>
      <c r="DU24" s="190"/>
      <c r="DV24" s="191"/>
      <c r="DW24" s="41"/>
      <c r="DX24" s="42"/>
    </row>
    <row r="25" spans="1:128" ht="13.5" customHeight="1" x14ac:dyDescent="0.4">
      <c r="A25" s="104">
        <v>21</v>
      </c>
      <c r="B25" s="140" t="s">
        <v>90</v>
      </c>
      <c r="C25" s="164"/>
      <c r="D25" s="164"/>
      <c r="E25" s="24"/>
      <c r="F25" s="29"/>
      <c r="G25" s="25" t="str">
        <f>IF(SUM($F$5:F25)=0,"",SUM($F$5:F25))</f>
        <v/>
      </c>
      <c r="H25" s="43" t="str">
        <f t="shared" si="0"/>
        <v/>
      </c>
      <c r="I25" s="148" t="e">
        <f t="array" aca="1" ref="I25" ca="1">IF($A26="",$G25/($V25-$U$5+INDIRECT(IF(_xlfn.SHEET()&lt;6,"令和8年"&amp;_xlfn.SHEET()+7&amp;"月","令和9年"&amp;_xlfn.SHEET()-5&amp;"月")&amp;"!$U$5")),$G25/($V26-$U$5))</f>
        <v>#VALUE!</v>
      </c>
      <c r="J25" s="26" t="str">
        <f t="shared" si="1"/>
        <v/>
      </c>
      <c r="K25" s="27"/>
      <c r="L25" s="165">
        <f t="shared" si="2"/>
        <v>0</v>
      </c>
      <c r="M25" s="28" t="str">
        <f t="shared" si="3"/>
        <v/>
      </c>
      <c r="N25" s="166" t="str">
        <f t="shared" si="4"/>
        <v/>
      </c>
      <c r="O25" s="167" t="str">
        <f t="shared" si="5"/>
        <v/>
      </c>
      <c r="P25" s="168"/>
      <c r="Q25" s="169" t="str">
        <f t="shared" si="6"/>
        <v/>
      </c>
      <c r="R25" s="170">
        <v>29</v>
      </c>
      <c r="S25" s="171">
        <v>20</v>
      </c>
      <c r="T25" s="24" t="s">
        <v>84</v>
      </c>
      <c r="U25" s="29">
        <v>860642</v>
      </c>
      <c r="V25" s="30">
        <f t="shared" si="41"/>
        <v>7041416</v>
      </c>
      <c r="W25" s="27">
        <v>528</v>
      </c>
      <c r="X25" s="31">
        <f t="shared" si="7"/>
        <v>1630.003787878788</v>
      </c>
      <c r="Y25" s="29">
        <v>511477</v>
      </c>
      <c r="Z25" s="32">
        <f t="shared" si="42"/>
        <v>6947586</v>
      </c>
      <c r="AA25" s="33">
        <f t="shared" si="8"/>
        <v>1.0135054103684358</v>
      </c>
      <c r="AB25" s="158">
        <v>700000</v>
      </c>
      <c r="AC25" s="34">
        <f t="shared" si="43"/>
        <v>7300000</v>
      </c>
      <c r="AD25" s="158"/>
      <c r="AE25" s="25"/>
      <c r="AF25" s="25"/>
      <c r="AG25" s="25"/>
      <c r="AH25" s="25"/>
      <c r="AI25" s="25"/>
      <c r="AJ25" s="25"/>
      <c r="AK25" s="25"/>
      <c r="AL25" s="158"/>
      <c r="AM25" s="25"/>
      <c r="AN25" s="158"/>
      <c r="AO25" s="25"/>
      <c r="AP25" s="25"/>
      <c r="AQ25" s="158"/>
      <c r="AR25" s="35">
        <f t="shared" si="9"/>
        <v>0</v>
      </c>
      <c r="AS25" s="172" t="str">
        <f t="shared" si="10"/>
        <v/>
      </c>
      <c r="AT25" s="36">
        <f t="shared" si="11"/>
        <v>0</v>
      </c>
      <c r="AU25" s="173"/>
      <c r="AV25" s="82">
        <f t="shared" si="12"/>
        <v>21</v>
      </c>
      <c r="AW25" s="37"/>
      <c r="AX25" s="174" t="str">
        <f t="shared" si="13"/>
        <v/>
      </c>
      <c r="AY25" s="37"/>
      <c r="AZ25" s="174" t="str">
        <f t="shared" si="14"/>
        <v/>
      </c>
      <c r="BA25" s="37"/>
      <c r="BB25" s="174" t="str">
        <f t="shared" si="15"/>
        <v/>
      </c>
      <c r="BC25" s="37"/>
      <c r="BD25" s="174" t="str">
        <f t="shared" si="16"/>
        <v/>
      </c>
      <c r="BE25" s="37"/>
      <c r="BF25" s="174" t="str">
        <f t="shared" si="17"/>
        <v/>
      </c>
      <c r="BG25" s="37"/>
      <c r="BH25" s="174" t="str">
        <f t="shared" si="18"/>
        <v/>
      </c>
      <c r="BI25" s="37"/>
      <c r="BJ25" s="174" t="str">
        <f t="shared" si="19"/>
        <v/>
      </c>
      <c r="BK25" s="37"/>
      <c r="BL25" s="174" t="str">
        <f t="shared" si="20"/>
        <v/>
      </c>
      <c r="BM25" s="37"/>
      <c r="BN25" s="174" t="str">
        <f t="shared" si="21"/>
        <v/>
      </c>
      <c r="BO25" s="37"/>
      <c r="BP25" s="174" t="str">
        <f t="shared" si="22"/>
        <v/>
      </c>
      <c r="BQ25" s="37"/>
      <c r="BR25" s="174" t="str">
        <f t="shared" si="23"/>
        <v/>
      </c>
      <c r="BS25" s="37"/>
      <c r="BT25" s="174" t="str">
        <f t="shared" si="24"/>
        <v/>
      </c>
      <c r="BU25" s="37"/>
      <c r="BV25" s="174" t="str">
        <f t="shared" si="25"/>
        <v/>
      </c>
      <c r="BW25" s="37"/>
      <c r="BX25" s="174" t="str">
        <f t="shared" si="26"/>
        <v/>
      </c>
      <c r="BY25" s="37"/>
      <c r="BZ25" s="174" t="str">
        <f t="shared" si="27"/>
        <v/>
      </c>
      <c r="CA25" s="37"/>
      <c r="CB25" s="174" t="str">
        <f t="shared" si="28"/>
        <v/>
      </c>
      <c r="CC25" s="37"/>
      <c r="CD25" s="174" t="str">
        <f t="shared" si="29"/>
        <v/>
      </c>
      <c r="CE25" s="37"/>
      <c r="CF25" s="174" t="str">
        <f t="shared" si="30"/>
        <v/>
      </c>
      <c r="CG25" s="37"/>
      <c r="CH25" s="174" t="str">
        <f t="shared" si="31"/>
        <v/>
      </c>
      <c r="CI25" s="37"/>
      <c r="CJ25" s="174" t="str">
        <f t="shared" si="32"/>
        <v/>
      </c>
      <c r="CK25" s="37"/>
      <c r="CL25" s="174" t="str">
        <f t="shared" si="33"/>
        <v/>
      </c>
      <c r="CM25" s="37"/>
      <c r="CN25" s="174" t="str">
        <f t="shared" si="34"/>
        <v/>
      </c>
      <c r="CO25" s="37"/>
      <c r="CP25" s="174" t="str">
        <f t="shared" si="35"/>
        <v/>
      </c>
      <c r="CQ25" s="37"/>
      <c r="CR25" s="174" t="str">
        <f t="shared" si="36"/>
        <v/>
      </c>
      <c r="CS25" s="37"/>
      <c r="CT25" s="174" t="str">
        <f t="shared" si="37"/>
        <v/>
      </c>
      <c r="CU25" s="38"/>
      <c r="CV25" s="87"/>
      <c r="CW25" s="90"/>
      <c r="CX25" s="38"/>
      <c r="CY25" s="39"/>
      <c r="CZ25" s="37"/>
      <c r="DA25" s="39"/>
      <c r="DB25" s="24">
        <v>21</v>
      </c>
      <c r="DC25" s="96" t="str">
        <f t="shared" si="38"/>
        <v>月</v>
      </c>
      <c r="DF25" s="125"/>
      <c r="DG25" s="40"/>
      <c r="DH25" s="40"/>
      <c r="DI25" s="40"/>
      <c r="DJ25" s="40"/>
      <c r="DK25" s="40"/>
      <c r="DL25" s="40"/>
      <c r="DM25" s="40"/>
      <c r="DN25" s="40"/>
      <c r="DO25" s="40"/>
      <c r="DP25" s="40">
        <f t="shared" si="39"/>
        <v>0</v>
      </c>
      <c r="DQ25" s="172" t="str">
        <f t="shared" si="40"/>
        <v/>
      </c>
      <c r="DS25" s="189"/>
      <c r="DT25" s="190"/>
      <c r="DU25" s="190"/>
      <c r="DV25" s="191"/>
      <c r="DW25" s="138"/>
      <c r="DX25" s="42"/>
    </row>
    <row r="26" spans="1:128" ht="13.5" customHeight="1" x14ac:dyDescent="0.4">
      <c r="A26" s="104">
        <v>22</v>
      </c>
      <c r="B26" s="140" t="s">
        <v>91</v>
      </c>
      <c r="C26" s="164"/>
      <c r="D26" s="164"/>
      <c r="E26" s="24"/>
      <c r="F26" s="29"/>
      <c r="G26" s="25" t="str">
        <f>IF(SUM($F$5:F26)=0,"",SUM($F$5:F26))</f>
        <v/>
      </c>
      <c r="H26" s="43" t="str">
        <f t="shared" si="0"/>
        <v/>
      </c>
      <c r="I26" s="148" t="e">
        <f t="array" aca="1" ref="I26" ca="1">IF($A27="",$G26/($V26-$U$5+INDIRECT(IF(_xlfn.SHEET()&lt;6,"令和8年"&amp;_xlfn.SHEET()+7&amp;"月","令和9年"&amp;_xlfn.SHEET()-5&amp;"月")&amp;"!$U$5")),$G26/($V27-$U$5))</f>
        <v>#VALUE!</v>
      </c>
      <c r="J26" s="26" t="str">
        <f t="shared" si="1"/>
        <v/>
      </c>
      <c r="K26" s="27"/>
      <c r="L26" s="165">
        <f t="shared" si="2"/>
        <v>0</v>
      </c>
      <c r="M26" s="28" t="str">
        <f t="shared" si="3"/>
        <v/>
      </c>
      <c r="N26" s="166" t="str">
        <f t="shared" si="4"/>
        <v/>
      </c>
      <c r="O26" s="167" t="str">
        <f t="shared" si="5"/>
        <v/>
      </c>
      <c r="P26" s="168"/>
      <c r="Q26" s="169" t="str">
        <f t="shared" si="6"/>
        <v/>
      </c>
      <c r="R26" s="170">
        <v>32</v>
      </c>
      <c r="S26" s="171">
        <v>24</v>
      </c>
      <c r="T26" s="24" t="s">
        <v>84</v>
      </c>
      <c r="U26" s="29">
        <v>222320</v>
      </c>
      <c r="V26" s="30">
        <f t="shared" si="41"/>
        <v>7263736</v>
      </c>
      <c r="W26" s="27">
        <v>142</v>
      </c>
      <c r="X26" s="31">
        <f t="shared" si="7"/>
        <v>1565.6338028169014</v>
      </c>
      <c r="Y26" s="29">
        <v>906568</v>
      </c>
      <c r="Z26" s="32">
        <f t="shared" si="42"/>
        <v>7854154</v>
      </c>
      <c r="AA26" s="33">
        <f t="shared" si="8"/>
        <v>0.92482729521218965</v>
      </c>
      <c r="AB26" s="158">
        <v>700000</v>
      </c>
      <c r="AC26" s="34">
        <f t="shared" si="43"/>
        <v>8000000</v>
      </c>
      <c r="AD26" s="158"/>
      <c r="AE26" s="25"/>
      <c r="AF26" s="25"/>
      <c r="AG26" s="25"/>
      <c r="AH26" s="25"/>
      <c r="AI26" s="25"/>
      <c r="AJ26" s="25"/>
      <c r="AK26" s="25"/>
      <c r="AL26" s="158"/>
      <c r="AM26" s="25"/>
      <c r="AN26" s="158"/>
      <c r="AO26" s="25"/>
      <c r="AP26" s="25"/>
      <c r="AQ26" s="158"/>
      <c r="AR26" s="35">
        <f t="shared" si="9"/>
        <v>0</v>
      </c>
      <c r="AS26" s="172" t="str">
        <f t="shared" si="10"/>
        <v/>
      </c>
      <c r="AT26" s="36">
        <f t="shared" si="11"/>
        <v>0</v>
      </c>
      <c r="AU26" s="173"/>
      <c r="AV26" s="82">
        <f t="shared" si="12"/>
        <v>22</v>
      </c>
      <c r="AW26" s="37"/>
      <c r="AX26" s="174" t="str">
        <f t="shared" si="13"/>
        <v/>
      </c>
      <c r="AY26" s="37"/>
      <c r="AZ26" s="174" t="str">
        <f t="shared" si="14"/>
        <v/>
      </c>
      <c r="BA26" s="37"/>
      <c r="BB26" s="174" t="str">
        <f t="shared" si="15"/>
        <v/>
      </c>
      <c r="BC26" s="37"/>
      <c r="BD26" s="174" t="str">
        <f t="shared" si="16"/>
        <v/>
      </c>
      <c r="BE26" s="37"/>
      <c r="BF26" s="174" t="str">
        <f t="shared" si="17"/>
        <v/>
      </c>
      <c r="BG26" s="37"/>
      <c r="BH26" s="174" t="str">
        <f t="shared" si="18"/>
        <v/>
      </c>
      <c r="BI26" s="37"/>
      <c r="BJ26" s="174" t="str">
        <f t="shared" si="19"/>
        <v/>
      </c>
      <c r="BK26" s="37"/>
      <c r="BL26" s="174" t="str">
        <f t="shared" si="20"/>
        <v/>
      </c>
      <c r="BM26" s="37"/>
      <c r="BN26" s="174" t="str">
        <f t="shared" si="21"/>
        <v/>
      </c>
      <c r="BO26" s="37"/>
      <c r="BP26" s="174" t="str">
        <f t="shared" si="22"/>
        <v/>
      </c>
      <c r="BQ26" s="37"/>
      <c r="BR26" s="174" t="str">
        <f t="shared" si="23"/>
        <v/>
      </c>
      <c r="BS26" s="37"/>
      <c r="BT26" s="174" t="str">
        <f t="shared" si="24"/>
        <v/>
      </c>
      <c r="BU26" s="37"/>
      <c r="BV26" s="174" t="str">
        <f t="shared" si="25"/>
        <v/>
      </c>
      <c r="BW26" s="37"/>
      <c r="BX26" s="174" t="str">
        <f t="shared" si="26"/>
        <v/>
      </c>
      <c r="BY26" s="37"/>
      <c r="BZ26" s="174" t="str">
        <f t="shared" si="27"/>
        <v/>
      </c>
      <c r="CA26" s="37"/>
      <c r="CB26" s="174" t="str">
        <f t="shared" si="28"/>
        <v/>
      </c>
      <c r="CC26" s="37"/>
      <c r="CD26" s="174" t="str">
        <f t="shared" si="29"/>
        <v/>
      </c>
      <c r="CE26" s="37"/>
      <c r="CF26" s="174" t="str">
        <f t="shared" si="30"/>
        <v/>
      </c>
      <c r="CG26" s="37"/>
      <c r="CH26" s="174" t="str">
        <f t="shared" si="31"/>
        <v/>
      </c>
      <c r="CI26" s="37"/>
      <c r="CJ26" s="174" t="str">
        <f t="shared" si="32"/>
        <v/>
      </c>
      <c r="CK26" s="37"/>
      <c r="CL26" s="174" t="str">
        <f t="shared" si="33"/>
        <v/>
      </c>
      <c r="CM26" s="37"/>
      <c r="CN26" s="174" t="str">
        <f t="shared" si="34"/>
        <v/>
      </c>
      <c r="CO26" s="37"/>
      <c r="CP26" s="174" t="str">
        <f t="shared" si="35"/>
        <v/>
      </c>
      <c r="CQ26" s="37"/>
      <c r="CR26" s="174" t="str">
        <f t="shared" si="36"/>
        <v/>
      </c>
      <c r="CS26" s="37"/>
      <c r="CT26" s="174" t="str">
        <f t="shared" si="37"/>
        <v/>
      </c>
      <c r="CU26" s="38"/>
      <c r="CV26" s="87"/>
      <c r="CW26" s="90"/>
      <c r="CX26" s="38"/>
      <c r="CY26" s="39"/>
      <c r="CZ26" s="37"/>
      <c r="DA26" s="39"/>
      <c r="DB26" s="24">
        <v>22</v>
      </c>
      <c r="DC26" s="96" t="str">
        <f t="shared" si="38"/>
        <v>火</v>
      </c>
      <c r="DF26" s="125"/>
      <c r="DG26" s="40"/>
      <c r="DH26" s="40"/>
      <c r="DI26" s="40"/>
      <c r="DJ26" s="40"/>
      <c r="DK26" s="40"/>
      <c r="DL26" s="40"/>
      <c r="DM26" s="40"/>
      <c r="DN26" s="40"/>
      <c r="DO26" s="40"/>
      <c r="DP26" s="40">
        <f t="shared" si="39"/>
        <v>0</v>
      </c>
      <c r="DQ26" s="172" t="str">
        <f t="shared" si="40"/>
        <v/>
      </c>
      <c r="DS26" s="189"/>
      <c r="DT26" s="190"/>
      <c r="DU26" s="190"/>
      <c r="DV26" s="191"/>
      <c r="DW26" s="41"/>
      <c r="DX26" s="42"/>
    </row>
    <row r="27" spans="1:128" ht="13.5" customHeight="1" x14ac:dyDescent="0.4">
      <c r="A27" s="104">
        <v>23</v>
      </c>
      <c r="B27" s="140" t="s">
        <v>83</v>
      </c>
      <c r="C27" s="164"/>
      <c r="D27" s="164"/>
      <c r="E27" s="24"/>
      <c r="F27" s="29"/>
      <c r="G27" s="25" t="str">
        <f>IF(SUM($F$5:F27)=0,"",SUM($F$5:F27))</f>
        <v/>
      </c>
      <c r="H27" s="43" t="str">
        <f t="shared" si="0"/>
        <v/>
      </c>
      <c r="I27" s="148" t="e">
        <f t="array" aca="1" ref="I27" ca="1">IF($A28="",$G27/($V27-$U$5+INDIRECT(IF(_xlfn.SHEET()&lt;6,"令和8年"&amp;_xlfn.SHEET()+7&amp;"月","令和9年"&amp;_xlfn.SHEET()-5&amp;"月")&amp;"!$U$5")),$G27/($V28-$U$5))</f>
        <v>#VALUE!</v>
      </c>
      <c r="J27" s="26" t="str">
        <f t="shared" si="1"/>
        <v/>
      </c>
      <c r="K27" s="27"/>
      <c r="L27" s="165">
        <f t="shared" si="2"/>
        <v>0</v>
      </c>
      <c r="M27" s="28" t="str">
        <f t="shared" si="3"/>
        <v/>
      </c>
      <c r="N27" s="166" t="str">
        <f t="shared" si="4"/>
        <v/>
      </c>
      <c r="O27" s="167" t="str">
        <f t="shared" si="5"/>
        <v/>
      </c>
      <c r="P27" s="168"/>
      <c r="Q27" s="169" t="str">
        <f t="shared" si="6"/>
        <v/>
      </c>
      <c r="R27" s="170">
        <v>28</v>
      </c>
      <c r="S27" s="171">
        <v>23</v>
      </c>
      <c r="T27" s="24" t="s">
        <v>94</v>
      </c>
      <c r="U27" s="29">
        <v>727359</v>
      </c>
      <c r="V27" s="30">
        <f t="shared" si="41"/>
        <v>7991095</v>
      </c>
      <c r="W27" s="27">
        <v>404</v>
      </c>
      <c r="X27" s="31">
        <f t="shared" si="7"/>
        <v>1800.3935643564357</v>
      </c>
      <c r="Y27" s="29">
        <v>625956</v>
      </c>
      <c r="Z27" s="32">
        <f t="shared" si="42"/>
        <v>8480110</v>
      </c>
      <c r="AA27" s="33">
        <f t="shared" si="8"/>
        <v>0.94233388481989033</v>
      </c>
      <c r="AB27" s="158">
        <v>600000</v>
      </c>
      <c r="AC27" s="34">
        <f t="shared" si="43"/>
        <v>8600000</v>
      </c>
      <c r="AD27" s="158"/>
      <c r="AE27" s="25"/>
      <c r="AF27" s="25"/>
      <c r="AG27" s="25"/>
      <c r="AH27" s="25"/>
      <c r="AI27" s="25"/>
      <c r="AJ27" s="25"/>
      <c r="AK27" s="25"/>
      <c r="AL27" s="158"/>
      <c r="AM27" s="25"/>
      <c r="AN27" s="158"/>
      <c r="AO27" s="25"/>
      <c r="AP27" s="25"/>
      <c r="AQ27" s="158"/>
      <c r="AR27" s="35">
        <f t="shared" si="9"/>
        <v>0</v>
      </c>
      <c r="AS27" s="172" t="str">
        <f t="shared" si="10"/>
        <v/>
      </c>
      <c r="AT27" s="36">
        <f t="shared" si="11"/>
        <v>0</v>
      </c>
      <c r="AU27" s="173"/>
      <c r="AV27" s="82">
        <f t="shared" si="12"/>
        <v>23</v>
      </c>
      <c r="AW27" s="37"/>
      <c r="AX27" s="174" t="str">
        <f t="shared" si="13"/>
        <v/>
      </c>
      <c r="AY27" s="37"/>
      <c r="AZ27" s="174" t="str">
        <f t="shared" si="14"/>
        <v/>
      </c>
      <c r="BA27" s="37"/>
      <c r="BB27" s="174" t="str">
        <f t="shared" si="15"/>
        <v/>
      </c>
      <c r="BC27" s="37"/>
      <c r="BD27" s="174" t="str">
        <f t="shared" si="16"/>
        <v/>
      </c>
      <c r="BE27" s="37"/>
      <c r="BF27" s="174" t="str">
        <f t="shared" si="17"/>
        <v/>
      </c>
      <c r="BG27" s="37"/>
      <c r="BH27" s="174" t="str">
        <f t="shared" si="18"/>
        <v/>
      </c>
      <c r="BI27" s="37"/>
      <c r="BJ27" s="174" t="str">
        <f t="shared" si="19"/>
        <v/>
      </c>
      <c r="BK27" s="37"/>
      <c r="BL27" s="174" t="str">
        <f t="shared" si="20"/>
        <v/>
      </c>
      <c r="BM27" s="37"/>
      <c r="BN27" s="174" t="str">
        <f t="shared" si="21"/>
        <v/>
      </c>
      <c r="BO27" s="37"/>
      <c r="BP27" s="174" t="str">
        <f t="shared" si="22"/>
        <v/>
      </c>
      <c r="BQ27" s="37"/>
      <c r="BR27" s="174" t="str">
        <f t="shared" si="23"/>
        <v/>
      </c>
      <c r="BS27" s="37"/>
      <c r="BT27" s="174" t="str">
        <f t="shared" si="24"/>
        <v/>
      </c>
      <c r="BU27" s="37"/>
      <c r="BV27" s="174" t="str">
        <f t="shared" si="25"/>
        <v/>
      </c>
      <c r="BW27" s="37"/>
      <c r="BX27" s="174" t="str">
        <f t="shared" si="26"/>
        <v/>
      </c>
      <c r="BY27" s="37"/>
      <c r="BZ27" s="174" t="str">
        <f t="shared" si="27"/>
        <v/>
      </c>
      <c r="CA27" s="37"/>
      <c r="CB27" s="174" t="str">
        <f t="shared" si="28"/>
        <v/>
      </c>
      <c r="CC27" s="37"/>
      <c r="CD27" s="174" t="str">
        <f t="shared" si="29"/>
        <v/>
      </c>
      <c r="CE27" s="37"/>
      <c r="CF27" s="174" t="str">
        <f t="shared" si="30"/>
        <v/>
      </c>
      <c r="CG27" s="37"/>
      <c r="CH27" s="174" t="str">
        <f t="shared" si="31"/>
        <v/>
      </c>
      <c r="CI27" s="37"/>
      <c r="CJ27" s="174" t="str">
        <f t="shared" si="32"/>
        <v/>
      </c>
      <c r="CK27" s="37"/>
      <c r="CL27" s="174" t="str">
        <f t="shared" si="33"/>
        <v/>
      </c>
      <c r="CM27" s="37"/>
      <c r="CN27" s="174" t="str">
        <f t="shared" si="34"/>
        <v/>
      </c>
      <c r="CO27" s="37"/>
      <c r="CP27" s="174" t="str">
        <f t="shared" si="35"/>
        <v/>
      </c>
      <c r="CQ27" s="37"/>
      <c r="CR27" s="174" t="str">
        <f t="shared" si="36"/>
        <v/>
      </c>
      <c r="CS27" s="37"/>
      <c r="CT27" s="174" t="str">
        <f t="shared" si="37"/>
        <v/>
      </c>
      <c r="CU27" s="38"/>
      <c r="CV27" s="87"/>
      <c r="CW27" s="90"/>
      <c r="CX27" s="38"/>
      <c r="CY27" s="39"/>
      <c r="CZ27" s="37"/>
      <c r="DA27" s="39"/>
      <c r="DB27" s="24">
        <v>23</v>
      </c>
      <c r="DC27" s="96" t="str">
        <f t="shared" si="38"/>
        <v>水</v>
      </c>
      <c r="DF27" s="125"/>
      <c r="DG27" s="40"/>
      <c r="DH27" s="40"/>
      <c r="DI27" s="40"/>
      <c r="DJ27" s="40"/>
      <c r="DK27" s="40"/>
      <c r="DL27" s="40"/>
      <c r="DM27" s="40"/>
      <c r="DN27" s="40"/>
      <c r="DO27" s="40"/>
      <c r="DP27" s="40">
        <f t="shared" si="39"/>
        <v>0</v>
      </c>
      <c r="DQ27" s="172" t="str">
        <f t="shared" si="40"/>
        <v/>
      </c>
      <c r="DS27" s="189"/>
      <c r="DT27" s="190"/>
      <c r="DU27" s="190"/>
      <c r="DV27" s="191"/>
      <c r="DW27" s="41"/>
      <c r="DX27" s="42"/>
    </row>
    <row r="28" spans="1:128" ht="13.5" customHeight="1" x14ac:dyDescent="0.4">
      <c r="A28" s="104">
        <v>24</v>
      </c>
      <c r="B28" s="23" t="s">
        <v>85</v>
      </c>
      <c r="C28" s="164"/>
      <c r="D28" s="164"/>
      <c r="E28" s="24"/>
      <c r="F28" s="29"/>
      <c r="G28" s="25" t="str">
        <f>IF(SUM($F$5:F28)=0,"",SUM($F$5:F28))</f>
        <v/>
      </c>
      <c r="H28" s="43" t="str">
        <f t="shared" si="0"/>
        <v/>
      </c>
      <c r="I28" s="148" t="e">
        <f t="array" aca="1" ref="I28" ca="1">IF($A29="",$G28/($V28-$U$5+INDIRECT(IF(_xlfn.SHEET()&lt;6,"令和8年"&amp;_xlfn.SHEET()+7&amp;"月","令和9年"&amp;_xlfn.SHEET()-5&amp;"月")&amp;"!$U$5")),$G28/($V29-$U$5))</f>
        <v>#VALUE!</v>
      </c>
      <c r="J28" s="26" t="str">
        <f t="shared" si="1"/>
        <v/>
      </c>
      <c r="K28" s="27"/>
      <c r="L28" s="165">
        <f t="shared" si="2"/>
        <v>0</v>
      </c>
      <c r="M28" s="28" t="str">
        <f t="shared" si="3"/>
        <v/>
      </c>
      <c r="N28" s="166" t="str">
        <f t="shared" si="4"/>
        <v/>
      </c>
      <c r="O28" s="167" t="str">
        <f t="shared" si="5"/>
        <v/>
      </c>
      <c r="P28" s="168"/>
      <c r="Q28" s="169" t="str">
        <f t="shared" si="6"/>
        <v/>
      </c>
      <c r="R28" s="170">
        <v>27</v>
      </c>
      <c r="S28" s="171">
        <v>22</v>
      </c>
      <c r="T28" s="24" t="s">
        <v>84</v>
      </c>
      <c r="U28" s="29">
        <v>192682</v>
      </c>
      <c r="V28" s="30">
        <f t="shared" si="41"/>
        <v>8183777</v>
      </c>
      <c r="W28" s="27">
        <v>161</v>
      </c>
      <c r="X28" s="31">
        <f t="shared" si="7"/>
        <v>1196.7826086956522</v>
      </c>
      <c r="Y28" s="29">
        <v>358070</v>
      </c>
      <c r="Z28" s="32">
        <f t="shared" si="42"/>
        <v>8838180</v>
      </c>
      <c r="AA28" s="33">
        <f t="shared" si="8"/>
        <v>0.92595726722017424</v>
      </c>
      <c r="AB28" s="158">
        <v>200000</v>
      </c>
      <c r="AC28" s="34">
        <f t="shared" si="43"/>
        <v>8800000</v>
      </c>
      <c r="AD28" s="158"/>
      <c r="AE28" s="25"/>
      <c r="AF28" s="25"/>
      <c r="AG28" s="25"/>
      <c r="AH28" s="25"/>
      <c r="AI28" s="25"/>
      <c r="AJ28" s="25"/>
      <c r="AK28" s="25"/>
      <c r="AL28" s="158"/>
      <c r="AM28" s="25"/>
      <c r="AN28" s="158"/>
      <c r="AO28" s="25"/>
      <c r="AP28" s="25"/>
      <c r="AQ28" s="158"/>
      <c r="AR28" s="35">
        <f t="shared" si="9"/>
        <v>0</v>
      </c>
      <c r="AS28" s="172" t="str">
        <f t="shared" si="10"/>
        <v/>
      </c>
      <c r="AT28" s="36">
        <f t="shared" si="11"/>
        <v>0</v>
      </c>
      <c r="AU28" s="173"/>
      <c r="AV28" s="82">
        <f t="shared" si="12"/>
        <v>24</v>
      </c>
      <c r="AW28" s="37"/>
      <c r="AX28" s="174" t="str">
        <f t="shared" si="13"/>
        <v/>
      </c>
      <c r="AY28" s="37"/>
      <c r="AZ28" s="174" t="str">
        <f t="shared" si="14"/>
        <v/>
      </c>
      <c r="BA28" s="37"/>
      <c r="BB28" s="174" t="str">
        <f t="shared" si="15"/>
        <v/>
      </c>
      <c r="BC28" s="37"/>
      <c r="BD28" s="174" t="str">
        <f t="shared" si="16"/>
        <v/>
      </c>
      <c r="BE28" s="37"/>
      <c r="BF28" s="174" t="str">
        <f t="shared" si="17"/>
        <v/>
      </c>
      <c r="BG28" s="37"/>
      <c r="BH28" s="174" t="str">
        <f t="shared" si="18"/>
        <v/>
      </c>
      <c r="BI28" s="37"/>
      <c r="BJ28" s="174" t="str">
        <f t="shared" si="19"/>
        <v/>
      </c>
      <c r="BK28" s="37"/>
      <c r="BL28" s="174" t="str">
        <f t="shared" si="20"/>
        <v/>
      </c>
      <c r="BM28" s="37"/>
      <c r="BN28" s="174" t="str">
        <f t="shared" si="21"/>
        <v/>
      </c>
      <c r="BO28" s="37"/>
      <c r="BP28" s="174" t="str">
        <f t="shared" si="22"/>
        <v/>
      </c>
      <c r="BQ28" s="37"/>
      <c r="BR28" s="174" t="str">
        <f t="shared" si="23"/>
        <v/>
      </c>
      <c r="BS28" s="37"/>
      <c r="BT28" s="174" t="str">
        <f t="shared" si="24"/>
        <v/>
      </c>
      <c r="BU28" s="37"/>
      <c r="BV28" s="174" t="str">
        <f t="shared" si="25"/>
        <v/>
      </c>
      <c r="BW28" s="37"/>
      <c r="BX28" s="174" t="str">
        <f t="shared" si="26"/>
        <v/>
      </c>
      <c r="BY28" s="37"/>
      <c r="BZ28" s="174" t="str">
        <f t="shared" si="27"/>
        <v/>
      </c>
      <c r="CA28" s="37"/>
      <c r="CB28" s="174" t="str">
        <f t="shared" si="28"/>
        <v/>
      </c>
      <c r="CC28" s="37"/>
      <c r="CD28" s="174" t="str">
        <f t="shared" si="29"/>
        <v/>
      </c>
      <c r="CE28" s="37"/>
      <c r="CF28" s="174" t="str">
        <f t="shared" si="30"/>
        <v/>
      </c>
      <c r="CG28" s="37"/>
      <c r="CH28" s="174" t="str">
        <f t="shared" si="31"/>
        <v/>
      </c>
      <c r="CI28" s="37"/>
      <c r="CJ28" s="174" t="str">
        <f t="shared" si="32"/>
        <v/>
      </c>
      <c r="CK28" s="37"/>
      <c r="CL28" s="174" t="str">
        <f t="shared" si="33"/>
        <v/>
      </c>
      <c r="CM28" s="37"/>
      <c r="CN28" s="174" t="str">
        <f t="shared" si="34"/>
        <v/>
      </c>
      <c r="CO28" s="37"/>
      <c r="CP28" s="174" t="str">
        <f t="shared" si="35"/>
        <v/>
      </c>
      <c r="CQ28" s="37"/>
      <c r="CR28" s="174" t="str">
        <f t="shared" si="36"/>
        <v/>
      </c>
      <c r="CS28" s="37"/>
      <c r="CT28" s="174" t="str">
        <f t="shared" si="37"/>
        <v/>
      </c>
      <c r="CU28" s="38"/>
      <c r="CV28" s="87"/>
      <c r="CW28" s="90"/>
      <c r="CX28" s="38"/>
      <c r="CY28" s="39"/>
      <c r="CZ28" s="37"/>
      <c r="DA28" s="39"/>
      <c r="DB28" s="24">
        <v>24</v>
      </c>
      <c r="DC28" s="96" t="str">
        <f t="shared" si="38"/>
        <v>木</v>
      </c>
      <c r="DF28" s="125"/>
      <c r="DG28" s="40"/>
      <c r="DH28" s="40"/>
      <c r="DI28" s="40"/>
      <c r="DJ28" s="40"/>
      <c r="DK28" s="40"/>
      <c r="DL28" s="40"/>
      <c r="DM28" s="40"/>
      <c r="DN28" s="40"/>
      <c r="DO28" s="40"/>
      <c r="DP28" s="40">
        <f t="shared" si="39"/>
        <v>0</v>
      </c>
      <c r="DQ28" s="172" t="str">
        <f t="shared" si="40"/>
        <v/>
      </c>
      <c r="DS28" s="189"/>
      <c r="DT28" s="190"/>
      <c r="DU28" s="190"/>
      <c r="DV28" s="191"/>
      <c r="DW28" s="138"/>
      <c r="DX28" s="42"/>
    </row>
    <row r="29" spans="1:128" ht="13.5" customHeight="1" x14ac:dyDescent="0.4">
      <c r="A29" s="104">
        <v>25</v>
      </c>
      <c r="B29" s="23" t="s">
        <v>86</v>
      </c>
      <c r="C29" s="164"/>
      <c r="D29" s="164"/>
      <c r="E29" s="24"/>
      <c r="F29" s="29"/>
      <c r="G29" s="25" t="str">
        <f>IF(SUM($F$5:F29)=0,"",SUM($F$5:F29))</f>
        <v/>
      </c>
      <c r="H29" s="43" t="str">
        <f t="shared" si="0"/>
        <v/>
      </c>
      <c r="I29" s="148" t="e">
        <f t="array" aca="1" ref="I29" ca="1">IF($A30="",$G29/($V29-$U$5+INDIRECT(IF(_xlfn.SHEET()&lt;6,"令和8年"&amp;_xlfn.SHEET()+7&amp;"月","令和9年"&amp;_xlfn.SHEET()-5&amp;"月")&amp;"!$U$5")),$G29/($V30-$U$5))</f>
        <v>#VALUE!</v>
      </c>
      <c r="J29" s="26" t="str">
        <f t="shared" si="1"/>
        <v/>
      </c>
      <c r="K29" s="27"/>
      <c r="L29" s="165">
        <f t="shared" si="2"/>
        <v>0</v>
      </c>
      <c r="M29" s="28" t="str">
        <f t="shared" si="3"/>
        <v/>
      </c>
      <c r="N29" s="166" t="str">
        <f t="shared" si="4"/>
        <v/>
      </c>
      <c r="O29" s="167" t="str">
        <f t="shared" si="5"/>
        <v/>
      </c>
      <c r="P29" s="168"/>
      <c r="Q29" s="169" t="str">
        <f t="shared" si="6"/>
        <v/>
      </c>
      <c r="R29" s="170">
        <v>28</v>
      </c>
      <c r="S29" s="171">
        <v>23</v>
      </c>
      <c r="T29" s="24" t="s">
        <v>114</v>
      </c>
      <c r="U29" s="29">
        <v>163246</v>
      </c>
      <c r="V29" s="30">
        <f t="shared" si="41"/>
        <v>8347023</v>
      </c>
      <c r="W29" s="27">
        <v>125</v>
      </c>
      <c r="X29" s="31">
        <f t="shared" si="7"/>
        <v>1305.9680000000001</v>
      </c>
      <c r="Y29" s="29">
        <v>156197</v>
      </c>
      <c r="Z29" s="32">
        <f t="shared" si="42"/>
        <v>8994377</v>
      </c>
      <c r="AA29" s="33">
        <f t="shared" si="8"/>
        <v>0.92802681052840008</v>
      </c>
      <c r="AB29" s="158">
        <v>200000</v>
      </c>
      <c r="AC29" s="34">
        <f t="shared" si="43"/>
        <v>9000000</v>
      </c>
      <c r="AD29" s="158"/>
      <c r="AE29" s="25"/>
      <c r="AF29" s="25"/>
      <c r="AG29" s="25"/>
      <c r="AH29" s="25"/>
      <c r="AI29" s="25"/>
      <c r="AJ29" s="25"/>
      <c r="AK29" s="25"/>
      <c r="AL29" s="158"/>
      <c r="AM29" s="25"/>
      <c r="AN29" s="158"/>
      <c r="AO29" s="25"/>
      <c r="AP29" s="25"/>
      <c r="AQ29" s="158"/>
      <c r="AR29" s="35">
        <f t="shared" si="9"/>
        <v>0</v>
      </c>
      <c r="AS29" s="172" t="str">
        <f t="shared" si="10"/>
        <v/>
      </c>
      <c r="AT29" s="36">
        <f t="shared" si="11"/>
        <v>0</v>
      </c>
      <c r="AU29" s="173"/>
      <c r="AV29" s="82">
        <f t="shared" si="12"/>
        <v>25</v>
      </c>
      <c r="AW29" s="37"/>
      <c r="AX29" s="174" t="str">
        <f t="shared" si="13"/>
        <v/>
      </c>
      <c r="AY29" s="37"/>
      <c r="AZ29" s="174" t="str">
        <f t="shared" si="14"/>
        <v/>
      </c>
      <c r="BA29" s="37"/>
      <c r="BB29" s="174" t="str">
        <f t="shared" si="15"/>
        <v/>
      </c>
      <c r="BC29" s="37"/>
      <c r="BD29" s="174" t="str">
        <f t="shared" si="16"/>
        <v/>
      </c>
      <c r="BE29" s="37"/>
      <c r="BF29" s="174" t="str">
        <f t="shared" si="17"/>
        <v/>
      </c>
      <c r="BG29" s="37"/>
      <c r="BH29" s="174" t="str">
        <f t="shared" si="18"/>
        <v/>
      </c>
      <c r="BI29" s="37"/>
      <c r="BJ29" s="174" t="str">
        <f t="shared" si="19"/>
        <v/>
      </c>
      <c r="BK29" s="37"/>
      <c r="BL29" s="174" t="str">
        <f t="shared" si="20"/>
        <v/>
      </c>
      <c r="BM29" s="37"/>
      <c r="BN29" s="174" t="str">
        <f t="shared" si="21"/>
        <v/>
      </c>
      <c r="BO29" s="37"/>
      <c r="BP29" s="174" t="str">
        <f t="shared" si="22"/>
        <v/>
      </c>
      <c r="BQ29" s="37"/>
      <c r="BR29" s="174" t="str">
        <f t="shared" si="23"/>
        <v/>
      </c>
      <c r="BS29" s="37"/>
      <c r="BT29" s="174" t="str">
        <f t="shared" si="24"/>
        <v/>
      </c>
      <c r="BU29" s="37"/>
      <c r="BV29" s="174" t="str">
        <f t="shared" si="25"/>
        <v/>
      </c>
      <c r="BW29" s="37"/>
      <c r="BX29" s="174" t="str">
        <f t="shared" si="26"/>
        <v/>
      </c>
      <c r="BY29" s="37"/>
      <c r="BZ29" s="174" t="str">
        <f t="shared" si="27"/>
        <v/>
      </c>
      <c r="CA29" s="37"/>
      <c r="CB29" s="174" t="str">
        <f t="shared" si="28"/>
        <v/>
      </c>
      <c r="CC29" s="37"/>
      <c r="CD29" s="174" t="str">
        <f t="shared" si="29"/>
        <v/>
      </c>
      <c r="CE29" s="37"/>
      <c r="CF29" s="174" t="str">
        <f t="shared" si="30"/>
        <v/>
      </c>
      <c r="CG29" s="37"/>
      <c r="CH29" s="174" t="str">
        <f t="shared" si="31"/>
        <v/>
      </c>
      <c r="CI29" s="37"/>
      <c r="CJ29" s="174" t="str">
        <f t="shared" si="32"/>
        <v/>
      </c>
      <c r="CK29" s="37"/>
      <c r="CL29" s="174" t="str">
        <f t="shared" si="33"/>
        <v/>
      </c>
      <c r="CM29" s="37"/>
      <c r="CN29" s="174" t="str">
        <f t="shared" si="34"/>
        <v/>
      </c>
      <c r="CO29" s="37"/>
      <c r="CP29" s="174" t="str">
        <f t="shared" si="35"/>
        <v/>
      </c>
      <c r="CQ29" s="37"/>
      <c r="CR29" s="174" t="str">
        <f t="shared" si="36"/>
        <v/>
      </c>
      <c r="CS29" s="37"/>
      <c r="CT29" s="174" t="str">
        <f t="shared" si="37"/>
        <v/>
      </c>
      <c r="CU29" s="38"/>
      <c r="CV29" s="87"/>
      <c r="CW29" s="90"/>
      <c r="CX29" s="38"/>
      <c r="CY29" s="39"/>
      <c r="CZ29" s="37"/>
      <c r="DA29" s="39"/>
      <c r="DB29" s="24">
        <v>25</v>
      </c>
      <c r="DC29" s="96" t="str">
        <f t="shared" si="38"/>
        <v>金</v>
      </c>
      <c r="DF29" s="125"/>
      <c r="DG29" s="40"/>
      <c r="DH29" s="40"/>
      <c r="DI29" s="40"/>
      <c r="DJ29" s="40"/>
      <c r="DK29" s="40"/>
      <c r="DL29" s="40"/>
      <c r="DM29" s="40"/>
      <c r="DN29" s="40"/>
      <c r="DO29" s="40"/>
      <c r="DP29" s="40">
        <f t="shared" si="39"/>
        <v>0</v>
      </c>
      <c r="DQ29" s="172" t="str">
        <f t="shared" si="40"/>
        <v/>
      </c>
      <c r="DS29" s="189"/>
      <c r="DT29" s="190"/>
      <c r="DU29" s="190"/>
      <c r="DV29" s="191"/>
      <c r="DW29" s="41"/>
      <c r="DX29" s="42"/>
    </row>
    <row r="30" spans="1:128" ht="13.5" customHeight="1" x14ac:dyDescent="0.4">
      <c r="A30" s="104">
        <v>26</v>
      </c>
      <c r="B30" s="23" t="s">
        <v>88</v>
      </c>
      <c r="C30" s="164"/>
      <c r="D30" s="164"/>
      <c r="E30" s="24"/>
      <c r="F30" s="29"/>
      <c r="G30" s="25" t="str">
        <f>IF(SUM($F$5:F30)=0,"",SUM($F$5:F30))</f>
        <v/>
      </c>
      <c r="H30" s="43" t="str">
        <f t="shared" si="0"/>
        <v/>
      </c>
      <c r="I30" s="148" t="e">
        <f t="array" aca="1" ref="I30" ca="1">IF($A31="",$G30/($V30-$U$5+INDIRECT(IF(_xlfn.SHEET()&lt;6,"令和8年"&amp;_xlfn.SHEET()+7&amp;"月","令和9年"&amp;_xlfn.SHEET()-5&amp;"月")&amp;"!$U$5")),$G30/($V31-$U$5))</f>
        <v>#VALUE!</v>
      </c>
      <c r="J30" s="26" t="str">
        <f t="shared" si="1"/>
        <v/>
      </c>
      <c r="K30" s="27"/>
      <c r="L30" s="165">
        <f t="shared" si="2"/>
        <v>0</v>
      </c>
      <c r="M30" s="28" t="str">
        <f t="shared" si="3"/>
        <v/>
      </c>
      <c r="N30" s="166" t="str">
        <f t="shared" si="4"/>
        <v/>
      </c>
      <c r="O30" s="167" t="str">
        <f t="shared" si="5"/>
        <v/>
      </c>
      <c r="P30" s="168"/>
      <c r="Q30" s="169" t="str">
        <f t="shared" si="6"/>
        <v/>
      </c>
      <c r="R30" s="170">
        <v>28</v>
      </c>
      <c r="S30" s="171">
        <v>22</v>
      </c>
      <c r="T30" s="24" t="s">
        <v>84</v>
      </c>
      <c r="U30" s="29">
        <v>285046</v>
      </c>
      <c r="V30" s="30">
        <f t="shared" si="41"/>
        <v>8632069</v>
      </c>
      <c r="W30" s="27">
        <v>143</v>
      </c>
      <c r="X30" s="31">
        <f t="shared" si="7"/>
        <v>1993.3286713286714</v>
      </c>
      <c r="Y30" s="29">
        <v>211125</v>
      </c>
      <c r="Z30" s="32">
        <f t="shared" si="42"/>
        <v>9205502</v>
      </c>
      <c r="AA30" s="33">
        <f t="shared" si="8"/>
        <v>0.93770757966268437</v>
      </c>
      <c r="AB30" s="158">
        <v>600000</v>
      </c>
      <c r="AC30" s="34">
        <f t="shared" si="43"/>
        <v>9600000</v>
      </c>
      <c r="AD30" s="158"/>
      <c r="AE30" s="25"/>
      <c r="AF30" s="25"/>
      <c r="AG30" s="25"/>
      <c r="AH30" s="25"/>
      <c r="AI30" s="25"/>
      <c r="AJ30" s="25"/>
      <c r="AK30" s="25"/>
      <c r="AL30" s="158"/>
      <c r="AM30" s="25"/>
      <c r="AN30" s="158"/>
      <c r="AO30" s="25"/>
      <c r="AP30" s="25"/>
      <c r="AQ30" s="158"/>
      <c r="AR30" s="35">
        <f t="shared" si="9"/>
        <v>0</v>
      </c>
      <c r="AS30" s="172" t="str">
        <f t="shared" si="10"/>
        <v/>
      </c>
      <c r="AT30" s="36">
        <f t="shared" si="11"/>
        <v>0</v>
      </c>
      <c r="AU30" s="173"/>
      <c r="AV30" s="82">
        <f t="shared" si="12"/>
        <v>26</v>
      </c>
      <c r="AW30" s="37"/>
      <c r="AX30" s="174" t="str">
        <f t="shared" si="13"/>
        <v/>
      </c>
      <c r="AY30" s="37"/>
      <c r="AZ30" s="174" t="str">
        <f t="shared" si="14"/>
        <v/>
      </c>
      <c r="BA30" s="37"/>
      <c r="BB30" s="174" t="str">
        <f t="shared" si="15"/>
        <v/>
      </c>
      <c r="BC30" s="37"/>
      <c r="BD30" s="174" t="str">
        <f t="shared" si="16"/>
        <v/>
      </c>
      <c r="BE30" s="37"/>
      <c r="BF30" s="174" t="str">
        <f t="shared" si="17"/>
        <v/>
      </c>
      <c r="BG30" s="37"/>
      <c r="BH30" s="174" t="str">
        <f t="shared" si="18"/>
        <v/>
      </c>
      <c r="BI30" s="37"/>
      <c r="BJ30" s="174" t="str">
        <f t="shared" si="19"/>
        <v/>
      </c>
      <c r="BK30" s="37"/>
      <c r="BL30" s="174" t="str">
        <f t="shared" si="20"/>
        <v/>
      </c>
      <c r="BM30" s="37"/>
      <c r="BN30" s="174" t="str">
        <f t="shared" si="21"/>
        <v/>
      </c>
      <c r="BO30" s="37"/>
      <c r="BP30" s="174" t="str">
        <f t="shared" si="22"/>
        <v/>
      </c>
      <c r="BQ30" s="37"/>
      <c r="BR30" s="174" t="str">
        <f t="shared" si="23"/>
        <v/>
      </c>
      <c r="BS30" s="37"/>
      <c r="BT30" s="174" t="str">
        <f t="shared" si="24"/>
        <v/>
      </c>
      <c r="BU30" s="37"/>
      <c r="BV30" s="174" t="str">
        <f t="shared" si="25"/>
        <v/>
      </c>
      <c r="BW30" s="37"/>
      <c r="BX30" s="174" t="str">
        <f t="shared" si="26"/>
        <v/>
      </c>
      <c r="BY30" s="37"/>
      <c r="BZ30" s="174" t="str">
        <f t="shared" si="27"/>
        <v/>
      </c>
      <c r="CA30" s="37"/>
      <c r="CB30" s="174" t="str">
        <f t="shared" si="28"/>
        <v/>
      </c>
      <c r="CC30" s="37"/>
      <c r="CD30" s="174" t="str">
        <f t="shared" si="29"/>
        <v/>
      </c>
      <c r="CE30" s="37"/>
      <c r="CF30" s="174" t="str">
        <f t="shared" si="30"/>
        <v/>
      </c>
      <c r="CG30" s="37"/>
      <c r="CH30" s="174" t="str">
        <f t="shared" si="31"/>
        <v/>
      </c>
      <c r="CI30" s="37"/>
      <c r="CJ30" s="174" t="str">
        <f t="shared" si="32"/>
        <v/>
      </c>
      <c r="CK30" s="37"/>
      <c r="CL30" s="174" t="str">
        <f t="shared" si="33"/>
        <v/>
      </c>
      <c r="CM30" s="37"/>
      <c r="CN30" s="174" t="str">
        <f t="shared" si="34"/>
        <v/>
      </c>
      <c r="CO30" s="37"/>
      <c r="CP30" s="174" t="str">
        <f t="shared" si="35"/>
        <v/>
      </c>
      <c r="CQ30" s="37"/>
      <c r="CR30" s="174" t="str">
        <f t="shared" si="36"/>
        <v/>
      </c>
      <c r="CS30" s="37"/>
      <c r="CT30" s="174" t="str">
        <f t="shared" si="37"/>
        <v/>
      </c>
      <c r="CU30" s="38"/>
      <c r="CV30" s="87"/>
      <c r="CW30" s="90"/>
      <c r="CX30" s="38"/>
      <c r="CY30" s="39"/>
      <c r="CZ30" s="37"/>
      <c r="DA30" s="39"/>
      <c r="DB30" s="24">
        <v>26</v>
      </c>
      <c r="DC30" s="96" t="str">
        <f t="shared" si="38"/>
        <v>土</v>
      </c>
      <c r="DF30" s="125"/>
      <c r="DG30" s="40"/>
      <c r="DH30" s="40"/>
      <c r="DI30" s="40"/>
      <c r="DJ30" s="40"/>
      <c r="DK30" s="40"/>
      <c r="DL30" s="40"/>
      <c r="DM30" s="40"/>
      <c r="DN30" s="40"/>
      <c r="DO30" s="40"/>
      <c r="DP30" s="40">
        <f t="shared" si="39"/>
        <v>0</v>
      </c>
      <c r="DQ30" s="172" t="str">
        <f t="shared" si="40"/>
        <v/>
      </c>
      <c r="DS30" s="189"/>
      <c r="DT30" s="190"/>
      <c r="DU30" s="190"/>
      <c r="DV30" s="191"/>
      <c r="DW30" s="41"/>
      <c r="DX30" s="42"/>
    </row>
    <row r="31" spans="1:128" ht="13.5" customHeight="1" x14ac:dyDescent="0.4">
      <c r="A31" s="104">
        <v>27</v>
      </c>
      <c r="B31" s="23" t="s">
        <v>89</v>
      </c>
      <c r="C31" s="164"/>
      <c r="D31" s="164"/>
      <c r="E31" s="24"/>
      <c r="F31" s="29"/>
      <c r="G31" s="25" t="str">
        <f>IF(SUM($F$5:F31)=0,"",SUM($F$5:F31))</f>
        <v/>
      </c>
      <c r="H31" s="43" t="str">
        <f t="shared" si="0"/>
        <v/>
      </c>
      <c r="I31" s="148" t="e">
        <f t="array" aca="1" ref="I31" ca="1">IF($A32="",$G31/($V31-$U$5+INDIRECT(IF(_xlfn.SHEET()&lt;6,"令和8年"&amp;_xlfn.SHEET()+7&amp;"月","令和9年"&amp;_xlfn.SHEET()-5&amp;"月")&amp;"!$U$5")),$G31/($V32-$U$5))</f>
        <v>#VALUE!</v>
      </c>
      <c r="J31" s="26" t="str">
        <f t="shared" si="1"/>
        <v/>
      </c>
      <c r="K31" s="27"/>
      <c r="L31" s="165">
        <f t="shared" si="2"/>
        <v>0</v>
      </c>
      <c r="M31" s="28" t="str">
        <f t="shared" si="3"/>
        <v/>
      </c>
      <c r="N31" s="166" t="str">
        <f t="shared" si="4"/>
        <v/>
      </c>
      <c r="O31" s="167" t="str">
        <f t="shared" si="5"/>
        <v/>
      </c>
      <c r="P31" s="168"/>
      <c r="Q31" s="169" t="str">
        <f t="shared" si="6"/>
        <v/>
      </c>
      <c r="R31" s="170">
        <v>25</v>
      </c>
      <c r="S31" s="171">
        <v>22</v>
      </c>
      <c r="T31" s="24" t="s">
        <v>84</v>
      </c>
      <c r="U31" s="29">
        <v>685034</v>
      </c>
      <c r="V31" s="30">
        <f t="shared" si="41"/>
        <v>9317103</v>
      </c>
      <c r="W31" s="27">
        <v>365</v>
      </c>
      <c r="X31" s="31">
        <f t="shared" si="7"/>
        <v>1876.8054794520549</v>
      </c>
      <c r="Y31" s="29">
        <v>245909</v>
      </c>
      <c r="Z31" s="32">
        <f t="shared" si="42"/>
        <v>9451411</v>
      </c>
      <c r="AA31" s="33">
        <f t="shared" si="8"/>
        <v>0.98578963500793693</v>
      </c>
      <c r="AB31" s="158">
        <v>600000</v>
      </c>
      <c r="AC31" s="34">
        <f t="shared" si="43"/>
        <v>10200000</v>
      </c>
      <c r="AD31" s="158"/>
      <c r="AE31" s="25"/>
      <c r="AF31" s="25"/>
      <c r="AG31" s="25"/>
      <c r="AH31" s="25"/>
      <c r="AI31" s="25"/>
      <c r="AJ31" s="25"/>
      <c r="AK31" s="25"/>
      <c r="AL31" s="158"/>
      <c r="AM31" s="25"/>
      <c r="AN31" s="158"/>
      <c r="AO31" s="25"/>
      <c r="AP31" s="25"/>
      <c r="AQ31" s="158"/>
      <c r="AR31" s="35">
        <f t="shared" si="9"/>
        <v>0</v>
      </c>
      <c r="AS31" s="172" t="str">
        <f t="shared" si="10"/>
        <v/>
      </c>
      <c r="AT31" s="36">
        <f t="shared" si="11"/>
        <v>0</v>
      </c>
      <c r="AU31" s="173"/>
      <c r="AV31" s="82">
        <f t="shared" si="12"/>
        <v>27</v>
      </c>
      <c r="AW31" s="37"/>
      <c r="AX31" s="174" t="str">
        <f t="shared" si="13"/>
        <v/>
      </c>
      <c r="AY31" s="37"/>
      <c r="AZ31" s="174" t="str">
        <f t="shared" si="14"/>
        <v/>
      </c>
      <c r="BA31" s="37"/>
      <c r="BB31" s="174" t="str">
        <f t="shared" si="15"/>
        <v/>
      </c>
      <c r="BC31" s="37"/>
      <c r="BD31" s="174" t="str">
        <f t="shared" si="16"/>
        <v/>
      </c>
      <c r="BE31" s="37"/>
      <c r="BF31" s="174" t="str">
        <f t="shared" si="17"/>
        <v/>
      </c>
      <c r="BG31" s="37"/>
      <c r="BH31" s="174" t="str">
        <f t="shared" si="18"/>
        <v/>
      </c>
      <c r="BI31" s="37"/>
      <c r="BJ31" s="174" t="str">
        <f t="shared" si="19"/>
        <v/>
      </c>
      <c r="BK31" s="37"/>
      <c r="BL31" s="174" t="str">
        <f t="shared" si="20"/>
        <v/>
      </c>
      <c r="BM31" s="37"/>
      <c r="BN31" s="174" t="str">
        <f t="shared" si="21"/>
        <v/>
      </c>
      <c r="BO31" s="37"/>
      <c r="BP31" s="174" t="str">
        <f t="shared" si="22"/>
        <v/>
      </c>
      <c r="BQ31" s="37"/>
      <c r="BR31" s="174" t="str">
        <f t="shared" si="23"/>
        <v/>
      </c>
      <c r="BS31" s="37"/>
      <c r="BT31" s="174" t="str">
        <f t="shared" si="24"/>
        <v/>
      </c>
      <c r="BU31" s="37"/>
      <c r="BV31" s="174" t="str">
        <f t="shared" si="25"/>
        <v/>
      </c>
      <c r="BW31" s="37"/>
      <c r="BX31" s="174" t="str">
        <f t="shared" si="26"/>
        <v/>
      </c>
      <c r="BY31" s="37"/>
      <c r="BZ31" s="174" t="str">
        <f t="shared" si="27"/>
        <v/>
      </c>
      <c r="CA31" s="37"/>
      <c r="CB31" s="174" t="str">
        <f t="shared" si="28"/>
        <v/>
      </c>
      <c r="CC31" s="37"/>
      <c r="CD31" s="174" t="str">
        <f t="shared" si="29"/>
        <v/>
      </c>
      <c r="CE31" s="37"/>
      <c r="CF31" s="174" t="str">
        <f t="shared" si="30"/>
        <v/>
      </c>
      <c r="CG31" s="37"/>
      <c r="CH31" s="174" t="str">
        <f t="shared" si="31"/>
        <v/>
      </c>
      <c r="CI31" s="37"/>
      <c r="CJ31" s="174" t="str">
        <f t="shared" si="32"/>
        <v/>
      </c>
      <c r="CK31" s="37"/>
      <c r="CL31" s="174" t="str">
        <f t="shared" si="33"/>
        <v/>
      </c>
      <c r="CM31" s="37"/>
      <c r="CN31" s="174" t="str">
        <f t="shared" si="34"/>
        <v/>
      </c>
      <c r="CO31" s="37"/>
      <c r="CP31" s="174" t="str">
        <f t="shared" si="35"/>
        <v/>
      </c>
      <c r="CQ31" s="37"/>
      <c r="CR31" s="174" t="str">
        <f t="shared" si="36"/>
        <v/>
      </c>
      <c r="CS31" s="37"/>
      <c r="CT31" s="174" t="str">
        <f t="shared" si="37"/>
        <v/>
      </c>
      <c r="CU31" s="38"/>
      <c r="CV31" s="87"/>
      <c r="CW31" s="90"/>
      <c r="CX31" s="38"/>
      <c r="CY31" s="39"/>
      <c r="CZ31" s="37"/>
      <c r="DA31" s="39"/>
      <c r="DB31" s="24">
        <v>27</v>
      </c>
      <c r="DC31" s="96" t="str">
        <f t="shared" si="38"/>
        <v>日</v>
      </c>
      <c r="DF31" s="125"/>
      <c r="DG31" s="40"/>
      <c r="DH31" s="40"/>
      <c r="DI31" s="40"/>
      <c r="DJ31" s="40"/>
      <c r="DK31" s="40"/>
      <c r="DL31" s="40"/>
      <c r="DM31" s="40"/>
      <c r="DN31" s="40"/>
      <c r="DO31" s="40"/>
      <c r="DP31" s="40">
        <f t="shared" si="39"/>
        <v>0</v>
      </c>
      <c r="DQ31" s="172" t="str">
        <f t="shared" si="40"/>
        <v/>
      </c>
      <c r="DS31" s="189"/>
      <c r="DT31" s="190"/>
      <c r="DU31" s="190"/>
      <c r="DV31" s="191"/>
      <c r="DW31" s="138"/>
      <c r="DX31" s="42"/>
    </row>
    <row r="32" spans="1:128" ht="13.5" customHeight="1" x14ac:dyDescent="0.4">
      <c r="A32" s="104">
        <v>28</v>
      </c>
      <c r="B32" s="23" t="s">
        <v>90</v>
      </c>
      <c r="C32" s="164"/>
      <c r="D32" s="164"/>
      <c r="E32" s="24"/>
      <c r="F32" s="29"/>
      <c r="G32" s="25" t="str">
        <f>IF(SUM($F$5:F32)=0,"",SUM($F$5:F32))</f>
        <v/>
      </c>
      <c r="H32" s="43" t="str">
        <f t="shared" si="0"/>
        <v/>
      </c>
      <c r="I32" s="148" t="e">
        <f t="array" aca="1" ref="I32" ca="1">IF($A33="",$G32/($V32-$U$5+INDIRECT(IF(_xlfn.SHEET()&lt;6,"令和8年"&amp;_xlfn.SHEET()+7&amp;"月","令和9年"&amp;_xlfn.SHEET()-5&amp;"月")&amp;"!$U$5")),$G32/($V33-$U$5))</f>
        <v>#VALUE!</v>
      </c>
      <c r="J32" s="26" t="str">
        <f t="shared" si="1"/>
        <v/>
      </c>
      <c r="K32" s="27"/>
      <c r="L32" s="165">
        <f t="shared" si="2"/>
        <v>0</v>
      </c>
      <c r="M32" s="28" t="str">
        <f t="shared" si="3"/>
        <v/>
      </c>
      <c r="N32" s="166" t="str">
        <f t="shared" si="4"/>
        <v/>
      </c>
      <c r="O32" s="167" t="str">
        <f t="shared" si="5"/>
        <v/>
      </c>
      <c r="P32" s="168"/>
      <c r="Q32" s="169" t="str">
        <f t="shared" si="6"/>
        <v/>
      </c>
      <c r="R32" s="170">
        <v>27</v>
      </c>
      <c r="S32" s="171">
        <v>22</v>
      </c>
      <c r="T32" s="24" t="s">
        <v>84</v>
      </c>
      <c r="U32" s="29">
        <v>684180</v>
      </c>
      <c r="V32" s="30">
        <f t="shared" si="41"/>
        <v>10001283</v>
      </c>
      <c r="W32" s="27">
        <v>461</v>
      </c>
      <c r="X32" s="31">
        <f t="shared" si="7"/>
        <v>1484.1214750542299</v>
      </c>
      <c r="Y32" s="29">
        <v>817034</v>
      </c>
      <c r="Z32" s="32">
        <f t="shared" si="42"/>
        <v>10268445</v>
      </c>
      <c r="AA32" s="33">
        <f t="shared" si="8"/>
        <v>0.97398223392149441</v>
      </c>
      <c r="AB32" s="158">
        <v>200000</v>
      </c>
      <c r="AC32" s="34">
        <f t="shared" si="43"/>
        <v>10400000</v>
      </c>
      <c r="AD32" s="158"/>
      <c r="AE32" s="25"/>
      <c r="AF32" s="25"/>
      <c r="AG32" s="25"/>
      <c r="AH32" s="25"/>
      <c r="AI32" s="25"/>
      <c r="AJ32" s="25"/>
      <c r="AK32" s="25"/>
      <c r="AL32" s="158"/>
      <c r="AM32" s="25"/>
      <c r="AN32" s="158"/>
      <c r="AO32" s="25"/>
      <c r="AP32" s="25"/>
      <c r="AQ32" s="158"/>
      <c r="AR32" s="35">
        <f t="shared" si="9"/>
        <v>0</v>
      </c>
      <c r="AS32" s="172" t="str">
        <f t="shared" si="10"/>
        <v/>
      </c>
      <c r="AT32" s="36">
        <f t="shared" si="11"/>
        <v>0</v>
      </c>
      <c r="AU32" s="173"/>
      <c r="AV32" s="82">
        <f t="shared" si="12"/>
        <v>28</v>
      </c>
      <c r="AW32" s="37"/>
      <c r="AX32" s="174" t="str">
        <f t="shared" si="13"/>
        <v/>
      </c>
      <c r="AY32" s="37"/>
      <c r="AZ32" s="174" t="str">
        <f t="shared" si="14"/>
        <v/>
      </c>
      <c r="BA32" s="37"/>
      <c r="BB32" s="174" t="str">
        <f t="shared" si="15"/>
        <v/>
      </c>
      <c r="BC32" s="37"/>
      <c r="BD32" s="174" t="str">
        <f t="shared" si="16"/>
        <v/>
      </c>
      <c r="BE32" s="37"/>
      <c r="BF32" s="174" t="str">
        <f t="shared" si="17"/>
        <v/>
      </c>
      <c r="BG32" s="37"/>
      <c r="BH32" s="174" t="str">
        <f t="shared" si="18"/>
        <v/>
      </c>
      <c r="BI32" s="37"/>
      <c r="BJ32" s="174" t="str">
        <f t="shared" si="19"/>
        <v/>
      </c>
      <c r="BK32" s="37"/>
      <c r="BL32" s="174" t="str">
        <f t="shared" si="20"/>
        <v/>
      </c>
      <c r="BM32" s="37"/>
      <c r="BN32" s="174" t="str">
        <f t="shared" si="21"/>
        <v/>
      </c>
      <c r="BO32" s="37"/>
      <c r="BP32" s="174" t="str">
        <f t="shared" si="22"/>
        <v/>
      </c>
      <c r="BQ32" s="37"/>
      <c r="BR32" s="174" t="str">
        <f t="shared" si="23"/>
        <v/>
      </c>
      <c r="BS32" s="37"/>
      <c r="BT32" s="174" t="str">
        <f t="shared" si="24"/>
        <v/>
      </c>
      <c r="BU32" s="37"/>
      <c r="BV32" s="174" t="str">
        <f t="shared" si="25"/>
        <v/>
      </c>
      <c r="BW32" s="37"/>
      <c r="BX32" s="174" t="str">
        <f t="shared" si="26"/>
        <v/>
      </c>
      <c r="BY32" s="37"/>
      <c r="BZ32" s="174" t="str">
        <f t="shared" si="27"/>
        <v/>
      </c>
      <c r="CA32" s="37"/>
      <c r="CB32" s="174" t="str">
        <f t="shared" si="28"/>
        <v/>
      </c>
      <c r="CC32" s="37"/>
      <c r="CD32" s="174" t="str">
        <f t="shared" si="29"/>
        <v/>
      </c>
      <c r="CE32" s="37"/>
      <c r="CF32" s="174" t="str">
        <f t="shared" si="30"/>
        <v/>
      </c>
      <c r="CG32" s="37"/>
      <c r="CH32" s="174" t="str">
        <f t="shared" si="31"/>
        <v/>
      </c>
      <c r="CI32" s="37"/>
      <c r="CJ32" s="174" t="str">
        <f t="shared" si="32"/>
        <v/>
      </c>
      <c r="CK32" s="37"/>
      <c r="CL32" s="174" t="str">
        <f t="shared" si="33"/>
        <v/>
      </c>
      <c r="CM32" s="37"/>
      <c r="CN32" s="174" t="str">
        <f t="shared" si="34"/>
        <v/>
      </c>
      <c r="CO32" s="37"/>
      <c r="CP32" s="174" t="str">
        <f t="shared" si="35"/>
        <v/>
      </c>
      <c r="CQ32" s="37"/>
      <c r="CR32" s="174" t="str">
        <f t="shared" si="36"/>
        <v/>
      </c>
      <c r="CS32" s="37"/>
      <c r="CT32" s="174" t="str">
        <f t="shared" si="37"/>
        <v/>
      </c>
      <c r="CU32" s="38"/>
      <c r="CV32" s="87"/>
      <c r="CW32" s="90"/>
      <c r="CX32" s="38"/>
      <c r="CY32" s="39"/>
      <c r="CZ32" s="37"/>
      <c r="DA32" s="39"/>
      <c r="DB32" s="24">
        <v>28</v>
      </c>
      <c r="DC32" s="96" t="str">
        <f t="shared" si="38"/>
        <v>月</v>
      </c>
      <c r="DF32" s="125"/>
      <c r="DG32" s="40"/>
      <c r="DH32" s="40"/>
      <c r="DI32" s="40"/>
      <c r="DJ32" s="40"/>
      <c r="DK32" s="40"/>
      <c r="DL32" s="40"/>
      <c r="DM32" s="40"/>
      <c r="DN32" s="40"/>
      <c r="DO32" s="40"/>
      <c r="DP32" s="40">
        <f t="shared" si="39"/>
        <v>0</v>
      </c>
      <c r="DQ32" s="172" t="str">
        <f t="shared" si="40"/>
        <v/>
      </c>
      <c r="DS32" s="189"/>
      <c r="DT32" s="190"/>
      <c r="DU32" s="190"/>
      <c r="DV32" s="191"/>
      <c r="DW32" s="41"/>
      <c r="DX32" s="42"/>
    </row>
    <row r="33" spans="1:128" ht="13.5" customHeight="1" x14ac:dyDescent="0.4">
      <c r="A33" s="104">
        <v>29</v>
      </c>
      <c r="B33" s="23" t="s">
        <v>91</v>
      </c>
      <c r="C33" s="164"/>
      <c r="D33" s="164"/>
      <c r="E33" s="24"/>
      <c r="F33" s="29"/>
      <c r="G33" s="25" t="str">
        <f>IF(SUM($F$5:F33)=0,"",SUM($F$5:F33))</f>
        <v/>
      </c>
      <c r="H33" s="43" t="str">
        <f t="shared" si="0"/>
        <v/>
      </c>
      <c r="I33" s="148" t="e">
        <f t="array" aca="1" ref="I33" ca="1">IF($A34="",$G33/($V33-$U$5+INDIRECT(IF(_xlfn.SHEET()&lt;6,"令和8年"&amp;_xlfn.SHEET()+7&amp;"月","令和9年"&amp;_xlfn.SHEET()-5&amp;"月")&amp;"!$U$5")),$G33/($V34-$U$5))</f>
        <v>#VALUE!</v>
      </c>
      <c r="J33" s="26" t="str">
        <f t="shared" si="1"/>
        <v/>
      </c>
      <c r="K33" s="27"/>
      <c r="L33" s="165">
        <f t="shared" si="2"/>
        <v>0</v>
      </c>
      <c r="M33" s="28" t="str">
        <f t="shared" si="3"/>
        <v/>
      </c>
      <c r="N33" s="166" t="str">
        <f t="shared" si="4"/>
        <v/>
      </c>
      <c r="O33" s="167" t="str">
        <f t="shared" si="5"/>
        <v/>
      </c>
      <c r="P33" s="168"/>
      <c r="Q33" s="169" t="str">
        <f t="shared" si="6"/>
        <v/>
      </c>
      <c r="R33" s="170">
        <v>27</v>
      </c>
      <c r="S33" s="171">
        <v>18</v>
      </c>
      <c r="T33" s="24" t="s">
        <v>84</v>
      </c>
      <c r="U33" s="29">
        <v>172136</v>
      </c>
      <c r="V33" s="30">
        <f t="shared" si="41"/>
        <v>10173419</v>
      </c>
      <c r="W33" s="27">
        <v>123</v>
      </c>
      <c r="X33" s="31">
        <f t="shared" si="7"/>
        <v>1399.479674796748</v>
      </c>
      <c r="Y33" s="29">
        <v>804620</v>
      </c>
      <c r="Z33" s="32">
        <f t="shared" si="42"/>
        <v>11073065</v>
      </c>
      <c r="AA33" s="33">
        <f t="shared" si="8"/>
        <v>0.91875366034607397</v>
      </c>
      <c r="AB33" s="158">
        <v>200000</v>
      </c>
      <c r="AC33" s="34">
        <f t="shared" si="43"/>
        <v>10600000</v>
      </c>
      <c r="AD33" s="158"/>
      <c r="AE33" s="25"/>
      <c r="AF33" s="25"/>
      <c r="AG33" s="25"/>
      <c r="AH33" s="25"/>
      <c r="AI33" s="25"/>
      <c r="AJ33" s="25"/>
      <c r="AK33" s="25"/>
      <c r="AL33" s="158"/>
      <c r="AM33" s="25"/>
      <c r="AN33" s="158"/>
      <c r="AO33" s="25"/>
      <c r="AP33" s="25"/>
      <c r="AQ33" s="158"/>
      <c r="AR33" s="35">
        <f t="shared" si="9"/>
        <v>0</v>
      </c>
      <c r="AS33" s="172" t="str">
        <f t="shared" si="10"/>
        <v/>
      </c>
      <c r="AT33" s="36">
        <f t="shared" si="11"/>
        <v>0</v>
      </c>
      <c r="AU33" s="173"/>
      <c r="AV33" s="82">
        <f t="shared" si="12"/>
        <v>29</v>
      </c>
      <c r="AW33" s="37"/>
      <c r="AX33" s="174" t="str">
        <f t="shared" si="13"/>
        <v/>
      </c>
      <c r="AY33" s="37"/>
      <c r="AZ33" s="174" t="str">
        <f t="shared" si="14"/>
        <v/>
      </c>
      <c r="BA33" s="37"/>
      <c r="BB33" s="174" t="str">
        <f t="shared" si="15"/>
        <v/>
      </c>
      <c r="BC33" s="37"/>
      <c r="BD33" s="174" t="str">
        <f t="shared" si="16"/>
        <v/>
      </c>
      <c r="BE33" s="37"/>
      <c r="BF33" s="174" t="str">
        <f t="shared" si="17"/>
        <v/>
      </c>
      <c r="BG33" s="37"/>
      <c r="BH33" s="174" t="str">
        <f t="shared" si="18"/>
        <v/>
      </c>
      <c r="BI33" s="37"/>
      <c r="BJ33" s="174" t="str">
        <f t="shared" si="19"/>
        <v/>
      </c>
      <c r="BK33" s="37"/>
      <c r="BL33" s="174" t="str">
        <f t="shared" si="20"/>
        <v/>
      </c>
      <c r="BM33" s="37"/>
      <c r="BN33" s="174" t="str">
        <f t="shared" si="21"/>
        <v/>
      </c>
      <c r="BO33" s="37"/>
      <c r="BP33" s="174" t="str">
        <f t="shared" si="22"/>
        <v/>
      </c>
      <c r="BQ33" s="37"/>
      <c r="BR33" s="174" t="str">
        <f t="shared" si="23"/>
        <v/>
      </c>
      <c r="BS33" s="37"/>
      <c r="BT33" s="174" t="str">
        <f t="shared" si="24"/>
        <v/>
      </c>
      <c r="BU33" s="37"/>
      <c r="BV33" s="174" t="str">
        <f t="shared" si="25"/>
        <v/>
      </c>
      <c r="BW33" s="37"/>
      <c r="BX33" s="174" t="str">
        <f t="shared" si="26"/>
        <v/>
      </c>
      <c r="BY33" s="37"/>
      <c r="BZ33" s="174" t="str">
        <f t="shared" si="27"/>
        <v/>
      </c>
      <c r="CA33" s="37"/>
      <c r="CB33" s="174" t="str">
        <f t="shared" si="28"/>
        <v/>
      </c>
      <c r="CC33" s="37"/>
      <c r="CD33" s="174" t="str">
        <f t="shared" si="29"/>
        <v/>
      </c>
      <c r="CE33" s="37"/>
      <c r="CF33" s="174" t="str">
        <f t="shared" si="30"/>
        <v/>
      </c>
      <c r="CG33" s="37"/>
      <c r="CH33" s="174" t="str">
        <f t="shared" si="31"/>
        <v/>
      </c>
      <c r="CI33" s="37"/>
      <c r="CJ33" s="174" t="str">
        <f t="shared" si="32"/>
        <v/>
      </c>
      <c r="CK33" s="37"/>
      <c r="CL33" s="174" t="str">
        <f t="shared" si="33"/>
        <v/>
      </c>
      <c r="CM33" s="37"/>
      <c r="CN33" s="174" t="str">
        <f t="shared" si="34"/>
        <v/>
      </c>
      <c r="CO33" s="37"/>
      <c r="CP33" s="174" t="str">
        <f t="shared" si="35"/>
        <v/>
      </c>
      <c r="CQ33" s="37"/>
      <c r="CR33" s="174" t="str">
        <f t="shared" si="36"/>
        <v/>
      </c>
      <c r="CS33" s="37"/>
      <c r="CT33" s="174" t="str">
        <f t="shared" si="37"/>
        <v/>
      </c>
      <c r="CU33" s="38"/>
      <c r="CV33" s="87"/>
      <c r="CW33" s="90"/>
      <c r="CX33" s="38"/>
      <c r="CY33" s="39"/>
      <c r="CZ33" s="37"/>
      <c r="DA33" s="39"/>
      <c r="DB33" s="24">
        <v>29</v>
      </c>
      <c r="DC33" s="96" t="str">
        <f t="shared" si="38"/>
        <v>火</v>
      </c>
      <c r="DF33" s="125"/>
      <c r="DG33" s="40"/>
      <c r="DH33" s="40"/>
      <c r="DI33" s="40"/>
      <c r="DJ33" s="40"/>
      <c r="DK33" s="40"/>
      <c r="DL33" s="40"/>
      <c r="DM33" s="40"/>
      <c r="DN33" s="40"/>
      <c r="DO33" s="40"/>
      <c r="DP33" s="40">
        <f t="shared" si="39"/>
        <v>0</v>
      </c>
      <c r="DQ33" s="172" t="str">
        <f t="shared" si="40"/>
        <v/>
      </c>
      <c r="DS33" s="189"/>
      <c r="DT33" s="190"/>
      <c r="DU33" s="190"/>
      <c r="DV33" s="191"/>
      <c r="DW33" s="41"/>
      <c r="DX33" s="42"/>
    </row>
    <row r="34" spans="1:128" ht="13.5" customHeight="1" thickBot="1" x14ac:dyDescent="0.45">
      <c r="A34" s="104">
        <v>30</v>
      </c>
      <c r="B34" s="23" t="s">
        <v>83</v>
      </c>
      <c r="C34" s="164"/>
      <c r="D34" s="164"/>
      <c r="E34" s="24"/>
      <c r="F34" s="29"/>
      <c r="G34" s="25" t="str">
        <f>IF(SUM($F$5:F34)=0,"",SUM($F$5:F34))</f>
        <v/>
      </c>
      <c r="H34" s="43" t="str">
        <f t="shared" si="0"/>
        <v/>
      </c>
      <c r="I34" s="148" t="e">
        <f t="array" aca="1" ref="I34" ca="1">IF($A35="",$G34/($V34-$U$5+INDIRECT(IF(_xlfn.SHEET()&lt;6,"令和8年"&amp;_xlfn.SHEET()+7&amp;"月","令和9年"&amp;_xlfn.SHEET()-5&amp;"月")&amp;"!$U$5")),$G34/($V35-$U$5))</f>
        <v>#VALUE!</v>
      </c>
      <c r="J34" s="26" t="str">
        <f t="shared" si="1"/>
        <v/>
      </c>
      <c r="K34" s="27"/>
      <c r="L34" s="165">
        <f t="shared" si="2"/>
        <v>0</v>
      </c>
      <c r="M34" s="28" t="str">
        <f t="shared" si="3"/>
        <v/>
      </c>
      <c r="N34" s="166" t="str">
        <f t="shared" si="4"/>
        <v/>
      </c>
      <c r="O34" s="167" t="str">
        <f t="shared" si="5"/>
        <v/>
      </c>
      <c r="P34" s="168"/>
      <c r="Q34" s="169" t="str">
        <f t="shared" si="6"/>
        <v/>
      </c>
      <c r="R34" s="170">
        <v>26</v>
      </c>
      <c r="S34" s="171">
        <v>20</v>
      </c>
      <c r="T34" s="24" t="s">
        <v>84</v>
      </c>
      <c r="U34" s="29">
        <v>238900</v>
      </c>
      <c r="V34" s="30">
        <f t="shared" si="41"/>
        <v>10412319</v>
      </c>
      <c r="W34" s="27">
        <v>137</v>
      </c>
      <c r="X34" s="31">
        <f t="shared" si="7"/>
        <v>1743.7956204379561</v>
      </c>
      <c r="Y34" s="29">
        <v>206009</v>
      </c>
      <c r="Z34" s="32">
        <f t="shared" si="42"/>
        <v>11279074</v>
      </c>
      <c r="AA34" s="33">
        <f t="shared" si="8"/>
        <v>0.92315370924953588</v>
      </c>
      <c r="AB34" s="158">
        <v>200000</v>
      </c>
      <c r="AC34" s="34">
        <f t="shared" si="43"/>
        <v>10800000</v>
      </c>
      <c r="AD34" s="158"/>
      <c r="AE34" s="25"/>
      <c r="AF34" s="25"/>
      <c r="AG34" s="25"/>
      <c r="AH34" s="25"/>
      <c r="AI34" s="25"/>
      <c r="AJ34" s="25"/>
      <c r="AK34" s="25"/>
      <c r="AL34" s="158"/>
      <c r="AM34" s="25"/>
      <c r="AN34" s="158"/>
      <c r="AO34" s="25"/>
      <c r="AP34" s="25"/>
      <c r="AQ34" s="158"/>
      <c r="AR34" s="35">
        <f t="shared" si="9"/>
        <v>0</v>
      </c>
      <c r="AS34" s="172" t="str">
        <f t="shared" si="10"/>
        <v/>
      </c>
      <c r="AT34" s="36">
        <f t="shared" si="11"/>
        <v>0</v>
      </c>
      <c r="AU34" s="173"/>
      <c r="AV34" s="82">
        <f t="shared" si="12"/>
        <v>30</v>
      </c>
      <c r="AW34" s="37"/>
      <c r="AX34" s="174" t="str">
        <f t="shared" si="13"/>
        <v/>
      </c>
      <c r="AY34" s="37"/>
      <c r="AZ34" s="174" t="str">
        <f t="shared" si="14"/>
        <v/>
      </c>
      <c r="BA34" s="37"/>
      <c r="BB34" s="174" t="str">
        <f t="shared" si="15"/>
        <v/>
      </c>
      <c r="BC34" s="37"/>
      <c r="BD34" s="174" t="str">
        <f t="shared" si="16"/>
        <v/>
      </c>
      <c r="BE34" s="37"/>
      <c r="BF34" s="174" t="str">
        <f t="shared" si="17"/>
        <v/>
      </c>
      <c r="BG34" s="37"/>
      <c r="BH34" s="174" t="str">
        <f t="shared" si="18"/>
        <v/>
      </c>
      <c r="BI34" s="37"/>
      <c r="BJ34" s="174" t="str">
        <f t="shared" si="19"/>
        <v/>
      </c>
      <c r="BK34" s="37"/>
      <c r="BL34" s="174" t="str">
        <f t="shared" si="20"/>
        <v/>
      </c>
      <c r="BM34" s="37"/>
      <c r="BN34" s="174" t="str">
        <f t="shared" si="21"/>
        <v/>
      </c>
      <c r="BO34" s="37"/>
      <c r="BP34" s="174" t="str">
        <f t="shared" si="22"/>
        <v/>
      </c>
      <c r="BQ34" s="37"/>
      <c r="BR34" s="174" t="str">
        <f t="shared" si="23"/>
        <v/>
      </c>
      <c r="BS34" s="37"/>
      <c r="BT34" s="174" t="str">
        <f t="shared" si="24"/>
        <v/>
      </c>
      <c r="BU34" s="37"/>
      <c r="BV34" s="174" t="str">
        <f t="shared" si="25"/>
        <v/>
      </c>
      <c r="BW34" s="37"/>
      <c r="BX34" s="174" t="str">
        <f t="shared" si="26"/>
        <v/>
      </c>
      <c r="BY34" s="37"/>
      <c r="BZ34" s="174" t="str">
        <f t="shared" si="27"/>
        <v/>
      </c>
      <c r="CA34" s="37"/>
      <c r="CB34" s="174" t="str">
        <f t="shared" si="28"/>
        <v/>
      </c>
      <c r="CC34" s="37"/>
      <c r="CD34" s="174" t="str">
        <f t="shared" si="29"/>
        <v/>
      </c>
      <c r="CE34" s="37"/>
      <c r="CF34" s="174" t="str">
        <f t="shared" si="30"/>
        <v/>
      </c>
      <c r="CG34" s="37"/>
      <c r="CH34" s="174" t="str">
        <f t="shared" si="31"/>
        <v/>
      </c>
      <c r="CI34" s="37"/>
      <c r="CJ34" s="174" t="str">
        <f t="shared" si="32"/>
        <v/>
      </c>
      <c r="CK34" s="37"/>
      <c r="CL34" s="174" t="str">
        <f t="shared" si="33"/>
        <v/>
      </c>
      <c r="CM34" s="37"/>
      <c r="CN34" s="174" t="str">
        <f t="shared" si="34"/>
        <v/>
      </c>
      <c r="CO34" s="37"/>
      <c r="CP34" s="174" t="str">
        <f t="shared" si="35"/>
        <v/>
      </c>
      <c r="CQ34" s="37"/>
      <c r="CR34" s="174" t="str">
        <f t="shared" si="36"/>
        <v/>
      </c>
      <c r="CS34" s="37"/>
      <c r="CT34" s="174" t="str">
        <f t="shared" si="37"/>
        <v/>
      </c>
      <c r="CU34" s="38"/>
      <c r="CV34" s="87"/>
      <c r="CW34" s="90"/>
      <c r="CX34" s="38"/>
      <c r="CY34" s="39"/>
      <c r="CZ34" s="37"/>
      <c r="DA34" s="39"/>
      <c r="DB34" s="24">
        <v>30</v>
      </c>
      <c r="DC34" s="96" t="str">
        <f t="shared" si="38"/>
        <v>水</v>
      </c>
      <c r="DF34" s="125"/>
      <c r="DG34" s="40"/>
      <c r="DH34" s="40"/>
      <c r="DI34" s="40"/>
      <c r="DJ34" s="40"/>
      <c r="DK34" s="40"/>
      <c r="DL34" s="40"/>
      <c r="DM34" s="40"/>
      <c r="DN34" s="40"/>
      <c r="DO34" s="40"/>
      <c r="DP34" s="40">
        <f t="shared" si="39"/>
        <v>0</v>
      </c>
      <c r="DQ34" s="172" t="str">
        <f t="shared" si="40"/>
        <v/>
      </c>
      <c r="DS34" s="189"/>
      <c r="DT34" s="190"/>
      <c r="DU34" s="190"/>
      <c r="DV34" s="191"/>
      <c r="DW34" s="41"/>
      <c r="DX34" s="42"/>
    </row>
    <row r="35" spans="1:128" ht="13.5" hidden="1" customHeight="1" thickTop="1" thickBot="1" x14ac:dyDescent="0.45">
      <c r="A35" s="105">
        <v>31</v>
      </c>
      <c r="B35" s="23"/>
      <c r="C35" s="175"/>
      <c r="D35" s="175"/>
      <c r="E35" s="24"/>
      <c r="F35" s="29"/>
      <c r="G35" s="25" t="str">
        <f>IF(SUM($F$5:F35)=0,"",SUM($F$5:F35))</f>
        <v/>
      </c>
      <c r="H35" s="43" t="str">
        <f t="shared" si="0"/>
        <v/>
      </c>
      <c r="I35" s="148" t="e">
        <f t="array" aca="1" ref="I35" ca="1">IF($A36="",$G35/($V35-$U$5+INDIRECT(IF(_xlfn.SHEET()&lt;6,"令和8年"&amp;_xlfn.SHEET()+7&amp;"月","令和9年"&amp;_xlfn.SHEET()-5&amp;"月")&amp;"!$U$5")),$G35/($V36-$U$5))</f>
        <v>#VALUE!</v>
      </c>
      <c r="J35" s="26" t="str">
        <f t="shared" si="1"/>
        <v/>
      </c>
      <c r="K35" s="27"/>
      <c r="L35" s="165" t="str">
        <f t="shared" si="2"/>
        <v/>
      </c>
      <c r="M35" s="28" t="str">
        <f t="shared" si="3"/>
        <v/>
      </c>
      <c r="N35" s="166" t="str">
        <f t="shared" si="4"/>
        <v/>
      </c>
      <c r="O35" s="167" t="str">
        <f t="shared" si="5"/>
        <v/>
      </c>
      <c r="P35" s="168"/>
      <c r="Q35" s="169" t="str">
        <f t="shared" si="6"/>
        <v/>
      </c>
      <c r="R35" s="170"/>
      <c r="S35" s="176"/>
      <c r="T35" s="24"/>
      <c r="U35" s="29"/>
      <c r="V35" s="30">
        <f t="shared" si="41"/>
        <v>10412319</v>
      </c>
      <c r="W35" s="27"/>
      <c r="X35" s="31" t="str">
        <f t="shared" si="7"/>
        <v/>
      </c>
      <c r="Y35" s="29"/>
      <c r="Z35" s="32">
        <f t="shared" si="42"/>
        <v>11279074</v>
      </c>
      <c r="AA35" s="33">
        <f t="shared" si="8"/>
        <v>0.92315370924953588</v>
      </c>
      <c r="AB35" s="74">
        <f>AB36/31</f>
        <v>0</v>
      </c>
      <c r="AC35" s="34">
        <f t="shared" si="43"/>
        <v>10800000</v>
      </c>
      <c r="AD35" s="158"/>
      <c r="AE35" s="25"/>
      <c r="AF35" s="25"/>
      <c r="AG35" s="25"/>
      <c r="AH35" s="25"/>
      <c r="AI35" s="25"/>
      <c r="AJ35" s="25"/>
      <c r="AK35" s="25"/>
      <c r="AL35" s="158"/>
      <c r="AM35" s="25"/>
      <c r="AN35" s="158"/>
      <c r="AO35" s="25"/>
      <c r="AP35" s="25"/>
      <c r="AQ35" s="158"/>
      <c r="AR35" s="35">
        <f t="shared" si="9"/>
        <v>0</v>
      </c>
      <c r="AS35" s="172" t="str">
        <f t="shared" si="10"/>
        <v/>
      </c>
      <c r="AT35" s="36">
        <f t="shared" si="11"/>
        <v>0</v>
      </c>
      <c r="AU35" s="173"/>
      <c r="AV35" s="82">
        <f t="shared" si="12"/>
        <v>31</v>
      </c>
      <c r="AW35" s="37"/>
      <c r="AX35" s="174" t="str">
        <f t="shared" si="13"/>
        <v/>
      </c>
      <c r="AY35" s="37"/>
      <c r="AZ35" s="174" t="str">
        <f t="shared" si="14"/>
        <v/>
      </c>
      <c r="BA35" s="37"/>
      <c r="BB35" s="174" t="str">
        <f t="shared" si="15"/>
        <v/>
      </c>
      <c r="BC35" s="37"/>
      <c r="BD35" s="174" t="str">
        <f t="shared" si="16"/>
        <v/>
      </c>
      <c r="BE35" s="37"/>
      <c r="BF35" s="174" t="str">
        <f t="shared" si="17"/>
        <v/>
      </c>
      <c r="BG35" s="37"/>
      <c r="BH35" s="174" t="str">
        <f t="shared" si="18"/>
        <v/>
      </c>
      <c r="BI35" s="37"/>
      <c r="BJ35" s="174" t="str">
        <f t="shared" si="19"/>
        <v/>
      </c>
      <c r="BK35" s="37"/>
      <c r="BL35" s="174" t="str">
        <f t="shared" si="20"/>
        <v/>
      </c>
      <c r="BM35" s="37"/>
      <c r="BN35" s="174" t="str">
        <f t="shared" si="21"/>
        <v/>
      </c>
      <c r="BO35" s="37"/>
      <c r="BP35" s="174" t="str">
        <f t="shared" si="22"/>
        <v/>
      </c>
      <c r="BQ35" s="37"/>
      <c r="BR35" s="174" t="str">
        <f t="shared" si="23"/>
        <v/>
      </c>
      <c r="BS35" s="37"/>
      <c r="BT35" s="174" t="str">
        <f t="shared" si="24"/>
        <v/>
      </c>
      <c r="BU35" s="37"/>
      <c r="BV35" s="174" t="str">
        <f t="shared" si="25"/>
        <v/>
      </c>
      <c r="BW35" s="37"/>
      <c r="BX35" s="174" t="str">
        <f t="shared" si="26"/>
        <v/>
      </c>
      <c r="BY35" s="37"/>
      <c r="BZ35" s="174" t="str">
        <f t="shared" si="27"/>
        <v/>
      </c>
      <c r="CA35" s="37"/>
      <c r="CB35" s="174" t="str">
        <f t="shared" si="28"/>
        <v/>
      </c>
      <c r="CC35" s="37"/>
      <c r="CD35" s="174" t="str">
        <f t="shared" si="29"/>
        <v/>
      </c>
      <c r="CE35" s="37"/>
      <c r="CF35" s="174" t="str">
        <f t="shared" si="30"/>
        <v/>
      </c>
      <c r="CG35" s="37"/>
      <c r="CH35" s="174" t="str">
        <f t="shared" si="31"/>
        <v/>
      </c>
      <c r="CI35" s="37"/>
      <c r="CJ35" s="174" t="str">
        <f t="shared" si="32"/>
        <v/>
      </c>
      <c r="CK35" s="37"/>
      <c r="CL35" s="174" t="str">
        <f t="shared" si="33"/>
        <v/>
      </c>
      <c r="CM35" s="37"/>
      <c r="CN35" s="174" t="str">
        <f t="shared" si="34"/>
        <v/>
      </c>
      <c r="CO35" s="37"/>
      <c r="CP35" s="174" t="str">
        <f t="shared" si="35"/>
        <v/>
      </c>
      <c r="CQ35" s="37"/>
      <c r="CR35" s="174" t="str">
        <f t="shared" si="36"/>
        <v/>
      </c>
      <c r="CS35" s="37"/>
      <c r="CT35" s="174" t="str">
        <f t="shared" si="37"/>
        <v/>
      </c>
      <c r="CU35" s="38"/>
      <c r="CV35" s="87"/>
      <c r="CW35" s="90"/>
      <c r="CX35" s="38"/>
      <c r="CY35" s="39"/>
      <c r="CZ35" s="37"/>
      <c r="DA35" s="39"/>
      <c r="DB35" s="24">
        <v>31</v>
      </c>
      <c r="DC35" s="96">
        <f t="shared" si="38"/>
        <v>0</v>
      </c>
      <c r="DF35" s="125"/>
      <c r="DG35" s="40"/>
      <c r="DH35" s="40"/>
      <c r="DI35" s="40"/>
      <c r="DJ35" s="40"/>
      <c r="DK35" s="40"/>
      <c r="DL35" s="40"/>
      <c r="DM35" s="40"/>
      <c r="DN35" s="40"/>
      <c r="DO35" s="40"/>
      <c r="DP35" s="40">
        <f t="shared" si="39"/>
        <v>0</v>
      </c>
      <c r="DQ35" s="172" t="str">
        <f t="shared" si="40"/>
        <v/>
      </c>
      <c r="DS35" s="189"/>
      <c r="DT35" s="190"/>
      <c r="DU35" s="190"/>
      <c r="DV35" s="191"/>
      <c r="DW35" s="41"/>
      <c r="DX35" s="42"/>
    </row>
    <row r="36" spans="1:128" ht="18.75" customHeight="1" thickTop="1" thickBot="1" x14ac:dyDescent="0.45">
      <c r="A36" s="62"/>
      <c r="B36" s="103"/>
      <c r="C36" s="103"/>
      <c r="D36" s="103"/>
      <c r="E36" s="44" t="s">
        <v>95</v>
      </c>
      <c r="F36" s="25">
        <f>SUM(F5:F35)</f>
        <v>0</v>
      </c>
      <c r="G36" s="25"/>
      <c r="H36" s="43"/>
      <c r="I36" s="148"/>
      <c r="J36" s="26"/>
      <c r="K36" s="45">
        <f>SUM(K4:K35)</f>
        <v>0</v>
      </c>
      <c r="L36" s="165">
        <f t="shared" si="2"/>
        <v>0</v>
      </c>
      <c r="M36" s="46"/>
      <c r="N36" s="47" t="str">
        <f t="shared" si="4"/>
        <v/>
      </c>
      <c r="O36" s="48"/>
      <c r="P36" s="177"/>
      <c r="Q36" s="178"/>
      <c r="R36" s="49"/>
      <c r="S36" s="128"/>
      <c r="T36" s="50" t="s">
        <v>95</v>
      </c>
      <c r="U36" s="51">
        <f>SUM(U5:U35)</f>
        <v>10412319</v>
      </c>
      <c r="V36" s="30"/>
      <c r="W36" s="52">
        <f>SUM(W5:W35)</f>
        <v>6626</v>
      </c>
      <c r="X36" s="53"/>
      <c r="Y36" s="25">
        <f>SUM(Y5:Y35)</f>
        <v>11279074</v>
      </c>
      <c r="Z36" s="32"/>
      <c r="AA36" s="54"/>
      <c r="AB36" s="55"/>
      <c r="AC36" s="54"/>
      <c r="AD36" s="158">
        <f t="shared" ref="AD36:AR36" si="44">SUM(AD5:AD35)</f>
        <v>0</v>
      </c>
      <c r="AE36" s="25">
        <f t="shared" si="44"/>
        <v>0</v>
      </c>
      <c r="AF36" s="25">
        <f t="shared" si="44"/>
        <v>0</v>
      </c>
      <c r="AG36" s="25">
        <f t="shared" si="44"/>
        <v>0</v>
      </c>
      <c r="AH36" s="25">
        <f t="shared" si="44"/>
        <v>0</v>
      </c>
      <c r="AI36" s="25">
        <f t="shared" si="44"/>
        <v>0</v>
      </c>
      <c r="AJ36" s="25">
        <f t="shared" si="44"/>
        <v>0</v>
      </c>
      <c r="AK36" s="25">
        <f t="shared" si="44"/>
        <v>0</v>
      </c>
      <c r="AL36" s="25">
        <f t="shared" si="44"/>
        <v>0</v>
      </c>
      <c r="AM36" s="25">
        <f t="shared" si="44"/>
        <v>0</v>
      </c>
      <c r="AN36" s="25">
        <f t="shared" si="44"/>
        <v>0</v>
      </c>
      <c r="AO36" s="25">
        <f t="shared" si="44"/>
        <v>0</v>
      </c>
      <c r="AP36" s="25">
        <f t="shared" si="44"/>
        <v>0</v>
      </c>
      <c r="AQ36" s="158">
        <f t="shared" si="44"/>
        <v>0</v>
      </c>
      <c r="AR36" s="56">
        <f t="shared" si="44"/>
        <v>0</v>
      </c>
      <c r="AS36" s="179" t="str">
        <f>IF(ISERROR((AR36/$F36)),"",AR36/$F36)</f>
        <v/>
      </c>
      <c r="AT36" s="77">
        <f>SUM(AT5:AT35)</f>
        <v>0</v>
      </c>
      <c r="AU36" s="173"/>
      <c r="AV36" s="83" t="s">
        <v>95</v>
      </c>
      <c r="AW36" s="57">
        <f>SUM(AW5:AW35)</f>
        <v>0</v>
      </c>
      <c r="AX36" s="57"/>
      <c r="AY36" s="57">
        <f>SUM(AY5:AY35)</f>
        <v>0</v>
      </c>
      <c r="AZ36" s="57"/>
      <c r="BA36" s="57">
        <f>SUM(BA5:BA35)</f>
        <v>0</v>
      </c>
      <c r="BB36" s="57"/>
      <c r="BC36" s="57">
        <f>SUM(BC5:BC35)</f>
        <v>0</v>
      </c>
      <c r="BD36" s="57"/>
      <c r="BE36" s="57">
        <f>SUM(BE5:BE35)</f>
        <v>0</v>
      </c>
      <c r="BF36" s="57"/>
      <c r="BG36" s="57">
        <f>SUM(BG5:BG35)</f>
        <v>0</v>
      </c>
      <c r="BH36" s="57"/>
      <c r="BI36" s="57">
        <f>SUM(BI5:BI35)</f>
        <v>0</v>
      </c>
      <c r="BJ36" s="57"/>
      <c r="BK36" s="57">
        <f>SUM(BK5:BK35)</f>
        <v>0</v>
      </c>
      <c r="BL36" s="57"/>
      <c r="BM36" s="57">
        <f>SUM(BM5:BM35)</f>
        <v>0</v>
      </c>
      <c r="BN36" s="57"/>
      <c r="BO36" s="57">
        <f>SUM(BO5:BO35)</f>
        <v>0</v>
      </c>
      <c r="BP36" s="57"/>
      <c r="BQ36" s="57">
        <f>SUM(BQ5:BQ35)</f>
        <v>0</v>
      </c>
      <c r="BR36" s="57"/>
      <c r="BS36" s="57">
        <f>SUM(BS5:BS35)</f>
        <v>0</v>
      </c>
      <c r="BT36" s="57"/>
      <c r="BU36" s="57">
        <f>SUM(BU5:BU35)</f>
        <v>0</v>
      </c>
      <c r="BV36" s="57"/>
      <c r="BW36" s="57">
        <f>SUM(BW5:BW35)</f>
        <v>0</v>
      </c>
      <c r="BX36" s="57"/>
      <c r="BY36" s="57">
        <f>SUM(BY5:BY35)</f>
        <v>0</v>
      </c>
      <c r="BZ36" s="57"/>
      <c r="CA36" s="57">
        <f>SUM(CA5:CA35)</f>
        <v>0</v>
      </c>
      <c r="CB36" s="57"/>
      <c r="CC36" s="57">
        <f>SUM(CC5:CC35)</f>
        <v>0</v>
      </c>
      <c r="CD36" s="58"/>
      <c r="CE36" s="57">
        <f>SUM(CE5:CE35)</f>
        <v>0</v>
      </c>
      <c r="CF36" s="58"/>
      <c r="CG36" s="57">
        <f>SUM(CG5:CG35)</f>
        <v>0</v>
      </c>
      <c r="CH36" s="57"/>
      <c r="CI36" s="57">
        <f>SUM(CI5:CI35)</f>
        <v>0</v>
      </c>
      <c r="CJ36" s="58"/>
      <c r="CK36" s="57">
        <f>SUM(CK5:CK35)</f>
        <v>0</v>
      </c>
      <c r="CL36" s="58"/>
      <c r="CM36" s="57">
        <f>SUM(CM5:CM35)</f>
        <v>0</v>
      </c>
      <c r="CN36" s="57"/>
      <c r="CO36" s="57">
        <f>SUM(CO5:CO35)</f>
        <v>0</v>
      </c>
      <c r="CP36" s="58"/>
      <c r="CQ36" s="57">
        <f>SUM(CQ5:CQ35)</f>
        <v>0</v>
      </c>
      <c r="CR36" s="58"/>
      <c r="CS36" s="57">
        <f>SUM(CS5:CS35)</f>
        <v>0</v>
      </c>
      <c r="CT36" s="60"/>
      <c r="CU36" s="59">
        <f>SUM(CU5:CU35)</f>
        <v>0</v>
      </c>
      <c r="CV36" s="60">
        <f>SUM(CV5:CV35)</f>
        <v>0</v>
      </c>
      <c r="CW36" s="91"/>
      <c r="CX36" s="59">
        <f>SUM(CX5:CX35)</f>
        <v>0</v>
      </c>
      <c r="CY36" s="39">
        <f>SUM(CY5:CY35)</f>
        <v>0</v>
      </c>
      <c r="CZ36" s="57">
        <f>SUM(CZ5:CZ35)</f>
        <v>0</v>
      </c>
      <c r="DA36" s="61">
        <f>SUM(DA5:DA35)</f>
        <v>0</v>
      </c>
      <c r="DB36" s="44"/>
      <c r="DC36" s="96"/>
      <c r="DF36" s="125">
        <f t="shared" ref="DF36:DP36" si="45">SUM(DF5:DF35)</f>
        <v>0</v>
      </c>
      <c r="DG36" s="40">
        <f t="shared" si="45"/>
        <v>0</v>
      </c>
      <c r="DH36" s="40">
        <f t="shared" si="45"/>
        <v>0</v>
      </c>
      <c r="DI36" s="40">
        <f t="shared" si="45"/>
        <v>0</v>
      </c>
      <c r="DJ36" s="40">
        <f t="shared" si="45"/>
        <v>0</v>
      </c>
      <c r="DK36" s="40">
        <f t="shared" si="45"/>
        <v>0</v>
      </c>
      <c r="DL36" s="40">
        <f t="shared" si="45"/>
        <v>0</v>
      </c>
      <c r="DM36" s="40">
        <f t="shared" si="45"/>
        <v>0</v>
      </c>
      <c r="DN36" s="40">
        <f t="shared" si="45"/>
        <v>0</v>
      </c>
      <c r="DO36" s="40">
        <f t="shared" si="45"/>
        <v>0</v>
      </c>
      <c r="DP36" s="40">
        <f t="shared" si="45"/>
        <v>0</v>
      </c>
      <c r="DQ36" s="179" t="str">
        <f>IF(ISERROR((DP36/$F36)),"",DP36/$F36)</f>
        <v/>
      </c>
      <c r="DS36" s="198" t="s">
        <v>96</v>
      </c>
      <c r="DT36" s="199"/>
      <c r="DU36" s="199"/>
      <c r="DV36" s="199"/>
      <c r="DW36" s="199"/>
      <c r="DX36" s="199"/>
    </row>
    <row r="37" spans="1:128" ht="19.149999999999999" customHeight="1" thickTop="1" thickBot="1" x14ac:dyDescent="0.45">
      <c r="E37" s="62" t="s">
        <v>97</v>
      </c>
      <c r="F37" s="66" t="str">
        <f>IF(ISERROR(AVERAGE(F5:F35)),"",AVERAGE(F5:F35))</f>
        <v/>
      </c>
      <c r="G37" s="66"/>
      <c r="H37" s="100" t="str">
        <f>IF(ISERROR(F37/U37),"",(F37/U37))</f>
        <v/>
      </c>
      <c r="I37" s="149"/>
      <c r="J37" s="101" t="str">
        <f>IF(ISERROR(F37/AC5),"",(F37/AC5))</f>
        <v/>
      </c>
      <c r="K37" s="102" t="str">
        <f>IF(ISERROR(AVERAGE(K4:K35)),"",AVERAGE(K4:K35))</f>
        <v/>
      </c>
      <c r="L37" s="180" t="str">
        <f t="shared" si="2"/>
        <v/>
      </c>
      <c r="M37" s="102" t="str">
        <f>IF(ISERROR(AVERAGE(M4:M35)),"",AVERAGE(M4:M35))</f>
        <v/>
      </c>
      <c r="N37" s="181" t="str">
        <f t="shared" si="4"/>
        <v/>
      </c>
      <c r="O37" s="182" t="e">
        <f>AVERAGE(O4:O35)</f>
        <v>#DIV/0!</v>
      </c>
      <c r="P37" s="183"/>
      <c r="Q37" s="184" t="e">
        <f>AVERAGE(Q4:Q35)</f>
        <v>#DIV/0!</v>
      </c>
      <c r="T37" s="62" t="s">
        <v>97</v>
      </c>
      <c r="U37" s="63">
        <f>IF(ISERROR(AVERAGE(U5:U35)),"",AVERAGE(U5:U35))</f>
        <v>347077.3</v>
      </c>
      <c r="V37" s="64"/>
      <c r="W37" s="65">
        <f>IF(ISERROR(AVERAGE(W5:W35)),"",AVERAGE(W5:W35))</f>
        <v>220.86666666666667</v>
      </c>
      <c r="X37" s="65">
        <f>IF(ISERROR(AVERAGE(X5:X35)),"",AVERAGE(X5:X35))</f>
        <v>1553.0730995840545</v>
      </c>
      <c r="Y37" s="66">
        <f>IF(ISERROR(AVERAGE(Y5:Y35)),"",AVERAGE(Y5:Y35))</f>
        <v>375969.13333333336</v>
      </c>
      <c r="Z37" s="66"/>
      <c r="AA37" s="67"/>
      <c r="AB37" s="201" t="s">
        <v>98</v>
      </c>
      <c r="AC37" s="202"/>
      <c r="AD37" s="68" t="str">
        <f t="shared" ref="AD37:AQ37" si="46">IF(ISERROR(AVERAGE(AD5:AD35)),"",AVERAGE(AD5:AD35))</f>
        <v/>
      </c>
      <c r="AE37" s="66" t="str">
        <f t="shared" si="46"/>
        <v/>
      </c>
      <c r="AF37" s="66" t="str">
        <f t="shared" si="46"/>
        <v/>
      </c>
      <c r="AG37" s="66" t="str">
        <f t="shared" si="46"/>
        <v/>
      </c>
      <c r="AH37" s="66" t="str">
        <f t="shared" si="46"/>
        <v/>
      </c>
      <c r="AI37" s="66" t="str">
        <f t="shared" si="46"/>
        <v/>
      </c>
      <c r="AJ37" s="66" t="str">
        <f t="shared" si="46"/>
        <v/>
      </c>
      <c r="AK37" s="66" t="str">
        <f t="shared" si="46"/>
        <v/>
      </c>
      <c r="AL37" s="66" t="str">
        <f t="shared" si="46"/>
        <v/>
      </c>
      <c r="AM37" s="66" t="str">
        <f t="shared" si="46"/>
        <v/>
      </c>
      <c r="AN37" s="66" t="str">
        <f t="shared" si="46"/>
        <v/>
      </c>
      <c r="AO37" s="66" t="str">
        <f t="shared" si="46"/>
        <v/>
      </c>
      <c r="AP37" s="66" t="str">
        <f t="shared" si="46"/>
        <v/>
      </c>
      <c r="AQ37" s="69" t="str">
        <f t="shared" si="46"/>
        <v/>
      </c>
      <c r="AR37" s="70"/>
      <c r="AS37" s="185"/>
      <c r="AT37" s="185"/>
      <c r="AU37" s="186"/>
      <c r="AV37" s="84" t="s">
        <v>97</v>
      </c>
      <c r="AW37" s="72" t="str">
        <f>IF(ISERROR(AVERAGE(AW5:AW35)),"",AVERAGE(AW5:AW35))</f>
        <v/>
      </c>
      <c r="AX37" s="187" t="e">
        <f>AVERAGE(AX5:AX35)</f>
        <v>#DIV/0!</v>
      </c>
      <c r="AY37" s="72" t="str">
        <f>IF(ISERROR(AVERAGE(AY5:AY35)),"",AVERAGE(AY5:AY35))</f>
        <v/>
      </c>
      <c r="AZ37" s="187" t="e">
        <f>AVERAGE(AZ5:AZ35)</f>
        <v>#DIV/0!</v>
      </c>
      <c r="BA37" s="72" t="str">
        <f>IF(ISERROR(AVERAGE(BA5:BA35)),"",AVERAGE(BA5:BA35))</f>
        <v/>
      </c>
      <c r="BB37" s="187" t="e">
        <f>AVERAGE(BB5:BB35)</f>
        <v>#DIV/0!</v>
      </c>
      <c r="BC37" s="72" t="str">
        <f>IF(ISERROR(AVERAGE(BC5:BC35)),"",AVERAGE(BC5:BC35))</f>
        <v/>
      </c>
      <c r="BD37" s="187" t="e">
        <f>AVERAGE(BD5:BD35)</f>
        <v>#DIV/0!</v>
      </c>
      <c r="BE37" s="72" t="str">
        <f>IF(ISERROR(AVERAGE(BE5:BE35)),"",AVERAGE(BE5:BE35))</f>
        <v/>
      </c>
      <c r="BF37" s="187" t="e">
        <f>AVERAGE(BF5:BF35)</f>
        <v>#DIV/0!</v>
      </c>
      <c r="BG37" s="72" t="str">
        <f>IF(ISERROR(AVERAGE(BG5:BG35)),"",AVERAGE(BG5:BG35))</f>
        <v/>
      </c>
      <c r="BH37" s="187" t="e">
        <f>AVERAGE(BH5:BH35)</f>
        <v>#DIV/0!</v>
      </c>
      <c r="BI37" s="72" t="str">
        <f>IF(ISERROR(AVERAGE(BI5:BI35)),"",AVERAGE(BI5:BI35))</f>
        <v/>
      </c>
      <c r="BJ37" s="187" t="e">
        <f>AVERAGE(BJ5:BJ35)</f>
        <v>#DIV/0!</v>
      </c>
      <c r="BK37" s="72" t="str">
        <f>IF(ISERROR(AVERAGE(BK5:BK35)),"",AVERAGE(BK5:BK35))</f>
        <v/>
      </c>
      <c r="BL37" s="187" t="e">
        <f>AVERAGE(BL5:BL35)</f>
        <v>#DIV/0!</v>
      </c>
      <c r="BM37" s="72" t="str">
        <f>IF(ISERROR(AVERAGE(BM5:BM35)),"",AVERAGE(BM5:BM35))</f>
        <v/>
      </c>
      <c r="BN37" s="187" t="e">
        <f>AVERAGE(BN5:BN35)</f>
        <v>#DIV/0!</v>
      </c>
      <c r="BO37" s="72" t="str">
        <f>IF(ISERROR(AVERAGE(BO5:BO35)),"",AVERAGE(BO5:BO35))</f>
        <v/>
      </c>
      <c r="BP37" s="187" t="e">
        <f>AVERAGE(BP5:BP35)</f>
        <v>#DIV/0!</v>
      </c>
      <c r="BQ37" s="72" t="str">
        <f>IF(ISERROR(AVERAGE(BQ5:BQ35)),"",AVERAGE(BQ5:BQ35))</f>
        <v/>
      </c>
      <c r="BR37" s="187" t="e">
        <f>AVERAGE(BR5:BR35)</f>
        <v>#DIV/0!</v>
      </c>
      <c r="BS37" s="72" t="str">
        <f>IF(ISERROR(AVERAGE(BS5:BS35)),"",AVERAGE(BS5:BS35))</f>
        <v/>
      </c>
      <c r="BT37" s="187" t="e">
        <f>AVERAGE(BT5:BT35)</f>
        <v>#DIV/0!</v>
      </c>
      <c r="BU37" s="72" t="str">
        <f>IF(ISERROR(AVERAGE(BU5:BU35)),"",AVERAGE(BU5:BU35))</f>
        <v/>
      </c>
      <c r="BV37" s="187" t="e">
        <f>AVERAGE(BV5:BV35)</f>
        <v>#DIV/0!</v>
      </c>
      <c r="BW37" s="72" t="str">
        <f>IF(ISERROR(AVERAGE(BW5:BW35)),"",AVERAGE(BW5:BW35))</f>
        <v/>
      </c>
      <c r="BX37" s="187" t="e">
        <f>AVERAGE(BX5:BX35)</f>
        <v>#DIV/0!</v>
      </c>
      <c r="BY37" s="72" t="str">
        <f>IF(ISERROR(AVERAGE(BY5:BY35)),"",AVERAGE(BY5:BY35))</f>
        <v/>
      </c>
      <c r="BZ37" s="187" t="e">
        <f>AVERAGE(BZ5:BZ35)</f>
        <v>#DIV/0!</v>
      </c>
      <c r="CA37" s="72" t="str">
        <f>IF(ISERROR(AVERAGE(CA5:CA35)),"",AVERAGE(CA5:CA35))</f>
        <v/>
      </c>
      <c r="CB37" s="187" t="e">
        <f>AVERAGE(CB5:CB35)</f>
        <v>#DIV/0!</v>
      </c>
      <c r="CC37" s="72" t="str">
        <f>IF(ISERROR(AVERAGE(CC5:CC35)),"",AVERAGE(CC5:CC35))</f>
        <v/>
      </c>
      <c r="CD37" s="187" t="e">
        <f>AVERAGE(CD5:CD35)</f>
        <v>#DIV/0!</v>
      </c>
      <c r="CE37" s="72" t="str">
        <f>IF(ISERROR(AVERAGE(CE5:CE35)),"",AVERAGE(CE5:CE35))</f>
        <v/>
      </c>
      <c r="CF37" s="187" t="e">
        <f>AVERAGE(CF5:CF35)</f>
        <v>#DIV/0!</v>
      </c>
      <c r="CG37" s="72" t="str">
        <f>IF(ISERROR(AVERAGE(CG5:CG35)),"",AVERAGE(CG5:CG35))</f>
        <v/>
      </c>
      <c r="CH37" s="187" t="e">
        <f>AVERAGE(CH5:CH35)</f>
        <v>#DIV/0!</v>
      </c>
      <c r="CI37" s="72" t="str">
        <f>IF(ISERROR(AVERAGE(CI5:CI35)),"",AVERAGE(CI5:CI35))</f>
        <v/>
      </c>
      <c r="CJ37" s="187" t="e">
        <f>AVERAGE(CJ5:CJ35)</f>
        <v>#DIV/0!</v>
      </c>
      <c r="CK37" s="72" t="str">
        <f>IF(ISERROR(AVERAGE(CK5:CK35)),"",AVERAGE(CK5:CK35))</f>
        <v/>
      </c>
      <c r="CL37" s="187" t="e">
        <f>AVERAGE(CL5:CL35)</f>
        <v>#DIV/0!</v>
      </c>
      <c r="CM37" s="72" t="str">
        <f>IF(ISERROR(AVERAGE(CM5:CM35)),"",AVERAGE(CM5:CM35))</f>
        <v/>
      </c>
      <c r="CN37" s="187" t="e">
        <f>AVERAGE(CN5:CN35)</f>
        <v>#DIV/0!</v>
      </c>
      <c r="CO37" s="72" t="str">
        <f>IF(ISERROR(AVERAGE(CO5:CO35)),"",AVERAGE(CO5:CO35))</f>
        <v/>
      </c>
      <c r="CP37" s="187" t="e">
        <f>AVERAGE(CP5:CP35)</f>
        <v>#DIV/0!</v>
      </c>
      <c r="CQ37" s="72" t="str">
        <f>IF(ISERROR(AVERAGE(CQ5:CQ35)),"",AVERAGE(CQ5:CQ35))</f>
        <v/>
      </c>
      <c r="CR37" s="187" t="e">
        <f>AVERAGE(CR5:CR35)</f>
        <v>#DIV/0!</v>
      </c>
      <c r="CS37" s="72" t="str">
        <f>IF(ISERROR(AVERAGE(CS5:CS35)),"",AVERAGE(CS5:CS35))</f>
        <v/>
      </c>
      <c r="CT37" s="188" t="e">
        <f>AVERAGE(CT5:CT35)</f>
        <v>#DIV/0!</v>
      </c>
      <c r="CU37" s="71" t="str">
        <f>IF(ISERROR(AVERAGE(CU5:CU35)),"",AVERAGE(CU5:CU35))</f>
        <v/>
      </c>
      <c r="CV37" s="88" t="str">
        <f>IF(ISERROR(AVERAGE(CV5:CV35)),"",AVERAGE(CV5:CV35))</f>
        <v/>
      </c>
      <c r="CW37" s="92"/>
      <c r="CX37" s="71" t="str">
        <f>IF(ISERROR(AVERAGE(CX5:CX35)),"",AVERAGE(CX5:CX35))</f>
        <v/>
      </c>
      <c r="CY37" s="154" t="str">
        <f>IF(ISERROR(AVERAGE(CY5:CY35)),"",AVERAGE(CY5:CY35))</f>
        <v/>
      </c>
      <c r="CZ37" s="72" t="str">
        <f>IF(ISERROR(AVERAGE(CZ5:CZ35)),"",AVERAGE(CZ5:CZ35))</f>
        <v/>
      </c>
      <c r="DA37" s="72" t="str">
        <f>IF(ISERROR(AVERAGE(DA5:DA35)),"",AVERAGE(DA5:DA35))</f>
        <v/>
      </c>
      <c r="DB37" s="98"/>
      <c r="DC37" s="99"/>
      <c r="DF37" s="126" t="e">
        <f t="shared" ref="DF37:DP37" si="47">AVERAGE(DF5:DF35)</f>
        <v>#DIV/0!</v>
      </c>
      <c r="DG37" s="127" t="e">
        <f t="shared" si="47"/>
        <v>#DIV/0!</v>
      </c>
      <c r="DH37" s="127" t="e">
        <f t="shared" si="47"/>
        <v>#DIV/0!</v>
      </c>
      <c r="DI37" s="127" t="e">
        <f t="shared" si="47"/>
        <v>#DIV/0!</v>
      </c>
      <c r="DJ37" s="127" t="e">
        <f t="shared" si="47"/>
        <v>#DIV/0!</v>
      </c>
      <c r="DK37" s="127" t="e">
        <f t="shared" si="47"/>
        <v>#DIV/0!</v>
      </c>
      <c r="DL37" s="127" t="e">
        <f t="shared" si="47"/>
        <v>#DIV/0!</v>
      </c>
      <c r="DM37" s="127" t="e">
        <f t="shared" si="47"/>
        <v>#DIV/0!</v>
      </c>
      <c r="DN37" s="127" t="e">
        <f t="shared" si="47"/>
        <v>#DIV/0!</v>
      </c>
      <c r="DO37" s="127" t="e">
        <f t="shared" si="47"/>
        <v>#DIV/0!</v>
      </c>
      <c r="DP37" s="127">
        <f t="shared" si="47"/>
        <v>0</v>
      </c>
      <c r="DQ37" s="188"/>
      <c r="DS37" s="198" t="s">
        <v>99</v>
      </c>
      <c r="DT37" s="199"/>
      <c r="DU37" s="199"/>
      <c r="DV37" s="199"/>
      <c r="DW37" s="199"/>
      <c r="DX37" s="199"/>
    </row>
    <row r="38" spans="1:128" ht="19.149999999999999" customHeight="1" thickTop="1" thickBot="1" x14ac:dyDescent="0.45">
      <c r="DS38" s="198" t="s">
        <v>100</v>
      </c>
      <c r="DT38" s="199"/>
      <c r="DU38" s="199"/>
      <c r="DV38" s="199"/>
      <c r="DW38" s="199"/>
      <c r="DX38" s="199"/>
    </row>
    <row r="39" spans="1:128" ht="18.75" customHeight="1" thickTop="1" x14ac:dyDescent="0.4">
      <c r="E39" s="196" t="s">
        <v>101</v>
      </c>
      <c r="F39" s="197"/>
      <c r="H39" s="137" t="s">
        <v>12</v>
      </c>
      <c r="T39" s="200" t="s">
        <v>102</v>
      </c>
      <c r="U39" s="197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 spans="1:128" ht="18.75" customHeight="1" thickBot="1" x14ac:dyDescent="0.45">
      <c r="E40" s="133" t="s">
        <v>95</v>
      </c>
      <c r="F40" s="135" t="e">
        <f>(令和8年8月!G35-令和8年8月!G19)+'令和8年9月 '!G19</f>
        <v>#VALUE!</v>
      </c>
      <c r="H40" s="142" t="str">
        <f>IF(ISERROR(F40/U40),"",(F40/U40))</f>
        <v/>
      </c>
      <c r="I40" s="146"/>
      <c r="T40" s="133" t="s">
        <v>95</v>
      </c>
      <c r="U40" s="135">
        <f>(令和8年8月!V35-令和8年8月!V19)+'令和8年9月 '!V19</f>
        <v>9566398</v>
      </c>
    </row>
    <row r="41" spans="1:128" ht="18.75" customHeight="1" thickTop="1" thickBot="1" x14ac:dyDescent="0.45">
      <c r="E41" s="134" t="s">
        <v>97</v>
      </c>
      <c r="F41" s="136" t="e">
        <f>F40/31</f>
        <v>#VALUE!</v>
      </c>
      <c r="T41" s="134" t="s">
        <v>97</v>
      </c>
      <c r="U41" s="136">
        <f>U40/31</f>
        <v>308593.48387096776</v>
      </c>
    </row>
    <row r="42" spans="1:128" ht="13.9" customHeight="1" thickTop="1" x14ac:dyDescent="0.4"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</row>
  </sheetData>
  <mergeCells count="44">
    <mergeCell ref="DS36:DX36"/>
    <mergeCell ref="T39:U39"/>
    <mergeCell ref="DS12:DV12"/>
    <mergeCell ref="DS21:DV21"/>
    <mergeCell ref="DS31:DV31"/>
    <mergeCell ref="AX1:BC2"/>
    <mergeCell ref="DS14:DV14"/>
    <mergeCell ref="DS23:DV23"/>
    <mergeCell ref="M1:M2"/>
    <mergeCell ref="DS17:DV17"/>
    <mergeCell ref="DS6:DV6"/>
    <mergeCell ref="DS5:DV5"/>
    <mergeCell ref="E39:F39"/>
    <mergeCell ref="DS8:DV8"/>
    <mergeCell ref="DS27:DV27"/>
    <mergeCell ref="DS29:DV29"/>
    <mergeCell ref="DS19:DV19"/>
    <mergeCell ref="DS10:DV10"/>
    <mergeCell ref="DS13:DV13"/>
    <mergeCell ref="DS9:DV9"/>
    <mergeCell ref="DS34:DV34"/>
    <mergeCell ref="DS28:DV28"/>
    <mergeCell ref="DS24:DV24"/>
    <mergeCell ref="DS15:DV15"/>
    <mergeCell ref="DS38:DX38"/>
    <mergeCell ref="DS35:DV35"/>
    <mergeCell ref="DS37:DX37"/>
    <mergeCell ref="AB37:AC37"/>
    <mergeCell ref="A1:E2"/>
    <mergeCell ref="G1:G2"/>
    <mergeCell ref="DS30:DV30"/>
    <mergeCell ref="DS33:DV33"/>
    <mergeCell ref="DS4:DV4"/>
    <mergeCell ref="DS20:DV20"/>
    <mergeCell ref="DS16:DV16"/>
    <mergeCell ref="DS7:DV7"/>
    <mergeCell ref="DS25:DV25"/>
    <mergeCell ref="DS32:DV32"/>
    <mergeCell ref="DS26:DV26"/>
    <mergeCell ref="DS22:DV22"/>
    <mergeCell ref="F1:F2"/>
    <mergeCell ref="DS18:DV18"/>
    <mergeCell ref="H1:K2"/>
    <mergeCell ref="DS11:DV11"/>
  </mergeCells>
  <phoneticPr fontId="3"/>
  <conditionalFormatting sqref="B5:D35">
    <cfRule type="expression" dxfId="315" priority="42" stopIfTrue="1">
      <formula>(B5)="土"</formula>
    </cfRule>
    <cfRule type="expression" dxfId="314" priority="43" stopIfTrue="1">
      <formula>(B5)="日"</formula>
    </cfRule>
  </conditionalFormatting>
  <conditionalFormatting sqref="R5:S35">
    <cfRule type="expression" dxfId="313" priority="1" stopIfTrue="1">
      <formula>(R5)="土"</formula>
    </cfRule>
    <cfRule type="expression" dxfId="312" priority="2" stopIfTrue="1">
      <formula>(R5)="日"</formula>
    </cfRule>
  </conditionalFormatting>
  <conditionalFormatting sqref="AX5:AX34">
    <cfRule type="cellIs" dxfId="311" priority="31" operator="equal">
      <formula>0</formula>
    </cfRule>
  </conditionalFormatting>
  <conditionalFormatting sqref="AZ5:AZ34">
    <cfRule type="cellIs" dxfId="310" priority="30" operator="equal">
      <formula>0</formula>
    </cfRule>
  </conditionalFormatting>
  <conditionalFormatting sqref="BB5:BB34">
    <cfRule type="cellIs" dxfId="309" priority="29" operator="equal">
      <formula>0</formula>
    </cfRule>
  </conditionalFormatting>
  <conditionalFormatting sqref="BD5:BD34">
    <cfRule type="cellIs" dxfId="308" priority="28" operator="equal">
      <formula>0</formula>
    </cfRule>
  </conditionalFormatting>
  <conditionalFormatting sqref="BF5:BF34">
    <cfRule type="cellIs" dxfId="307" priority="27" operator="equal">
      <formula>0</formula>
    </cfRule>
  </conditionalFormatting>
  <conditionalFormatting sqref="BH5:BH34">
    <cfRule type="cellIs" dxfId="306" priority="26" operator="equal">
      <formula>0</formula>
    </cfRule>
  </conditionalFormatting>
  <conditionalFormatting sqref="BJ5:BJ34">
    <cfRule type="cellIs" dxfId="305" priority="25" operator="equal">
      <formula>0</formula>
    </cfRule>
  </conditionalFormatting>
  <conditionalFormatting sqref="BL5:BL34">
    <cfRule type="cellIs" dxfId="304" priority="24" operator="equal">
      <formula>0</formula>
    </cfRule>
  </conditionalFormatting>
  <conditionalFormatting sqref="BN5:BN34">
    <cfRule type="cellIs" dxfId="303" priority="23" operator="equal">
      <formula>0</formula>
    </cfRule>
  </conditionalFormatting>
  <conditionalFormatting sqref="BP5:BP34">
    <cfRule type="cellIs" dxfId="302" priority="22" operator="equal">
      <formula>0</formula>
    </cfRule>
  </conditionalFormatting>
  <conditionalFormatting sqref="BR5:BR34">
    <cfRule type="cellIs" dxfId="301" priority="21" operator="equal">
      <formula>0</formula>
    </cfRule>
  </conditionalFormatting>
  <conditionalFormatting sqref="BT5:BT34">
    <cfRule type="cellIs" dxfId="300" priority="20" operator="equal">
      <formula>0</formula>
    </cfRule>
  </conditionalFormatting>
  <conditionalFormatting sqref="BV5:BV34">
    <cfRule type="cellIs" dxfId="299" priority="19" operator="equal">
      <formula>0</formula>
    </cfRule>
  </conditionalFormatting>
  <conditionalFormatting sqref="BX5:BX34">
    <cfRule type="cellIs" dxfId="298" priority="18" operator="equal">
      <formula>0</formula>
    </cfRule>
  </conditionalFormatting>
  <conditionalFormatting sqref="BZ5:BZ34">
    <cfRule type="cellIs" dxfId="297" priority="17" operator="equal">
      <formula>0</formula>
    </cfRule>
  </conditionalFormatting>
  <conditionalFormatting sqref="CB5:CB34">
    <cfRule type="cellIs" dxfId="296" priority="16" operator="equal">
      <formula>0</formula>
    </cfRule>
  </conditionalFormatting>
  <conditionalFormatting sqref="CD5:CD34">
    <cfRule type="cellIs" dxfId="295" priority="15" operator="equal">
      <formula>0</formula>
    </cfRule>
  </conditionalFormatting>
  <conditionalFormatting sqref="CF5:CF34">
    <cfRule type="cellIs" dxfId="294" priority="14" operator="equal">
      <formula>0</formula>
    </cfRule>
  </conditionalFormatting>
  <conditionalFormatting sqref="CH5:CH34">
    <cfRule type="cellIs" dxfId="293" priority="13" operator="equal">
      <formula>0</formula>
    </cfRule>
  </conditionalFormatting>
  <conditionalFormatting sqref="CJ5:CJ34">
    <cfRule type="cellIs" dxfId="292" priority="12" operator="equal">
      <formula>0</formula>
    </cfRule>
  </conditionalFormatting>
  <conditionalFormatting sqref="CL5:CL34">
    <cfRule type="cellIs" dxfId="291" priority="11" operator="equal">
      <formula>0</formula>
    </cfRule>
  </conditionalFormatting>
  <conditionalFormatting sqref="CN5:CN34">
    <cfRule type="cellIs" dxfId="290" priority="10" operator="equal">
      <formula>0</formula>
    </cfRule>
  </conditionalFormatting>
  <conditionalFormatting sqref="CP5:CP34">
    <cfRule type="cellIs" dxfId="289" priority="9" operator="equal">
      <formula>0</formula>
    </cfRule>
  </conditionalFormatting>
  <conditionalFormatting sqref="CR5:CR34">
    <cfRule type="cellIs" dxfId="288" priority="8" operator="equal">
      <formula>0</formula>
    </cfRule>
  </conditionalFormatting>
  <conditionalFormatting sqref="CT5:CT34">
    <cfRule type="cellIs" dxfId="287" priority="7" operator="equal">
      <formula>0</formula>
    </cfRule>
  </conditionalFormatting>
  <conditionalFormatting sqref="DC5:DC36">
    <cfRule type="expression" dxfId="286" priority="3" stopIfTrue="1">
      <formula>(DC5)="土"</formula>
    </cfRule>
    <cfRule type="expression" dxfId="285" priority="4" stopIfTrue="1">
      <formula>(DC5)="日"</formula>
    </cfRule>
  </conditionalFormatting>
  <pageMargins left="0.12" right="0.18" top="0.75" bottom="0.75" header="0.3" footer="0.3"/>
  <pageSetup paperSize="9" orientation="landscape" horizontalDpi="429496729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B42"/>
  <sheetViews>
    <sheetView topLeftCell="CX1" zoomScaleNormal="100" workbookViewId="0">
      <pane ySplit="4" topLeftCell="A20" activePane="bottomLeft" state="frozen"/>
      <selection pane="bottomLeft" activeCell="DD4" sqref="DD4"/>
    </sheetView>
  </sheetViews>
  <sheetFormatPr defaultRowHeight="13.5" x14ac:dyDescent="0.4"/>
  <cols>
    <col min="1" max="4" width="3.125" style="5" customWidth="1"/>
    <col min="5" max="5" width="5.625" style="5" customWidth="1"/>
    <col min="6" max="6" width="10.625" style="73" customWidth="1"/>
    <col min="7" max="7" width="12.5" style="73" customWidth="1"/>
    <col min="8" max="10" width="8.625" style="2" customWidth="1"/>
    <col min="11" max="11" width="5.625" style="2" customWidth="1"/>
    <col min="12" max="12" width="4.625" style="2" customWidth="1"/>
    <col min="13" max="13" width="5.625" style="2" customWidth="1"/>
    <col min="14" max="17" width="4.625" style="2" customWidth="1"/>
    <col min="18" max="19" width="3.125" style="5" customWidth="1"/>
    <col min="20" max="20" width="5.625" style="5" customWidth="1"/>
    <col min="21" max="21" width="7.625" style="73" customWidth="1"/>
    <col min="22" max="22" width="8.625" style="73" customWidth="1"/>
    <col min="23" max="24" width="5.625" style="2" customWidth="1"/>
    <col min="25" max="25" width="6.625" style="2" customWidth="1"/>
    <col min="26" max="26" width="9.875" style="2" customWidth="1"/>
    <col min="27" max="38" width="8.625" style="73" customWidth="1"/>
    <col min="39" max="43" width="8.625" style="73" hidden="1" customWidth="1"/>
    <col min="44" max="44" width="12.5" style="2" customWidth="1"/>
    <col min="45" max="45" width="6.75" style="2" customWidth="1"/>
    <col min="46" max="46" width="12.625" style="2" customWidth="1"/>
    <col min="47" max="47" width="8.625" style="161" customWidth="1"/>
    <col min="48" max="48" width="5.5" style="2" bestFit="1" customWidth="1"/>
    <col min="49" max="98" width="6.75" style="2" customWidth="1"/>
    <col min="99" max="100" width="8.625" style="2" customWidth="1"/>
    <col min="101" max="101" width="2.875" style="2" customWidth="1"/>
    <col min="102" max="102" width="10.625" style="2" customWidth="1"/>
    <col min="103" max="103" width="6.625" style="2" customWidth="1"/>
    <col min="104" max="104" width="10.625" style="2" customWidth="1"/>
    <col min="105" max="105" width="6.625" style="2" customWidth="1"/>
    <col min="106" max="107" width="3.125" style="5" customWidth="1"/>
    <col min="108" max="108" width="1.125" style="2" customWidth="1"/>
    <col min="109" max="109" width="2.375" style="2" customWidth="1"/>
    <col min="110" max="120" width="7.625" style="6" hidden="1" customWidth="1"/>
    <col min="121" max="121" width="6.75" style="2" hidden="1" customWidth="1"/>
    <col min="122" max="122" width="8.75" style="2" customWidth="1"/>
    <col min="123" max="126" width="8.625" style="2" customWidth="1"/>
    <col min="127" max="127" width="12.625" style="2" customWidth="1"/>
    <col min="128" max="128" width="8.625" style="2" customWidth="1"/>
    <col min="129" max="303" width="9" style="2" customWidth="1"/>
    <col min="304" max="305" width="3.125" style="2" customWidth="1"/>
    <col min="306" max="306" width="5.875" style="2" bestFit="1" customWidth="1"/>
    <col min="307" max="307" width="5.625" style="2" customWidth="1"/>
    <col min="308" max="308" width="10.625" style="2" customWidth="1"/>
    <col min="309" max="309" width="12.625" style="2" customWidth="1"/>
    <col min="310" max="310" width="8.625" style="2" customWidth="1"/>
    <col min="311" max="311" width="5.625" style="2" customWidth="1"/>
    <col min="312" max="312" width="4.625" style="2" customWidth="1"/>
    <col min="313" max="313" width="5.625" style="2" customWidth="1"/>
    <col min="314" max="317" width="4.625" style="2" customWidth="1"/>
    <col min="318" max="318" width="7.625" style="2" customWidth="1"/>
    <col min="319" max="319" width="8.625" style="2" customWidth="1"/>
    <col min="320" max="321" width="5.625" style="2" customWidth="1"/>
    <col min="322" max="322" width="6.625" style="2" customWidth="1"/>
    <col min="323" max="323" width="9.875" style="2" customWidth="1"/>
    <col min="324" max="325" width="8.625" style="2" customWidth="1"/>
    <col min="326" max="326" width="5.5" style="2" bestFit="1" customWidth="1"/>
    <col min="327" max="368" width="6.75" style="2" customWidth="1"/>
    <col min="369" max="369" width="9" style="2" customWidth="1"/>
    <col min="370" max="370" width="9.875" style="2" customWidth="1"/>
    <col min="371" max="371" width="2.875" style="2" customWidth="1"/>
    <col min="372" max="372" width="12.25" style="2" customWidth="1"/>
    <col min="373" max="373" width="6.375" style="2" customWidth="1"/>
    <col min="374" max="375" width="3.125" style="2" customWidth="1"/>
    <col min="376" max="376" width="1.125" style="2" customWidth="1"/>
    <col min="377" max="377" width="9" style="2" customWidth="1"/>
    <col min="378" max="378" width="2.375" style="2" customWidth="1"/>
    <col min="379" max="396" width="7.625" style="2" customWidth="1"/>
    <col min="397" max="559" width="9" style="2" customWidth="1"/>
    <col min="560" max="561" width="3.125" style="2" customWidth="1"/>
    <col min="562" max="562" width="5.875" style="2" bestFit="1" customWidth="1"/>
    <col min="563" max="563" width="5.625" style="2" customWidth="1"/>
    <col min="564" max="564" width="10.625" style="2" customWidth="1"/>
    <col min="565" max="565" width="12.625" style="2" customWidth="1"/>
    <col min="566" max="566" width="8.625" style="2" customWidth="1"/>
    <col min="567" max="567" width="5.625" style="2" customWidth="1"/>
    <col min="568" max="568" width="4.625" style="2" customWidth="1"/>
    <col min="569" max="569" width="5.625" style="2" customWidth="1"/>
    <col min="570" max="573" width="4.625" style="2" customWidth="1"/>
    <col min="574" max="574" width="7.625" style="2" customWidth="1"/>
    <col min="575" max="575" width="8.625" style="2" customWidth="1"/>
    <col min="576" max="577" width="5.625" style="2" customWidth="1"/>
    <col min="578" max="578" width="6.625" style="2" customWidth="1"/>
    <col min="579" max="579" width="9.875" style="2" customWidth="1"/>
    <col min="580" max="581" width="8.625" style="2" customWidth="1"/>
    <col min="582" max="582" width="5.5" style="2" bestFit="1" customWidth="1"/>
    <col min="583" max="624" width="6.75" style="2" customWidth="1"/>
    <col min="625" max="625" width="9" style="2" customWidth="1"/>
    <col min="626" max="626" width="9.875" style="2" customWidth="1"/>
    <col min="627" max="627" width="2.875" style="2" customWidth="1"/>
    <col min="628" max="628" width="12.25" style="2" customWidth="1"/>
    <col min="629" max="629" width="6.375" style="2" customWidth="1"/>
    <col min="630" max="631" width="3.125" style="2" customWidth="1"/>
    <col min="632" max="632" width="1.125" style="2" customWidth="1"/>
    <col min="633" max="633" width="9" style="2" customWidth="1"/>
    <col min="634" max="634" width="2.375" style="2" customWidth="1"/>
    <col min="635" max="652" width="7.625" style="2" customWidth="1"/>
    <col min="653" max="815" width="9" style="2" customWidth="1"/>
    <col min="816" max="817" width="3.125" style="2" customWidth="1"/>
    <col min="818" max="818" width="5.875" style="2" bestFit="1" customWidth="1"/>
    <col min="819" max="819" width="5.625" style="2" customWidth="1"/>
    <col min="820" max="820" width="10.625" style="2" customWidth="1"/>
    <col min="821" max="821" width="12.625" style="2" customWidth="1"/>
    <col min="822" max="822" width="8.625" style="2" customWidth="1"/>
    <col min="823" max="823" width="5.625" style="2" customWidth="1"/>
    <col min="824" max="824" width="4.625" style="2" customWidth="1"/>
    <col min="825" max="825" width="5.625" style="2" customWidth="1"/>
    <col min="826" max="829" width="4.625" style="2" customWidth="1"/>
    <col min="830" max="830" width="7.625" style="2" customWidth="1"/>
    <col min="831" max="831" width="8.625" style="2" customWidth="1"/>
    <col min="832" max="833" width="5.625" style="2" customWidth="1"/>
    <col min="834" max="834" width="6.625" style="2" customWidth="1"/>
    <col min="835" max="835" width="9.875" style="2" customWidth="1"/>
    <col min="836" max="837" width="8.625" style="2" customWidth="1"/>
    <col min="838" max="838" width="5.5" style="2" bestFit="1" customWidth="1"/>
    <col min="839" max="880" width="6.75" style="2" customWidth="1"/>
    <col min="881" max="881" width="9" style="2" customWidth="1"/>
    <col min="882" max="882" width="9.875" style="2" customWidth="1"/>
    <col min="883" max="883" width="2.875" style="2" customWidth="1"/>
    <col min="884" max="884" width="12.25" style="2" customWidth="1"/>
    <col min="885" max="885" width="6.375" style="2" customWidth="1"/>
    <col min="886" max="887" width="3.125" style="2" customWidth="1"/>
    <col min="888" max="888" width="1.125" style="2" customWidth="1"/>
    <col min="889" max="889" width="9" style="2" customWidth="1"/>
    <col min="890" max="890" width="2.375" style="2" customWidth="1"/>
    <col min="891" max="908" width="7.625" style="2" customWidth="1"/>
    <col min="909" max="1071" width="9" style="2" customWidth="1"/>
    <col min="1072" max="1073" width="3.125" style="2" customWidth="1"/>
    <col min="1074" max="1074" width="5.875" style="2" bestFit="1" customWidth="1"/>
    <col min="1075" max="1075" width="5.625" style="2" customWidth="1"/>
    <col min="1076" max="1076" width="10.625" style="2" customWidth="1"/>
    <col min="1077" max="1077" width="12.625" style="2" customWidth="1"/>
    <col min="1078" max="1078" width="8.625" style="2" customWidth="1"/>
    <col min="1079" max="1079" width="5.625" style="2" customWidth="1"/>
    <col min="1080" max="1080" width="4.625" style="2" customWidth="1"/>
    <col min="1081" max="1081" width="5.625" style="2" customWidth="1"/>
    <col min="1082" max="1085" width="4.625" style="2" customWidth="1"/>
    <col min="1086" max="1086" width="7.625" style="2" customWidth="1"/>
    <col min="1087" max="1087" width="8.625" style="2" customWidth="1"/>
    <col min="1088" max="1089" width="5.625" style="2" customWidth="1"/>
    <col min="1090" max="1090" width="6.625" style="2" customWidth="1"/>
    <col min="1091" max="1091" width="9.875" style="2" customWidth="1"/>
    <col min="1092" max="1093" width="8.625" style="2" customWidth="1"/>
    <col min="1094" max="1094" width="5.5" style="2" bestFit="1" customWidth="1"/>
    <col min="1095" max="1136" width="6.75" style="2" customWidth="1"/>
    <col min="1137" max="1137" width="9" style="2" customWidth="1"/>
    <col min="1138" max="1138" width="9.875" style="2" customWidth="1"/>
    <col min="1139" max="1139" width="2.875" style="2" customWidth="1"/>
    <col min="1140" max="1140" width="12.25" style="2" customWidth="1"/>
    <col min="1141" max="1141" width="6.375" style="2" customWidth="1"/>
    <col min="1142" max="1143" width="3.125" style="2" customWidth="1"/>
    <col min="1144" max="1144" width="1.125" style="2" customWidth="1"/>
    <col min="1145" max="1145" width="9" style="2" customWidth="1"/>
    <col min="1146" max="1146" width="2.375" style="2" customWidth="1"/>
    <col min="1147" max="1164" width="7.625" style="2" customWidth="1"/>
    <col min="1165" max="1327" width="9" style="2" customWidth="1"/>
    <col min="1328" max="1329" width="3.125" style="2" customWidth="1"/>
    <col min="1330" max="1330" width="5.875" style="2" bestFit="1" customWidth="1"/>
    <col min="1331" max="1331" width="5.625" style="2" customWidth="1"/>
    <col min="1332" max="1332" width="10.625" style="2" customWidth="1"/>
    <col min="1333" max="1333" width="12.625" style="2" customWidth="1"/>
    <col min="1334" max="1334" width="8.625" style="2" customWidth="1"/>
    <col min="1335" max="1335" width="5.625" style="2" customWidth="1"/>
    <col min="1336" max="1336" width="4.625" style="2" customWidth="1"/>
    <col min="1337" max="1337" width="5.625" style="2" customWidth="1"/>
    <col min="1338" max="1341" width="4.625" style="2" customWidth="1"/>
    <col min="1342" max="1342" width="7.625" style="2" customWidth="1"/>
    <col min="1343" max="1343" width="8.625" style="2" customWidth="1"/>
    <col min="1344" max="1345" width="5.625" style="2" customWidth="1"/>
    <col min="1346" max="1346" width="6.625" style="2" customWidth="1"/>
    <col min="1347" max="1347" width="9.875" style="2" customWidth="1"/>
    <col min="1348" max="1349" width="8.625" style="2" customWidth="1"/>
    <col min="1350" max="1350" width="5.5" style="2" bestFit="1" customWidth="1"/>
    <col min="1351" max="1392" width="6.75" style="2" customWidth="1"/>
    <col min="1393" max="1393" width="9" style="2" customWidth="1"/>
    <col min="1394" max="1394" width="9.875" style="2" customWidth="1"/>
    <col min="1395" max="1395" width="2.875" style="2" customWidth="1"/>
    <col min="1396" max="1396" width="12.25" style="2" customWidth="1"/>
    <col min="1397" max="1397" width="6.375" style="2" customWidth="1"/>
    <col min="1398" max="1399" width="3.125" style="2" customWidth="1"/>
    <col min="1400" max="1400" width="1.125" style="2" customWidth="1"/>
    <col min="1401" max="1401" width="9" style="2" customWidth="1"/>
    <col min="1402" max="1402" width="2.375" style="2" customWidth="1"/>
    <col min="1403" max="1420" width="7.625" style="2" customWidth="1"/>
    <col min="1421" max="1583" width="9" style="2" customWidth="1"/>
    <col min="1584" max="1585" width="3.125" style="2" customWidth="1"/>
    <col min="1586" max="1586" width="5.875" style="2" bestFit="1" customWidth="1"/>
    <col min="1587" max="1587" width="5.625" style="2" customWidth="1"/>
    <col min="1588" max="1588" width="10.625" style="2" customWidth="1"/>
    <col min="1589" max="1589" width="12.625" style="2" customWidth="1"/>
    <col min="1590" max="1590" width="8.625" style="2" customWidth="1"/>
    <col min="1591" max="1591" width="5.625" style="2" customWidth="1"/>
    <col min="1592" max="1592" width="4.625" style="2" customWidth="1"/>
    <col min="1593" max="1593" width="5.625" style="2" customWidth="1"/>
    <col min="1594" max="1597" width="4.625" style="2" customWidth="1"/>
    <col min="1598" max="1598" width="7.625" style="2" customWidth="1"/>
    <col min="1599" max="1599" width="8.625" style="2" customWidth="1"/>
    <col min="1600" max="1601" width="5.625" style="2" customWidth="1"/>
    <col min="1602" max="1602" width="6.625" style="2" customWidth="1"/>
    <col min="1603" max="1603" width="9.875" style="2" customWidth="1"/>
    <col min="1604" max="1605" width="8.625" style="2" customWidth="1"/>
    <col min="1606" max="1606" width="5.5" style="2" bestFit="1" customWidth="1"/>
    <col min="1607" max="1648" width="6.75" style="2" customWidth="1"/>
    <col min="1649" max="1649" width="9" style="2" customWidth="1"/>
    <col min="1650" max="1650" width="9.875" style="2" customWidth="1"/>
    <col min="1651" max="1651" width="2.875" style="2" customWidth="1"/>
    <col min="1652" max="1652" width="12.25" style="2" customWidth="1"/>
    <col min="1653" max="1653" width="6.375" style="2" customWidth="1"/>
    <col min="1654" max="1655" width="3.125" style="2" customWidth="1"/>
    <col min="1656" max="1656" width="1.125" style="2" customWidth="1"/>
    <col min="1657" max="1657" width="9" style="2" customWidth="1"/>
    <col min="1658" max="1658" width="2.375" style="2" customWidth="1"/>
    <col min="1659" max="1676" width="7.625" style="2" customWidth="1"/>
    <col min="1677" max="1839" width="9" style="2" customWidth="1"/>
    <col min="1840" max="1841" width="3.125" style="2" customWidth="1"/>
    <col min="1842" max="1842" width="5.875" style="2" bestFit="1" customWidth="1"/>
    <col min="1843" max="1843" width="5.625" style="2" customWidth="1"/>
    <col min="1844" max="1844" width="10.625" style="2" customWidth="1"/>
    <col min="1845" max="1845" width="12.625" style="2" customWidth="1"/>
    <col min="1846" max="1846" width="8.625" style="2" customWidth="1"/>
    <col min="1847" max="1847" width="5.625" style="2" customWidth="1"/>
    <col min="1848" max="1848" width="4.625" style="2" customWidth="1"/>
    <col min="1849" max="1849" width="5.625" style="2" customWidth="1"/>
    <col min="1850" max="1853" width="4.625" style="2" customWidth="1"/>
    <col min="1854" max="1854" width="7.625" style="2" customWidth="1"/>
    <col min="1855" max="1855" width="8.625" style="2" customWidth="1"/>
    <col min="1856" max="1857" width="5.625" style="2" customWidth="1"/>
    <col min="1858" max="1858" width="6.625" style="2" customWidth="1"/>
    <col min="1859" max="1859" width="9.875" style="2" customWidth="1"/>
    <col min="1860" max="1861" width="8.625" style="2" customWidth="1"/>
    <col min="1862" max="1862" width="5.5" style="2" bestFit="1" customWidth="1"/>
    <col min="1863" max="1904" width="6.75" style="2" customWidth="1"/>
    <col min="1905" max="1905" width="9" style="2" customWidth="1"/>
    <col min="1906" max="1906" width="9.875" style="2" customWidth="1"/>
    <col min="1907" max="1907" width="2.875" style="2" customWidth="1"/>
    <col min="1908" max="1908" width="12.25" style="2" customWidth="1"/>
    <col min="1909" max="1909" width="6.375" style="2" customWidth="1"/>
    <col min="1910" max="1911" width="3.125" style="2" customWidth="1"/>
    <col min="1912" max="1912" width="1.125" style="2" customWidth="1"/>
    <col min="1913" max="1913" width="9" style="2" customWidth="1"/>
    <col min="1914" max="1914" width="2.375" style="2" customWidth="1"/>
    <col min="1915" max="1932" width="7.625" style="2" customWidth="1"/>
    <col min="1933" max="2095" width="9" style="2" customWidth="1"/>
    <col min="2096" max="2097" width="3.125" style="2" customWidth="1"/>
    <col min="2098" max="2098" width="5.875" style="2" bestFit="1" customWidth="1"/>
    <col min="2099" max="2099" width="5.625" style="2" customWidth="1"/>
    <col min="2100" max="2100" width="10.625" style="2" customWidth="1"/>
    <col min="2101" max="2101" width="12.625" style="2" customWidth="1"/>
    <col min="2102" max="2102" width="8.625" style="2" customWidth="1"/>
    <col min="2103" max="2103" width="5.625" style="2" customWidth="1"/>
    <col min="2104" max="2104" width="4.625" style="2" customWidth="1"/>
    <col min="2105" max="2105" width="5.625" style="2" customWidth="1"/>
    <col min="2106" max="2109" width="4.625" style="2" customWidth="1"/>
    <col min="2110" max="2110" width="7.625" style="2" customWidth="1"/>
    <col min="2111" max="2111" width="8.625" style="2" customWidth="1"/>
    <col min="2112" max="2113" width="5.625" style="2" customWidth="1"/>
    <col min="2114" max="2114" width="6.625" style="2" customWidth="1"/>
    <col min="2115" max="2115" width="9.875" style="2" customWidth="1"/>
    <col min="2116" max="2117" width="8.625" style="2" customWidth="1"/>
    <col min="2118" max="2118" width="5.5" style="2" bestFit="1" customWidth="1"/>
    <col min="2119" max="2160" width="6.75" style="2" customWidth="1"/>
    <col min="2161" max="2161" width="9" style="2" customWidth="1"/>
    <col min="2162" max="2162" width="9.875" style="2" customWidth="1"/>
    <col min="2163" max="2163" width="2.875" style="2" customWidth="1"/>
    <col min="2164" max="2164" width="12.25" style="2" customWidth="1"/>
    <col min="2165" max="2165" width="6.375" style="2" customWidth="1"/>
    <col min="2166" max="2167" width="3.125" style="2" customWidth="1"/>
    <col min="2168" max="2168" width="1.125" style="2" customWidth="1"/>
    <col min="2169" max="2169" width="9" style="2" customWidth="1"/>
    <col min="2170" max="2170" width="2.375" style="2" customWidth="1"/>
    <col min="2171" max="2188" width="7.625" style="2" customWidth="1"/>
    <col min="2189" max="2351" width="9" style="2" customWidth="1"/>
    <col min="2352" max="2353" width="3.125" style="2" customWidth="1"/>
    <col min="2354" max="2354" width="5.875" style="2" bestFit="1" customWidth="1"/>
    <col min="2355" max="2355" width="5.625" style="2" customWidth="1"/>
    <col min="2356" max="2356" width="10.625" style="2" customWidth="1"/>
    <col min="2357" max="2357" width="12.625" style="2" customWidth="1"/>
    <col min="2358" max="2358" width="8.625" style="2" customWidth="1"/>
    <col min="2359" max="2359" width="5.625" style="2" customWidth="1"/>
    <col min="2360" max="2360" width="4.625" style="2" customWidth="1"/>
    <col min="2361" max="2361" width="5.625" style="2" customWidth="1"/>
    <col min="2362" max="2365" width="4.625" style="2" customWidth="1"/>
    <col min="2366" max="2366" width="7.625" style="2" customWidth="1"/>
    <col min="2367" max="2367" width="8.625" style="2" customWidth="1"/>
    <col min="2368" max="2369" width="5.625" style="2" customWidth="1"/>
    <col min="2370" max="2370" width="6.625" style="2" customWidth="1"/>
    <col min="2371" max="2371" width="9.875" style="2" customWidth="1"/>
    <col min="2372" max="2373" width="8.625" style="2" customWidth="1"/>
    <col min="2374" max="2374" width="5.5" style="2" bestFit="1" customWidth="1"/>
    <col min="2375" max="2416" width="6.75" style="2" customWidth="1"/>
    <col min="2417" max="2417" width="9" style="2" customWidth="1"/>
    <col min="2418" max="2418" width="9.875" style="2" customWidth="1"/>
    <col min="2419" max="2419" width="2.875" style="2" customWidth="1"/>
    <col min="2420" max="2420" width="12.25" style="2" customWidth="1"/>
    <col min="2421" max="2421" width="6.375" style="2" customWidth="1"/>
    <col min="2422" max="2423" width="3.125" style="2" customWidth="1"/>
    <col min="2424" max="2424" width="1.125" style="2" customWidth="1"/>
    <col min="2425" max="2425" width="9" style="2" customWidth="1"/>
    <col min="2426" max="2426" width="2.375" style="2" customWidth="1"/>
    <col min="2427" max="2444" width="7.625" style="2" customWidth="1"/>
    <col min="2445" max="2607" width="9" style="2" customWidth="1"/>
    <col min="2608" max="2609" width="3.125" style="2" customWidth="1"/>
    <col min="2610" max="2610" width="5.875" style="2" bestFit="1" customWidth="1"/>
    <col min="2611" max="2611" width="5.625" style="2" customWidth="1"/>
    <col min="2612" max="2612" width="10.625" style="2" customWidth="1"/>
    <col min="2613" max="2613" width="12.625" style="2" customWidth="1"/>
    <col min="2614" max="2614" width="8.625" style="2" customWidth="1"/>
    <col min="2615" max="2615" width="5.625" style="2" customWidth="1"/>
    <col min="2616" max="2616" width="4.625" style="2" customWidth="1"/>
    <col min="2617" max="2617" width="5.625" style="2" customWidth="1"/>
    <col min="2618" max="2621" width="4.625" style="2" customWidth="1"/>
    <col min="2622" max="2622" width="7.625" style="2" customWidth="1"/>
    <col min="2623" max="2623" width="8.625" style="2" customWidth="1"/>
    <col min="2624" max="2625" width="5.625" style="2" customWidth="1"/>
    <col min="2626" max="2626" width="6.625" style="2" customWidth="1"/>
    <col min="2627" max="2627" width="9.875" style="2" customWidth="1"/>
    <col min="2628" max="2629" width="8.625" style="2" customWidth="1"/>
    <col min="2630" max="2630" width="5.5" style="2" bestFit="1" customWidth="1"/>
    <col min="2631" max="2672" width="6.75" style="2" customWidth="1"/>
    <col min="2673" max="2673" width="9" style="2" customWidth="1"/>
    <col min="2674" max="2674" width="9.875" style="2" customWidth="1"/>
    <col min="2675" max="2675" width="2.875" style="2" customWidth="1"/>
    <col min="2676" max="2676" width="12.25" style="2" customWidth="1"/>
    <col min="2677" max="2677" width="6.375" style="2" customWidth="1"/>
    <col min="2678" max="2679" width="3.125" style="2" customWidth="1"/>
    <col min="2680" max="2680" width="1.125" style="2" customWidth="1"/>
    <col min="2681" max="2681" width="9" style="2" customWidth="1"/>
    <col min="2682" max="2682" width="2.375" style="2" customWidth="1"/>
    <col min="2683" max="2700" width="7.625" style="2" customWidth="1"/>
    <col min="2701" max="2863" width="9" style="2" customWidth="1"/>
    <col min="2864" max="2865" width="3.125" style="2" customWidth="1"/>
    <col min="2866" max="2866" width="5.875" style="2" bestFit="1" customWidth="1"/>
    <col min="2867" max="2867" width="5.625" style="2" customWidth="1"/>
    <col min="2868" max="2868" width="10.625" style="2" customWidth="1"/>
    <col min="2869" max="2869" width="12.625" style="2" customWidth="1"/>
    <col min="2870" max="2870" width="8.625" style="2" customWidth="1"/>
    <col min="2871" max="2871" width="5.625" style="2" customWidth="1"/>
    <col min="2872" max="2872" width="4.625" style="2" customWidth="1"/>
    <col min="2873" max="2873" width="5.625" style="2" customWidth="1"/>
    <col min="2874" max="2877" width="4.625" style="2" customWidth="1"/>
    <col min="2878" max="2878" width="7.625" style="2" customWidth="1"/>
    <col min="2879" max="2879" width="8.625" style="2" customWidth="1"/>
    <col min="2880" max="2881" width="5.625" style="2" customWidth="1"/>
    <col min="2882" max="2882" width="6.625" style="2" customWidth="1"/>
    <col min="2883" max="2883" width="9.875" style="2" customWidth="1"/>
    <col min="2884" max="2885" width="8.625" style="2" customWidth="1"/>
    <col min="2886" max="2886" width="5.5" style="2" bestFit="1" customWidth="1"/>
    <col min="2887" max="2928" width="6.75" style="2" customWidth="1"/>
    <col min="2929" max="2929" width="9" style="2" customWidth="1"/>
    <col min="2930" max="2930" width="9.875" style="2" customWidth="1"/>
    <col min="2931" max="2931" width="2.875" style="2" customWidth="1"/>
    <col min="2932" max="2932" width="12.25" style="2" customWidth="1"/>
    <col min="2933" max="2933" width="6.375" style="2" customWidth="1"/>
    <col min="2934" max="2935" width="3.125" style="2" customWidth="1"/>
    <col min="2936" max="2936" width="1.125" style="2" customWidth="1"/>
    <col min="2937" max="2937" width="9" style="2" customWidth="1"/>
    <col min="2938" max="2938" width="2.375" style="2" customWidth="1"/>
    <col min="2939" max="2956" width="7.625" style="2" customWidth="1"/>
    <col min="2957" max="3119" width="9" style="2" customWidth="1"/>
    <col min="3120" max="3121" width="3.125" style="2" customWidth="1"/>
    <col min="3122" max="3122" width="5.875" style="2" bestFit="1" customWidth="1"/>
    <col min="3123" max="3123" width="5.625" style="2" customWidth="1"/>
    <col min="3124" max="3124" width="10.625" style="2" customWidth="1"/>
    <col min="3125" max="3125" width="12.625" style="2" customWidth="1"/>
    <col min="3126" max="3126" width="8.625" style="2" customWidth="1"/>
    <col min="3127" max="3127" width="5.625" style="2" customWidth="1"/>
    <col min="3128" max="3128" width="4.625" style="2" customWidth="1"/>
    <col min="3129" max="3129" width="5.625" style="2" customWidth="1"/>
    <col min="3130" max="3133" width="4.625" style="2" customWidth="1"/>
    <col min="3134" max="3134" width="7.625" style="2" customWidth="1"/>
    <col min="3135" max="3135" width="8.625" style="2" customWidth="1"/>
    <col min="3136" max="3137" width="5.625" style="2" customWidth="1"/>
    <col min="3138" max="3138" width="6.625" style="2" customWidth="1"/>
    <col min="3139" max="3139" width="9.875" style="2" customWidth="1"/>
    <col min="3140" max="3141" width="8.625" style="2" customWidth="1"/>
    <col min="3142" max="3142" width="5.5" style="2" bestFit="1" customWidth="1"/>
    <col min="3143" max="3184" width="6.75" style="2" customWidth="1"/>
    <col min="3185" max="3185" width="9" style="2" customWidth="1"/>
    <col min="3186" max="3186" width="9.875" style="2" customWidth="1"/>
    <col min="3187" max="3187" width="2.875" style="2" customWidth="1"/>
    <col min="3188" max="3188" width="12.25" style="2" customWidth="1"/>
    <col min="3189" max="3189" width="6.375" style="2" customWidth="1"/>
    <col min="3190" max="3191" width="3.125" style="2" customWidth="1"/>
    <col min="3192" max="3192" width="1.125" style="2" customWidth="1"/>
    <col min="3193" max="3193" width="9" style="2" customWidth="1"/>
    <col min="3194" max="3194" width="2.375" style="2" customWidth="1"/>
    <col min="3195" max="3212" width="7.625" style="2" customWidth="1"/>
    <col min="3213" max="3375" width="9" style="2" customWidth="1"/>
    <col min="3376" max="3377" width="3.125" style="2" customWidth="1"/>
    <col min="3378" max="3378" width="5.875" style="2" bestFit="1" customWidth="1"/>
    <col min="3379" max="3379" width="5.625" style="2" customWidth="1"/>
    <col min="3380" max="3380" width="10.625" style="2" customWidth="1"/>
    <col min="3381" max="3381" width="12.625" style="2" customWidth="1"/>
    <col min="3382" max="3382" width="8.625" style="2" customWidth="1"/>
    <col min="3383" max="3383" width="5.625" style="2" customWidth="1"/>
    <col min="3384" max="3384" width="4.625" style="2" customWidth="1"/>
    <col min="3385" max="3385" width="5.625" style="2" customWidth="1"/>
    <col min="3386" max="3389" width="4.625" style="2" customWidth="1"/>
    <col min="3390" max="3390" width="7.625" style="2" customWidth="1"/>
    <col min="3391" max="3391" width="8.625" style="2" customWidth="1"/>
    <col min="3392" max="3393" width="5.625" style="2" customWidth="1"/>
    <col min="3394" max="3394" width="6.625" style="2" customWidth="1"/>
    <col min="3395" max="3395" width="9.875" style="2" customWidth="1"/>
    <col min="3396" max="3397" width="8.625" style="2" customWidth="1"/>
    <col min="3398" max="3398" width="5.5" style="2" bestFit="1" customWidth="1"/>
    <col min="3399" max="3440" width="6.75" style="2" customWidth="1"/>
    <col min="3441" max="3441" width="9" style="2" customWidth="1"/>
    <col min="3442" max="3442" width="9.875" style="2" customWidth="1"/>
    <col min="3443" max="3443" width="2.875" style="2" customWidth="1"/>
    <col min="3444" max="3444" width="12.25" style="2" customWidth="1"/>
    <col min="3445" max="3445" width="6.375" style="2" customWidth="1"/>
    <col min="3446" max="3447" width="3.125" style="2" customWidth="1"/>
    <col min="3448" max="3448" width="1.125" style="2" customWidth="1"/>
    <col min="3449" max="3449" width="9" style="2" customWidth="1"/>
    <col min="3450" max="3450" width="2.375" style="2" customWidth="1"/>
    <col min="3451" max="3468" width="7.625" style="2" customWidth="1"/>
    <col min="3469" max="3631" width="9" style="2" customWidth="1"/>
    <col min="3632" max="3633" width="3.125" style="2" customWidth="1"/>
    <col min="3634" max="3634" width="5.875" style="2" bestFit="1" customWidth="1"/>
    <col min="3635" max="3635" width="5.625" style="2" customWidth="1"/>
    <col min="3636" max="3636" width="10.625" style="2" customWidth="1"/>
    <col min="3637" max="3637" width="12.625" style="2" customWidth="1"/>
    <col min="3638" max="3638" width="8.625" style="2" customWidth="1"/>
    <col min="3639" max="3639" width="5.625" style="2" customWidth="1"/>
    <col min="3640" max="3640" width="4.625" style="2" customWidth="1"/>
    <col min="3641" max="3641" width="5.625" style="2" customWidth="1"/>
    <col min="3642" max="3645" width="4.625" style="2" customWidth="1"/>
    <col min="3646" max="3646" width="7.625" style="2" customWidth="1"/>
    <col min="3647" max="3647" width="8.625" style="2" customWidth="1"/>
    <col min="3648" max="3649" width="5.625" style="2" customWidth="1"/>
    <col min="3650" max="3650" width="6.625" style="2" customWidth="1"/>
    <col min="3651" max="3651" width="9.875" style="2" customWidth="1"/>
    <col min="3652" max="3653" width="8.625" style="2" customWidth="1"/>
    <col min="3654" max="3654" width="5.5" style="2" bestFit="1" customWidth="1"/>
    <col min="3655" max="3696" width="6.75" style="2" customWidth="1"/>
    <col min="3697" max="3697" width="9" style="2" customWidth="1"/>
    <col min="3698" max="3698" width="9.875" style="2" customWidth="1"/>
    <col min="3699" max="3699" width="2.875" style="2" customWidth="1"/>
    <col min="3700" max="3700" width="12.25" style="2" customWidth="1"/>
    <col min="3701" max="3701" width="6.375" style="2" customWidth="1"/>
    <col min="3702" max="3703" width="3.125" style="2" customWidth="1"/>
    <col min="3704" max="3704" width="1.125" style="2" customWidth="1"/>
    <col min="3705" max="3705" width="9" style="2" customWidth="1"/>
    <col min="3706" max="3706" width="2.375" style="2" customWidth="1"/>
    <col min="3707" max="3724" width="7.625" style="2" customWidth="1"/>
    <col min="3725" max="3887" width="9" style="2" customWidth="1"/>
    <col min="3888" max="3889" width="3.125" style="2" customWidth="1"/>
    <col min="3890" max="3890" width="5.875" style="2" bestFit="1" customWidth="1"/>
    <col min="3891" max="3891" width="5.625" style="2" customWidth="1"/>
    <col min="3892" max="3892" width="10.625" style="2" customWidth="1"/>
    <col min="3893" max="3893" width="12.625" style="2" customWidth="1"/>
    <col min="3894" max="3894" width="8.625" style="2" customWidth="1"/>
    <col min="3895" max="3895" width="5.625" style="2" customWidth="1"/>
    <col min="3896" max="3896" width="4.625" style="2" customWidth="1"/>
    <col min="3897" max="3897" width="5.625" style="2" customWidth="1"/>
    <col min="3898" max="3901" width="4.625" style="2" customWidth="1"/>
    <col min="3902" max="3902" width="7.625" style="2" customWidth="1"/>
    <col min="3903" max="3903" width="8.625" style="2" customWidth="1"/>
    <col min="3904" max="3905" width="5.625" style="2" customWidth="1"/>
    <col min="3906" max="3906" width="6.625" style="2" customWidth="1"/>
    <col min="3907" max="3907" width="9.875" style="2" customWidth="1"/>
    <col min="3908" max="3909" width="8.625" style="2" customWidth="1"/>
    <col min="3910" max="3910" width="5.5" style="2" bestFit="1" customWidth="1"/>
    <col min="3911" max="3952" width="6.75" style="2" customWidth="1"/>
    <col min="3953" max="3953" width="9" style="2" customWidth="1"/>
    <col min="3954" max="3954" width="9.875" style="2" customWidth="1"/>
    <col min="3955" max="3955" width="2.875" style="2" customWidth="1"/>
    <col min="3956" max="3956" width="12.25" style="2" customWidth="1"/>
    <col min="3957" max="3957" width="6.375" style="2" customWidth="1"/>
    <col min="3958" max="3959" width="3.125" style="2" customWidth="1"/>
    <col min="3960" max="3960" width="1.125" style="2" customWidth="1"/>
    <col min="3961" max="3961" width="9" style="2" customWidth="1"/>
    <col min="3962" max="3962" width="2.375" style="2" customWidth="1"/>
    <col min="3963" max="3980" width="7.625" style="2" customWidth="1"/>
    <col min="3981" max="4143" width="9" style="2" customWidth="1"/>
    <col min="4144" max="4145" width="3.125" style="2" customWidth="1"/>
    <col min="4146" max="4146" width="5.875" style="2" bestFit="1" customWidth="1"/>
    <col min="4147" max="4147" width="5.625" style="2" customWidth="1"/>
    <col min="4148" max="4148" width="10.625" style="2" customWidth="1"/>
    <col min="4149" max="4149" width="12.625" style="2" customWidth="1"/>
    <col min="4150" max="4150" width="8.625" style="2" customWidth="1"/>
    <col min="4151" max="4151" width="5.625" style="2" customWidth="1"/>
    <col min="4152" max="4152" width="4.625" style="2" customWidth="1"/>
    <col min="4153" max="4153" width="5.625" style="2" customWidth="1"/>
    <col min="4154" max="4157" width="4.625" style="2" customWidth="1"/>
    <col min="4158" max="4158" width="7.625" style="2" customWidth="1"/>
    <col min="4159" max="4159" width="8.625" style="2" customWidth="1"/>
    <col min="4160" max="4161" width="5.625" style="2" customWidth="1"/>
    <col min="4162" max="4162" width="6.625" style="2" customWidth="1"/>
    <col min="4163" max="4163" width="9.875" style="2" customWidth="1"/>
    <col min="4164" max="4165" width="8.625" style="2" customWidth="1"/>
    <col min="4166" max="4166" width="5.5" style="2" bestFit="1" customWidth="1"/>
    <col min="4167" max="4208" width="6.75" style="2" customWidth="1"/>
    <col min="4209" max="4209" width="9" style="2" customWidth="1"/>
    <col min="4210" max="4210" width="9.875" style="2" customWidth="1"/>
    <col min="4211" max="4211" width="2.875" style="2" customWidth="1"/>
    <col min="4212" max="4212" width="12.25" style="2" customWidth="1"/>
    <col min="4213" max="4213" width="6.375" style="2" customWidth="1"/>
    <col min="4214" max="4215" width="3.125" style="2" customWidth="1"/>
    <col min="4216" max="4216" width="1.125" style="2" customWidth="1"/>
    <col min="4217" max="4217" width="9" style="2" customWidth="1"/>
    <col min="4218" max="4218" width="2.375" style="2" customWidth="1"/>
    <col min="4219" max="4236" width="7.625" style="2" customWidth="1"/>
    <col min="4237" max="4399" width="9" style="2" customWidth="1"/>
    <col min="4400" max="4401" width="3.125" style="2" customWidth="1"/>
    <col min="4402" max="4402" width="5.875" style="2" bestFit="1" customWidth="1"/>
    <col min="4403" max="4403" width="5.625" style="2" customWidth="1"/>
    <col min="4404" max="4404" width="10.625" style="2" customWidth="1"/>
    <col min="4405" max="4405" width="12.625" style="2" customWidth="1"/>
    <col min="4406" max="4406" width="8.625" style="2" customWidth="1"/>
    <col min="4407" max="4407" width="5.625" style="2" customWidth="1"/>
    <col min="4408" max="4408" width="4.625" style="2" customWidth="1"/>
    <col min="4409" max="4409" width="5.625" style="2" customWidth="1"/>
    <col min="4410" max="4413" width="4.625" style="2" customWidth="1"/>
    <col min="4414" max="4414" width="7.625" style="2" customWidth="1"/>
    <col min="4415" max="4415" width="8.625" style="2" customWidth="1"/>
    <col min="4416" max="4417" width="5.625" style="2" customWidth="1"/>
    <col min="4418" max="4418" width="6.625" style="2" customWidth="1"/>
    <col min="4419" max="4419" width="9.875" style="2" customWidth="1"/>
    <col min="4420" max="4421" width="8.625" style="2" customWidth="1"/>
    <col min="4422" max="4422" width="5.5" style="2" bestFit="1" customWidth="1"/>
    <col min="4423" max="4464" width="6.75" style="2" customWidth="1"/>
    <col min="4465" max="4465" width="9" style="2" customWidth="1"/>
    <col min="4466" max="4466" width="9.875" style="2" customWidth="1"/>
    <col min="4467" max="4467" width="2.875" style="2" customWidth="1"/>
    <col min="4468" max="4468" width="12.25" style="2" customWidth="1"/>
    <col min="4469" max="4469" width="6.375" style="2" customWidth="1"/>
    <col min="4470" max="4471" width="3.125" style="2" customWidth="1"/>
    <col min="4472" max="4472" width="1.125" style="2" customWidth="1"/>
    <col min="4473" max="4473" width="9" style="2" customWidth="1"/>
    <col min="4474" max="4474" width="2.375" style="2" customWidth="1"/>
    <col min="4475" max="4492" width="7.625" style="2" customWidth="1"/>
    <col min="4493" max="4655" width="9" style="2" customWidth="1"/>
    <col min="4656" max="4657" width="3.125" style="2" customWidth="1"/>
    <col min="4658" max="4658" width="5.875" style="2" bestFit="1" customWidth="1"/>
    <col min="4659" max="4659" width="5.625" style="2" customWidth="1"/>
    <col min="4660" max="4660" width="10.625" style="2" customWidth="1"/>
    <col min="4661" max="4661" width="12.625" style="2" customWidth="1"/>
    <col min="4662" max="4662" width="8.625" style="2" customWidth="1"/>
    <col min="4663" max="4663" width="5.625" style="2" customWidth="1"/>
    <col min="4664" max="4664" width="4.625" style="2" customWidth="1"/>
    <col min="4665" max="4665" width="5.625" style="2" customWidth="1"/>
    <col min="4666" max="4669" width="4.625" style="2" customWidth="1"/>
    <col min="4670" max="4670" width="7.625" style="2" customWidth="1"/>
    <col min="4671" max="4671" width="8.625" style="2" customWidth="1"/>
    <col min="4672" max="4673" width="5.625" style="2" customWidth="1"/>
    <col min="4674" max="4674" width="6.625" style="2" customWidth="1"/>
    <col min="4675" max="4675" width="9.875" style="2" customWidth="1"/>
    <col min="4676" max="4677" width="8.625" style="2" customWidth="1"/>
    <col min="4678" max="4678" width="5.5" style="2" bestFit="1" customWidth="1"/>
    <col min="4679" max="4720" width="6.75" style="2" customWidth="1"/>
    <col min="4721" max="4721" width="9" style="2" customWidth="1"/>
    <col min="4722" max="4722" width="9.875" style="2" customWidth="1"/>
    <col min="4723" max="4723" width="2.875" style="2" customWidth="1"/>
    <col min="4724" max="4724" width="12.25" style="2" customWidth="1"/>
    <col min="4725" max="4725" width="6.375" style="2" customWidth="1"/>
    <col min="4726" max="4727" width="3.125" style="2" customWidth="1"/>
    <col min="4728" max="4728" width="1.125" style="2" customWidth="1"/>
    <col min="4729" max="4729" width="9" style="2" customWidth="1"/>
    <col min="4730" max="4730" width="2.375" style="2" customWidth="1"/>
    <col min="4731" max="4748" width="7.625" style="2" customWidth="1"/>
    <col min="4749" max="4911" width="9" style="2" customWidth="1"/>
    <col min="4912" max="4913" width="3.125" style="2" customWidth="1"/>
    <col min="4914" max="4914" width="5.875" style="2" bestFit="1" customWidth="1"/>
    <col min="4915" max="4915" width="5.625" style="2" customWidth="1"/>
    <col min="4916" max="4916" width="10.625" style="2" customWidth="1"/>
    <col min="4917" max="4917" width="12.625" style="2" customWidth="1"/>
    <col min="4918" max="4918" width="8.625" style="2" customWidth="1"/>
    <col min="4919" max="4919" width="5.625" style="2" customWidth="1"/>
    <col min="4920" max="4920" width="4.625" style="2" customWidth="1"/>
    <col min="4921" max="4921" width="5.625" style="2" customWidth="1"/>
    <col min="4922" max="4925" width="4.625" style="2" customWidth="1"/>
    <col min="4926" max="4926" width="7.625" style="2" customWidth="1"/>
    <col min="4927" max="4927" width="8.625" style="2" customWidth="1"/>
    <col min="4928" max="4929" width="5.625" style="2" customWidth="1"/>
    <col min="4930" max="4930" width="6.625" style="2" customWidth="1"/>
    <col min="4931" max="4931" width="9.875" style="2" customWidth="1"/>
    <col min="4932" max="4933" width="8.625" style="2" customWidth="1"/>
    <col min="4934" max="4934" width="5.5" style="2" bestFit="1" customWidth="1"/>
    <col min="4935" max="4976" width="6.75" style="2" customWidth="1"/>
    <col min="4977" max="4977" width="9" style="2" customWidth="1"/>
    <col min="4978" max="4978" width="9.875" style="2" customWidth="1"/>
    <col min="4979" max="4979" width="2.875" style="2" customWidth="1"/>
    <col min="4980" max="4980" width="12.25" style="2" customWidth="1"/>
    <col min="4981" max="4981" width="6.375" style="2" customWidth="1"/>
    <col min="4982" max="4983" width="3.125" style="2" customWidth="1"/>
    <col min="4984" max="4984" width="1.125" style="2" customWidth="1"/>
    <col min="4985" max="4985" width="9" style="2" customWidth="1"/>
    <col min="4986" max="4986" width="2.375" style="2" customWidth="1"/>
    <col min="4987" max="5004" width="7.625" style="2" customWidth="1"/>
    <col min="5005" max="5167" width="9" style="2" customWidth="1"/>
    <col min="5168" max="5169" width="3.125" style="2" customWidth="1"/>
    <col min="5170" max="5170" width="5.875" style="2" bestFit="1" customWidth="1"/>
    <col min="5171" max="5171" width="5.625" style="2" customWidth="1"/>
    <col min="5172" max="5172" width="10.625" style="2" customWidth="1"/>
    <col min="5173" max="5173" width="12.625" style="2" customWidth="1"/>
    <col min="5174" max="5174" width="8.625" style="2" customWidth="1"/>
    <col min="5175" max="5175" width="5.625" style="2" customWidth="1"/>
    <col min="5176" max="5176" width="4.625" style="2" customWidth="1"/>
    <col min="5177" max="5177" width="5.625" style="2" customWidth="1"/>
    <col min="5178" max="5181" width="4.625" style="2" customWidth="1"/>
    <col min="5182" max="5182" width="7.625" style="2" customWidth="1"/>
    <col min="5183" max="5183" width="8.625" style="2" customWidth="1"/>
    <col min="5184" max="5185" width="5.625" style="2" customWidth="1"/>
    <col min="5186" max="5186" width="6.625" style="2" customWidth="1"/>
    <col min="5187" max="5187" width="9.875" style="2" customWidth="1"/>
    <col min="5188" max="5189" width="8.625" style="2" customWidth="1"/>
    <col min="5190" max="5190" width="5.5" style="2" bestFit="1" customWidth="1"/>
    <col min="5191" max="5232" width="6.75" style="2" customWidth="1"/>
    <col min="5233" max="5233" width="9" style="2" customWidth="1"/>
    <col min="5234" max="5234" width="9.875" style="2" customWidth="1"/>
    <col min="5235" max="5235" width="2.875" style="2" customWidth="1"/>
    <col min="5236" max="5236" width="12.25" style="2" customWidth="1"/>
    <col min="5237" max="5237" width="6.375" style="2" customWidth="1"/>
    <col min="5238" max="5239" width="3.125" style="2" customWidth="1"/>
    <col min="5240" max="5240" width="1.125" style="2" customWidth="1"/>
    <col min="5241" max="5241" width="9" style="2" customWidth="1"/>
    <col min="5242" max="5242" width="2.375" style="2" customWidth="1"/>
    <col min="5243" max="5260" width="7.625" style="2" customWidth="1"/>
    <col min="5261" max="5423" width="9" style="2" customWidth="1"/>
    <col min="5424" max="5425" width="3.125" style="2" customWidth="1"/>
    <col min="5426" max="5426" width="5.875" style="2" bestFit="1" customWidth="1"/>
    <col min="5427" max="5427" width="5.625" style="2" customWidth="1"/>
    <col min="5428" max="5428" width="10.625" style="2" customWidth="1"/>
    <col min="5429" max="5429" width="12.625" style="2" customWidth="1"/>
    <col min="5430" max="5430" width="8.625" style="2" customWidth="1"/>
    <col min="5431" max="5431" width="5.625" style="2" customWidth="1"/>
    <col min="5432" max="5432" width="4.625" style="2" customWidth="1"/>
    <col min="5433" max="5433" width="5.625" style="2" customWidth="1"/>
    <col min="5434" max="5437" width="4.625" style="2" customWidth="1"/>
    <col min="5438" max="5438" width="7.625" style="2" customWidth="1"/>
    <col min="5439" max="5439" width="8.625" style="2" customWidth="1"/>
    <col min="5440" max="5441" width="5.625" style="2" customWidth="1"/>
    <col min="5442" max="5442" width="6.625" style="2" customWidth="1"/>
    <col min="5443" max="5443" width="9.875" style="2" customWidth="1"/>
    <col min="5444" max="5445" width="8.625" style="2" customWidth="1"/>
    <col min="5446" max="5446" width="5.5" style="2" bestFit="1" customWidth="1"/>
    <col min="5447" max="5488" width="6.75" style="2" customWidth="1"/>
    <col min="5489" max="5489" width="9" style="2" customWidth="1"/>
    <col min="5490" max="5490" width="9.875" style="2" customWidth="1"/>
    <col min="5491" max="5491" width="2.875" style="2" customWidth="1"/>
    <col min="5492" max="5492" width="12.25" style="2" customWidth="1"/>
    <col min="5493" max="5493" width="6.375" style="2" customWidth="1"/>
    <col min="5494" max="5495" width="3.125" style="2" customWidth="1"/>
    <col min="5496" max="5496" width="1.125" style="2" customWidth="1"/>
    <col min="5497" max="5497" width="9" style="2" customWidth="1"/>
    <col min="5498" max="5498" width="2.375" style="2" customWidth="1"/>
    <col min="5499" max="5516" width="7.625" style="2" customWidth="1"/>
    <col min="5517" max="5679" width="9" style="2" customWidth="1"/>
    <col min="5680" max="5681" width="3.125" style="2" customWidth="1"/>
    <col min="5682" max="5682" width="5.875" style="2" bestFit="1" customWidth="1"/>
    <col min="5683" max="5683" width="5.625" style="2" customWidth="1"/>
    <col min="5684" max="5684" width="10.625" style="2" customWidth="1"/>
    <col min="5685" max="5685" width="12.625" style="2" customWidth="1"/>
    <col min="5686" max="5686" width="8.625" style="2" customWidth="1"/>
    <col min="5687" max="5687" width="5.625" style="2" customWidth="1"/>
    <col min="5688" max="5688" width="4.625" style="2" customWidth="1"/>
    <col min="5689" max="5689" width="5.625" style="2" customWidth="1"/>
    <col min="5690" max="5693" width="4.625" style="2" customWidth="1"/>
    <col min="5694" max="5694" width="7.625" style="2" customWidth="1"/>
    <col min="5695" max="5695" width="8.625" style="2" customWidth="1"/>
    <col min="5696" max="5697" width="5.625" style="2" customWidth="1"/>
    <col min="5698" max="5698" width="6.625" style="2" customWidth="1"/>
    <col min="5699" max="5699" width="9.875" style="2" customWidth="1"/>
    <col min="5700" max="5701" width="8.625" style="2" customWidth="1"/>
    <col min="5702" max="5702" width="5.5" style="2" bestFit="1" customWidth="1"/>
    <col min="5703" max="5744" width="6.75" style="2" customWidth="1"/>
    <col min="5745" max="5745" width="9" style="2" customWidth="1"/>
    <col min="5746" max="5746" width="9.875" style="2" customWidth="1"/>
    <col min="5747" max="5747" width="2.875" style="2" customWidth="1"/>
    <col min="5748" max="5748" width="12.25" style="2" customWidth="1"/>
    <col min="5749" max="5749" width="6.375" style="2" customWidth="1"/>
    <col min="5750" max="5751" width="3.125" style="2" customWidth="1"/>
    <col min="5752" max="5752" width="1.125" style="2" customWidth="1"/>
    <col min="5753" max="5753" width="9" style="2" customWidth="1"/>
    <col min="5754" max="5754" width="2.375" style="2" customWidth="1"/>
    <col min="5755" max="5772" width="7.625" style="2" customWidth="1"/>
    <col min="5773" max="5935" width="9" style="2" customWidth="1"/>
    <col min="5936" max="5937" width="3.125" style="2" customWidth="1"/>
    <col min="5938" max="5938" width="5.875" style="2" bestFit="1" customWidth="1"/>
    <col min="5939" max="5939" width="5.625" style="2" customWidth="1"/>
    <col min="5940" max="5940" width="10.625" style="2" customWidth="1"/>
    <col min="5941" max="5941" width="12.625" style="2" customWidth="1"/>
    <col min="5942" max="5942" width="8.625" style="2" customWidth="1"/>
    <col min="5943" max="5943" width="5.625" style="2" customWidth="1"/>
    <col min="5944" max="5944" width="4.625" style="2" customWidth="1"/>
    <col min="5945" max="5945" width="5.625" style="2" customWidth="1"/>
    <col min="5946" max="5949" width="4.625" style="2" customWidth="1"/>
    <col min="5950" max="5950" width="7.625" style="2" customWidth="1"/>
    <col min="5951" max="5951" width="8.625" style="2" customWidth="1"/>
    <col min="5952" max="5953" width="5.625" style="2" customWidth="1"/>
    <col min="5954" max="5954" width="6.625" style="2" customWidth="1"/>
    <col min="5955" max="5955" width="9.875" style="2" customWidth="1"/>
    <col min="5956" max="5957" width="8.625" style="2" customWidth="1"/>
    <col min="5958" max="5958" width="5.5" style="2" bestFit="1" customWidth="1"/>
    <col min="5959" max="6000" width="6.75" style="2" customWidth="1"/>
    <col min="6001" max="6001" width="9" style="2" customWidth="1"/>
    <col min="6002" max="6002" width="9.875" style="2" customWidth="1"/>
    <col min="6003" max="6003" width="2.875" style="2" customWidth="1"/>
    <col min="6004" max="6004" width="12.25" style="2" customWidth="1"/>
    <col min="6005" max="6005" width="6.375" style="2" customWidth="1"/>
    <col min="6006" max="6007" width="3.125" style="2" customWidth="1"/>
    <col min="6008" max="6008" width="1.125" style="2" customWidth="1"/>
    <col min="6009" max="6009" width="9" style="2" customWidth="1"/>
    <col min="6010" max="6010" width="2.375" style="2" customWidth="1"/>
    <col min="6011" max="6028" width="7.625" style="2" customWidth="1"/>
    <col min="6029" max="6191" width="9" style="2" customWidth="1"/>
    <col min="6192" max="6193" width="3.125" style="2" customWidth="1"/>
    <col min="6194" max="6194" width="5.875" style="2" bestFit="1" customWidth="1"/>
    <col min="6195" max="6195" width="5.625" style="2" customWidth="1"/>
    <col min="6196" max="6196" width="10.625" style="2" customWidth="1"/>
    <col min="6197" max="6197" width="12.625" style="2" customWidth="1"/>
    <col min="6198" max="6198" width="8.625" style="2" customWidth="1"/>
    <col min="6199" max="6199" width="5.625" style="2" customWidth="1"/>
    <col min="6200" max="6200" width="4.625" style="2" customWidth="1"/>
    <col min="6201" max="6201" width="5.625" style="2" customWidth="1"/>
    <col min="6202" max="6205" width="4.625" style="2" customWidth="1"/>
    <col min="6206" max="6206" width="7.625" style="2" customWidth="1"/>
    <col min="6207" max="6207" width="8.625" style="2" customWidth="1"/>
    <col min="6208" max="6209" width="5.625" style="2" customWidth="1"/>
    <col min="6210" max="6210" width="6.625" style="2" customWidth="1"/>
    <col min="6211" max="6211" width="9.875" style="2" customWidth="1"/>
    <col min="6212" max="6213" width="8.625" style="2" customWidth="1"/>
    <col min="6214" max="6214" width="5.5" style="2" bestFit="1" customWidth="1"/>
    <col min="6215" max="6256" width="6.75" style="2" customWidth="1"/>
    <col min="6257" max="6257" width="9" style="2" customWidth="1"/>
    <col min="6258" max="6258" width="9.875" style="2" customWidth="1"/>
    <col min="6259" max="6259" width="2.875" style="2" customWidth="1"/>
    <col min="6260" max="6260" width="12.25" style="2" customWidth="1"/>
    <col min="6261" max="6261" width="6.375" style="2" customWidth="1"/>
    <col min="6262" max="6263" width="3.125" style="2" customWidth="1"/>
    <col min="6264" max="6264" width="1.125" style="2" customWidth="1"/>
    <col min="6265" max="6265" width="9" style="2" customWidth="1"/>
    <col min="6266" max="6266" width="2.375" style="2" customWidth="1"/>
    <col min="6267" max="6284" width="7.625" style="2" customWidth="1"/>
    <col min="6285" max="6447" width="9" style="2" customWidth="1"/>
    <col min="6448" max="6449" width="3.125" style="2" customWidth="1"/>
    <col min="6450" max="6450" width="5.875" style="2" bestFit="1" customWidth="1"/>
    <col min="6451" max="6451" width="5.625" style="2" customWidth="1"/>
    <col min="6452" max="6452" width="10.625" style="2" customWidth="1"/>
    <col min="6453" max="6453" width="12.625" style="2" customWidth="1"/>
    <col min="6454" max="6454" width="8.625" style="2" customWidth="1"/>
    <col min="6455" max="6455" width="5.625" style="2" customWidth="1"/>
    <col min="6456" max="6456" width="4.625" style="2" customWidth="1"/>
    <col min="6457" max="6457" width="5.625" style="2" customWidth="1"/>
    <col min="6458" max="6461" width="4.625" style="2" customWidth="1"/>
    <col min="6462" max="6462" width="7.625" style="2" customWidth="1"/>
    <col min="6463" max="6463" width="8.625" style="2" customWidth="1"/>
    <col min="6464" max="6465" width="5.625" style="2" customWidth="1"/>
    <col min="6466" max="6466" width="6.625" style="2" customWidth="1"/>
    <col min="6467" max="6467" width="9.875" style="2" customWidth="1"/>
    <col min="6468" max="6469" width="8.625" style="2" customWidth="1"/>
    <col min="6470" max="6470" width="5.5" style="2" bestFit="1" customWidth="1"/>
    <col min="6471" max="6512" width="6.75" style="2" customWidth="1"/>
    <col min="6513" max="6513" width="9" style="2" customWidth="1"/>
    <col min="6514" max="6514" width="9.875" style="2" customWidth="1"/>
    <col min="6515" max="6515" width="2.875" style="2" customWidth="1"/>
    <col min="6516" max="6516" width="12.25" style="2" customWidth="1"/>
    <col min="6517" max="6517" width="6.375" style="2" customWidth="1"/>
    <col min="6518" max="6519" width="3.125" style="2" customWidth="1"/>
    <col min="6520" max="6520" width="1.125" style="2" customWidth="1"/>
    <col min="6521" max="6521" width="9" style="2" customWidth="1"/>
    <col min="6522" max="6522" width="2.375" style="2" customWidth="1"/>
    <col min="6523" max="6540" width="7.625" style="2" customWidth="1"/>
    <col min="6541" max="6703" width="9" style="2" customWidth="1"/>
    <col min="6704" max="6705" width="3.125" style="2" customWidth="1"/>
    <col min="6706" max="6706" width="5.875" style="2" bestFit="1" customWidth="1"/>
    <col min="6707" max="6707" width="5.625" style="2" customWidth="1"/>
    <col min="6708" max="6708" width="10.625" style="2" customWidth="1"/>
    <col min="6709" max="6709" width="12.625" style="2" customWidth="1"/>
    <col min="6710" max="6710" width="8.625" style="2" customWidth="1"/>
    <col min="6711" max="6711" width="5.625" style="2" customWidth="1"/>
    <col min="6712" max="6712" width="4.625" style="2" customWidth="1"/>
    <col min="6713" max="6713" width="5.625" style="2" customWidth="1"/>
    <col min="6714" max="6717" width="4.625" style="2" customWidth="1"/>
    <col min="6718" max="6718" width="7.625" style="2" customWidth="1"/>
    <col min="6719" max="6719" width="8.625" style="2" customWidth="1"/>
    <col min="6720" max="6721" width="5.625" style="2" customWidth="1"/>
    <col min="6722" max="6722" width="6.625" style="2" customWidth="1"/>
    <col min="6723" max="6723" width="9.875" style="2" customWidth="1"/>
    <col min="6724" max="6725" width="8.625" style="2" customWidth="1"/>
    <col min="6726" max="6726" width="5.5" style="2" bestFit="1" customWidth="1"/>
    <col min="6727" max="6768" width="6.75" style="2" customWidth="1"/>
    <col min="6769" max="6769" width="9" style="2" customWidth="1"/>
    <col min="6770" max="6770" width="9.875" style="2" customWidth="1"/>
    <col min="6771" max="6771" width="2.875" style="2" customWidth="1"/>
    <col min="6772" max="6772" width="12.25" style="2" customWidth="1"/>
    <col min="6773" max="6773" width="6.375" style="2" customWidth="1"/>
    <col min="6774" max="6775" width="3.125" style="2" customWidth="1"/>
    <col min="6776" max="6776" width="1.125" style="2" customWidth="1"/>
    <col min="6777" max="6777" width="9" style="2" customWidth="1"/>
    <col min="6778" max="6778" width="2.375" style="2" customWidth="1"/>
    <col min="6779" max="6796" width="7.625" style="2" customWidth="1"/>
    <col min="6797" max="6959" width="9" style="2" customWidth="1"/>
    <col min="6960" max="6961" width="3.125" style="2" customWidth="1"/>
    <col min="6962" max="6962" width="5.875" style="2" bestFit="1" customWidth="1"/>
    <col min="6963" max="6963" width="5.625" style="2" customWidth="1"/>
    <col min="6964" max="6964" width="10.625" style="2" customWidth="1"/>
    <col min="6965" max="6965" width="12.625" style="2" customWidth="1"/>
    <col min="6966" max="6966" width="8.625" style="2" customWidth="1"/>
    <col min="6967" max="6967" width="5.625" style="2" customWidth="1"/>
    <col min="6968" max="6968" width="4.625" style="2" customWidth="1"/>
    <col min="6969" max="6969" width="5.625" style="2" customWidth="1"/>
    <col min="6970" max="6973" width="4.625" style="2" customWidth="1"/>
    <col min="6974" max="6974" width="7.625" style="2" customWidth="1"/>
    <col min="6975" max="6975" width="8.625" style="2" customWidth="1"/>
    <col min="6976" max="6977" width="5.625" style="2" customWidth="1"/>
    <col min="6978" max="6978" width="6.625" style="2" customWidth="1"/>
    <col min="6979" max="6979" width="9.875" style="2" customWidth="1"/>
    <col min="6980" max="6981" width="8.625" style="2" customWidth="1"/>
    <col min="6982" max="6982" width="5.5" style="2" bestFit="1" customWidth="1"/>
    <col min="6983" max="7024" width="6.75" style="2" customWidth="1"/>
    <col min="7025" max="7025" width="9" style="2" customWidth="1"/>
    <col min="7026" max="7026" width="9.875" style="2" customWidth="1"/>
    <col min="7027" max="7027" width="2.875" style="2" customWidth="1"/>
    <col min="7028" max="7028" width="12.25" style="2" customWidth="1"/>
    <col min="7029" max="7029" width="6.375" style="2" customWidth="1"/>
    <col min="7030" max="7031" width="3.125" style="2" customWidth="1"/>
    <col min="7032" max="7032" width="1.125" style="2" customWidth="1"/>
    <col min="7033" max="7033" width="9" style="2" customWidth="1"/>
    <col min="7034" max="7034" width="2.375" style="2" customWidth="1"/>
    <col min="7035" max="7052" width="7.625" style="2" customWidth="1"/>
    <col min="7053" max="7215" width="9" style="2" customWidth="1"/>
    <col min="7216" max="7217" width="3.125" style="2" customWidth="1"/>
    <col min="7218" max="7218" width="5.875" style="2" bestFit="1" customWidth="1"/>
    <col min="7219" max="7219" width="5.625" style="2" customWidth="1"/>
    <col min="7220" max="7220" width="10.625" style="2" customWidth="1"/>
    <col min="7221" max="7221" width="12.625" style="2" customWidth="1"/>
    <col min="7222" max="7222" width="8.625" style="2" customWidth="1"/>
    <col min="7223" max="7223" width="5.625" style="2" customWidth="1"/>
    <col min="7224" max="7224" width="4.625" style="2" customWidth="1"/>
    <col min="7225" max="7225" width="5.625" style="2" customWidth="1"/>
    <col min="7226" max="7229" width="4.625" style="2" customWidth="1"/>
    <col min="7230" max="7230" width="7.625" style="2" customWidth="1"/>
    <col min="7231" max="7231" width="8.625" style="2" customWidth="1"/>
    <col min="7232" max="7233" width="5.625" style="2" customWidth="1"/>
    <col min="7234" max="7234" width="6.625" style="2" customWidth="1"/>
    <col min="7235" max="7235" width="9.875" style="2" customWidth="1"/>
    <col min="7236" max="7237" width="8.625" style="2" customWidth="1"/>
    <col min="7238" max="7238" width="5.5" style="2" bestFit="1" customWidth="1"/>
    <col min="7239" max="7280" width="6.75" style="2" customWidth="1"/>
    <col min="7281" max="7281" width="9" style="2" customWidth="1"/>
    <col min="7282" max="7282" width="9.875" style="2" customWidth="1"/>
    <col min="7283" max="7283" width="2.875" style="2" customWidth="1"/>
    <col min="7284" max="7284" width="12.25" style="2" customWidth="1"/>
    <col min="7285" max="7285" width="6.375" style="2" customWidth="1"/>
    <col min="7286" max="7287" width="3.125" style="2" customWidth="1"/>
    <col min="7288" max="7288" width="1.125" style="2" customWidth="1"/>
    <col min="7289" max="7289" width="9" style="2" customWidth="1"/>
    <col min="7290" max="7290" width="2.375" style="2" customWidth="1"/>
    <col min="7291" max="7308" width="7.625" style="2" customWidth="1"/>
    <col min="7309" max="7471" width="9" style="2" customWidth="1"/>
    <col min="7472" max="7473" width="3.125" style="2" customWidth="1"/>
    <col min="7474" max="7474" width="5.875" style="2" bestFit="1" customWidth="1"/>
    <col min="7475" max="7475" width="5.625" style="2" customWidth="1"/>
    <col min="7476" max="7476" width="10.625" style="2" customWidth="1"/>
    <col min="7477" max="7477" width="12.625" style="2" customWidth="1"/>
    <col min="7478" max="7478" width="8.625" style="2" customWidth="1"/>
    <col min="7479" max="7479" width="5.625" style="2" customWidth="1"/>
    <col min="7480" max="7480" width="4.625" style="2" customWidth="1"/>
    <col min="7481" max="7481" width="5.625" style="2" customWidth="1"/>
    <col min="7482" max="7485" width="4.625" style="2" customWidth="1"/>
    <col min="7486" max="7486" width="7.625" style="2" customWidth="1"/>
    <col min="7487" max="7487" width="8.625" style="2" customWidth="1"/>
    <col min="7488" max="7489" width="5.625" style="2" customWidth="1"/>
    <col min="7490" max="7490" width="6.625" style="2" customWidth="1"/>
    <col min="7491" max="7491" width="9.875" style="2" customWidth="1"/>
    <col min="7492" max="7493" width="8.625" style="2" customWidth="1"/>
    <col min="7494" max="7494" width="5.5" style="2" bestFit="1" customWidth="1"/>
    <col min="7495" max="7536" width="6.75" style="2" customWidth="1"/>
    <col min="7537" max="7537" width="9" style="2" customWidth="1"/>
    <col min="7538" max="7538" width="9.875" style="2" customWidth="1"/>
    <col min="7539" max="7539" width="2.875" style="2" customWidth="1"/>
    <col min="7540" max="7540" width="12.25" style="2" customWidth="1"/>
    <col min="7541" max="7541" width="6.375" style="2" customWidth="1"/>
    <col min="7542" max="7543" width="3.125" style="2" customWidth="1"/>
    <col min="7544" max="7544" width="1.125" style="2" customWidth="1"/>
    <col min="7545" max="7545" width="9" style="2" customWidth="1"/>
    <col min="7546" max="7546" width="2.375" style="2" customWidth="1"/>
    <col min="7547" max="7564" width="7.625" style="2" customWidth="1"/>
    <col min="7565" max="7727" width="9" style="2" customWidth="1"/>
    <col min="7728" max="7729" width="3.125" style="2" customWidth="1"/>
    <col min="7730" max="7730" width="5.875" style="2" bestFit="1" customWidth="1"/>
    <col min="7731" max="7731" width="5.625" style="2" customWidth="1"/>
    <col min="7732" max="7732" width="10.625" style="2" customWidth="1"/>
    <col min="7733" max="7733" width="12.625" style="2" customWidth="1"/>
    <col min="7734" max="7734" width="8.625" style="2" customWidth="1"/>
    <col min="7735" max="7735" width="5.625" style="2" customWidth="1"/>
    <col min="7736" max="7736" width="4.625" style="2" customWidth="1"/>
    <col min="7737" max="7737" width="5.625" style="2" customWidth="1"/>
    <col min="7738" max="7741" width="4.625" style="2" customWidth="1"/>
    <col min="7742" max="7742" width="7.625" style="2" customWidth="1"/>
    <col min="7743" max="7743" width="8.625" style="2" customWidth="1"/>
    <col min="7744" max="7745" width="5.625" style="2" customWidth="1"/>
    <col min="7746" max="7746" width="6.625" style="2" customWidth="1"/>
    <col min="7747" max="7747" width="9.875" style="2" customWidth="1"/>
    <col min="7748" max="7749" width="8.625" style="2" customWidth="1"/>
    <col min="7750" max="7750" width="5.5" style="2" bestFit="1" customWidth="1"/>
    <col min="7751" max="7792" width="6.75" style="2" customWidth="1"/>
    <col min="7793" max="7793" width="9" style="2" customWidth="1"/>
    <col min="7794" max="7794" width="9.875" style="2" customWidth="1"/>
    <col min="7795" max="7795" width="2.875" style="2" customWidth="1"/>
    <col min="7796" max="7796" width="12.25" style="2" customWidth="1"/>
    <col min="7797" max="7797" width="6.375" style="2" customWidth="1"/>
    <col min="7798" max="7799" width="3.125" style="2" customWidth="1"/>
    <col min="7800" max="7800" width="1.125" style="2" customWidth="1"/>
    <col min="7801" max="7801" width="9" style="2" customWidth="1"/>
    <col min="7802" max="7802" width="2.375" style="2" customWidth="1"/>
    <col min="7803" max="7820" width="7.625" style="2" customWidth="1"/>
    <col min="7821" max="7983" width="9" style="2" customWidth="1"/>
    <col min="7984" max="7985" width="3.125" style="2" customWidth="1"/>
    <col min="7986" max="7986" width="5.875" style="2" bestFit="1" customWidth="1"/>
    <col min="7987" max="7987" width="5.625" style="2" customWidth="1"/>
    <col min="7988" max="7988" width="10.625" style="2" customWidth="1"/>
    <col min="7989" max="7989" width="12.625" style="2" customWidth="1"/>
    <col min="7990" max="7990" width="8.625" style="2" customWidth="1"/>
    <col min="7991" max="7991" width="5.625" style="2" customWidth="1"/>
    <col min="7992" max="7992" width="4.625" style="2" customWidth="1"/>
    <col min="7993" max="7993" width="5.625" style="2" customWidth="1"/>
    <col min="7994" max="7997" width="4.625" style="2" customWidth="1"/>
    <col min="7998" max="7998" width="7.625" style="2" customWidth="1"/>
    <col min="7999" max="7999" width="8.625" style="2" customWidth="1"/>
    <col min="8000" max="8001" width="5.625" style="2" customWidth="1"/>
    <col min="8002" max="8002" width="6.625" style="2" customWidth="1"/>
    <col min="8003" max="8003" width="9.875" style="2" customWidth="1"/>
    <col min="8004" max="8005" width="8.625" style="2" customWidth="1"/>
    <col min="8006" max="8006" width="5.5" style="2" bestFit="1" customWidth="1"/>
    <col min="8007" max="8048" width="6.75" style="2" customWidth="1"/>
    <col min="8049" max="8049" width="9" style="2" customWidth="1"/>
    <col min="8050" max="8050" width="9.875" style="2" customWidth="1"/>
    <col min="8051" max="8051" width="2.875" style="2" customWidth="1"/>
    <col min="8052" max="8052" width="12.25" style="2" customWidth="1"/>
    <col min="8053" max="8053" width="6.375" style="2" customWidth="1"/>
    <col min="8054" max="8055" width="3.125" style="2" customWidth="1"/>
    <col min="8056" max="8056" width="1.125" style="2" customWidth="1"/>
    <col min="8057" max="8057" width="9" style="2" customWidth="1"/>
    <col min="8058" max="8058" width="2.375" style="2" customWidth="1"/>
    <col min="8059" max="8076" width="7.625" style="2" customWidth="1"/>
    <col min="8077" max="8239" width="9" style="2" customWidth="1"/>
    <col min="8240" max="8241" width="3.125" style="2" customWidth="1"/>
    <col min="8242" max="8242" width="5.875" style="2" bestFit="1" customWidth="1"/>
    <col min="8243" max="8243" width="5.625" style="2" customWidth="1"/>
    <col min="8244" max="8244" width="10.625" style="2" customWidth="1"/>
    <col min="8245" max="8245" width="12.625" style="2" customWidth="1"/>
    <col min="8246" max="8246" width="8.625" style="2" customWidth="1"/>
    <col min="8247" max="8247" width="5.625" style="2" customWidth="1"/>
    <col min="8248" max="8248" width="4.625" style="2" customWidth="1"/>
    <col min="8249" max="8249" width="5.625" style="2" customWidth="1"/>
    <col min="8250" max="8253" width="4.625" style="2" customWidth="1"/>
    <col min="8254" max="8254" width="7.625" style="2" customWidth="1"/>
    <col min="8255" max="8255" width="8.625" style="2" customWidth="1"/>
    <col min="8256" max="8257" width="5.625" style="2" customWidth="1"/>
    <col min="8258" max="8258" width="6.625" style="2" customWidth="1"/>
    <col min="8259" max="8259" width="9.875" style="2" customWidth="1"/>
    <col min="8260" max="8261" width="8.625" style="2" customWidth="1"/>
    <col min="8262" max="8262" width="5.5" style="2" bestFit="1" customWidth="1"/>
    <col min="8263" max="8304" width="6.75" style="2" customWidth="1"/>
    <col min="8305" max="8305" width="9" style="2" customWidth="1"/>
    <col min="8306" max="8306" width="9.875" style="2" customWidth="1"/>
    <col min="8307" max="8307" width="2.875" style="2" customWidth="1"/>
    <col min="8308" max="8308" width="12.25" style="2" customWidth="1"/>
    <col min="8309" max="8309" width="6.375" style="2" customWidth="1"/>
    <col min="8310" max="8311" width="3.125" style="2" customWidth="1"/>
    <col min="8312" max="8312" width="1.125" style="2" customWidth="1"/>
    <col min="8313" max="8313" width="9" style="2" customWidth="1"/>
    <col min="8314" max="8314" width="2.375" style="2" customWidth="1"/>
    <col min="8315" max="8332" width="7.625" style="2" customWidth="1"/>
    <col min="8333" max="8495" width="9" style="2" customWidth="1"/>
    <col min="8496" max="8497" width="3.125" style="2" customWidth="1"/>
    <col min="8498" max="8498" width="5.875" style="2" bestFit="1" customWidth="1"/>
    <col min="8499" max="8499" width="5.625" style="2" customWidth="1"/>
    <col min="8500" max="8500" width="10.625" style="2" customWidth="1"/>
    <col min="8501" max="8501" width="12.625" style="2" customWidth="1"/>
    <col min="8502" max="8502" width="8.625" style="2" customWidth="1"/>
    <col min="8503" max="8503" width="5.625" style="2" customWidth="1"/>
    <col min="8504" max="8504" width="4.625" style="2" customWidth="1"/>
    <col min="8505" max="8505" width="5.625" style="2" customWidth="1"/>
    <col min="8506" max="8509" width="4.625" style="2" customWidth="1"/>
    <col min="8510" max="8510" width="7.625" style="2" customWidth="1"/>
    <col min="8511" max="8511" width="8.625" style="2" customWidth="1"/>
    <col min="8512" max="8513" width="5.625" style="2" customWidth="1"/>
    <col min="8514" max="8514" width="6.625" style="2" customWidth="1"/>
    <col min="8515" max="8515" width="9.875" style="2" customWidth="1"/>
    <col min="8516" max="8517" width="8.625" style="2" customWidth="1"/>
    <col min="8518" max="8518" width="5.5" style="2" bestFit="1" customWidth="1"/>
    <col min="8519" max="8560" width="6.75" style="2" customWidth="1"/>
    <col min="8561" max="8561" width="9" style="2" customWidth="1"/>
    <col min="8562" max="8562" width="9.875" style="2" customWidth="1"/>
    <col min="8563" max="8563" width="2.875" style="2" customWidth="1"/>
    <col min="8564" max="8564" width="12.25" style="2" customWidth="1"/>
    <col min="8565" max="8565" width="6.375" style="2" customWidth="1"/>
    <col min="8566" max="8567" width="3.125" style="2" customWidth="1"/>
    <col min="8568" max="8568" width="1.125" style="2" customWidth="1"/>
    <col min="8569" max="8569" width="9" style="2" customWidth="1"/>
    <col min="8570" max="8570" width="2.375" style="2" customWidth="1"/>
    <col min="8571" max="8588" width="7.625" style="2" customWidth="1"/>
    <col min="8589" max="8751" width="9" style="2" customWidth="1"/>
    <col min="8752" max="8753" width="3.125" style="2" customWidth="1"/>
    <col min="8754" max="8754" width="5.875" style="2" bestFit="1" customWidth="1"/>
    <col min="8755" max="8755" width="5.625" style="2" customWidth="1"/>
    <col min="8756" max="8756" width="10.625" style="2" customWidth="1"/>
    <col min="8757" max="8757" width="12.625" style="2" customWidth="1"/>
    <col min="8758" max="8758" width="8.625" style="2" customWidth="1"/>
    <col min="8759" max="8759" width="5.625" style="2" customWidth="1"/>
    <col min="8760" max="8760" width="4.625" style="2" customWidth="1"/>
    <col min="8761" max="8761" width="5.625" style="2" customWidth="1"/>
    <col min="8762" max="8765" width="4.625" style="2" customWidth="1"/>
    <col min="8766" max="8766" width="7.625" style="2" customWidth="1"/>
    <col min="8767" max="8767" width="8.625" style="2" customWidth="1"/>
    <col min="8768" max="8769" width="5.625" style="2" customWidth="1"/>
    <col min="8770" max="8770" width="6.625" style="2" customWidth="1"/>
    <col min="8771" max="8771" width="9.875" style="2" customWidth="1"/>
    <col min="8772" max="8773" width="8.625" style="2" customWidth="1"/>
    <col min="8774" max="8774" width="5.5" style="2" bestFit="1" customWidth="1"/>
    <col min="8775" max="8816" width="6.75" style="2" customWidth="1"/>
    <col min="8817" max="8817" width="9" style="2" customWidth="1"/>
    <col min="8818" max="8818" width="9.875" style="2" customWidth="1"/>
    <col min="8819" max="8819" width="2.875" style="2" customWidth="1"/>
    <col min="8820" max="8820" width="12.25" style="2" customWidth="1"/>
    <col min="8821" max="8821" width="6.375" style="2" customWidth="1"/>
    <col min="8822" max="8823" width="3.125" style="2" customWidth="1"/>
    <col min="8824" max="8824" width="1.125" style="2" customWidth="1"/>
    <col min="8825" max="8825" width="9" style="2" customWidth="1"/>
    <col min="8826" max="8826" width="2.375" style="2" customWidth="1"/>
    <col min="8827" max="8844" width="7.625" style="2" customWidth="1"/>
    <col min="8845" max="9007" width="9" style="2" customWidth="1"/>
    <col min="9008" max="9009" width="3.125" style="2" customWidth="1"/>
    <col min="9010" max="9010" width="5.875" style="2" bestFit="1" customWidth="1"/>
    <col min="9011" max="9011" width="5.625" style="2" customWidth="1"/>
    <col min="9012" max="9012" width="10.625" style="2" customWidth="1"/>
    <col min="9013" max="9013" width="12.625" style="2" customWidth="1"/>
    <col min="9014" max="9014" width="8.625" style="2" customWidth="1"/>
    <col min="9015" max="9015" width="5.625" style="2" customWidth="1"/>
    <col min="9016" max="9016" width="4.625" style="2" customWidth="1"/>
    <col min="9017" max="9017" width="5.625" style="2" customWidth="1"/>
    <col min="9018" max="9021" width="4.625" style="2" customWidth="1"/>
    <col min="9022" max="9022" width="7.625" style="2" customWidth="1"/>
    <col min="9023" max="9023" width="8.625" style="2" customWidth="1"/>
    <col min="9024" max="9025" width="5.625" style="2" customWidth="1"/>
    <col min="9026" max="9026" width="6.625" style="2" customWidth="1"/>
    <col min="9027" max="9027" width="9.875" style="2" customWidth="1"/>
    <col min="9028" max="9029" width="8.625" style="2" customWidth="1"/>
    <col min="9030" max="9030" width="5.5" style="2" bestFit="1" customWidth="1"/>
    <col min="9031" max="9072" width="6.75" style="2" customWidth="1"/>
    <col min="9073" max="9073" width="9" style="2" customWidth="1"/>
    <col min="9074" max="9074" width="9.875" style="2" customWidth="1"/>
    <col min="9075" max="9075" width="2.875" style="2" customWidth="1"/>
    <col min="9076" max="9076" width="12.25" style="2" customWidth="1"/>
    <col min="9077" max="9077" width="6.375" style="2" customWidth="1"/>
    <col min="9078" max="9079" width="3.125" style="2" customWidth="1"/>
    <col min="9080" max="9080" width="1.125" style="2" customWidth="1"/>
    <col min="9081" max="9081" width="9" style="2" customWidth="1"/>
    <col min="9082" max="9082" width="2.375" style="2" customWidth="1"/>
    <col min="9083" max="9100" width="7.625" style="2" customWidth="1"/>
    <col min="9101" max="9263" width="9" style="2" customWidth="1"/>
    <col min="9264" max="9265" width="3.125" style="2" customWidth="1"/>
    <col min="9266" max="9266" width="5.875" style="2" bestFit="1" customWidth="1"/>
    <col min="9267" max="9267" width="5.625" style="2" customWidth="1"/>
    <col min="9268" max="9268" width="10.625" style="2" customWidth="1"/>
    <col min="9269" max="9269" width="12.625" style="2" customWidth="1"/>
    <col min="9270" max="9270" width="8.625" style="2" customWidth="1"/>
    <col min="9271" max="9271" width="5.625" style="2" customWidth="1"/>
    <col min="9272" max="9272" width="4.625" style="2" customWidth="1"/>
    <col min="9273" max="9273" width="5.625" style="2" customWidth="1"/>
    <col min="9274" max="9277" width="4.625" style="2" customWidth="1"/>
    <col min="9278" max="9278" width="7.625" style="2" customWidth="1"/>
    <col min="9279" max="9279" width="8.625" style="2" customWidth="1"/>
    <col min="9280" max="9281" width="5.625" style="2" customWidth="1"/>
    <col min="9282" max="9282" width="6.625" style="2" customWidth="1"/>
    <col min="9283" max="9283" width="9.875" style="2" customWidth="1"/>
    <col min="9284" max="9285" width="8.625" style="2" customWidth="1"/>
    <col min="9286" max="9286" width="5.5" style="2" bestFit="1" customWidth="1"/>
    <col min="9287" max="9328" width="6.75" style="2" customWidth="1"/>
    <col min="9329" max="9329" width="9" style="2" customWidth="1"/>
    <col min="9330" max="9330" width="9.875" style="2" customWidth="1"/>
    <col min="9331" max="9331" width="2.875" style="2" customWidth="1"/>
    <col min="9332" max="9332" width="12.25" style="2" customWidth="1"/>
    <col min="9333" max="9333" width="6.375" style="2" customWidth="1"/>
    <col min="9334" max="9335" width="3.125" style="2" customWidth="1"/>
    <col min="9336" max="9336" width="1.125" style="2" customWidth="1"/>
    <col min="9337" max="9337" width="9" style="2" customWidth="1"/>
    <col min="9338" max="9338" width="2.375" style="2" customWidth="1"/>
    <col min="9339" max="9356" width="7.625" style="2" customWidth="1"/>
    <col min="9357" max="9519" width="9" style="2" customWidth="1"/>
    <col min="9520" max="9521" width="3.125" style="2" customWidth="1"/>
    <col min="9522" max="9522" width="5.875" style="2" bestFit="1" customWidth="1"/>
    <col min="9523" max="9523" width="5.625" style="2" customWidth="1"/>
    <col min="9524" max="9524" width="10.625" style="2" customWidth="1"/>
    <col min="9525" max="9525" width="12.625" style="2" customWidth="1"/>
    <col min="9526" max="9526" width="8.625" style="2" customWidth="1"/>
    <col min="9527" max="9527" width="5.625" style="2" customWidth="1"/>
    <col min="9528" max="9528" width="4.625" style="2" customWidth="1"/>
    <col min="9529" max="9529" width="5.625" style="2" customWidth="1"/>
    <col min="9530" max="9533" width="4.625" style="2" customWidth="1"/>
    <col min="9534" max="9534" width="7.625" style="2" customWidth="1"/>
    <col min="9535" max="9535" width="8.625" style="2" customWidth="1"/>
    <col min="9536" max="9537" width="5.625" style="2" customWidth="1"/>
    <col min="9538" max="9538" width="6.625" style="2" customWidth="1"/>
    <col min="9539" max="9539" width="9.875" style="2" customWidth="1"/>
    <col min="9540" max="9541" width="8.625" style="2" customWidth="1"/>
    <col min="9542" max="9542" width="5.5" style="2" bestFit="1" customWidth="1"/>
    <col min="9543" max="9584" width="6.75" style="2" customWidth="1"/>
    <col min="9585" max="9585" width="9" style="2" customWidth="1"/>
    <col min="9586" max="9586" width="9.875" style="2" customWidth="1"/>
    <col min="9587" max="9587" width="2.875" style="2" customWidth="1"/>
    <col min="9588" max="9588" width="12.25" style="2" customWidth="1"/>
    <col min="9589" max="9589" width="6.375" style="2" customWidth="1"/>
    <col min="9590" max="9591" width="3.125" style="2" customWidth="1"/>
    <col min="9592" max="9592" width="1.125" style="2" customWidth="1"/>
    <col min="9593" max="9593" width="9" style="2" customWidth="1"/>
    <col min="9594" max="9594" width="2.375" style="2" customWidth="1"/>
    <col min="9595" max="9612" width="7.625" style="2" customWidth="1"/>
    <col min="9613" max="9775" width="9" style="2" customWidth="1"/>
    <col min="9776" max="9777" width="3.125" style="2" customWidth="1"/>
    <col min="9778" max="9778" width="5.875" style="2" bestFit="1" customWidth="1"/>
    <col min="9779" max="9779" width="5.625" style="2" customWidth="1"/>
    <col min="9780" max="9780" width="10.625" style="2" customWidth="1"/>
    <col min="9781" max="9781" width="12.625" style="2" customWidth="1"/>
    <col min="9782" max="9782" width="8.625" style="2" customWidth="1"/>
    <col min="9783" max="9783" width="5.625" style="2" customWidth="1"/>
    <col min="9784" max="9784" width="4.625" style="2" customWidth="1"/>
    <col min="9785" max="9785" width="5.625" style="2" customWidth="1"/>
    <col min="9786" max="9789" width="4.625" style="2" customWidth="1"/>
    <col min="9790" max="9790" width="7.625" style="2" customWidth="1"/>
    <col min="9791" max="9791" width="8.625" style="2" customWidth="1"/>
    <col min="9792" max="9793" width="5.625" style="2" customWidth="1"/>
    <col min="9794" max="9794" width="6.625" style="2" customWidth="1"/>
    <col min="9795" max="9795" width="9.875" style="2" customWidth="1"/>
    <col min="9796" max="9797" width="8.625" style="2" customWidth="1"/>
    <col min="9798" max="9798" width="5.5" style="2" bestFit="1" customWidth="1"/>
    <col min="9799" max="9840" width="6.75" style="2" customWidth="1"/>
    <col min="9841" max="9841" width="9" style="2" customWidth="1"/>
    <col min="9842" max="9842" width="9.875" style="2" customWidth="1"/>
    <col min="9843" max="9843" width="2.875" style="2" customWidth="1"/>
    <col min="9844" max="9844" width="12.25" style="2" customWidth="1"/>
    <col min="9845" max="9845" width="6.375" style="2" customWidth="1"/>
    <col min="9846" max="9847" width="3.125" style="2" customWidth="1"/>
    <col min="9848" max="9848" width="1.125" style="2" customWidth="1"/>
    <col min="9849" max="9849" width="9" style="2" customWidth="1"/>
    <col min="9850" max="9850" width="2.375" style="2" customWidth="1"/>
    <col min="9851" max="9868" width="7.625" style="2" customWidth="1"/>
    <col min="9869" max="10031" width="9" style="2" customWidth="1"/>
    <col min="10032" max="10033" width="3.125" style="2" customWidth="1"/>
    <col min="10034" max="10034" width="5.875" style="2" bestFit="1" customWidth="1"/>
    <col min="10035" max="10035" width="5.625" style="2" customWidth="1"/>
    <col min="10036" max="10036" width="10.625" style="2" customWidth="1"/>
    <col min="10037" max="10037" width="12.625" style="2" customWidth="1"/>
    <col min="10038" max="10038" width="8.625" style="2" customWidth="1"/>
    <col min="10039" max="10039" width="5.625" style="2" customWidth="1"/>
    <col min="10040" max="10040" width="4.625" style="2" customWidth="1"/>
    <col min="10041" max="10041" width="5.625" style="2" customWidth="1"/>
    <col min="10042" max="10045" width="4.625" style="2" customWidth="1"/>
    <col min="10046" max="10046" width="7.625" style="2" customWidth="1"/>
    <col min="10047" max="10047" width="8.625" style="2" customWidth="1"/>
    <col min="10048" max="10049" width="5.625" style="2" customWidth="1"/>
    <col min="10050" max="10050" width="6.625" style="2" customWidth="1"/>
    <col min="10051" max="10051" width="9.875" style="2" customWidth="1"/>
    <col min="10052" max="10053" width="8.625" style="2" customWidth="1"/>
    <col min="10054" max="10054" width="5.5" style="2" bestFit="1" customWidth="1"/>
    <col min="10055" max="10096" width="6.75" style="2" customWidth="1"/>
    <col min="10097" max="10097" width="9" style="2" customWidth="1"/>
    <col min="10098" max="10098" width="9.875" style="2" customWidth="1"/>
    <col min="10099" max="10099" width="2.875" style="2" customWidth="1"/>
    <col min="10100" max="10100" width="12.25" style="2" customWidth="1"/>
    <col min="10101" max="10101" width="6.375" style="2" customWidth="1"/>
    <col min="10102" max="10103" width="3.125" style="2" customWidth="1"/>
    <col min="10104" max="10104" width="1.125" style="2" customWidth="1"/>
    <col min="10105" max="10105" width="9" style="2" customWidth="1"/>
    <col min="10106" max="10106" width="2.375" style="2" customWidth="1"/>
    <col min="10107" max="10124" width="7.625" style="2" customWidth="1"/>
    <col min="10125" max="10287" width="9" style="2" customWidth="1"/>
    <col min="10288" max="10289" width="3.125" style="2" customWidth="1"/>
    <col min="10290" max="10290" width="5.875" style="2" bestFit="1" customWidth="1"/>
    <col min="10291" max="10291" width="5.625" style="2" customWidth="1"/>
    <col min="10292" max="10292" width="10.625" style="2" customWidth="1"/>
    <col min="10293" max="10293" width="12.625" style="2" customWidth="1"/>
    <col min="10294" max="10294" width="8.625" style="2" customWidth="1"/>
    <col min="10295" max="10295" width="5.625" style="2" customWidth="1"/>
    <col min="10296" max="10296" width="4.625" style="2" customWidth="1"/>
    <col min="10297" max="10297" width="5.625" style="2" customWidth="1"/>
    <col min="10298" max="10301" width="4.625" style="2" customWidth="1"/>
    <col min="10302" max="10302" width="7.625" style="2" customWidth="1"/>
    <col min="10303" max="10303" width="8.625" style="2" customWidth="1"/>
    <col min="10304" max="10305" width="5.625" style="2" customWidth="1"/>
    <col min="10306" max="10306" width="6.625" style="2" customWidth="1"/>
    <col min="10307" max="10307" width="9.875" style="2" customWidth="1"/>
    <col min="10308" max="10309" width="8.625" style="2" customWidth="1"/>
    <col min="10310" max="10310" width="5.5" style="2" bestFit="1" customWidth="1"/>
    <col min="10311" max="10352" width="6.75" style="2" customWidth="1"/>
    <col min="10353" max="10353" width="9" style="2" customWidth="1"/>
    <col min="10354" max="10354" width="9.875" style="2" customWidth="1"/>
    <col min="10355" max="10355" width="2.875" style="2" customWidth="1"/>
    <col min="10356" max="10356" width="12.25" style="2" customWidth="1"/>
    <col min="10357" max="10357" width="6.375" style="2" customWidth="1"/>
    <col min="10358" max="10359" width="3.125" style="2" customWidth="1"/>
    <col min="10360" max="10360" width="1.125" style="2" customWidth="1"/>
    <col min="10361" max="10361" width="9" style="2" customWidth="1"/>
    <col min="10362" max="10362" width="2.375" style="2" customWidth="1"/>
    <col min="10363" max="10380" width="7.625" style="2" customWidth="1"/>
    <col min="10381" max="10543" width="9" style="2" customWidth="1"/>
    <col min="10544" max="10545" width="3.125" style="2" customWidth="1"/>
    <col min="10546" max="10546" width="5.875" style="2" bestFit="1" customWidth="1"/>
    <col min="10547" max="10547" width="5.625" style="2" customWidth="1"/>
    <col min="10548" max="10548" width="10.625" style="2" customWidth="1"/>
    <col min="10549" max="10549" width="12.625" style="2" customWidth="1"/>
    <col min="10550" max="10550" width="8.625" style="2" customWidth="1"/>
    <col min="10551" max="10551" width="5.625" style="2" customWidth="1"/>
    <col min="10552" max="10552" width="4.625" style="2" customWidth="1"/>
    <col min="10553" max="10553" width="5.625" style="2" customWidth="1"/>
    <col min="10554" max="10557" width="4.625" style="2" customWidth="1"/>
    <col min="10558" max="10558" width="7.625" style="2" customWidth="1"/>
    <col min="10559" max="10559" width="8.625" style="2" customWidth="1"/>
    <col min="10560" max="10561" width="5.625" style="2" customWidth="1"/>
    <col min="10562" max="10562" width="6.625" style="2" customWidth="1"/>
    <col min="10563" max="10563" width="9.875" style="2" customWidth="1"/>
    <col min="10564" max="10565" width="8.625" style="2" customWidth="1"/>
    <col min="10566" max="10566" width="5.5" style="2" bestFit="1" customWidth="1"/>
    <col min="10567" max="10608" width="6.75" style="2" customWidth="1"/>
    <col min="10609" max="10609" width="9" style="2" customWidth="1"/>
    <col min="10610" max="10610" width="9.875" style="2" customWidth="1"/>
    <col min="10611" max="10611" width="2.875" style="2" customWidth="1"/>
    <col min="10612" max="10612" width="12.25" style="2" customWidth="1"/>
    <col min="10613" max="10613" width="6.375" style="2" customWidth="1"/>
    <col min="10614" max="10615" width="3.125" style="2" customWidth="1"/>
    <col min="10616" max="10616" width="1.125" style="2" customWidth="1"/>
    <col min="10617" max="10617" width="9" style="2" customWidth="1"/>
    <col min="10618" max="10618" width="2.375" style="2" customWidth="1"/>
    <col min="10619" max="10636" width="7.625" style="2" customWidth="1"/>
    <col min="10637" max="10799" width="9" style="2" customWidth="1"/>
    <col min="10800" max="10801" width="3.125" style="2" customWidth="1"/>
    <col min="10802" max="10802" width="5.875" style="2" bestFit="1" customWidth="1"/>
    <col min="10803" max="10803" width="5.625" style="2" customWidth="1"/>
    <col min="10804" max="10804" width="10.625" style="2" customWidth="1"/>
    <col min="10805" max="10805" width="12.625" style="2" customWidth="1"/>
    <col min="10806" max="10806" width="8.625" style="2" customWidth="1"/>
    <col min="10807" max="10807" width="5.625" style="2" customWidth="1"/>
    <col min="10808" max="10808" width="4.625" style="2" customWidth="1"/>
    <col min="10809" max="10809" width="5.625" style="2" customWidth="1"/>
    <col min="10810" max="10813" width="4.625" style="2" customWidth="1"/>
    <col min="10814" max="10814" width="7.625" style="2" customWidth="1"/>
    <col min="10815" max="10815" width="8.625" style="2" customWidth="1"/>
    <col min="10816" max="10817" width="5.625" style="2" customWidth="1"/>
    <col min="10818" max="10818" width="6.625" style="2" customWidth="1"/>
    <col min="10819" max="10819" width="9.875" style="2" customWidth="1"/>
    <col min="10820" max="10821" width="8.625" style="2" customWidth="1"/>
    <col min="10822" max="10822" width="5.5" style="2" bestFit="1" customWidth="1"/>
    <col min="10823" max="10864" width="6.75" style="2" customWidth="1"/>
    <col min="10865" max="10865" width="9" style="2" customWidth="1"/>
    <col min="10866" max="10866" width="9.875" style="2" customWidth="1"/>
    <col min="10867" max="10867" width="2.875" style="2" customWidth="1"/>
    <col min="10868" max="10868" width="12.25" style="2" customWidth="1"/>
    <col min="10869" max="10869" width="6.375" style="2" customWidth="1"/>
    <col min="10870" max="10871" width="3.125" style="2" customWidth="1"/>
    <col min="10872" max="10872" width="1.125" style="2" customWidth="1"/>
    <col min="10873" max="10873" width="9" style="2" customWidth="1"/>
    <col min="10874" max="10874" width="2.375" style="2" customWidth="1"/>
    <col min="10875" max="10892" width="7.625" style="2" customWidth="1"/>
    <col min="10893" max="11055" width="9" style="2" customWidth="1"/>
    <col min="11056" max="11057" width="3.125" style="2" customWidth="1"/>
    <col min="11058" max="11058" width="5.875" style="2" bestFit="1" customWidth="1"/>
    <col min="11059" max="11059" width="5.625" style="2" customWidth="1"/>
    <col min="11060" max="11060" width="10.625" style="2" customWidth="1"/>
    <col min="11061" max="11061" width="12.625" style="2" customWidth="1"/>
    <col min="11062" max="11062" width="8.625" style="2" customWidth="1"/>
    <col min="11063" max="11063" width="5.625" style="2" customWidth="1"/>
    <col min="11064" max="11064" width="4.625" style="2" customWidth="1"/>
    <col min="11065" max="11065" width="5.625" style="2" customWidth="1"/>
    <col min="11066" max="11069" width="4.625" style="2" customWidth="1"/>
    <col min="11070" max="11070" width="7.625" style="2" customWidth="1"/>
    <col min="11071" max="11071" width="8.625" style="2" customWidth="1"/>
    <col min="11072" max="11073" width="5.625" style="2" customWidth="1"/>
    <col min="11074" max="11074" width="6.625" style="2" customWidth="1"/>
    <col min="11075" max="11075" width="9.875" style="2" customWidth="1"/>
    <col min="11076" max="11077" width="8.625" style="2" customWidth="1"/>
    <col min="11078" max="11078" width="5.5" style="2" bestFit="1" customWidth="1"/>
    <col min="11079" max="11120" width="6.75" style="2" customWidth="1"/>
    <col min="11121" max="11121" width="9" style="2" customWidth="1"/>
    <col min="11122" max="11122" width="9.875" style="2" customWidth="1"/>
    <col min="11123" max="11123" width="2.875" style="2" customWidth="1"/>
    <col min="11124" max="11124" width="12.25" style="2" customWidth="1"/>
    <col min="11125" max="11125" width="6.375" style="2" customWidth="1"/>
    <col min="11126" max="11127" width="3.125" style="2" customWidth="1"/>
    <col min="11128" max="11128" width="1.125" style="2" customWidth="1"/>
    <col min="11129" max="11129" width="9" style="2" customWidth="1"/>
    <col min="11130" max="11130" width="2.375" style="2" customWidth="1"/>
    <col min="11131" max="11148" width="7.625" style="2" customWidth="1"/>
    <col min="11149" max="11311" width="9" style="2" customWidth="1"/>
    <col min="11312" max="11313" width="3.125" style="2" customWidth="1"/>
    <col min="11314" max="11314" width="5.875" style="2" bestFit="1" customWidth="1"/>
    <col min="11315" max="11315" width="5.625" style="2" customWidth="1"/>
    <col min="11316" max="11316" width="10.625" style="2" customWidth="1"/>
    <col min="11317" max="11317" width="12.625" style="2" customWidth="1"/>
    <col min="11318" max="11318" width="8.625" style="2" customWidth="1"/>
    <col min="11319" max="11319" width="5.625" style="2" customWidth="1"/>
    <col min="11320" max="11320" width="4.625" style="2" customWidth="1"/>
    <col min="11321" max="11321" width="5.625" style="2" customWidth="1"/>
    <col min="11322" max="11325" width="4.625" style="2" customWidth="1"/>
    <col min="11326" max="11326" width="7.625" style="2" customWidth="1"/>
    <col min="11327" max="11327" width="8.625" style="2" customWidth="1"/>
    <col min="11328" max="11329" width="5.625" style="2" customWidth="1"/>
    <col min="11330" max="11330" width="6.625" style="2" customWidth="1"/>
    <col min="11331" max="11331" width="9.875" style="2" customWidth="1"/>
    <col min="11332" max="11333" width="8.625" style="2" customWidth="1"/>
    <col min="11334" max="11334" width="5.5" style="2" bestFit="1" customWidth="1"/>
    <col min="11335" max="11376" width="6.75" style="2" customWidth="1"/>
    <col min="11377" max="11377" width="9" style="2" customWidth="1"/>
    <col min="11378" max="11378" width="9.875" style="2" customWidth="1"/>
    <col min="11379" max="11379" width="2.875" style="2" customWidth="1"/>
    <col min="11380" max="11380" width="12.25" style="2" customWidth="1"/>
    <col min="11381" max="11381" width="6.375" style="2" customWidth="1"/>
    <col min="11382" max="11383" width="3.125" style="2" customWidth="1"/>
    <col min="11384" max="11384" width="1.125" style="2" customWidth="1"/>
    <col min="11385" max="11385" width="9" style="2" customWidth="1"/>
    <col min="11386" max="11386" width="2.375" style="2" customWidth="1"/>
    <col min="11387" max="11404" width="7.625" style="2" customWidth="1"/>
    <col min="11405" max="11567" width="9" style="2" customWidth="1"/>
    <col min="11568" max="11569" width="3.125" style="2" customWidth="1"/>
    <col min="11570" max="11570" width="5.875" style="2" bestFit="1" customWidth="1"/>
    <col min="11571" max="11571" width="5.625" style="2" customWidth="1"/>
    <col min="11572" max="11572" width="10.625" style="2" customWidth="1"/>
    <col min="11573" max="11573" width="12.625" style="2" customWidth="1"/>
    <col min="11574" max="11574" width="8.625" style="2" customWidth="1"/>
    <col min="11575" max="11575" width="5.625" style="2" customWidth="1"/>
    <col min="11576" max="11576" width="4.625" style="2" customWidth="1"/>
    <col min="11577" max="11577" width="5.625" style="2" customWidth="1"/>
    <col min="11578" max="11581" width="4.625" style="2" customWidth="1"/>
    <col min="11582" max="11582" width="7.625" style="2" customWidth="1"/>
    <col min="11583" max="11583" width="8.625" style="2" customWidth="1"/>
    <col min="11584" max="11585" width="5.625" style="2" customWidth="1"/>
    <col min="11586" max="11586" width="6.625" style="2" customWidth="1"/>
    <col min="11587" max="11587" width="9.875" style="2" customWidth="1"/>
    <col min="11588" max="11589" width="8.625" style="2" customWidth="1"/>
    <col min="11590" max="11590" width="5.5" style="2" bestFit="1" customWidth="1"/>
    <col min="11591" max="11632" width="6.75" style="2" customWidth="1"/>
    <col min="11633" max="11633" width="9" style="2" customWidth="1"/>
    <col min="11634" max="11634" width="9.875" style="2" customWidth="1"/>
    <col min="11635" max="11635" width="2.875" style="2" customWidth="1"/>
    <col min="11636" max="11636" width="12.25" style="2" customWidth="1"/>
    <col min="11637" max="11637" width="6.375" style="2" customWidth="1"/>
    <col min="11638" max="11639" width="3.125" style="2" customWidth="1"/>
    <col min="11640" max="11640" width="1.125" style="2" customWidth="1"/>
    <col min="11641" max="11641" width="9" style="2" customWidth="1"/>
    <col min="11642" max="11642" width="2.375" style="2" customWidth="1"/>
    <col min="11643" max="11660" width="7.625" style="2" customWidth="1"/>
    <col min="11661" max="11823" width="9" style="2" customWidth="1"/>
    <col min="11824" max="11825" width="3.125" style="2" customWidth="1"/>
    <col min="11826" max="11826" width="5.875" style="2" bestFit="1" customWidth="1"/>
    <col min="11827" max="11827" width="5.625" style="2" customWidth="1"/>
    <col min="11828" max="11828" width="10.625" style="2" customWidth="1"/>
    <col min="11829" max="11829" width="12.625" style="2" customWidth="1"/>
    <col min="11830" max="11830" width="8.625" style="2" customWidth="1"/>
    <col min="11831" max="11831" width="5.625" style="2" customWidth="1"/>
    <col min="11832" max="11832" width="4.625" style="2" customWidth="1"/>
    <col min="11833" max="11833" width="5.625" style="2" customWidth="1"/>
    <col min="11834" max="11837" width="4.625" style="2" customWidth="1"/>
    <col min="11838" max="11838" width="7.625" style="2" customWidth="1"/>
    <col min="11839" max="11839" width="8.625" style="2" customWidth="1"/>
    <col min="11840" max="11841" width="5.625" style="2" customWidth="1"/>
    <col min="11842" max="11842" width="6.625" style="2" customWidth="1"/>
    <col min="11843" max="11843" width="9.875" style="2" customWidth="1"/>
    <col min="11844" max="11845" width="8.625" style="2" customWidth="1"/>
    <col min="11846" max="11846" width="5.5" style="2" bestFit="1" customWidth="1"/>
    <col min="11847" max="11888" width="6.75" style="2" customWidth="1"/>
    <col min="11889" max="11889" width="9" style="2" customWidth="1"/>
    <col min="11890" max="11890" width="9.875" style="2" customWidth="1"/>
    <col min="11891" max="11891" width="2.875" style="2" customWidth="1"/>
    <col min="11892" max="11892" width="12.25" style="2" customWidth="1"/>
    <col min="11893" max="11893" width="6.375" style="2" customWidth="1"/>
    <col min="11894" max="11895" width="3.125" style="2" customWidth="1"/>
    <col min="11896" max="11896" width="1.125" style="2" customWidth="1"/>
    <col min="11897" max="11897" width="9" style="2" customWidth="1"/>
    <col min="11898" max="11898" width="2.375" style="2" customWidth="1"/>
    <col min="11899" max="11916" width="7.625" style="2" customWidth="1"/>
    <col min="11917" max="12079" width="9" style="2" customWidth="1"/>
    <col min="12080" max="12081" width="3.125" style="2" customWidth="1"/>
    <col min="12082" max="12082" width="5.875" style="2" bestFit="1" customWidth="1"/>
    <col min="12083" max="12083" width="5.625" style="2" customWidth="1"/>
    <col min="12084" max="12084" width="10.625" style="2" customWidth="1"/>
    <col min="12085" max="12085" width="12.625" style="2" customWidth="1"/>
    <col min="12086" max="12086" width="8.625" style="2" customWidth="1"/>
    <col min="12087" max="12087" width="5.625" style="2" customWidth="1"/>
    <col min="12088" max="12088" width="4.625" style="2" customWidth="1"/>
    <col min="12089" max="12089" width="5.625" style="2" customWidth="1"/>
    <col min="12090" max="12093" width="4.625" style="2" customWidth="1"/>
    <col min="12094" max="12094" width="7.625" style="2" customWidth="1"/>
    <col min="12095" max="12095" width="8.625" style="2" customWidth="1"/>
    <col min="12096" max="12097" width="5.625" style="2" customWidth="1"/>
    <col min="12098" max="12098" width="6.625" style="2" customWidth="1"/>
    <col min="12099" max="12099" width="9.875" style="2" customWidth="1"/>
    <col min="12100" max="12101" width="8.625" style="2" customWidth="1"/>
    <col min="12102" max="12102" width="5.5" style="2" bestFit="1" customWidth="1"/>
    <col min="12103" max="12144" width="6.75" style="2" customWidth="1"/>
    <col min="12145" max="12145" width="9" style="2" customWidth="1"/>
    <col min="12146" max="12146" width="9.875" style="2" customWidth="1"/>
    <col min="12147" max="12147" width="2.875" style="2" customWidth="1"/>
    <col min="12148" max="12148" width="12.25" style="2" customWidth="1"/>
    <col min="12149" max="12149" width="6.375" style="2" customWidth="1"/>
    <col min="12150" max="12151" width="3.125" style="2" customWidth="1"/>
    <col min="12152" max="12152" width="1.125" style="2" customWidth="1"/>
    <col min="12153" max="12153" width="9" style="2" customWidth="1"/>
    <col min="12154" max="12154" width="2.375" style="2" customWidth="1"/>
    <col min="12155" max="12172" width="7.625" style="2" customWidth="1"/>
    <col min="12173" max="12335" width="9" style="2" customWidth="1"/>
    <col min="12336" max="12337" width="3.125" style="2" customWidth="1"/>
    <col min="12338" max="12338" width="5.875" style="2" bestFit="1" customWidth="1"/>
    <col min="12339" max="12339" width="5.625" style="2" customWidth="1"/>
    <col min="12340" max="12340" width="10.625" style="2" customWidth="1"/>
    <col min="12341" max="12341" width="12.625" style="2" customWidth="1"/>
    <col min="12342" max="12342" width="8.625" style="2" customWidth="1"/>
    <col min="12343" max="12343" width="5.625" style="2" customWidth="1"/>
    <col min="12344" max="12344" width="4.625" style="2" customWidth="1"/>
    <col min="12345" max="12345" width="5.625" style="2" customWidth="1"/>
    <col min="12346" max="12349" width="4.625" style="2" customWidth="1"/>
    <col min="12350" max="12350" width="7.625" style="2" customWidth="1"/>
    <col min="12351" max="12351" width="8.625" style="2" customWidth="1"/>
    <col min="12352" max="12353" width="5.625" style="2" customWidth="1"/>
    <col min="12354" max="12354" width="6.625" style="2" customWidth="1"/>
    <col min="12355" max="12355" width="9.875" style="2" customWidth="1"/>
    <col min="12356" max="12357" width="8.625" style="2" customWidth="1"/>
    <col min="12358" max="12358" width="5.5" style="2" bestFit="1" customWidth="1"/>
    <col min="12359" max="12400" width="6.75" style="2" customWidth="1"/>
    <col min="12401" max="12401" width="9" style="2" customWidth="1"/>
    <col min="12402" max="12402" width="9.875" style="2" customWidth="1"/>
    <col min="12403" max="12403" width="2.875" style="2" customWidth="1"/>
    <col min="12404" max="12404" width="12.25" style="2" customWidth="1"/>
    <col min="12405" max="12405" width="6.375" style="2" customWidth="1"/>
    <col min="12406" max="12407" width="3.125" style="2" customWidth="1"/>
    <col min="12408" max="12408" width="1.125" style="2" customWidth="1"/>
    <col min="12409" max="12409" width="9" style="2" customWidth="1"/>
    <col min="12410" max="12410" width="2.375" style="2" customWidth="1"/>
    <col min="12411" max="12428" width="7.625" style="2" customWidth="1"/>
    <col min="12429" max="12591" width="9" style="2" customWidth="1"/>
    <col min="12592" max="12593" width="3.125" style="2" customWidth="1"/>
    <col min="12594" max="12594" width="5.875" style="2" bestFit="1" customWidth="1"/>
    <col min="12595" max="12595" width="5.625" style="2" customWidth="1"/>
    <col min="12596" max="12596" width="10.625" style="2" customWidth="1"/>
    <col min="12597" max="12597" width="12.625" style="2" customWidth="1"/>
    <col min="12598" max="12598" width="8.625" style="2" customWidth="1"/>
    <col min="12599" max="12599" width="5.625" style="2" customWidth="1"/>
    <col min="12600" max="12600" width="4.625" style="2" customWidth="1"/>
    <col min="12601" max="12601" width="5.625" style="2" customWidth="1"/>
    <col min="12602" max="12605" width="4.625" style="2" customWidth="1"/>
    <col min="12606" max="12606" width="7.625" style="2" customWidth="1"/>
    <col min="12607" max="12607" width="8.625" style="2" customWidth="1"/>
    <col min="12608" max="12609" width="5.625" style="2" customWidth="1"/>
    <col min="12610" max="12610" width="6.625" style="2" customWidth="1"/>
    <col min="12611" max="12611" width="9.875" style="2" customWidth="1"/>
    <col min="12612" max="12613" width="8.625" style="2" customWidth="1"/>
    <col min="12614" max="12614" width="5.5" style="2" bestFit="1" customWidth="1"/>
    <col min="12615" max="12656" width="6.75" style="2" customWidth="1"/>
    <col min="12657" max="12657" width="9" style="2" customWidth="1"/>
    <col min="12658" max="12658" width="9.875" style="2" customWidth="1"/>
    <col min="12659" max="12659" width="2.875" style="2" customWidth="1"/>
    <col min="12660" max="12660" width="12.25" style="2" customWidth="1"/>
    <col min="12661" max="12661" width="6.375" style="2" customWidth="1"/>
    <col min="12662" max="12663" width="3.125" style="2" customWidth="1"/>
    <col min="12664" max="12664" width="1.125" style="2" customWidth="1"/>
    <col min="12665" max="12665" width="9" style="2" customWidth="1"/>
    <col min="12666" max="12666" width="2.375" style="2" customWidth="1"/>
    <col min="12667" max="12684" width="7.625" style="2" customWidth="1"/>
    <col min="12685" max="12847" width="9" style="2" customWidth="1"/>
    <col min="12848" max="12849" width="3.125" style="2" customWidth="1"/>
    <col min="12850" max="12850" width="5.875" style="2" bestFit="1" customWidth="1"/>
    <col min="12851" max="12851" width="5.625" style="2" customWidth="1"/>
    <col min="12852" max="12852" width="10.625" style="2" customWidth="1"/>
    <col min="12853" max="12853" width="12.625" style="2" customWidth="1"/>
    <col min="12854" max="12854" width="8.625" style="2" customWidth="1"/>
    <col min="12855" max="12855" width="5.625" style="2" customWidth="1"/>
    <col min="12856" max="12856" width="4.625" style="2" customWidth="1"/>
    <col min="12857" max="12857" width="5.625" style="2" customWidth="1"/>
    <col min="12858" max="12861" width="4.625" style="2" customWidth="1"/>
    <col min="12862" max="12862" width="7.625" style="2" customWidth="1"/>
    <col min="12863" max="12863" width="8.625" style="2" customWidth="1"/>
    <col min="12864" max="12865" width="5.625" style="2" customWidth="1"/>
    <col min="12866" max="12866" width="6.625" style="2" customWidth="1"/>
    <col min="12867" max="12867" width="9.875" style="2" customWidth="1"/>
    <col min="12868" max="12869" width="8.625" style="2" customWidth="1"/>
    <col min="12870" max="12870" width="5.5" style="2" bestFit="1" customWidth="1"/>
    <col min="12871" max="12912" width="6.75" style="2" customWidth="1"/>
    <col min="12913" max="12913" width="9" style="2" customWidth="1"/>
    <col min="12914" max="12914" width="9.875" style="2" customWidth="1"/>
    <col min="12915" max="12915" width="2.875" style="2" customWidth="1"/>
    <col min="12916" max="12916" width="12.25" style="2" customWidth="1"/>
    <col min="12917" max="12917" width="6.375" style="2" customWidth="1"/>
    <col min="12918" max="12919" width="3.125" style="2" customWidth="1"/>
    <col min="12920" max="12920" width="1.125" style="2" customWidth="1"/>
    <col min="12921" max="12921" width="9" style="2" customWidth="1"/>
    <col min="12922" max="12922" width="2.375" style="2" customWidth="1"/>
    <col min="12923" max="12940" width="7.625" style="2" customWidth="1"/>
    <col min="12941" max="13103" width="9" style="2" customWidth="1"/>
    <col min="13104" max="13105" width="3.125" style="2" customWidth="1"/>
    <col min="13106" max="13106" width="5.875" style="2" bestFit="1" customWidth="1"/>
    <col min="13107" max="13107" width="5.625" style="2" customWidth="1"/>
    <col min="13108" max="13108" width="10.625" style="2" customWidth="1"/>
    <col min="13109" max="13109" width="12.625" style="2" customWidth="1"/>
    <col min="13110" max="13110" width="8.625" style="2" customWidth="1"/>
    <col min="13111" max="13111" width="5.625" style="2" customWidth="1"/>
    <col min="13112" max="13112" width="4.625" style="2" customWidth="1"/>
    <col min="13113" max="13113" width="5.625" style="2" customWidth="1"/>
    <col min="13114" max="13117" width="4.625" style="2" customWidth="1"/>
    <col min="13118" max="13118" width="7.625" style="2" customWidth="1"/>
    <col min="13119" max="13119" width="8.625" style="2" customWidth="1"/>
    <col min="13120" max="13121" width="5.625" style="2" customWidth="1"/>
    <col min="13122" max="13122" width="6.625" style="2" customWidth="1"/>
    <col min="13123" max="13123" width="9.875" style="2" customWidth="1"/>
    <col min="13124" max="13125" width="8.625" style="2" customWidth="1"/>
    <col min="13126" max="13126" width="5.5" style="2" bestFit="1" customWidth="1"/>
    <col min="13127" max="13168" width="6.75" style="2" customWidth="1"/>
    <col min="13169" max="13169" width="9" style="2" customWidth="1"/>
    <col min="13170" max="13170" width="9.875" style="2" customWidth="1"/>
    <col min="13171" max="13171" width="2.875" style="2" customWidth="1"/>
    <col min="13172" max="13172" width="12.25" style="2" customWidth="1"/>
    <col min="13173" max="13173" width="6.375" style="2" customWidth="1"/>
    <col min="13174" max="13175" width="3.125" style="2" customWidth="1"/>
    <col min="13176" max="13176" width="1.125" style="2" customWidth="1"/>
    <col min="13177" max="13177" width="9" style="2" customWidth="1"/>
    <col min="13178" max="13178" width="2.375" style="2" customWidth="1"/>
    <col min="13179" max="13196" width="7.625" style="2" customWidth="1"/>
    <col min="13197" max="13359" width="9" style="2" customWidth="1"/>
    <col min="13360" max="13361" width="3.125" style="2" customWidth="1"/>
    <col min="13362" max="13362" width="5.875" style="2" bestFit="1" customWidth="1"/>
    <col min="13363" max="13363" width="5.625" style="2" customWidth="1"/>
    <col min="13364" max="13364" width="10.625" style="2" customWidth="1"/>
    <col min="13365" max="13365" width="12.625" style="2" customWidth="1"/>
    <col min="13366" max="13366" width="8.625" style="2" customWidth="1"/>
    <col min="13367" max="13367" width="5.625" style="2" customWidth="1"/>
    <col min="13368" max="13368" width="4.625" style="2" customWidth="1"/>
    <col min="13369" max="13369" width="5.625" style="2" customWidth="1"/>
    <col min="13370" max="13373" width="4.625" style="2" customWidth="1"/>
    <col min="13374" max="13374" width="7.625" style="2" customWidth="1"/>
    <col min="13375" max="13375" width="8.625" style="2" customWidth="1"/>
    <col min="13376" max="13377" width="5.625" style="2" customWidth="1"/>
    <col min="13378" max="13378" width="6.625" style="2" customWidth="1"/>
    <col min="13379" max="13379" width="9.875" style="2" customWidth="1"/>
    <col min="13380" max="13381" width="8.625" style="2" customWidth="1"/>
    <col min="13382" max="13382" width="5.5" style="2" bestFit="1" customWidth="1"/>
    <col min="13383" max="13424" width="6.75" style="2" customWidth="1"/>
    <col min="13425" max="13425" width="9" style="2" customWidth="1"/>
    <col min="13426" max="13426" width="9.875" style="2" customWidth="1"/>
    <col min="13427" max="13427" width="2.875" style="2" customWidth="1"/>
    <col min="13428" max="13428" width="12.25" style="2" customWidth="1"/>
    <col min="13429" max="13429" width="6.375" style="2" customWidth="1"/>
    <col min="13430" max="13431" width="3.125" style="2" customWidth="1"/>
    <col min="13432" max="13432" width="1.125" style="2" customWidth="1"/>
    <col min="13433" max="13433" width="9" style="2" customWidth="1"/>
    <col min="13434" max="13434" width="2.375" style="2" customWidth="1"/>
    <col min="13435" max="13452" width="7.625" style="2" customWidth="1"/>
    <col min="13453" max="13615" width="9" style="2" customWidth="1"/>
    <col min="13616" max="13617" width="3.125" style="2" customWidth="1"/>
    <col min="13618" max="13618" width="5.875" style="2" bestFit="1" customWidth="1"/>
    <col min="13619" max="13619" width="5.625" style="2" customWidth="1"/>
    <col min="13620" max="13620" width="10.625" style="2" customWidth="1"/>
    <col min="13621" max="13621" width="12.625" style="2" customWidth="1"/>
    <col min="13622" max="13622" width="8.625" style="2" customWidth="1"/>
    <col min="13623" max="13623" width="5.625" style="2" customWidth="1"/>
    <col min="13624" max="13624" width="4.625" style="2" customWidth="1"/>
    <col min="13625" max="13625" width="5.625" style="2" customWidth="1"/>
    <col min="13626" max="13629" width="4.625" style="2" customWidth="1"/>
    <col min="13630" max="13630" width="7.625" style="2" customWidth="1"/>
    <col min="13631" max="13631" width="8.625" style="2" customWidth="1"/>
    <col min="13632" max="13633" width="5.625" style="2" customWidth="1"/>
    <col min="13634" max="13634" width="6.625" style="2" customWidth="1"/>
    <col min="13635" max="13635" width="9.875" style="2" customWidth="1"/>
    <col min="13636" max="13637" width="8.625" style="2" customWidth="1"/>
    <col min="13638" max="13638" width="5.5" style="2" bestFit="1" customWidth="1"/>
    <col min="13639" max="13680" width="6.75" style="2" customWidth="1"/>
    <col min="13681" max="13681" width="9" style="2" customWidth="1"/>
    <col min="13682" max="13682" width="9.875" style="2" customWidth="1"/>
    <col min="13683" max="13683" width="2.875" style="2" customWidth="1"/>
    <col min="13684" max="13684" width="12.25" style="2" customWidth="1"/>
    <col min="13685" max="13685" width="6.375" style="2" customWidth="1"/>
    <col min="13686" max="13687" width="3.125" style="2" customWidth="1"/>
    <col min="13688" max="13688" width="1.125" style="2" customWidth="1"/>
    <col min="13689" max="13689" width="9" style="2" customWidth="1"/>
    <col min="13690" max="13690" width="2.375" style="2" customWidth="1"/>
    <col min="13691" max="13708" width="7.625" style="2" customWidth="1"/>
    <col min="13709" max="13871" width="9" style="2" customWidth="1"/>
    <col min="13872" max="13873" width="3.125" style="2" customWidth="1"/>
    <col min="13874" max="13874" width="5.875" style="2" bestFit="1" customWidth="1"/>
    <col min="13875" max="13875" width="5.625" style="2" customWidth="1"/>
    <col min="13876" max="13876" width="10.625" style="2" customWidth="1"/>
    <col min="13877" max="13877" width="12.625" style="2" customWidth="1"/>
    <col min="13878" max="13878" width="8.625" style="2" customWidth="1"/>
    <col min="13879" max="13879" width="5.625" style="2" customWidth="1"/>
    <col min="13880" max="13880" width="4.625" style="2" customWidth="1"/>
    <col min="13881" max="13881" width="5.625" style="2" customWidth="1"/>
    <col min="13882" max="13885" width="4.625" style="2" customWidth="1"/>
    <col min="13886" max="13886" width="7.625" style="2" customWidth="1"/>
    <col min="13887" max="13887" width="8.625" style="2" customWidth="1"/>
    <col min="13888" max="13889" width="5.625" style="2" customWidth="1"/>
    <col min="13890" max="13890" width="6.625" style="2" customWidth="1"/>
    <col min="13891" max="13891" width="9.875" style="2" customWidth="1"/>
    <col min="13892" max="13893" width="8.625" style="2" customWidth="1"/>
    <col min="13894" max="13894" width="5.5" style="2" bestFit="1" customWidth="1"/>
    <col min="13895" max="13936" width="6.75" style="2" customWidth="1"/>
    <col min="13937" max="13937" width="9" style="2" customWidth="1"/>
    <col min="13938" max="13938" width="9.875" style="2" customWidth="1"/>
    <col min="13939" max="13939" width="2.875" style="2" customWidth="1"/>
    <col min="13940" max="13940" width="12.25" style="2" customWidth="1"/>
    <col min="13941" max="13941" width="6.375" style="2" customWidth="1"/>
    <col min="13942" max="13943" width="3.125" style="2" customWidth="1"/>
    <col min="13944" max="13944" width="1.125" style="2" customWidth="1"/>
    <col min="13945" max="13945" width="9" style="2" customWidth="1"/>
    <col min="13946" max="13946" width="2.375" style="2" customWidth="1"/>
    <col min="13947" max="13964" width="7.625" style="2" customWidth="1"/>
    <col min="13965" max="14127" width="9" style="2" customWidth="1"/>
    <col min="14128" max="14129" width="3.125" style="2" customWidth="1"/>
    <col min="14130" max="14130" width="5.875" style="2" bestFit="1" customWidth="1"/>
    <col min="14131" max="14131" width="5.625" style="2" customWidth="1"/>
    <col min="14132" max="14132" width="10.625" style="2" customWidth="1"/>
    <col min="14133" max="14133" width="12.625" style="2" customWidth="1"/>
    <col min="14134" max="14134" width="8.625" style="2" customWidth="1"/>
    <col min="14135" max="14135" width="5.625" style="2" customWidth="1"/>
    <col min="14136" max="14136" width="4.625" style="2" customWidth="1"/>
    <col min="14137" max="14137" width="5.625" style="2" customWidth="1"/>
    <col min="14138" max="14141" width="4.625" style="2" customWidth="1"/>
    <col min="14142" max="14142" width="7.625" style="2" customWidth="1"/>
    <col min="14143" max="14143" width="8.625" style="2" customWidth="1"/>
    <col min="14144" max="14145" width="5.625" style="2" customWidth="1"/>
    <col min="14146" max="14146" width="6.625" style="2" customWidth="1"/>
    <col min="14147" max="14147" width="9.875" style="2" customWidth="1"/>
    <col min="14148" max="14149" width="8.625" style="2" customWidth="1"/>
    <col min="14150" max="14150" width="5.5" style="2" bestFit="1" customWidth="1"/>
    <col min="14151" max="14192" width="6.75" style="2" customWidth="1"/>
    <col min="14193" max="14193" width="9" style="2" customWidth="1"/>
    <col min="14194" max="14194" width="9.875" style="2" customWidth="1"/>
    <col min="14195" max="14195" width="2.875" style="2" customWidth="1"/>
    <col min="14196" max="14196" width="12.25" style="2" customWidth="1"/>
    <col min="14197" max="14197" width="6.375" style="2" customWidth="1"/>
    <col min="14198" max="14199" width="3.125" style="2" customWidth="1"/>
    <col min="14200" max="14200" width="1.125" style="2" customWidth="1"/>
    <col min="14201" max="14201" width="9" style="2" customWidth="1"/>
    <col min="14202" max="14202" width="2.375" style="2" customWidth="1"/>
    <col min="14203" max="14220" width="7.625" style="2" customWidth="1"/>
    <col min="14221" max="14383" width="9" style="2" customWidth="1"/>
    <col min="14384" max="14385" width="3.125" style="2" customWidth="1"/>
    <col min="14386" max="14386" width="5.875" style="2" bestFit="1" customWidth="1"/>
    <col min="14387" max="14387" width="5.625" style="2" customWidth="1"/>
    <col min="14388" max="14388" width="10.625" style="2" customWidth="1"/>
    <col min="14389" max="14389" width="12.625" style="2" customWidth="1"/>
    <col min="14390" max="14390" width="8.625" style="2" customWidth="1"/>
    <col min="14391" max="14391" width="5.625" style="2" customWidth="1"/>
    <col min="14392" max="14392" width="4.625" style="2" customWidth="1"/>
    <col min="14393" max="14393" width="5.625" style="2" customWidth="1"/>
    <col min="14394" max="14397" width="4.625" style="2" customWidth="1"/>
    <col min="14398" max="14398" width="7.625" style="2" customWidth="1"/>
    <col min="14399" max="14399" width="8.625" style="2" customWidth="1"/>
    <col min="14400" max="14401" width="5.625" style="2" customWidth="1"/>
    <col min="14402" max="14402" width="6.625" style="2" customWidth="1"/>
    <col min="14403" max="14403" width="9.875" style="2" customWidth="1"/>
    <col min="14404" max="14405" width="8.625" style="2" customWidth="1"/>
    <col min="14406" max="14406" width="5.5" style="2" bestFit="1" customWidth="1"/>
    <col min="14407" max="14448" width="6.75" style="2" customWidth="1"/>
    <col min="14449" max="14449" width="9" style="2" customWidth="1"/>
    <col min="14450" max="14450" width="9.875" style="2" customWidth="1"/>
    <col min="14451" max="14451" width="2.875" style="2" customWidth="1"/>
    <col min="14452" max="14452" width="12.25" style="2" customWidth="1"/>
    <col min="14453" max="14453" width="6.375" style="2" customWidth="1"/>
    <col min="14454" max="14455" width="3.125" style="2" customWidth="1"/>
    <col min="14456" max="14456" width="1.125" style="2" customWidth="1"/>
    <col min="14457" max="14457" width="9" style="2" customWidth="1"/>
    <col min="14458" max="14458" width="2.375" style="2" customWidth="1"/>
    <col min="14459" max="14476" width="7.625" style="2" customWidth="1"/>
    <col min="14477" max="14639" width="9" style="2" customWidth="1"/>
    <col min="14640" max="14641" width="3.125" style="2" customWidth="1"/>
    <col min="14642" max="14642" width="5.875" style="2" bestFit="1" customWidth="1"/>
    <col min="14643" max="14643" width="5.625" style="2" customWidth="1"/>
    <col min="14644" max="14644" width="10.625" style="2" customWidth="1"/>
    <col min="14645" max="14645" width="12.625" style="2" customWidth="1"/>
    <col min="14646" max="14646" width="8.625" style="2" customWidth="1"/>
    <col min="14647" max="14647" width="5.625" style="2" customWidth="1"/>
    <col min="14648" max="14648" width="4.625" style="2" customWidth="1"/>
    <col min="14649" max="14649" width="5.625" style="2" customWidth="1"/>
    <col min="14650" max="14653" width="4.625" style="2" customWidth="1"/>
    <col min="14654" max="14654" width="7.625" style="2" customWidth="1"/>
    <col min="14655" max="14655" width="8.625" style="2" customWidth="1"/>
    <col min="14656" max="14657" width="5.625" style="2" customWidth="1"/>
    <col min="14658" max="14658" width="6.625" style="2" customWidth="1"/>
    <col min="14659" max="14659" width="9.875" style="2" customWidth="1"/>
    <col min="14660" max="14661" width="8.625" style="2" customWidth="1"/>
    <col min="14662" max="14662" width="5.5" style="2" bestFit="1" customWidth="1"/>
    <col min="14663" max="14704" width="6.75" style="2" customWidth="1"/>
    <col min="14705" max="14705" width="9" style="2" customWidth="1"/>
    <col min="14706" max="14706" width="9.875" style="2" customWidth="1"/>
    <col min="14707" max="14707" width="2.875" style="2" customWidth="1"/>
    <col min="14708" max="14708" width="12.25" style="2" customWidth="1"/>
    <col min="14709" max="14709" width="6.375" style="2" customWidth="1"/>
    <col min="14710" max="14711" width="3.125" style="2" customWidth="1"/>
    <col min="14712" max="14712" width="1.125" style="2" customWidth="1"/>
    <col min="14713" max="14713" width="9" style="2" customWidth="1"/>
    <col min="14714" max="14714" width="2.375" style="2" customWidth="1"/>
    <col min="14715" max="14732" width="7.625" style="2" customWidth="1"/>
    <col min="14733" max="14895" width="9" style="2" customWidth="1"/>
    <col min="14896" max="14897" width="3.125" style="2" customWidth="1"/>
    <col min="14898" max="14898" width="5.875" style="2" bestFit="1" customWidth="1"/>
    <col min="14899" max="14899" width="5.625" style="2" customWidth="1"/>
    <col min="14900" max="14900" width="10.625" style="2" customWidth="1"/>
    <col min="14901" max="14901" width="12.625" style="2" customWidth="1"/>
    <col min="14902" max="14902" width="8.625" style="2" customWidth="1"/>
    <col min="14903" max="14903" width="5.625" style="2" customWidth="1"/>
    <col min="14904" max="14904" width="4.625" style="2" customWidth="1"/>
    <col min="14905" max="14905" width="5.625" style="2" customWidth="1"/>
    <col min="14906" max="14909" width="4.625" style="2" customWidth="1"/>
    <col min="14910" max="14910" width="7.625" style="2" customWidth="1"/>
    <col min="14911" max="14911" width="8.625" style="2" customWidth="1"/>
    <col min="14912" max="14913" width="5.625" style="2" customWidth="1"/>
    <col min="14914" max="14914" width="6.625" style="2" customWidth="1"/>
    <col min="14915" max="14915" width="9.875" style="2" customWidth="1"/>
    <col min="14916" max="14917" width="8.625" style="2" customWidth="1"/>
    <col min="14918" max="14918" width="5.5" style="2" bestFit="1" customWidth="1"/>
    <col min="14919" max="14960" width="6.75" style="2" customWidth="1"/>
    <col min="14961" max="14961" width="9" style="2" customWidth="1"/>
    <col min="14962" max="14962" width="9.875" style="2" customWidth="1"/>
    <col min="14963" max="14963" width="2.875" style="2" customWidth="1"/>
    <col min="14964" max="14964" width="12.25" style="2" customWidth="1"/>
    <col min="14965" max="14965" width="6.375" style="2" customWidth="1"/>
    <col min="14966" max="14967" width="3.125" style="2" customWidth="1"/>
    <col min="14968" max="14968" width="1.125" style="2" customWidth="1"/>
    <col min="14969" max="14969" width="9" style="2" customWidth="1"/>
    <col min="14970" max="14970" width="2.375" style="2" customWidth="1"/>
    <col min="14971" max="14988" width="7.625" style="2" customWidth="1"/>
    <col min="14989" max="15151" width="9" style="2" customWidth="1"/>
    <col min="15152" max="15153" width="3.125" style="2" customWidth="1"/>
    <col min="15154" max="15154" width="5.875" style="2" bestFit="1" customWidth="1"/>
    <col min="15155" max="15155" width="5.625" style="2" customWidth="1"/>
    <col min="15156" max="15156" width="10.625" style="2" customWidth="1"/>
    <col min="15157" max="15157" width="12.625" style="2" customWidth="1"/>
    <col min="15158" max="15158" width="8.625" style="2" customWidth="1"/>
    <col min="15159" max="15159" width="5.625" style="2" customWidth="1"/>
    <col min="15160" max="15160" width="4.625" style="2" customWidth="1"/>
    <col min="15161" max="15161" width="5.625" style="2" customWidth="1"/>
    <col min="15162" max="15165" width="4.625" style="2" customWidth="1"/>
    <col min="15166" max="15166" width="7.625" style="2" customWidth="1"/>
    <col min="15167" max="15167" width="8.625" style="2" customWidth="1"/>
    <col min="15168" max="15169" width="5.625" style="2" customWidth="1"/>
    <col min="15170" max="15170" width="6.625" style="2" customWidth="1"/>
    <col min="15171" max="15171" width="9.875" style="2" customWidth="1"/>
    <col min="15172" max="15173" width="8.625" style="2" customWidth="1"/>
    <col min="15174" max="15174" width="5.5" style="2" bestFit="1" customWidth="1"/>
    <col min="15175" max="15216" width="6.75" style="2" customWidth="1"/>
    <col min="15217" max="15217" width="9" style="2" customWidth="1"/>
    <col min="15218" max="15218" width="9.875" style="2" customWidth="1"/>
    <col min="15219" max="15219" width="2.875" style="2" customWidth="1"/>
    <col min="15220" max="15220" width="12.25" style="2" customWidth="1"/>
    <col min="15221" max="15221" width="6.375" style="2" customWidth="1"/>
    <col min="15222" max="15223" width="3.125" style="2" customWidth="1"/>
    <col min="15224" max="15224" width="1.125" style="2" customWidth="1"/>
    <col min="15225" max="15225" width="9" style="2" customWidth="1"/>
    <col min="15226" max="15226" width="2.375" style="2" customWidth="1"/>
    <col min="15227" max="15244" width="7.625" style="2" customWidth="1"/>
    <col min="15245" max="15407" width="9" style="2" customWidth="1"/>
    <col min="15408" max="15409" width="3.125" style="2" customWidth="1"/>
    <col min="15410" max="15410" width="5.875" style="2" bestFit="1" customWidth="1"/>
    <col min="15411" max="15411" width="5.625" style="2" customWidth="1"/>
    <col min="15412" max="15412" width="10.625" style="2" customWidth="1"/>
    <col min="15413" max="15413" width="12.625" style="2" customWidth="1"/>
    <col min="15414" max="15414" width="8.625" style="2" customWidth="1"/>
    <col min="15415" max="15415" width="5.625" style="2" customWidth="1"/>
    <col min="15416" max="15416" width="4.625" style="2" customWidth="1"/>
    <col min="15417" max="15417" width="5.625" style="2" customWidth="1"/>
    <col min="15418" max="15421" width="4.625" style="2" customWidth="1"/>
    <col min="15422" max="15422" width="7.625" style="2" customWidth="1"/>
    <col min="15423" max="15423" width="8.625" style="2" customWidth="1"/>
    <col min="15424" max="15425" width="5.625" style="2" customWidth="1"/>
    <col min="15426" max="15426" width="6.625" style="2" customWidth="1"/>
    <col min="15427" max="15427" width="9.875" style="2" customWidth="1"/>
    <col min="15428" max="15429" width="8.625" style="2" customWidth="1"/>
    <col min="15430" max="15430" width="5.5" style="2" bestFit="1" customWidth="1"/>
    <col min="15431" max="15472" width="6.75" style="2" customWidth="1"/>
    <col min="15473" max="15473" width="9" style="2" customWidth="1"/>
    <col min="15474" max="15474" width="9.875" style="2" customWidth="1"/>
    <col min="15475" max="15475" width="2.875" style="2" customWidth="1"/>
    <col min="15476" max="15476" width="12.25" style="2" customWidth="1"/>
    <col min="15477" max="15477" width="6.375" style="2" customWidth="1"/>
    <col min="15478" max="15479" width="3.125" style="2" customWidth="1"/>
    <col min="15480" max="15480" width="1.125" style="2" customWidth="1"/>
    <col min="15481" max="15481" width="9" style="2" customWidth="1"/>
    <col min="15482" max="15482" width="2.375" style="2" customWidth="1"/>
    <col min="15483" max="15500" width="7.625" style="2" customWidth="1"/>
    <col min="15501" max="15663" width="9" style="2" customWidth="1"/>
    <col min="15664" max="15665" width="3.125" style="2" customWidth="1"/>
    <col min="15666" max="15666" width="5.875" style="2" bestFit="1" customWidth="1"/>
    <col min="15667" max="15667" width="5.625" style="2" customWidth="1"/>
    <col min="15668" max="15668" width="10.625" style="2" customWidth="1"/>
    <col min="15669" max="15669" width="12.625" style="2" customWidth="1"/>
    <col min="15670" max="15670" width="8.625" style="2" customWidth="1"/>
    <col min="15671" max="15671" width="5.625" style="2" customWidth="1"/>
    <col min="15672" max="15672" width="4.625" style="2" customWidth="1"/>
    <col min="15673" max="15673" width="5.625" style="2" customWidth="1"/>
    <col min="15674" max="15677" width="4.625" style="2" customWidth="1"/>
    <col min="15678" max="15678" width="7.625" style="2" customWidth="1"/>
    <col min="15679" max="15679" width="8.625" style="2" customWidth="1"/>
    <col min="15680" max="15681" width="5.625" style="2" customWidth="1"/>
    <col min="15682" max="15682" width="6.625" style="2" customWidth="1"/>
    <col min="15683" max="15683" width="9.875" style="2" customWidth="1"/>
    <col min="15684" max="15685" width="8.625" style="2" customWidth="1"/>
    <col min="15686" max="15686" width="5.5" style="2" bestFit="1" customWidth="1"/>
    <col min="15687" max="15728" width="6.75" style="2" customWidth="1"/>
    <col min="15729" max="15729" width="9" style="2" customWidth="1"/>
    <col min="15730" max="15730" width="9.875" style="2" customWidth="1"/>
    <col min="15731" max="15731" width="2.875" style="2" customWidth="1"/>
    <col min="15732" max="15732" width="12.25" style="2" customWidth="1"/>
    <col min="15733" max="15733" width="6.375" style="2" customWidth="1"/>
    <col min="15734" max="15735" width="3.125" style="2" customWidth="1"/>
    <col min="15736" max="15736" width="1.125" style="2" customWidth="1"/>
    <col min="15737" max="15737" width="9" style="2" customWidth="1"/>
    <col min="15738" max="15738" width="2.375" style="2" customWidth="1"/>
    <col min="15739" max="15756" width="7.625" style="2" customWidth="1"/>
    <col min="15757" max="15919" width="9" style="2" customWidth="1"/>
    <col min="15920" max="15921" width="3.125" style="2" customWidth="1"/>
    <col min="15922" max="15922" width="5.875" style="2" bestFit="1" customWidth="1"/>
    <col min="15923" max="15923" width="5.625" style="2" customWidth="1"/>
    <col min="15924" max="15924" width="10.625" style="2" customWidth="1"/>
    <col min="15925" max="15925" width="12.625" style="2" customWidth="1"/>
    <col min="15926" max="15926" width="8.625" style="2" customWidth="1"/>
    <col min="15927" max="15927" width="5.625" style="2" customWidth="1"/>
    <col min="15928" max="15928" width="4.625" style="2" customWidth="1"/>
    <col min="15929" max="15929" width="5.625" style="2" customWidth="1"/>
    <col min="15930" max="15933" width="4.625" style="2" customWidth="1"/>
    <col min="15934" max="15934" width="7.625" style="2" customWidth="1"/>
    <col min="15935" max="15935" width="8.625" style="2" customWidth="1"/>
    <col min="15936" max="15937" width="5.625" style="2" customWidth="1"/>
    <col min="15938" max="15938" width="6.625" style="2" customWidth="1"/>
    <col min="15939" max="15939" width="9.875" style="2" customWidth="1"/>
    <col min="15940" max="15941" width="8.625" style="2" customWidth="1"/>
    <col min="15942" max="15942" width="5.5" style="2" bestFit="1" customWidth="1"/>
    <col min="15943" max="15984" width="6.75" style="2" customWidth="1"/>
    <col min="15985" max="15985" width="9" style="2" customWidth="1"/>
    <col min="15986" max="15986" width="9.875" style="2" customWidth="1"/>
    <col min="15987" max="15987" width="2.875" style="2" customWidth="1"/>
    <col min="15988" max="15988" width="12.25" style="2" customWidth="1"/>
    <col min="15989" max="15989" width="6.375" style="2" customWidth="1"/>
    <col min="15990" max="15991" width="3.125" style="2" customWidth="1"/>
    <col min="15992" max="15992" width="1.125" style="2" customWidth="1"/>
    <col min="15993" max="15993" width="9" style="2" customWidth="1"/>
    <col min="15994" max="15994" width="2.375" style="2" customWidth="1"/>
    <col min="15995" max="16012" width="7.625" style="2" customWidth="1"/>
    <col min="16013" max="16175" width="9" style="2" customWidth="1"/>
    <col min="16176" max="16177" width="3.125" style="2" customWidth="1"/>
    <col min="16178" max="16178" width="5.875" style="2" bestFit="1" customWidth="1"/>
    <col min="16179" max="16179" width="5.625" style="2" customWidth="1"/>
    <col min="16180" max="16180" width="10.625" style="2" customWidth="1"/>
    <col min="16181" max="16181" width="12.625" style="2" customWidth="1"/>
    <col min="16182" max="16182" width="8.625" style="2" customWidth="1"/>
    <col min="16183" max="16183" width="5.625" style="2" customWidth="1"/>
    <col min="16184" max="16184" width="4.625" style="2" customWidth="1"/>
    <col min="16185" max="16185" width="5.625" style="2" customWidth="1"/>
    <col min="16186" max="16189" width="4.625" style="2" customWidth="1"/>
    <col min="16190" max="16190" width="7.625" style="2" customWidth="1"/>
    <col min="16191" max="16191" width="8.625" style="2" customWidth="1"/>
    <col min="16192" max="16193" width="5.625" style="2" customWidth="1"/>
    <col min="16194" max="16194" width="6.625" style="2" customWidth="1"/>
    <col min="16195" max="16195" width="9.875" style="2" customWidth="1"/>
    <col min="16196" max="16197" width="8.625" style="2" customWidth="1"/>
    <col min="16198" max="16198" width="5.5" style="2" bestFit="1" customWidth="1"/>
    <col min="16199" max="16240" width="6.75" style="2" customWidth="1"/>
    <col min="16241" max="16241" width="9" style="2" customWidth="1"/>
    <col min="16242" max="16242" width="9.875" style="2" customWidth="1"/>
    <col min="16243" max="16243" width="2.875" style="2" customWidth="1"/>
    <col min="16244" max="16244" width="12.25" style="2" customWidth="1"/>
    <col min="16245" max="16245" width="6.375" style="2" customWidth="1"/>
    <col min="16246" max="16247" width="3.125" style="2" customWidth="1"/>
    <col min="16248" max="16248" width="1.125" style="2" customWidth="1"/>
    <col min="16249" max="16249" width="9" style="2" customWidth="1"/>
    <col min="16250" max="16250" width="2.375" style="2" customWidth="1"/>
    <col min="16251" max="16268" width="7.625" style="2" customWidth="1"/>
    <col min="16269" max="16384" width="9" style="2" customWidth="1"/>
  </cols>
  <sheetData>
    <row r="1" spans="1:132" ht="13.5" customHeight="1" x14ac:dyDescent="0.4">
      <c r="A1" s="203" t="str">
        <f>令和8年7月!$A$1</f>
        <v>天理</v>
      </c>
      <c r="B1" s="193"/>
      <c r="C1" s="193"/>
      <c r="D1" s="193"/>
      <c r="E1" s="193"/>
      <c r="F1" s="192" t="s">
        <v>0</v>
      </c>
      <c r="G1" s="195" t="s">
        <v>1</v>
      </c>
      <c r="H1" s="194" t="s">
        <v>2</v>
      </c>
      <c r="I1" s="193"/>
      <c r="J1" s="193"/>
      <c r="K1" s="193"/>
      <c r="L1" s="159"/>
      <c r="M1" s="194" t="s">
        <v>115</v>
      </c>
      <c r="N1" s="159"/>
      <c r="O1" s="159"/>
      <c r="P1" s="159"/>
      <c r="Q1" s="159"/>
      <c r="R1" s="159"/>
      <c r="S1" s="159"/>
      <c r="T1" s="159"/>
      <c r="U1" s="1"/>
      <c r="V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U1" s="162"/>
      <c r="AX1" s="204" t="s">
        <v>4</v>
      </c>
      <c r="AY1" s="199"/>
      <c r="AZ1" s="199"/>
      <c r="BA1" s="199"/>
      <c r="BB1" s="199"/>
      <c r="BC1" s="199"/>
      <c r="BD1" s="4"/>
    </row>
    <row r="2" spans="1:132" ht="13.5" customHeight="1" x14ac:dyDescent="0.4">
      <c r="A2" s="193"/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59"/>
      <c r="M2" s="193"/>
      <c r="N2" s="159"/>
      <c r="O2" s="159"/>
      <c r="P2" s="159"/>
      <c r="Q2" s="159"/>
      <c r="R2" s="159"/>
      <c r="S2" s="159"/>
      <c r="T2" s="159"/>
      <c r="U2" s="1"/>
      <c r="V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U2" s="162"/>
      <c r="AX2" s="199"/>
      <c r="AY2" s="199"/>
      <c r="AZ2" s="199"/>
      <c r="BA2" s="199"/>
      <c r="BB2" s="199"/>
      <c r="BC2" s="199"/>
      <c r="BD2" s="4"/>
    </row>
    <row r="3" spans="1:132" ht="13.9" customHeight="1" thickBot="1" x14ac:dyDescent="0.45">
      <c r="AC3" s="7"/>
      <c r="AV3" s="2">
        <v>95</v>
      </c>
      <c r="AW3" s="2">
        <v>1</v>
      </c>
      <c r="AY3" s="2">
        <v>2</v>
      </c>
      <c r="BA3" s="2">
        <v>3</v>
      </c>
      <c r="BC3" s="2">
        <v>4</v>
      </c>
      <c r="BE3" s="2">
        <v>6</v>
      </c>
      <c r="BG3" s="2">
        <v>7</v>
      </c>
      <c r="BI3" s="2">
        <v>8</v>
      </c>
      <c r="BK3" s="2">
        <v>9</v>
      </c>
      <c r="BM3" s="2">
        <v>10</v>
      </c>
      <c r="BO3" s="2">
        <v>11</v>
      </c>
      <c r="BQ3" s="2">
        <v>12</v>
      </c>
      <c r="BS3" s="2">
        <v>15</v>
      </c>
      <c r="BU3" s="2">
        <v>28</v>
      </c>
      <c r="BW3" s="2">
        <v>33</v>
      </c>
      <c r="BY3" s="2">
        <v>40</v>
      </c>
      <c r="CA3" s="2">
        <v>41</v>
      </c>
      <c r="CC3" s="2">
        <v>45</v>
      </c>
      <c r="CE3" s="2">
        <v>46</v>
      </c>
      <c r="CG3" s="2">
        <v>36</v>
      </c>
      <c r="CI3" s="2">
        <v>47</v>
      </c>
      <c r="CK3" s="2">
        <v>31</v>
      </c>
      <c r="CM3" s="2">
        <v>48</v>
      </c>
    </row>
    <row r="4" spans="1:132" ht="26.45" customHeight="1" thickTop="1" thickBot="1" x14ac:dyDescent="0.45">
      <c r="A4" s="106" t="s">
        <v>5</v>
      </c>
      <c r="B4" s="94" t="s">
        <v>6</v>
      </c>
      <c r="C4" s="131" t="s">
        <v>7</v>
      </c>
      <c r="D4" s="131" t="s">
        <v>8</v>
      </c>
      <c r="E4" s="107" t="s">
        <v>9</v>
      </c>
      <c r="F4" s="108" t="s">
        <v>10</v>
      </c>
      <c r="G4" s="109" t="s">
        <v>11</v>
      </c>
      <c r="H4" s="110" t="s">
        <v>12</v>
      </c>
      <c r="I4" s="147" t="s">
        <v>13</v>
      </c>
      <c r="J4" s="111" t="s">
        <v>14</v>
      </c>
      <c r="K4" s="112" t="s">
        <v>15</v>
      </c>
      <c r="L4" s="113" t="s">
        <v>16</v>
      </c>
      <c r="M4" s="114" t="s">
        <v>17</v>
      </c>
      <c r="N4" s="115" t="s">
        <v>16</v>
      </c>
      <c r="O4" s="116" t="s">
        <v>18</v>
      </c>
      <c r="P4" s="117" t="s">
        <v>19</v>
      </c>
      <c r="Q4" s="118" t="s">
        <v>20</v>
      </c>
      <c r="R4" s="129" t="s">
        <v>21</v>
      </c>
      <c r="S4" s="130" t="s">
        <v>22</v>
      </c>
      <c r="T4" s="8" t="s">
        <v>23</v>
      </c>
      <c r="U4" s="9" t="s">
        <v>24</v>
      </c>
      <c r="V4" s="10" t="s">
        <v>25</v>
      </c>
      <c r="W4" s="11" t="s">
        <v>26</v>
      </c>
      <c r="X4" s="12" t="s">
        <v>27</v>
      </c>
      <c r="Y4" s="13" t="s">
        <v>28</v>
      </c>
      <c r="Z4" s="119" t="s">
        <v>29</v>
      </c>
      <c r="AA4" s="14" t="s">
        <v>30</v>
      </c>
      <c r="AB4" s="15" t="s">
        <v>31</v>
      </c>
      <c r="AC4" s="16" t="s">
        <v>32</v>
      </c>
      <c r="AD4" s="17" t="s">
        <v>33</v>
      </c>
      <c r="AE4" s="18" t="s">
        <v>34</v>
      </c>
      <c r="AF4" s="18" t="s">
        <v>35</v>
      </c>
      <c r="AG4" s="18" t="s">
        <v>36</v>
      </c>
      <c r="AH4" s="18" t="s">
        <v>37</v>
      </c>
      <c r="AI4" s="18" t="s">
        <v>38</v>
      </c>
      <c r="AJ4" s="18" t="s">
        <v>39</v>
      </c>
      <c r="AK4" s="18" t="s">
        <v>40</v>
      </c>
      <c r="AL4" s="17" t="s">
        <v>41</v>
      </c>
      <c r="AM4" s="18" t="str">
        <f>令和8年7月!$AM$4</f>
        <v>フリー①</v>
      </c>
      <c r="AN4" s="132" t="str">
        <f>令和8年7月!$AN$4</f>
        <v>フリー②</v>
      </c>
      <c r="AO4" s="18" t="str">
        <f>令和8年7月!$AO$4</f>
        <v>フリー③</v>
      </c>
      <c r="AP4" s="18" t="str">
        <f>令和8年7月!$AP$4</f>
        <v>フリー④</v>
      </c>
      <c r="AQ4" s="78" t="str">
        <f>令和8年7月!$AQ$4</f>
        <v>フリー⑤</v>
      </c>
      <c r="AR4" s="19" t="s">
        <v>47</v>
      </c>
      <c r="AS4" s="20" t="s">
        <v>48</v>
      </c>
      <c r="AT4" s="21" t="s">
        <v>49</v>
      </c>
      <c r="AU4" s="163"/>
      <c r="AV4" s="80" t="s">
        <v>144</v>
      </c>
      <c r="AW4" s="76" t="s">
        <v>145</v>
      </c>
      <c r="AX4" s="75" t="s">
        <v>146</v>
      </c>
      <c r="AY4" s="76" t="s">
        <v>147</v>
      </c>
      <c r="AZ4" s="75" t="s">
        <v>146</v>
      </c>
      <c r="BA4" s="76" t="s">
        <v>52</v>
      </c>
      <c r="BB4" s="75" t="s">
        <v>146</v>
      </c>
      <c r="BC4" s="76" t="s">
        <v>53</v>
      </c>
      <c r="BD4" s="75" t="s">
        <v>146</v>
      </c>
      <c r="BE4" s="76" t="s">
        <v>148</v>
      </c>
      <c r="BF4" s="75" t="s">
        <v>146</v>
      </c>
      <c r="BG4" s="76" t="s">
        <v>149</v>
      </c>
      <c r="BH4" s="75" t="s">
        <v>146</v>
      </c>
      <c r="BI4" s="76" t="s">
        <v>150</v>
      </c>
      <c r="BJ4" s="75" t="s">
        <v>146</v>
      </c>
      <c r="BK4" s="76" t="s">
        <v>57</v>
      </c>
      <c r="BL4" s="75" t="s">
        <v>146</v>
      </c>
      <c r="BM4" s="76" t="s">
        <v>58</v>
      </c>
      <c r="BN4" s="75" t="s">
        <v>146</v>
      </c>
      <c r="BO4" s="76" t="s">
        <v>151</v>
      </c>
      <c r="BP4" s="75" t="s">
        <v>146</v>
      </c>
      <c r="BQ4" s="76" t="s">
        <v>60</v>
      </c>
      <c r="BR4" s="75" t="s">
        <v>146</v>
      </c>
      <c r="BS4" s="76" t="s">
        <v>152</v>
      </c>
      <c r="BT4" s="75" t="s">
        <v>146</v>
      </c>
      <c r="BU4" s="76" t="s">
        <v>153</v>
      </c>
      <c r="BV4" s="75" t="s">
        <v>146</v>
      </c>
      <c r="BW4" s="76" t="s">
        <v>154</v>
      </c>
      <c r="BX4" s="75" t="s">
        <v>48</v>
      </c>
      <c r="BY4" s="76" t="s">
        <v>155</v>
      </c>
      <c r="BZ4" s="75" t="s">
        <v>156</v>
      </c>
      <c r="CA4" s="76" t="s">
        <v>157</v>
      </c>
      <c r="CB4" s="75" t="s">
        <v>48</v>
      </c>
      <c r="CC4" s="76" t="s">
        <v>158</v>
      </c>
      <c r="CD4" s="81" t="s">
        <v>48</v>
      </c>
      <c r="CE4" s="76" t="s">
        <v>159</v>
      </c>
      <c r="CF4" s="81" t="s">
        <v>48</v>
      </c>
      <c r="CG4" s="76" t="s">
        <v>160</v>
      </c>
      <c r="CH4" s="75" t="s">
        <v>48</v>
      </c>
      <c r="CI4" s="76" t="s">
        <v>161</v>
      </c>
      <c r="CJ4" s="81" t="s">
        <v>48</v>
      </c>
      <c r="CK4" s="76" t="s">
        <v>162</v>
      </c>
      <c r="CL4" s="81" t="s">
        <v>48</v>
      </c>
      <c r="CM4" s="76" t="s">
        <v>163</v>
      </c>
      <c r="CN4" s="75" t="s">
        <v>48</v>
      </c>
      <c r="CO4" s="76" t="s">
        <v>67</v>
      </c>
      <c r="CP4" s="81" t="s">
        <v>48</v>
      </c>
      <c r="CQ4" s="76" t="s">
        <v>68</v>
      </c>
      <c r="CR4" s="81" t="s">
        <v>48</v>
      </c>
      <c r="CS4" s="76" t="s">
        <v>69</v>
      </c>
      <c r="CT4" s="20" t="s">
        <v>48</v>
      </c>
      <c r="CU4" s="85" t="s">
        <v>70</v>
      </c>
      <c r="CV4" s="86" t="s">
        <v>71</v>
      </c>
      <c r="CW4" s="89"/>
      <c r="CX4" s="85" t="s">
        <v>104</v>
      </c>
      <c r="CY4" s="153" t="s">
        <v>15</v>
      </c>
      <c r="CZ4" s="155" t="s">
        <v>105</v>
      </c>
      <c r="DA4" s="93" t="s">
        <v>15</v>
      </c>
      <c r="DB4" s="94" t="s">
        <v>5</v>
      </c>
      <c r="DC4" s="95" t="s">
        <v>6</v>
      </c>
      <c r="DD4" s="2" t="s">
        <v>164</v>
      </c>
      <c r="DF4" s="121" t="s">
        <v>74</v>
      </c>
      <c r="DG4" s="122" t="s">
        <v>75</v>
      </c>
      <c r="DH4" s="122" t="s">
        <v>76</v>
      </c>
      <c r="DI4" s="122" t="s">
        <v>77</v>
      </c>
      <c r="DJ4" s="122" t="s">
        <v>78</v>
      </c>
      <c r="DK4" s="122" t="s">
        <v>42</v>
      </c>
      <c r="DL4" s="122" t="s">
        <v>43</v>
      </c>
      <c r="DM4" s="122" t="s">
        <v>44</v>
      </c>
      <c r="DN4" s="122" t="s">
        <v>45</v>
      </c>
      <c r="DO4" s="122" t="s">
        <v>46</v>
      </c>
      <c r="DP4" s="123" t="s">
        <v>79</v>
      </c>
      <c r="DQ4" s="124" t="s">
        <v>48</v>
      </c>
      <c r="DS4" s="205" t="s">
        <v>80</v>
      </c>
      <c r="DT4" s="206"/>
      <c r="DU4" s="206"/>
      <c r="DV4" s="207"/>
      <c r="DW4" s="160" t="s">
        <v>81</v>
      </c>
      <c r="DX4" s="160" t="s">
        <v>82</v>
      </c>
      <c r="DY4" s="22"/>
      <c r="DZ4" s="22"/>
      <c r="EA4" s="22"/>
    </row>
    <row r="5" spans="1:132" ht="13.5" customHeight="1" x14ac:dyDescent="0.4">
      <c r="A5" s="104">
        <v>1</v>
      </c>
      <c r="B5" s="23" t="s">
        <v>85</v>
      </c>
      <c r="C5" s="164"/>
      <c r="D5" s="164"/>
      <c r="E5" s="24"/>
      <c r="F5" s="29"/>
      <c r="G5" s="25" t="str">
        <f>IF(SUM($F$5:F5)=0,"",SUM($F$5:F5))</f>
        <v/>
      </c>
      <c r="H5" s="43" t="str">
        <f t="shared" ref="H5:H35" si="0">IF(ISERROR(G5/V5),"",(G5/V5))</f>
        <v/>
      </c>
      <c r="I5" s="148" t="e">
        <f t="array" aca="1" ref="I5" ca="1">IF($A6="",$G5/($V5-$U$5+INDIRECT(IF(_xlfn.SHEET()&lt;6,"令和8年"&amp;_xlfn.SHEET()+7&amp;"月","令和9年"&amp;_xlfn.SHEET()-5&amp;"月")&amp;"!$U$5")),$G5/($V6-$U$5))</f>
        <v>#VALUE!</v>
      </c>
      <c r="J5" s="26" t="str">
        <f t="shared" ref="J5:J35" si="1">IFERROR(G5/AC5,"")</f>
        <v/>
      </c>
      <c r="K5" s="27"/>
      <c r="L5" s="165">
        <f t="shared" ref="L5:L37" si="2">IF(ISERROR(K5/W5),"",(K5/W5))</f>
        <v>0</v>
      </c>
      <c r="M5" s="28" t="str">
        <f t="shared" ref="M5:M35" si="3">IF(ISERROR(F5/K5),"",(F5/K5))</f>
        <v/>
      </c>
      <c r="N5" s="166" t="str">
        <f t="shared" ref="N5:N37" si="4">IF(ISERROR(M5/X5),"",(M5/X5))</f>
        <v/>
      </c>
      <c r="O5" s="167" t="str">
        <f t="shared" ref="O5:O35" si="5">IF(ISERROR(F5/P5),"",(F5/P5))</f>
        <v/>
      </c>
      <c r="P5" s="168"/>
      <c r="Q5" s="169" t="str">
        <f t="shared" ref="Q5:Q35" si="6">IF(ISERROR(P5/K5),"",(P5/K5))</f>
        <v/>
      </c>
      <c r="R5" s="170">
        <v>24</v>
      </c>
      <c r="S5" s="171">
        <v>20</v>
      </c>
      <c r="T5" s="24" t="s">
        <v>84</v>
      </c>
      <c r="U5" s="29">
        <v>236010</v>
      </c>
      <c r="V5" s="30">
        <f>SUM(U5)</f>
        <v>236010</v>
      </c>
      <c r="W5" s="27">
        <v>162</v>
      </c>
      <c r="X5" s="31">
        <f t="shared" ref="X5:X35" si="7">IF(ISERROR(U5/W5),"",(U5/W5))</f>
        <v>1456.851851851852</v>
      </c>
      <c r="Y5" s="29">
        <v>161217</v>
      </c>
      <c r="Z5" s="32">
        <f>SUM(Y5)</f>
        <v>161217</v>
      </c>
      <c r="AA5" s="33">
        <f t="shared" ref="AA5:AA35" si="8">IF(ISERROR(V5/Z5),"",(V5/Z5))</f>
        <v>1.4639275014421556</v>
      </c>
      <c r="AB5" s="158">
        <v>250000</v>
      </c>
      <c r="AC5" s="34">
        <f>AB5</f>
        <v>250000</v>
      </c>
      <c r="AD5" s="158"/>
      <c r="AE5" s="25"/>
      <c r="AF5" s="25"/>
      <c r="AG5" s="25"/>
      <c r="AH5" s="25"/>
      <c r="AI5" s="25"/>
      <c r="AJ5" s="25"/>
      <c r="AK5" s="25"/>
      <c r="AL5" s="158"/>
      <c r="AM5" s="25"/>
      <c r="AN5" s="158"/>
      <c r="AO5" s="25"/>
      <c r="AP5" s="25"/>
      <c r="AQ5" s="158"/>
      <c r="AR5" s="35">
        <f t="shared" ref="AR5:AR35" si="9">SUM(AD5:AQ5)</f>
        <v>0</v>
      </c>
      <c r="AS5" s="172" t="str">
        <f t="shared" ref="AS5:AS35" si="10">IF(ISERROR((AR5/F5)),"",AR5/F5)</f>
        <v/>
      </c>
      <c r="AT5" s="36">
        <f t="shared" ref="AT5:AT35" si="11">F5-AR5+DW5</f>
        <v>0</v>
      </c>
      <c r="AU5" s="173"/>
      <c r="AV5" s="82">
        <f t="shared" ref="AV5:AV35" si="12">A5</f>
        <v>1</v>
      </c>
      <c r="AW5" s="37"/>
      <c r="AX5" s="174" t="str">
        <f t="shared" ref="AX5:AX35" si="13">IF(ISERROR((AW5/$F5)),"",AW5/$F5)</f>
        <v/>
      </c>
      <c r="AY5" s="37"/>
      <c r="AZ5" s="174" t="str">
        <f t="shared" ref="AZ5:AZ35" si="14">IF(ISERROR((AY5/$F5)),"",AY5/$F5)</f>
        <v/>
      </c>
      <c r="BA5" s="37"/>
      <c r="BB5" s="174" t="str">
        <f t="shared" ref="BB5:BB35" si="15">IF(ISERROR((BA5/$F5)),"",BA5/$F5)</f>
        <v/>
      </c>
      <c r="BC5" s="37"/>
      <c r="BD5" s="174" t="str">
        <f t="shared" ref="BD5:BD35" si="16">IF(ISERROR((BC5/$F5)),"",BC5/$F5)</f>
        <v/>
      </c>
      <c r="BE5" s="37"/>
      <c r="BF5" s="174" t="str">
        <f t="shared" ref="BF5:BF35" si="17">IF(ISERROR((BE5/$F5)),"",BE5/$F5)</f>
        <v/>
      </c>
      <c r="BG5" s="37"/>
      <c r="BH5" s="174" t="str">
        <f t="shared" ref="BH5:BH35" si="18">IF(ISERROR((BG5/$F5)),"",BG5/$F5)</f>
        <v/>
      </c>
      <c r="BI5" s="37"/>
      <c r="BJ5" s="174" t="str">
        <f t="shared" ref="BJ5:BJ35" si="19">IF(ISERROR((BI5/$F5)),"",BI5/$F5)</f>
        <v/>
      </c>
      <c r="BK5" s="37"/>
      <c r="BL5" s="174" t="str">
        <f t="shared" ref="BL5:BL35" si="20">IF(ISERROR((BK5/$F5)),"",BK5/$F5)</f>
        <v/>
      </c>
      <c r="BM5" s="37"/>
      <c r="BN5" s="174" t="str">
        <f t="shared" ref="BN5:BN35" si="21">IF(ISERROR((BM5/$F5)),"",BM5/$F5)</f>
        <v/>
      </c>
      <c r="BO5" s="37"/>
      <c r="BP5" s="174" t="str">
        <f t="shared" ref="BP5:BP35" si="22">IF(ISERROR((BO5/$F5)),"",BO5/$F5)</f>
        <v/>
      </c>
      <c r="BQ5" s="37"/>
      <c r="BR5" s="174" t="str">
        <f t="shared" ref="BR5:BR35" si="23">IF(ISERROR((BQ5/$F5)),"",BQ5/$F5)</f>
        <v/>
      </c>
      <c r="BS5" s="37"/>
      <c r="BT5" s="174" t="str">
        <f t="shared" ref="BT5:BT35" si="24">IF(ISERROR((BS5/$F5)),"",BS5/$F5)</f>
        <v/>
      </c>
      <c r="BU5" s="37"/>
      <c r="BV5" s="174" t="str">
        <f t="shared" ref="BV5:BV35" si="25">IF(ISERROR((BU5/$F5)),"",BU5/$F5)</f>
        <v/>
      </c>
      <c r="BW5" s="37"/>
      <c r="BX5" s="174" t="str">
        <f t="shared" ref="BX5:BX35" si="26">IF(ISERROR((BW5/$F5)),"",BW5/$F5)</f>
        <v/>
      </c>
      <c r="BY5" s="37"/>
      <c r="BZ5" s="174" t="str">
        <f t="shared" ref="BZ5:BZ35" si="27">IF(ISERROR((BY5/$F5)),"",BY5/$F5)</f>
        <v/>
      </c>
      <c r="CA5" s="37"/>
      <c r="CB5" s="174" t="str">
        <f t="shared" ref="CB5:CB35" si="28">IF(ISERROR((CA5/$F5)),"",CA5/$F5)</f>
        <v/>
      </c>
      <c r="CC5" s="37"/>
      <c r="CD5" s="174" t="str">
        <f t="shared" ref="CD5:CD35" si="29">IF(ISERROR((CC5/$F5)),"",CC5/$F5)</f>
        <v/>
      </c>
      <c r="CE5" s="37"/>
      <c r="CF5" s="174" t="str">
        <f t="shared" ref="CF5:CF35" si="30">IF(ISERROR((CE5/$F5)),"",CE5/$F5)</f>
        <v/>
      </c>
      <c r="CG5" s="37"/>
      <c r="CH5" s="174" t="str">
        <f t="shared" ref="CH5:CH35" si="31">IF(ISERROR((CG5/$F5)),"",CG5/$F5)</f>
        <v/>
      </c>
      <c r="CI5" s="37"/>
      <c r="CJ5" s="174" t="str">
        <f t="shared" ref="CJ5:CJ35" si="32">IF(ISERROR((CI5/$F5)),"",CI5/$F5)</f>
        <v/>
      </c>
      <c r="CK5" s="37"/>
      <c r="CL5" s="174" t="str">
        <f t="shared" ref="CL5:CL35" si="33">IF(ISERROR((CK5/$F5)),"",CK5/$F5)</f>
        <v/>
      </c>
      <c r="CM5" s="37"/>
      <c r="CN5" s="174" t="str">
        <f t="shared" ref="CN5:CN35" si="34">IF(ISERROR((CM5/$F5)),"",CM5/$F5)</f>
        <v/>
      </c>
      <c r="CO5" s="37"/>
      <c r="CP5" s="174" t="str">
        <f t="shared" ref="CP5:CP35" si="35">IF(ISERROR((CO5/$F5)),"",CO5/$F5)</f>
        <v/>
      </c>
      <c r="CQ5" s="37"/>
      <c r="CR5" s="174" t="str">
        <f t="shared" ref="CR5:CR35" si="36">IF(ISERROR((CQ5/$F5)),"",CQ5/$F5)</f>
        <v/>
      </c>
      <c r="CS5" s="37"/>
      <c r="CT5" s="174" t="str">
        <f t="shared" ref="CT5:CT35" si="37">IF(ISERROR((CS5/$F5)),"",CS5/$F5)</f>
        <v/>
      </c>
      <c r="CU5" s="38"/>
      <c r="CV5" s="87"/>
      <c r="CW5" s="90"/>
      <c r="CX5" s="38"/>
      <c r="CY5" s="39"/>
      <c r="CZ5" s="37"/>
      <c r="DA5" s="39"/>
      <c r="DB5" s="24">
        <v>1</v>
      </c>
      <c r="DC5" s="96" t="str">
        <f t="shared" ref="DC5:DC35" si="38">B5</f>
        <v>木</v>
      </c>
      <c r="DF5" s="125"/>
      <c r="DG5" s="40"/>
      <c r="DH5" s="40"/>
      <c r="DI5" s="40"/>
      <c r="DJ5" s="40"/>
      <c r="DK5" s="40"/>
      <c r="DL5" s="40"/>
      <c r="DM5" s="40"/>
      <c r="DN5" s="40"/>
      <c r="DO5" s="40"/>
      <c r="DP5" s="40">
        <f t="shared" ref="DP5:DP35" si="39">SUM(DF5:DO5)</f>
        <v>0</v>
      </c>
      <c r="DQ5" s="172" t="str">
        <f t="shared" ref="DQ5:DQ35" si="40">IF(ISERROR((DP5/F5)),"",DP5/F5)</f>
        <v/>
      </c>
      <c r="DS5" s="189"/>
      <c r="DT5" s="190"/>
      <c r="DU5" s="190"/>
      <c r="DV5" s="191"/>
      <c r="DW5" s="41"/>
      <c r="DX5" s="42"/>
      <c r="DY5" s="22"/>
      <c r="DZ5" s="22"/>
      <c r="EA5" s="22"/>
    </row>
    <row r="6" spans="1:132" ht="13.5" customHeight="1" x14ac:dyDescent="0.4">
      <c r="A6" s="104">
        <v>2</v>
      </c>
      <c r="B6" s="23" t="s">
        <v>86</v>
      </c>
      <c r="C6" s="164"/>
      <c r="D6" s="164"/>
      <c r="E6" s="24"/>
      <c r="F6" s="29"/>
      <c r="G6" s="25" t="str">
        <f>IF(SUM($F$5:F6)=0,"",SUM($F$5:F6))</f>
        <v/>
      </c>
      <c r="H6" s="43" t="str">
        <f t="shared" si="0"/>
        <v/>
      </c>
      <c r="I6" s="148" t="e">
        <f t="array" aca="1" ref="I6" ca="1">IF($A7="",$G6/($V6-$U$5+INDIRECT(IF(_xlfn.SHEET()&lt;6,"令和8年"&amp;_xlfn.SHEET()+7&amp;"月","令和9年"&amp;_xlfn.SHEET()-5&amp;"月")&amp;"!$U$5")),$G6/($V7-$U$5))</f>
        <v>#VALUE!</v>
      </c>
      <c r="J6" s="26" t="str">
        <f t="shared" si="1"/>
        <v/>
      </c>
      <c r="K6" s="27"/>
      <c r="L6" s="165">
        <f t="shared" si="2"/>
        <v>0</v>
      </c>
      <c r="M6" s="28" t="str">
        <f t="shared" si="3"/>
        <v/>
      </c>
      <c r="N6" s="166" t="str">
        <f t="shared" si="4"/>
        <v/>
      </c>
      <c r="O6" s="167" t="str">
        <f t="shared" si="5"/>
        <v/>
      </c>
      <c r="P6" s="168"/>
      <c r="Q6" s="169" t="str">
        <f t="shared" si="6"/>
        <v/>
      </c>
      <c r="R6" s="170">
        <v>28</v>
      </c>
      <c r="S6" s="171">
        <v>18</v>
      </c>
      <c r="T6" s="24" t="s">
        <v>84</v>
      </c>
      <c r="U6" s="29">
        <v>137320</v>
      </c>
      <c r="V6" s="30">
        <f t="shared" ref="V6:V35" si="41">SUM(V5+U6)</f>
        <v>373330</v>
      </c>
      <c r="W6" s="27">
        <v>131</v>
      </c>
      <c r="X6" s="31">
        <f t="shared" si="7"/>
        <v>1048.2442748091603</v>
      </c>
      <c r="Y6" s="29">
        <v>215246</v>
      </c>
      <c r="Z6" s="32">
        <f t="shared" ref="Z6:Z35" si="42">SUM(Z5+Y6)</f>
        <v>376463</v>
      </c>
      <c r="AA6" s="33">
        <f t="shared" si="8"/>
        <v>0.99167780100567648</v>
      </c>
      <c r="AB6" s="158">
        <v>250000</v>
      </c>
      <c r="AC6" s="34">
        <f t="shared" ref="AC6:AC35" si="43">AB6+AC5</f>
        <v>500000</v>
      </c>
      <c r="AD6" s="158"/>
      <c r="AE6" s="25"/>
      <c r="AF6" s="25"/>
      <c r="AG6" s="25"/>
      <c r="AH6" s="25"/>
      <c r="AI6" s="25"/>
      <c r="AJ6" s="25"/>
      <c r="AK6" s="25"/>
      <c r="AL6" s="158"/>
      <c r="AM6" s="25"/>
      <c r="AN6" s="158"/>
      <c r="AO6" s="25"/>
      <c r="AP6" s="25"/>
      <c r="AQ6" s="158"/>
      <c r="AR6" s="35">
        <f t="shared" si="9"/>
        <v>0</v>
      </c>
      <c r="AS6" s="172" t="str">
        <f t="shared" si="10"/>
        <v/>
      </c>
      <c r="AT6" s="36">
        <f t="shared" si="11"/>
        <v>0</v>
      </c>
      <c r="AU6" s="173"/>
      <c r="AV6" s="82">
        <f t="shared" si="12"/>
        <v>2</v>
      </c>
      <c r="AW6" s="37"/>
      <c r="AX6" s="174" t="str">
        <f t="shared" si="13"/>
        <v/>
      </c>
      <c r="AY6" s="37"/>
      <c r="AZ6" s="174" t="str">
        <f t="shared" si="14"/>
        <v/>
      </c>
      <c r="BA6" s="37"/>
      <c r="BB6" s="174" t="str">
        <f t="shared" si="15"/>
        <v/>
      </c>
      <c r="BC6" s="37"/>
      <c r="BD6" s="174" t="str">
        <f t="shared" si="16"/>
        <v/>
      </c>
      <c r="BE6" s="37"/>
      <c r="BF6" s="174" t="str">
        <f t="shared" si="17"/>
        <v/>
      </c>
      <c r="BG6" s="37"/>
      <c r="BH6" s="174" t="str">
        <f t="shared" si="18"/>
        <v/>
      </c>
      <c r="BI6" s="37"/>
      <c r="BJ6" s="174" t="str">
        <f t="shared" si="19"/>
        <v/>
      </c>
      <c r="BK6" s="37"/>
      <c r="BL6" s="174" t="str">
        <f t="shared" si="20"/>
        <v/>
      </c>
      <c r="BM6" s="37"/>
      <c r="BN6" s="174" t="str">
        <f t="shared" si="21"/>
        <v/>
      </c>
      <c r="BO6" s="37"/>
      <c r="BP6" s="174" t="str">
        <f t="shared" si="22"/>
        <v/>
      </c>
      <c r="BQ6" s="37"/>
      <c r="BR6" s="174" t="str">
        <f t="shared" si="23"/>
        <v/>
      </c>
      <c r="BS6" s="37"/>
      <c r="BT6" s="174" t="str">
        <f t="shared" si="24"/>
        <v/>
      </c>
      <c r="BU6" s="37"/>
      <c r="BV6" s="174" t="str">
        <f t="shared" si="25"/>
        <v/>
      </c>
      <c r="BW6" s="37"/>
      <c r="BX6" s="174" t="str">
        <f t="shared" si="26"/>
        <v/>
      </c>
      <c r="BY6" s="37"/>
      <c r="BZ6" s="174" t="str">
        <f t="shared" si="27"/>
        <v/>
      </c>
      <c r="CA6" s="37"/>
      <c r="CB6" s="174" t="str">
        <f t="shared" si="28"/>
        <v/>
      </c>
      <c r="CC6" s="37"/>
      <c r="CD6" s="174" t="str">
        <f t="shared" si="29"/>
        <v/>
      </c>
      <c r="CE6" s="37"/>
      <c r="CF6" s="174" t="str">
        <f t="shared" si="30"/>
        <v/>
      </c>
      <c r="CG6" s="37"/>
      <c r="CH6" s="174" t="str">
        <f t="shared" si="31"/>
        <v/>
      </c>
      <c r="CI6" s="37"/>
      <c r="CJ6" s="174" t="str">
        <f t="shared" si="32"/>
        <v/>
      </c>
      <c r="CK6" s="37"/>
      <c r="CL6" s="174" t="str">
        <f t="shared" si="33"/>
        <v/>
      </c>
      <c r="CM6" s="37"/>
      <c r="CN6" s="174" t="str">
        <f t="shared" si="34"/>
        <v/>
      </c>
      <c r="CO6" s="37"/>
      <c r="CP6" s="174" t="str">
        <f t="shared" si="35"/>
        <v/>
      </c>
      <c r="CQ6" s="37"/>
      <c r="CR6" s="174" t="str">
        <f t="shared" si="36"/>
        <v/>
      </c>
      <c r="CS6" s="37"/>
      <c r="CT6" s="174" t="str">
        <f t="shared" si="37"/>
        <v/>
      </c>
      <c r="CU6" s="38"/>
      <c r="CV6" s="87"/>
      <c r="CW6" s="90"/>
      <c r="CX6" s="38"/>
      <c r="CY6" s="39"/>
      <c r="CZ6" s="37"/>
      <c r="DA6" s="39"/>
      <c r="DB6" s="24">
        <v>2</v>
      </c>
      <c r="DC6" s="96" t="str">
        <f t="shared" si="38"/>
        <v>金</v>
      </c>
      <c r="DF6" s="125"/>
      <c r="DG6" s="40"/>
      <c r="DH6" s="40"/>
      <c r="DI6" s="40"/>
      <c r="DJ6" s="40"/>
      <c r="DK6" s="40"/>
      <c r="DL6" s="40"/>
      <c r="DM6" s="40"/>
      <c r="DN6" s="40"/>
      <c r="DO6" s="40"/>
      <c r="DP6" s="40">
        <f t="shared" si="39"/>
        <v>0</v>
      </c>
      <c r="DQ6" s="172" t="str">
        <f t="shared" si="40"/>
        <v/>
      </c>
      <c r="DS6" s="189"/>
      <c r="DT6" s="190"/>
      <c r="DU6" s="190"/>
      <c r="DV6" s="191"/>
      <c r="DW6" s="41"/>
      <c r="DX6" s="42"/>
      <c r="DY6" s="22"/>
      <c r="DZ6" s="22"/>
      <c r="EA6" s="22"/>
    </row>
    <row r="7" spans="1:132" ht="13.5" customHeight="1" x14ac:dyDescent="0.4">
      <c r="A7" s="104">
        <v>3</v>
      </c>
      <c r="B7" s="23" t="s">
        <v>88</v>
      </c>
      <c r="C7" s="164"/>
      <c r="D7" s="164"/>
      <c r="E7" s="24"/>
      <c r="F7" s="29"/>
      <c r="G7" s="25" t="str">
        <f>IF(SUM($F$5:F7)=0,"",SUM($F$5:F7))</f>
        <v/>
      </c>
      <c r="H7" s="43" t="str">
        <f t="shared" si="0"/>
        <v/>
      </c>
      <c r="I7" s="148" t="e">
        <f t="array" aca="1" ref="I7" ca="1">IF($A8="",$G7/($V7-$U$5+INDIRECT(IF(_xlfn.SHEET()&lt;6,"令和8年"&amp;_xlfn.SHEET()+7&amp;"月","令和9年"&amp;_xlfn.SHEET()-5&amp;"月")&amp;"!$U$5")),$G7/($V8-$U$5))</f>
        <v>#VALUE!</v>
      </c>
      <c r="J7" s="26" t="str">
        <f t="shared" si="1"/>
        <v/>
      </c>
      <c r="K7" s="27"/>
      <c r="L7" s="165">
        <f t="shared" si="2"/>
        <v>0</v>
      </c>
      <c r="M7" s="28" t="str">
        <f t="shared" si="3"/>
        <v/>
      </c>
      <c r="N7" s="166" t="str">
        <f t="shared" si="4"/>
        <v/>
      </c>
      <c r="O7" s="167" t="str">
        <f t="shared" si="5"/>
        <v/>
      </c>
      <c r="P7" s="168"/>
      <c r="Q7" s="169" t="str">
        <f t="shared" si="6"/>
        <v/>
      </c>
      <c r="R7" s="170">
        <v>25</v>
      </c>
      <c r="S7" s="171">
        <v>20</v>
      </c>
      <c r="T7" s="24" t="s">
        <v>114</v>
      </c>
      <c r="U7" s="29">
        <v>280062</v>
      </c>
      <c r="V7" s="30">
        <f t="shared" si="41"/>
        <v>653392</v>
      </c>
      <c r="W7" s="27">
        <v>130</v>
      </c>
      <c r="X7" s="31">
        <f t="shared" si="7"/>
        <v>2154.3230769230768</v>
      </c>
      <c r="Y7" s="29">
        <v>199362</v>
      </c>
      <c r="Z7" s="32">
        <f t="shared" si="42"/>
        <v>575825</v>
      </c>
      <c r="AA7" s="33">
        <f t="shared" si="8"/>
        <v>1.1347058568141362</v>
      </c>
      <c r="AB7" s="158">
        <v>800000</v>
      </c>
      <c r="AC7" s="34">
        <f t="shared" si="43"/>
        <v>1300000</v>
      </c>
      <c r="AD7" s="158"/>
      <c r="AE7" s="25"/>
      <c r="AF7" s="25"/>
      <c r="AG7" s="25"/>
      <c r="AH7" s="25"/>
      <c r="AI7" s="25"/>
      <c r="AJ7" s="25"/>
      <c r="AK7" s="25"/>
      <c r="AL7" s="158"/>
      <c r="AM7" s="25"/>
      <c r="AN7" s="158"/>
      <c r="AO7" s="25"/>
      <c r="AP7" s="25"/>
      <c r="AQ7" s="158"/>
      <c r="AR7" s="35">
        <f t="shared" si="9"/>
        <v>0</v>
      </c>
      <c r="AS7" s="172" t="str">
        <f t="shared" si="10"/>
        <v/>
      </c>
      <c r="AT7" s="36">
        <f t="shared" si="11"/>
        <v>0</v>
      </c>
      <c r="AU7" s="173"/>
      <c r="AV7" s="82">
        <f t="shared" si="12"/>
        <v>3</v>
      </c>
      <c r="AW7" s="37"/>
      <c r="AX7" s="174" t="str">
        <f t="shared" si="13"/>
        <v/>
      </c>
      <c r="AY7" s="37"/>
      <c r="AZ7" s="174" t="str">
        <f t="shared" si="14"/>
        <v/>
      </c>
      <c r="BA7" s="37"/>
      <c r="BB7" s="174" t="str">
        <f t="shared" si="15"/>
        <v/>
      </c>
      <c r="BC7" s="37"/>
      <c r="BD7" s="174" t="str">
        <f t="shared" si="16"/>
        <v/>
      </c>
      <c r="BE7" s="37"/>
      <c r="BF7" s="174" t="str">
        <f t="shared" si="17"/>
        <v/>
      </c>
      <c r="BG7" s="37"/>
      <c r="BH7" s="174" t="str">
        <f t="shared" si="18"/>
        <v/>
      </c>
      <c r="BI7" s="37"/>
      <c r="BJ7" s="174" t="str">
        <f t="shared" si="19"/>
        <v/>
      </c>
      <c r="BK7" s="37"/>
      <c r="BL7" s="174" t="str">
        <f t="shared" si="20"/>
        <v/>
      </c>
      <c r="BM7" s="37"/>
      <c r="BN7" s="174" t="str">
        <f t="shared" si="21"/>
        <v/>
      </c>
      <c r="BO7" s="37"/>
      <c r="BP7" s="174" t="str">
        <f t="shared" si="22"/>
        <v/>
      </c>
      <c r="BQ7" s="37"/>
      <c r="BR7" s="174" t="str">
        <f t="shared" si="23"/>
        <v/>
      </c>
      <c r="BS7" s="37"/>
      <c r="BT7" s="174" t="str">
        <f t="shared" si="24"/>
        <v/>
      </c>
      <c r="BU7" s="37"/>
      <c r="BV7" s="174" t="str">
        <f t="shared" si="25"/>
        <v/>
      </c>
      <c r="BW7" s="37"/>
      <c r="BX7" s="174" t="str">
        <f t="shared" si="26"/>
        <v/>
      </c>
      <c r="BY7" s="37"/>
      <c r="BZ7" s="174" t="str">
        <f t="shared" si="27"/>
        <v/>
      </c>
      <c r="CA7" s="37"/>
      <c r="CB7" s="174" t="str">
        <f t="shared" si="28"/>
        <v/>
      </c>
      <c r="CC7" s="37"/>
      <c r="CD7" s="174" t="str">
        <f t="shared" si="29"/>
        <v/>
      </c>
      <c r="CE7" s="37"/>
      <c r="CF7" s="174" t="str">
        <f t="shared" si="30"/>
        <v/>
      </c>
      <c r="CG7" s="37"/>
      <c r="CH7" s="174" t="str">
        <f t="shared" si="31"/>
        <v/>
      </c>
      <c r="CI7" s="37"/>
      <c r="CJ7" s="174" t="str">
        <f t="shared" si="32"/>
        <v/>
      </c>
      <c r="CK7" s="37"/>
      <c r="CL7" s="174" t="str">
        <f t="shared" si="33"/>
        <v/>
      </c>
      <c r="CM7" s="37"/>
      <c r="CN7" s="174" t="str">
        <f t="shared" si="34"/>
        <v/>
      </c>
      <c r="CO7" s="37"/>
      <c r="CP7" s="174" t="str">
        <f t="shared" si="35"/>
        <v/>
      </c>
      <c r="CQ7" s="37"/>
      <c r="CR7" s="174" t="str">
        <f t="shared" si="36"/>
        <v/>
      </c>
      <c r="CS7" s="37"/>
      <c r="CT7" s="174" t="str">
        <f t="shared" si="37"/>
        <v/>
      </c>
      <c r="CU7" s="38"/>
      <c r="CV7" s="87"/>
      <c r="CW7" s="90"/>
      <c r="CX7" s="38"/>
      <c r="CY7" s="39"/>
      <c r="CZ7" s="37"/>
      <c r="DA7" s="39"/>
      <c r="DB7" s="24">
        <v>3</v>
      </c>
      <c r="DC7" s="96" t="str">
        <f t="shared" si="38"/>
        <v>土</v>
      </c>
      <c r="DF7" s="125"/>
      <c r="DG7" s="40"/>
      <c r="DH7" s="40"/>
      <c r="DI7" s="40"/>
      <c r="DJ7" s="40"/>
      <c r="DK7" s="40"/>
      <c r="DL7" s="40"/>
      <c r="DM7" s="40"/>
      <c r="DN7" s="40"/>
      <c r="DO7" s="40"/>
      <c r="DP7" s="40">
        <f t="shared" si="39"/>
        <v>0</v>
      </c>
      <c r="DQ7" s="172" t="str">
        <f t="shared" si="40"/>
        <v/>
      </c>
      <c r="DS7" s="189"/>
      <c r="DT7" s="190"/>
      <c r="DU7" s="190"/>
      <c r="DV7" s="191"/>
      <c r="DW7" s="138"/>
      <c r="DX7" s="42"/>
      <c r="DY7" s="139"/>
      <c r="DZ7" s="139"/>
      <c r="EA7" s="139"/>
      <c r="EB7" s="139"/>
    </row>
    <row r="8" spans="1:132" ht="13.5" customHeight="1" x14ac:dyDescent="0.4">
      <c r="A8" s="104">
        <v>4</v>
      </c>
      <c r="B8" s="23" t="s">
        <v>89</v>
      </c>
      <c r="C8" s="164"/>
      <c r="D8" s="164"/>
      <c r="E8" s="24"/>
      <c r="F8" s="29"/>
      <c r="G8" s="25" t="str">
        <f>IF(SUM($F$5:F8)=0,"",SUM($F$5:F8))</f>
        <v/>
      </c>
      <c r="H8" s="43" t="str">
        <f t="shared" si="0"/>
        <v/>
      </c>
      <c r="I8" s="148" t="e">
        <f t="array" aca="1" ref="I8" ca="1">IF($A9="",$G8/($V8-$U$5+INDIRECT(IF(_xlfn.SHEET()&lt;6,"令和8年"&amp;_xlfn.SHEET()+7&amp;"月","令和9年"&amp;_xlfn.SHEET()-5&amp;"月")&amp;"!$U$5")),$G8/($V9-$U$5))</f>
        <v>#VALUE!</v>
      </c>
      <c r="J8" s="26" t="str">
        <f t="shared" si="1"/>
        <v/>
      </c>
      <c r="K8" s="27"/>
      <c r="L8" s="165">
        <f t="shared" si="2"/>
        <v>0</v>
      </c>
      <c r="M8" s="28" t="str">
        <f t="shared" si="3"/>
        <v/>
      </c>
      <c r="N8" s="166" t="str">
        <f t="shared" si="4"/>
        <v/>
      </c>
      <c r="O8" s="167" t="str">
        <f t="shared" si="5"/>
        <v/>
      </c>
      <c r="P8" s="168"/>
      <c r="Q8" s="169" t="str">
        <f t="shared" si="6"/>
        <v/>
      </c>
      <c r="R8" s="170">
        <v>23</v>
      </c>
      <c r="S8" s="171">
        <v>17</v>
      </c>
      <c r="T8" s="24" t="s">
        <v>93</v>
      </c>
      <c r="U8" s="29">
        <v>855639</v>
      </c>
      <c r="V8" s="30">
        <f t="shared" si="41"/>
        <v>1509031</v>
      </c>
      <c r="W8" s="27">
        <v>506</v>
      </c>
      <c r="X8" s="31">
        <f t="shared" si="7"/>
        <v>1690.9861660079052</v>
      </c>
      <c r="Y8" s="29">
        <v>250280</v>
      </c>
      <c r="Z8" s="32">
        <f t="shared" si="42"/>
        <v>826105</v>
      </c>
      <c r="AA8" s="33">
        <f t="shared" si="8"/>
        <v>1.8266818382651115</v>
      </c>
      <c r="AB8" s="158">
        <v>800000</v>
      </c>
      <c r="AC8" s="34">
        <f t="shared" si="43"/>
        <v>2100000</v>
      </c>
      <c r="AD8" s="158"/>
      <c r="AE8" s="25"/>
      <c r="AF8" s="25"/>
      <c r="AG8" s="25"/>
      <c r="AH8" s="25"/>
      <c r="AI8" s="25"/>
      <c r="AJ8" s="25"/>
      <c r="AK8" s="79"/>
      <c r="AL8" s="120"/>
      <c r="AM8" s="79"/>
      <c r="AN8" s="120"/>
      <c r="AO8" s="79"/>
      <c r="AP8" s="79"/>
      <c r="AQ8" s="158"/>
      <c r="AR8" s="35">
        <f t="shared" si="9"/>
        <v>0</v>
      </c>
      <c r="AS8" s="172" t="str">
        <f t="shared" si="10"/>
        <v/>
      </c>
      <c r="AT8" s="36">
        <f t="shared" si="11"/>
        <v>0</v>
      </c>
      <c r="AU8" s="173"/>
      <c r="AV8" s="82">
        <f t="shared" si="12"/>
        <v>4</v>
      </c>
      <c r="AW8" s="37"/>
      <c r="AX8" s="174" t="str">
        <f t="shared" si="13"/>
        <v/>
      </c>
      <c r="AY8" s="37"/>
      <c r="AZ8" s="174" t="str">
        <f t="shared" si="14"/>
        <v/>
      </c>
      <c r="BA8" s="37"/>
      <c r="BB8" s="174" t="str">
        <f t="shared" si="15"/>
        <v/>
      </c>
      <c r="BC8" s="37"/>
      <c r="BD8" s="174" t="str">
        <f t="shared" si="16"/>
        <v/>
      </c>
      <c r="BE8" s="37"/>
      <c r="BF8" s="174" t="str">
        <f t="shared" si="17"/>
        <v/>
      </c>
      <c r="BG8" s="37"/>
      <c r="BH8" s="174" t="str">
        <f t="shared" si="18"/>
        <v/>
      </c>
      <c r="BI8" s="37"/>
      <c r="BJ8" s="174" t="str">
        <f t="shared" si="19"/>
        <v/>
      </c>
      <c r="BK8" s="37"/>
      <c r="BL8" s="174" t="str">
        <f t="shared" si="20"/>
        <v/>
      </c>
      <c r="BM8" s="37"/>
      <c r="BN8" s="174" t="str">
        <f t="shared" si="21"/>
        <v/>
      </c>
      <c r="BO8" s="37"/>
      <c r="BP8" s="174" t="str">
        <f t="shared" si="22"/>
        <v/>
      </c>
      <c r="BQ8" s="37"/>
      <c r="BR8" s="174" t="str">
        <f t="shared" si="23"/>
        <v/>
      </c>
      <c r="BS8" s="37"/>
      <c r="BT8" s="174" t="str">
        <f t="shared" si="24"/>
        <v/>
      </c>
      <c r="BU8" s="37"/>
      <c r="BV8" s="174" t="str">
        <f t="shared" si="25"/>
        <v/>
      </c>
      <c r="BW8" s="37"/>
      <c r="BX8" s="174" t="str">
        <f t="shared" si="26"/>
        <v/>
      </c>
      <c r="BY8" s="37"/>
      <c r="BZ8" s="174" t="str">
        <f t="shared" si="27"/>
        <v/>
      </c>
      <c r="CA8" s="37"/>
      <c r="CB8" s="174" t="str">
        <f t="shared" si="28"/>
        <v/>
      </c>
      <c r="CC8" s="37"/>
      <c r="CD8" s="174" t="str">
        <f t="shared" si="29"/>
        <v/>
      </c>
      <c r="CE8" s="37"/>
      <c r="CF8" s="174" t="str">
        <f t="shared" si="30"/>
        <v/>
      </c>
      <c r="CG8" s="37"/>
      <c r="CH8" s="174" t="str">
        <f t="shared" si="31"/>
        <v/>
      </c>
      <c r="CI8" s="37"/>
      <c r="CJ8" s="174" t="str">
        <f t="shared" si="32"/>
        <v/>
      </c>
      <c r="CK8" s="37"/>
      <c r="CL8" s="174" t="str">
        <f t="shared" si="33"/>
        <v/>
      </c>
      <c r="CM8" s="37"/>
      <c r="CN8" s="174" t="str">
        <f t="shared" si="34"/>
        <v/>
      </c>
      <c r="CO8" s="37"/>
      <c r="CP8" s="174" t="str">
        <f t="shared" si="35"/>
        <v/>
      </c>
      <c r="CQ8" s="37"/>
      <c r="CR8" s="174" t="str">
        <f t="shared" si="36"/>
        <v/>
      </c>
      <c r="CS8" s="37"/>
      <c r="CT8" s="174" t="str">
        <f t="shared" si="37"/>
        <v/>
      </c>
      <c r="CU8" s="38"/>
      <c r="CV8" s="87"/>
      <c r="CW8" s="90"/>
      <c r="CX8" s="38"/>
      <c r="CY8" s="39"/>
      <c r="CZ8" s="37"/>
      <c r="DA8" s="39"/>
      <c r="DB8" s="24">
        <v>4</v>
      </c>
      <c r="DC8" s="96" t="str">
        <f t="shared" si="38"/>
        <v>日</v>
      </c>
      <c r="DF8" s="125"/>
      <c r="DG8" s="40"/>
      <c r="DH8" s="40"/>
      <c r="DI8" s="40"/>
      <c r="DJ8" s="40"/>
      <c r="DK8" s="40"/>
      <c r="DL8" s="40"/>
      <c r="DM8" s="40"/>
      <c r="DN8" s="40"/>
      <c r="DO8" s="40"/>
      <c r="DP8" s="40">
        <f t="shared" si="39"/>
        <v>0</v>
      </c>
      <c r="DQ8" s="172" t="str">
        <f t="shared" si="40"/>
        <v/>
      </c>
      <c r="DS8" s="189"/>
      <c r="DT8" s="190"/>
      <c r="DU8" s="190"/>
      <c r="DV8" s="191"/>
      <c r="DW8" s="41"/>
      <c r="DX8" s="42"/>
      <c r="DY8" s="139"/>
      <c r="DZ8" s="139"/>
      <c r="EA8" s="139"/>
      <c r="EB8" s="139"/>
    </row>
    <row r="9" spans="1:132" ht="13.5" customHeight="1" x14ac:dyDescent="0.4">
      <c r="A9" s="104">
        <v>5</v>
      </c>
      <c r="B9" s="23" t="s">
        <v>90</v>
      </c>
      <c r="C9" s="164"/>
      <c r="D9" s="164"/>
      <c r="E9" s="24"/>
      <c r="F9" s="29"/>
      <c r="G9" s="25" t="str">
        <f>IF(SUM($F$5:F9)=0,"",SUM($F$5:F9))</f>
        <v/>
      </c>
      <c r="H9" s="43" t="str">
        <f t="shared" si="0"/>
        <v/>
      </c>
      <c r="I9" s="148" t="e">
        <f t="array" aca="1" ref="I9" ca="1">IF($A10="",$G9/($V9-$U$5+INDIRECT(IF(_xlfn.SHEET()&lt;6,"令和8年"&amp;_xlfn.SHEET()+7&amp;"月","令和9年"&amp;_xlfn.SHEET()-5&amp;"月")&amp;"!$U$5")),$G9/($V10-$U$5))</f>
        <v>#VALUE!</v>
      </c>
      <c r="J9" s="26" t="str">
        <f t="shared" si="1"/>
        <v/>
      </c>
      <c r="K9" s="27"/>
      <c r="L9" s="165">
        <f t="shared" si="2"/>
        <v>0</v>
      </c>
      <c r="M9" s="28" t="str">
        <f t="shared" si="3"/>
        <v/>
      </c>
      <c r="N9" s="166" t="str">
        <f t="shared" si="4"/>
        <v/>
      </c>
      <c r="O9" s="167" t="str">
        <f t="shared" si="5"/>
        <v/>
      </c>
      <c r="P9" s="168"/>
      <c r="Q9" s="169" t="str">
        <f t="shared" si="6"/>
        <v/>
      </c>
      <c r="R9" s="170">
        <v>26</v>
      </c>
      <c r="S9" s="171">
        <v>21</v>
      </c>
      <c r="T9" s="24" t="s">
        <v>93</v>
      </c>
      <c r="U9" s="29">
        <v>866978</v>
      </c>
      <c r="V9" s="30">
        <f t="shared" si="41"/>
        <v>2376009</v>
      </c>
      <c r="W9" s="27">
        <v>598</v>
      </c>
      <c r="X9" s="31">
        <f t="shared" si="7"/>
        <v>1449.7959866220735</v>
      </c>
      <c r="Y9" s="29">
        <v>802967</v>
      </c>
      <c r="Z9" s="32">
        <f t="shared" si="42"/>
        <v>1629072</v>
      </c>
      <c r="AA9" s="33">
        <f t="shared" si="8"/>
        <v>1.4585045964819234</v>
      </c>
      <c r="AB9" s="158">
        <v>250000</v>
      </c>
      <c r="AC9" s="34">
        <f t="shared" si="43"/>
        <v>2350000</v>
      </c>
      <c r="AD9" s="158"/>
      <c r="AE9" s="25"/>
      <c r="AF9" s="25"/>
      <c r="AG9" s="25"/>
      <c r="AH9" s="25"/>
      <c r="AI9" s="25"/>
      <c r="AJ9" s="25"/>
      <c r="AK9" s="25"/>
      <c r="AL9" s="158"/>
      <c r="AM9" s="25"/>
      <c r="AN9" s="158"/>
      <c r="AO9" s="25"/>
      <c r="AP9" s="25"/>
      <c r="AQ9" s="158"/>
      <c r="AR9" s="35">
        <f t="shared" si="9"/>
        <v>0</v>
      </c>
      <c r="AS9" s="172" t="str">
        <f t="shared" si="10"/>
        <v/>
      </c>
      <c r="AT9" s="36">
        <f t="shared" si="11"/>
        <v>0</v>
      </c>
      <c r="AU9" s="173"/>
      <c r="AV9" s="82">
        <f t="shared" si="12"/>
        <v>5</v>
      </c>
      <c r="AW9" s="37"/>
      <c r="AX9" s="174" t="str">
        <f t="shared" si="13"/>
        <v/>
      </c>
      <c r="AY9" s="37"/>
      <c r="AZ9" s="174" t="str">
        <f t="shared" si="14"/>
        <v/>
      </c>
      <c r="BA9" s="37"/>
      <c r="BB9" s="174" t="str">
        <f t="shared" si="15"/>
        <v/>
      </c>
      <c r="BC9" s="37"/>
      <c r="BD9" s="174" t="str">
        <f t="shared" si="16"/>
        <v/>
      </c>
      <c r="BE9" s="37"/>
      <c r="BF9" s="174" t="str">
        <f t="shared" si="17"/>
        <v/>
      </c>
      <c r="BG9" s="37"/>
      <c r="BH9" s="174" t="str">
        <f t="shared" si="18"/>
        <v/>
      </c>
      <c r="BI9" s="37"/>
      <c r="BJ9" s="174" t="str">
        <f t="shared" si="19"/>
        <v/>
      </c>
      <c r="BK9" s="37"/>
      <c r="BL9" s="174" t="str">
        <f t="shared" si="20"/>
        <v/>
      </c>
      <c r="BM9" s="37"/>
      <c r="BN9" s="174" t="str">
        <f t="shared" si="21"/>
        <v/>
      </c>
      <c r="BO9" s="37"/>
      <c r="BP9" s="174" t="str">
        <f t="shared" si="22"/>
        <v/>
      </c>
      <c r="BQ9" s="37"/>
      <c r="BR9" s="174" t="str">
        <f t="shared" si="23"/>
        <v/>
      </c>
      <c r="BS9" s="37"/>
      <c r="BT9" s="174" t="str">
        <f t="shared" si="24"/>
        <v/>
      </c>
      <c r="BU9" s="37"/>
      <c r="BV9" s="174" t="str">
        <f t="shared" si="25"/>
        <v/>
      </c>
      <c r="BW9" s="37"/>
      <c r="BX9" s="174" t="str">
        <f t="shared" si="26"/>
        <v/>
      </c>
      <c r="BY9" s="37"/>
      <c r="BZ9" s="174" t="str">
        <f t="shared" si="27"/>
        <v/>
      </c>
      <c r="CA9" s="37"/>
      <c r="CB9" s="174" t="str">
        <f t="shared" si="28"/>
        <v/>
      </c>
      <c r="CC9" s="37"/>
      <c r="CD9" s="174" t="str">
        <f t="shared" si="29"/>
        <v/>
      </c>
      <c r="CE9" s="37"/>
      <c r="CF9" s="174" t="str">
        <f t="shared" si="30"/>
        <v/>
      </c>
      <c r="CG9" s="37"/>
      <c r="CH9" s="174" t="str">
        <f t="shared" si="31"/>
        <v/>
      </c>
      <c r="CI9" s="37"/>
      <c r="CJ9" s="174" t="str">
        <f t="shared" si="32"/>
        <v/>
      </c>
      <c r="CK9" s="37"/>
      <c r="CL9" s="174" t="str">
        <f t="shared" si="33"/>
        <v/>
      </c>
      <c r="CM9" s="37"/>
      <c r="CN9" s="174" t="str">
        <f t="shared" si="34"/>
        <v/>
      </c>
      <c r="CO9" s="37"/>
      <c r="CP9" s="174" t="str">
        <f t="shared" si="35"/>
        <v/>
      </c>
      <c r="CQ9" s="37"/>
      <c r="CR9" s="174" t="str">
        <f t="shared" si="36"/>
        <v/>
      </c>
      <c r="CS9" s="37"/>
      <c r="CT9" s="174" t="str">
        <f t="shared" si="37"/>
        <v/>
      </c>
      <c r="CU9" s="38"/>
      <c r="CV9" s="87"/>
      <c r="CW9" s="90"/>
      <c r="CX9" s="38"/>
      <c r="CY9" s="39"/>
      <c r="CZ9" s="37"/>
      <c r="DA9" s="39"/>
      <c r="DB9" s="24">
        <v>5</v>
      </c>
      <c r="DC9" s="96" t="str">
        <f t="shared" si="38"/>
        <v>月</v>
      </c>
      <c r="DF9" s="125"/>
      <c r="DG9" s="40"/>
      <c r="DH9" s="40"/>
      <c r="DI9" s="40"/>
      <c r="DJ9" s="40"/>
      <c r="DK9" s="40"/>
      <c r="DL9" s="40"/>
      <c r="DM9" s="40"/>
      <c r="DN9" s="40"/>
      <c r="DO9" s="40"/>
      <c r="DP9" s="40">
        <f t="shared" si="39"/>
        <v>0</v>
      </c>
      <c r="DQ9" s="172" t="str">
        <f t="shared" si="40"/>
        <v/>
      </c>
      <c r="DS9" s="189"/>
      <c r="DT9" s="190"/>
      <c r="DU9" s="190"/>
      <c r="DV9" s="191"/>
      <c r="DW9" s="41"/>
      <c r="DX9" s="42"/>
      <c r="DY9" s="139"/>
      <c r="DZ9" s="139"/>
      <c r="EA9" s="139"/>
      <c r="EB9" s="139"/>
    </row>
    <row r="10" spans="1:132" ht="13.5" customHeight="1" x14ac:dyDescent="0.4">
      <c r="A10" s="104">
        <v>6</v>
      </c>
      <c r="B10" s="23" t="s">
        <v>91</v>
      </c>
      <c r="C10" s="164"/>
      <c r="D10" s="164"/>
      <c r="E10" s="24"/>
      <c r="F10" s="29"/>
      <c r="G10" s="25" t="str">
        <f>IF(SUM($F$5:F10)=0,"",SUM($F$5:F10))</f>
        <v/>
      </c>
      <c r="H10" s="43" t="str">
        <f t="shared" si="0"/>
        <v/>
      </c>
      <c r="I10" s="148" t="e">
        <f t="array" aca="1" ref="I10" ca="1">IF($A11="",$G10/($V10-$U$5+INDIRECT(IF(_xlfn.SHEET()&lt;6,"令和8年"&amp;_xlfn.SHEET()+7&amp;"月","令和9年"&amp;_xlfn.SHEET()-5&amp;"月")&amp;"!$U$5")),$G10/($V11-$U$5))</f>
        <v>#VALUE!</v>
      </c>
      <c r="J10" s="26" t="str">
        <f t="shared" si="1"/>
        <v/>
      </c>
      <c r="K10" s="27"/>
      <c r="L10" s="165">
        <f t="shared" si="2"/>
        <v>0</v>
      </c>
      <c r="M10" s="28" t="str">
        <f t="shared" si="3"/>
        <v/>
      </c>
      <c r="N10" s="166" t="str">
        <f t="shared" si="4"/>
        <v/>
      </c>
      <c r="O10" s="167" t="str">
        <f t="shared" si="5"/>
        <v/>
      </c>
      <c r="P10" s="168"/>
      <c r="Q10" s="169" t="str">
        <f t="shared" si="6"/>
        <v/>
      </c>
      <c r="R10" s="170">
        <v>29</v>
      </c>
      <c r="S10" s="171">
        <v>20</v>
      </c>
      <c r="T10" s="24" t="s">
        <v>84</v>
      </c>
      <c r="U10" s="29">
        <v>382907</v>
      </c>
      <c r="V10" s="30">
        <f t="shared" si="41"/>
        <v>2758916</v>
      </c>
      <c r="W10" s="27">
        <v>210</v>
      </c>
      <c r="X10" s="31">
        <f t="shared" si="7"/>
        <v>1823.3666666666666</v>
      </c>
      <c r="Y10" s="29">
        <v>804054</v>
      </c>
      <c r="Z10" s="32">
        <f t="shared" si="42"/>
        <v>2433126</v>
      </c>
      <c r="AA10" s="33">
        <f t="shared" si="8"/>
        <v>1.1338977101884571</v>
      </c>
      <c r="AB10" s="158">
        <v>250000</v>
      </c>
      <c r="AC10" s="34">
        <f t="shared" si="43"/>
        <v>2600000</v>
      </c>
      <c r="AD10" s="158"/>
      <c r="AE10" s="25"/>
      <c r="AF10" s="25"/>
      <c r="AG10" s="25"/>
      <c r="AH10" s="25"/>
      <c r="AI10" s="25"/>
      <c r="AJ10" s="25"/>
      <c r="AK10" s="25"/>
      <c r="AL10" s="158"/>
      <c r="AM10" s="25"/>
      <c r="AN10" s="158"/>
      <c r="AO10" s="25"/>
      <c r="AP10" s="25"/>
      <c r="AQ10" s="158"/>
      <c r="AR10" s="35">
        <f t="shared" si="9"/>
        <v>0</v>
      </c>
      <c r="AS10" s="172" t="str">
        <f t="shared" si="10"/>
        <v/>
      </c>
      <c r="AT10" s="36">
        <f t="shared" si="11"/>
        <v>0</v>
      </c>
      <c r="AU10" s="173"/>
      <c r="AV10" s="82">
        <f t="shared" si="12"/>
        <v>6</v>
      </c>
      <c r="AW10" s="37"/>
      <c r="AX10" s="174" t="str">
        <f t="shared" si="13"/>
        <v/>
      </c>
      <c r="AY10" s="37"/>
      <c r="AZ10" s="174" t="str">
        <f t="shared" si="14"/>
        <v/>
      </c>
      <c r="BA10" s="37"/>
      <c r="BB10" s="174" t="str">
        <f t="shared" si="15"/>
        <v/>
      </c>
      <c r="BC10" s="37"/>
      <c r="BD10" s="174" t="str">
        <f t="shared" si="16"/>
        <v/>
      </c>
      <c r="BE10" s="37"/>
      <c r="BF10" s="174" t="str">
        <f t="shared" si="17"/>
        <v/>
      </c>
      <c r="BG10" s="37"/>
      <c r="BH10" s="174" t="str">
        <f t="shared" si="18"/>
        <v/>
      </c>
      <c r="BI10" s="37"/>
      <c r="BJ10" s="174" t="str">
        <f t="shared" si="19"/>
        <v/>
      </c>
      <c r="BK10" s="37"/>
      <c r="BL10" s="174" t="str">
        <f t="shared" si="20"/>
        <v/>
      </c>
      <c r="BM10" s="37"/>
      <c r="BN10" s="174" t="str">
        <f t="shared" si="21"/>
        <v/>
      </c>
      <c r="BO10" s="37"/>
      <c r="BP10" s="174" t="str">
        <f t="shared" si="22"/>
        <v/>
      </c>
      <c r="BQ10" s="37"/>
      <c r="BR10" s="174" t="str">
        <f t="shared" si="23"/>
        <v/>
      </c>
      <c r="BS10" s="37"/>
      <c r="BT10" s="174" t="str">
        <f t="shared" si="24"/>
        <v/>
      </c>
      <c r="BU10" s="37"/>
      <c r="BV10" s="174" t="str">
        <f t="shared" si="25"/>
        <v/>
      </c>
      <c r="BW10" s="37"/>
      <c r="BX10" s="174" t="str">
        <f t="shared" si="26"/>
        <v/>
      </c>
      <c r="BY10" s="37"/>
      <c r="BZ10" s="174" t="str">
        <f t="shared" si="27"/>
        <v/>
      </c>
      <c r="CA10" s="37"/>
      <c r="CB10" s="174" t="str">
        <f t="shared" si="28"/>
        <v/>
      </c>
      <c r="CC10" s="37"/>
      <c r="CD10" s="174" t="str">
        <f t="shared" si="29"/>
        <v/>
      </c>
      <c r="CE10" s="37"/>
      <c r="CF10" s="174" t="str">
        <f t="shared" si="30"/>
        <v/>
      </c>
      <c r="CG10" s="37"/>
      <c r="CH10" s="174" t="str">
        <f t="shared" si="31"/>
        <v/>
      </c>
      <c r="CI10" s="37"/>
      <c r="CJ10" s="174" t="str">
        <f t="shared" si="32"/>
        <v/>
      </c>
      <c r="CK10" s="37"/>
      <c r="CL10" s="174" t="str">
        <f t="shared" si="33"/>
        <v/>
      </c>
      <c r="CM10" s="37"/>
      <c r="CN10" s="174" t="str">
        <f t="shared" si="34"/>
        <v/>
      </c>
      <c r="CO10" s="37"/>
      <c r="CP10" s="174" t="str">
        <f t="shared" si="35"/>
        <v/>
      </c>
      <c r="CQ10" s="37"/>
      <c r="CR10" s="174" t="str">
        <f t="shared" si="36"/>
        <v/>
      </c>
      <c r="CS10" s="37"/>
      <c r="CT10" s="174" t="str">
        <f t="shared" si="37"/>
        <v/>
      </c>
      <c r="CU10" s="38"/>
      <c r="CV10" s="87"/>
      <c r="CW10" s="90"/>
      <c r="CX10" s="38"/>
      <c r="CY10" s="39"/>
      <c r="CZ10" s="37"/>
      <c r="DA10" s="39"/>
      <c r="DB10" s="24">
        <v>6</v>
      </c>
      <c r="DC10" s="96" t="str">
        <f t="shared" si="38"/>
        <v>火</v>
      </c>
      <c r="DF10" s="125"/>
      <c r="DG10" s="40"/>
      <c r="DH10" s="40"/>
      <c r="DI10" s="40"/>
      <c r="DJ10" s="40"/>
      <c r="DK10" s="40"/>
      <c r="DL10" s="40"/>
      <c r="DM10" s="40"/>
      <c r="DN10" s="40"/>
      <c r="DO10" s="40"/>
      <c r="DP10" s="40">
        <f t="shared" si="39"/>
        <v>0</v>
      </c>
      <c r="DQ10" s="172" t="str">
        <f t="shared" si="40"/>
        <v/>
      </c>
      <c r="DS10" s="189"/>
      <c r="DT10" s="190"/>
      <c r="DU10" s="190"/>
      <c r="DV10" s="191"/>
      <c r="DW10" s="138"/>
      <c r="DX10" s="42"/>
      <c r="DY10" s="139"/>
      <c r="DZ10" s="139"/>
      <c r="EA10" s="139"/>
      <c r="EB10" s="139"/>
    </row>
    <row r="11" spans="1:132" ht="13.5" customHeight="1" x14ac:dyDescent="0.4">
      <c r="A11" s="104">
        <v>7</v>
      </c>
      <c r="B11" s="23" t="s">
        <v>83</v>
      </c>
      <c r="C11" s="164"/>
      <c r="D11" s="164"/>
      <c r="E11" s="24"/>
      <c r="F11" s="29"/>
      <c r="G11" s="25" t="str">
        <f>IF(SUM($F$5:F11)=0,"",SUM($F$5:F11))</f>
        <v/>
      </c>
      <c r="H11" s="43" t="str">
        <f t="shared" si="0"/>
        <v/>
      </c>
      <c r="I11" s="148" t="e">
        <f t="array" aca="1" ref="I11" ca="1">IF($A12="",$G11/($V11-$U$5+INDIRECT(IF(_xlfn.SHEET()&lt;6,"令和8年"&amp;_xlfn.SHEET()+7&amp;"月","令和9年"&amp;_xlfn.SHEET()-5&amp;"月")&amp;"!$U$5")),$G11/($V12-$U$5))</f>
        <v>#VALUE!</v>
      </c>
      <c r="J11" s="26" t="str">
        <f t="shared" si="1"/>
        <v/>
      </c>
      <c r="K11" s="27"/>
      <c r="L11" s="165">
        <f t="shared" si="2"/>
        <v>0</v>
      </c>
      <c r="M11" s="28" t="str">
        <f t="shared" si="3"/>
        <v/>
      </c>
      <c r="N11" s="166" t="str">
        <f t="shared" si="4"/>
        <v/>
      </c>
      <c r="O11" s="167" t="str">
        <f t="shared" si="5"/>
        <v/>
      </c>
      <c r="P11" s="168"/>
      <c r="Q11" s="169" t="str">
        <f t="shared" si="6"/>
        <v/>
      </c>
      <c r="R11" s="170">
        <v>30</v>
      </c>
      <c r="S11" s="171">
        <v>20</v>
      </c>
      <c r="T11" s="24" t="s">
        <v>84</v>
      </c>
      <c r="U11" s="29">
        <v>357726</v>
      </c>
      <c r="V11" s="30">
        <f t="shared" si="41"/>
        <v>3116642</v>
      </c>
      <c r="W11" s="27">
        <v>192</v>
      </c>
      <c r="X11" s="31">
        <f t="shared" si="7"/>
        <v>1863.15625</v>
      </c>
      <c r="Y11" s="29">
        <v>308915</v>
      </c>
      <c r="Z11" s="32">
        <f t="shared" si="42"/>
        <v>2742041</v>
      </c>
      <c r="AA11" s="33">
        <f t="shared" si="8"/>
        <v>1.1366139310097843</v>
      </c>
      <c r="AB11" s="158">
        <v>250000</v>
      </c>
      <c r="AC11" s="34">
        <f t="shared" si="43"/>
        <v>2850000</v>
      </c>
      <c r="AD11" s="158"/>
      <c r="AE11" s="25"/>
      <c r="AF11" s="25"/>
      <c r="AG11" s="25"/>
      <c r="AH11" s="25"/>
      <c r="AI11" s="25"/>
      <c r="AJ11" s="25"/>
      <c r="AK11" s="25"/>
      <c r="AL11" s="158"/>
      <c r="AM11" s="25"/>
      <c r="AN11" s="158"/>
      <c r="AO11" s="25"/>
      <c r="AP11" s="25"/>
      <c r="AQ11" s="158"/>
      <c r="AR11" s="35">
        <f t="shared" si="9"/>
        <v>0</v>
      </c>
      <c r="AS11" s="172" t="str">
        <f t="shared" si="10"/>
        <v/>
      </c>
      <c r="AT11" s="36">
        <f t="shared" si="11"/>
        <v>0</v>
      </c>
      <c r="AU11" s="173"/>
      <c r="AV11" s="82">
        <f t="shared" si="12"/>
        <v>7</v>
      </c>
      <c r="AW11" s="37"/>
      <c r="AX11" s="174" t="str">
        <f t="shared" si="13"/>
        <v/>
      </c>
      <c r="AY11" s="37"/>
      <c r="AZ11" s="174" t="str">
        <f t="shared" si="14"/>
        <v/>
      </c>
      <c r="BA11" s="37"/>
      <c r="BB11" s="174" t="str">
        <f t="shared" si="15"/>
        <v/>
      </c>
      <c r="BC11" s="37"/>
      <c r="BD11" s="174" t="str">
        <f t="shared" si="16"/>
        <v/>
      </c>
      <c r="BE11" s="37"/>
      <c r="BF11" s="174" t="str">
        <f t="shared" si="17"/>
        <v/>
      </c>
      <c r="BG11" s="37"/>
      <c r="BH11" s="174" t="str">
        <f t="shared" si="18"/>
        <v/>
      </c>
      <c r="BI11" s="37"/>
      <c r="BJ11" s="174" t="str">
        <f t="shared" si="19"/>
        <v/>
      </c>
      <c r="BK11" s="37"/>
      <c r="BL11" s="174" t="str">
        <f t="shared" si="20"/>
        <v/>
      </c>
      <c r="BM11" s="37"/>
      <c r="BN11" s="174" t="str">
        <f t="shared" si="21"/>
        <v/>
      </c>
      <c r="BO11" s="37"/>
      <c r="BP11" s="174" t="str">
        <f t="shared" si="22"/>
        <v/>
      </c>
      <c r="BQ11" s="37"/>
      <c r="BR11" s="174" t="str">
        <f t="shared" si="23"/>
        <v/>
      </c>
      <c r="BS11" s="37"/>
      <c r="BT11" s="174" t="str">
        <f t="shared" si="24"/>
        <v/>
      </c>
      <c r="BU11" s="37"/>
      <c r="BV11" s="174" t="str">
        <f t="shared" si="25"/>
        <v/>
      </c>
      <c r="BW11" s="37"/>
      <c r="BX11" s="174" t="str">
        <f t="shared" si="26"/>
        <v/>
      </c>
      <c r="BY11" s="37"/>
      <c r="BZ11" s="174" t="str">
        <f t="shared" si="27"/>
        <v/>
      </c>
      <c r="CA11" s="37"/>
      <c r="CB11" s="174" t="str">
        <f t="shared" si="28"/>
        <v/>
      </c>
      <c r="CC11" s="37"/>
      <c r="CD11" s="174" t="str">
        <f t="shared" si="29"/>
        <v/>
      </c>
      <c r="CE11" s="37"/>
      <c r="CF11" s="174" t="str">
        <f t="shared" si="30"/>
        <v/>
      </c>
      <c r="CG11" s="37"/>
      <c r="CH11" s="174" t="str">
        <f t="shared" si="31"/>
        <v/>
      </c>
      <c r="CI11" s="37"/>
      <c r="CJ11" s="174" t="str">
        <f t="shared" si="32"/>
        <v/>
      </c>
      <c r="CK11" s="37"/>
      <c r="CL11" s="174" t="str">
        <f t="shared" si="33"/>
        <v/>
      </c>
      <c r="CM11" s="37"/>
      <c r="CN11" s="174" t="str">
        <f t="shared" si="34"/>
        <v/>
      </c>
      <c r="CO11" s="37"/>
      <c r="CP11" s="174" t="str">
        <f t="shared" si="35"/>
        <v/>
      </c>
      <c r="CQ11" s="37"/>
      <c r="CR11" s="174" t="str">
        <f t="shared" si="36"/>
        <v/>
      </c>
      <c r="CS11" s="37"/>
      <c r="CT11" s="174" t="str">
        <f t="shared" si="37"/>
        <v/>
      </c>
      <c r="CU11" s="38"/>
      <c r="CV11" s="87"/>
      <c r="CW11" s="90"/>
      <c r="CX11" s="38"/>
      <c r="CY11" s="39"/>
      <c r="CZ11" s="37"/>
      <c r="DA11" s="39"/>
      <c r="DB11" s="24">
        <v>7</v>
      </c>
      <c r="DC11" s="96" t="str">
        <f t="shared" si="38"/>
        <v>水</v>
      </c>
      <c r="DF11" s="125"/>
      <c r="DG11" s="40"/>
      <c r="DH11" s="40"/>
      <c r="DI11" s="40"/>
      <c r="DJ11" s="40"/>
      <c r="DK11" s="40"/>
      <c r="DL11" s="40"/>
      <c r="DM11" s="40"/>
      <c r="DN11" s="40"/>
      <c r="DO11" s="40"/>
      <c r="DP11" s="40">
        <f t="shared" si="39"/>
        <v>0</v>
      </c>
      <c r="DQ11" s="172" t="str">
        <f t="shared" si="40"/>
        <v/>
      </c>
      <c r="DS11" s="189"/>
      <c r="DT11" s="190"/>
      <c r="DU11" s="190"/>
      <c r="DV11" s="191"/>
      <c r="DW11" s="41"/>
      <c r="DX11" s="42"/>
    </row>
    <row r="12" spans="1:132" ht="13.5" customHeight="1" x14ac:dyDescent="0.4">
      <c r="A12" s="104">
        <v>8</v>
      </c>
      <c r="B12" s="23" t="s">
        <v>85</v>
      </c>
      <c r="C12" s="164"/>
      <c r="D12" s="164"/>
      <c r="E12" s="24"/>
      <c r="F12" s="29"/>
      <c r="G12" s="25" t="str">
        <f>IF(SUM($F$5:F12)=0,"",SUM($F$5:F12))</f>
        <v/>
      </c>
      <c r="H12" s="43" t="str">
        <f t="shared" si="0"/>
        <v/>
      </c>
      <c r="I12" s="148" t="e">
        <f t="array" aca="1" ref="I12" ca="1">IF($A13="",$G12/($V12-$U$5+INDIRECT(IF(_xlfn.SHEET()&lt;6,"令和8年"&amp;_xlfn.SHEET()+7&amp;"月","令和9年"&amp;_xlfn.SHEET()-5&amp;"月")&amp;"!$U$5")),$G12/($V13-$U$5))</f>
        <v>#VALUE!</v>
      </c>
      <c r="J12" s="26" t="str">
        <f t="shared" si="1"/>
        <v/>
      </c>
      <c r="K12" s="27"/>
      <c r="L12" s="165">
        <f t="shared" si="2"/>
        <v>0</v>
      </c>
      <c r="M12" s="28" t="str">
        <f t="shared" si="3"/>
        <v/>
      </c>
      <c r="N12" s="166" t="str">
        <f t="shared" si="4"/>
        <v/>
      </c>
      <c r="O12" s="167" t="str">
        <f t="shared" si="5"/>
        <v/>
      </c>
      <c r="P12" s="168"/>
      <c r="Q12" s="169" t="str">
        <f t="shared" si="6"/>
        <v/>
      </c>
      <c r="R12" s="170">
        <v>26</v>
      </c>
      <c r="S12" s="171">
        <v>19</v>
      </c>
      <c r="T12" s="24" t="s">
        <v>84</v>
      </c>
      <c r="U12" s="29">
        <v>292797</v>
      </c>
      <c r="V12" s="30">
        <f t="shared" si="41"/>
        <v>3409439</v>
      </c>
      <c r="W12" s="27">
        <v>197</v>
      </c>
      <c r="X12" s="31">
        <f t="shared" si="7"/>
        <v>1486.2791878172588</v>
      </c>
      <c r="Y12" s="29">
        <v>268988</v>
      </c>
      <c r="Z12" s="32">
        <f t="shared" si="42"/>
        <v>3011029</v>
      </c>
      <c r="AA12" s="33">
        <f t="shared" si="8"/>
        <v>1.1323168923314919</v>
      </c>
      <c r="AB12" s="158">
        <v>250000</v>
      </c>
      <c r="AC12" s="34">
        <f t="shared" si="43"/>
        <v>3100000</v>
      </c>
      <c r="AD12" s="158"/>
      <c r="AE12" s="25"/>
      <c r="AF12" s="25"/>
      <c r="AG12" s="25"/>
      <c r="AH12" s="25"/>
      <c r="AI12" s="25"/>
      <c r="AJ12" s="25"/>
      <c r="AK12" s="25"/>
      <c r="AL12" s="158"/>
      <c r="AM12" s="25"/>
      <c r="AN12" s="158"/>
      <c r="AO12" s="25"/>
      <c r="AP12" s="25"/>
      <c r="AQ12" s="158"/>
      <c r="AR12" s="35">
        <f t="shared" si="9"/>
        <v>0</v>
      </c>
      <c r="AS12" s="172" t="str">
        <f t="shared" si="10"/>
        <v/>
      </c>
      <c r="AT12" s="36">
        <f t="shared" si="11"/>
        <v>0</v>
      </c>
      <c r="AU12" s="173"/>
      <c r="AV12" s="82">
        <f t="shared" si="12"/>
        <v>8</v>
      </c>
      <c r="AW12" s="37"/>
      <c r="AX12" s="174" t="str">
        <f t="shared" si="13"/>
        <v/>
      </c>
      <c r="AY12" s="37"/>
      <c r="AZ12" s="174" t="str">
        <f t="shared" si="14"/>
        <v/>
      </c>
      <c r="BA12" s="37"/>
      <c r="BB12" s="174" t="str">
        <f t="shared" si="15"/>
        <v/>
      </c>
      <c r="BC12" s="37"/>
      <c r="BD12" s="174" t="str">
        <f t="shared" si="16"/>
        <v/>
      </c>
      <c r="BE12" s="37"/>
      <c r="BF12" s="174" t="str">
        <f t="shared" si="17"/>
        <v/>
      </c>
      <c r="BG12" s="37"/>
      <c r="BH12" s="174" t="str">
        <f t="shared" si="18"/>
        <v/>
      </c>
      <c r="BI12" s="37"/>
      <c r="BJ12" s="174" t="str">
        <f t="shared" si="19"/>
        <v/>
      </c>
      <c r="BK12" s="37"/>
      <c r="BL12" s="174" t="str">
        <f t="shared" si="20"/>
        <v/>
      </c>
      <c r="BM12" s="37"/>
      <c r="BN12" s="174" t="str">
        <f t="shared" si="21"/>
        <v/>
      </c>
      <c r="BO12" s="37"/>
      <c r="BP12" s="174" t="str">
        <f t="shared" si="22"/>
        <v/>
      </c>
      <c r="BQ12" s="37"/>
      <c r="BR12" s="174" t="str">
        <f t="shared" si="23"/>
        <v/>
      </c>
      <c r="BS12" s="37"/>
      <c r="BT12" s="174" t="str">
        <f t="shared" si="24"/>
        <v/>
      </c>
      <c r="BU12" s="37"/>
      <c r="BV12" s="174" t="str">
        <f t="shared" si="25"/>
        <v/>
      </c>
      <c r="BW12" s="37"/>
      <c r="BX12" s="174" t="str">
        <f t="shared" si="26"/>
        <v/>
      </c>
      <c r="BY12" s="37"/>
      <c r="BZ12" s="174" t="str">
        <f t="shared" si="27"/>
        <v/>
      </c>
      <c r="CA12" s="37"/>
      <c r="CB12" s="174" t="str">
        <f t="shared" si="28"/>
        <v/>
      </c>
      <c r="CC12" s="37"/>
      <c r="CD12" s="174" t="str">
        <f t="shared" si="29"/>
        <v/>
      </c>
      <c r="CE12" s="37"/>
      <c r="CF12" s="174" t="str">
        <f t="shared" si="30"/>
        <v/>
      </c>
      <c r="CG12" s="37"/>
      <c r="CH12" s="174" t="str">
        <f t="shared" si="31"/>
        <v/>
      </c>
      <c r="CI12" s="37"/>
      <c r="CJ12" s="174" t="str">
        <f t="shared" si="32"/>
        <v/>
      </c>
      <c r="CK12" s="37"/>
      <c r="CL12" s="174" t="str">
        <f t="shared" si="33"/>
        <v/>
      </c>
      <c r="CM12" s="37"/>
      <c r="CN12" s="174" t="str">
        <f t="shared" si="34"/>
        <v/>
      </c>
      <c r="CO12" s="37"/>
      <c r="CP12" s="174" t="str">
        <f t="shared" si="35"/>
        <v/>
      </c>
      <c r="CQ12" s="37"/>
      <c r="CR12" s="174" t="str">
        <f t="shared" si="36"/>
        <v/>
      </c>
      <c r="CS12" s="37"/>
      <c r="CT12" s="174" t="str">
        <f t="shared" si="37"/>
        <v/>
      </c>
      <c r="CU12" s="38"/>
      <c r="CV12" s="87"/>
      <c r="CW12" s="90"/>
      <c r="CX12" s="38"/>
      <c r="CY12" s="39"/>
      <c r="CZ12" s="37"/>
      <c r="DA12" s="39"/>
      <c r="DB12" s="24">
        <v>8</v>
      </c>
      <c r="DC12" s="96" t="str">
        <f t="shared" si="38"/>
        <v>木</v>
      </c>
      <c r="DF12" s="125"/>
      <c r="DG12" s="40"/>
      <c r="DH12" s="40"/>
      <c r="DI12" s="40"/>
      <c r="DJ12" s="40"/>
      <c r="DK12" s="40"/>
      <c r="DL12" s="40"/>
      <c r="DM12" s="40"/>
      <c r="DN12" s="40"/>
      <c r="DO12" s="40"/>
      <c r="DP12" s="40">
        <f t="shared" si="39"/>
        <v>0</v>
      </c>
      <c r="DQ12" s="172" t="str">
        <f t="shared" si="40"/>
        <v/>
      </c>
      <c r="DS12" s="189"/>
      <c r="DT12" s="190"/>
      <c r="DU12" s="190"/>
      <c r="DV12" s="191"/>
      <c r="DW12" s="41"/>
      <c r="DX12" s="42"/>
    </row>
    <row r="13" spans="1:132" ht="13.5" customHeight="1" x14ac:dyDescent="0.4">
      <c r="A13" s="104">
        <v>9</v>
      </c>
      <c r="B13" s="23" t="s">
        <v>86</v>
      </c>
      <c r="C13" s="164"/>
      <c r="D13" s="164"/>
      <c r="E13" s="24"/>
      <c r="F13" s="29"/>
      <c r="G13" s="25" t="str">
        <f>IF(SUM($F$5:F13)=0,"",SUM($F$5:F13))</f>
        <v/>
      </c>
      <c r="H13" s="43" t="str">
        <f t="shared" si="0"/>
        <v/>
      </c>
      <c r="I13" s="148" t="e">
        <f t="array" aca="1" ref="I13" ca="1">IF($A14="",$G13/($V13-$U$5+INDIRECT(IF(_xlfn.SHEET()&lt;6,"令和8年"&amp;_xlfn.SHEET()+7&amp;"月","令和9年"&amp;_xlfn.SHEET()-5&amp;"月")&amp;"!$U$5")),$G13/($V14-$U$5))</f>
        <v>#VALUE!</v>
      </c>
      <c r="J13" s="26" t="str">
        <f t="shared" si="1"/>
        <v/>
      </c>
      <c r="K13" s="27"/>
      <c r="L13" s="165">
        <f t="shared" si="2"/>
        <v>0</v>
      </c>
      <c r="M13" s="28" t="str">
        <f t="shared" si="3"/>
        <v/>
      </c>
      <c r="N13" s="166" t="str">
        <f t="shared" si="4"/>
        <v/>
      </c>
      <c r="O13" s="167" t="str">
        <f t="shared" si="5"/>
        <v/>
      </c>
      <c r="P13" s="168"/>
      <c r="Q13" s="169" t="str">
        <f t="shared" si="6"/>
        <v/>
      </c>
      <c r="R13" s="170">
        <v>25</v>
      </c>
      <c r="S13" s="171">
        <v>18</v>
      </c>
      <c r="T13" s="24" t="s">
        <v>84</v>
      </c>
      <c r="U13" s="29">
        <v>211587</v>
      </c>
      <c r="V13" s="30">
        <f t="shared" si="41"/>
        <v>3621026</v>
      </c>
      <c r="W13" s="27">
        <v>149</v>
      </c>
      <c r="X13" s="31">
        <f t="shared" si="7"/>
        <v>1420.0469798657718</v>
      </c>
      <c r="Y13" s="29">
        <v>409569</v>
      </c>
      <c r="Z13" s="32">
        <f t="shared" si="42"/>
        <v>3420598</v>
      </c>
      <c r="AA13" s="33">
        <f t="shared" si="8"/>
        <v>1.0585944329032526</v>
      </c>
      <c r="AB13" s="158">
        <v>250000</v>
      </c>
      <c r="AC13" s="34">
        <f t="shared" si="43"/>
        <v>3350000</v>
      </c>
      <c r="AD13" s="158"/>
      <c r="AE13" s="25"/>
      <c r="AF13" s="25"/>
      <c r="AG13" s="25"/>
      <c r="AH13" s="25"/>
      <c r="AI13" s="25"/>
      <c r="AJ13" s="25"/>
      <c r="AK13" s="25"/>
      <c r="AL13" s="158"/>
      <c r="AM13" s="25"/>
      <c r="AN13" s="158"/>
      <c r="AO13" s="25"/>
      <c r="AP13" s="25"/>
      <c r="AQ13" s="158"/>
      <c r="AR13" s="35">
        <f t="shared" si="9"/>
        <v>0</v>
      </c>
      <c r="AS13" s="172" t="str">
        <f t="shared" si="10"/>
        <v/>
      </c>
      <c r="AT13" s="36">
        <f t="shared" si="11"/>
        <v>0</v>
      </c>
      <c r="AU13" s="173"/>
      <c r="AV13" s="82">
        <f t="shared" si="12"/>
        <v>9</v>
      </c>
      <c r="AW13" s="37"/>
      <c r="AX13" s="174" t="str">
        <f t="shared" si="13"/>
        <v/>
      </c>
      <c r="AY13" s="37"/>
      <c r="AZ13" s="174" t="str">
        <f t="shared" si="14"/>
        <v/>
      </c>
      <c r="BA13" s="37"/>
      <c r="BB13" s="174" t="str">
        <f t="shared" si="15"/>
        <v/>
      </c>
      <c r="BC13" s="37"/>
      <c r="BD13" s="174" t="str">
        <f t="shared" si="16"/>
        <v/>
      </c>
      <c r="BE13" s="37"/>
      <c r="BF13" s="174" t="str">
        <f t="shared" si="17"/>
        <v/>
      </c>
      <c r="BG13" s="37"/>
      <c r="BH13" s="174" t="str">
        <f t="shared" si="18"/>
        <v/>
      </c>
      <c r="BI13" s="37"/>
      <c r="BJ13" s="174" t="str">
        <f t="shared" si="19"/>
        <v/>
      </c>
      <c r="BK13" s="37"/>
      <c r="BL13" s="174" t="str">
        <f t="shared" si="20"/>
        <v/>
      </c>
      <c r="BM13" s="37"/>
      <c r="BN13" s="174" t="str">
        <f t="shared" si="21"/>
        <v/>
      </c>
      <c r="BO13" s="37"/>
      <c r="BP13" s="174" t="str">
        <f t="shared" si="22"/>
        <v/>
      </c>
      <c r="BQ13" s="37"/>
      <c r="BR13" s="174" t="str">
        <f t="shared" si="23"/>
        <v/>
      </c>
      <c r="BS13" s="37"/>
      <c r="BT13" s="174" t="str">
        <f t="shared" si="24"/>
        <v/>
      </c>
      <c r="BU13" s="37"/>
      <c r="BV13" s="174" t="str">
        <f t="shared" si="25"/>
        <v/>
      </c>
      <c r="BW13" s="37"/>
      <c r="BX13" s="174" t="str">
        <f t="shared" si="26"/>
        <v/>
      </c>
      <c r="BY13" s="37"/>
      <c r="BZ13" s="174" t="str">
        <f t="shared" si="27"/>
        <v/>
      </c>
      <c r="CA13" s="37"/>
      <c r="CB13" s="174" t="str">
        <f t="shared" si="28"/>
        <v/>
      </c>
      <c r="CC13" s="37"/>
      <c r="CD13" s="174" t="str">
        <f t="shared" si="29"/>
        <v/>
      </c>
      <c r="CE13" s="37"/>
      <c r="CF13" s="174" t="str">
        <f t="shared" si="30"/>
        <v/>
      </c>
      <c r="CG13" s="37"/>
      <c r="CH13" s="174" t="str">
        <f t="shared" si="31"/>
        <v/>
      </c>
      <c r="CI13" s="37"/>
      <c r="CJ13" s="174" t="str">
        <f t="shared" si="32"/>
        <v/>
      </c>
      <c r="CK13" s="37"/>
      <c r="CL13" s="174" t="str">
        <f t="shared" si="33"/>
        <v/>
      </c>
      <c r="CM13" s="37"/>
      <c r="CN13" s="174" t="str">
        <f t="shared" si="34"/>
        <v/>
      </c>
      <c r="CO13" s="37"/>
      <c r="CP13" s="174" t="str">
        <f t="shared" si="35"/>
        <v/>
      </c>
      <c r="CQ13" s="37"/>
      <c r="CR13" s="174" t="str">
        <f t="shared" si="36"/>
        <v/>
      </c>
      <c r="CS13" s="37"/>
      <c r="CT13" s="174" t="str">
        <f t="shared" si="37"/>
        <v/>
      </c>
      <c r="CU13" s="38"/>
      <c r="CV13" s="87"/>
      <c r="CW13" s="90"/>
      <c r="CX13" s="38"/>
      <c r="CY13" s="39"/>
      <c r="CZ13" s="37"/>
      <c r="DA13" s="39"/>
      <c r="DB13" s="24">
        <v>9</v>
      </c>
      <c r="DC13" s="96" t="str">
        <f t="shared" si="38"/>
        <v>金</v>
      </c>
      <c r="DF13" s="125"/>
      <c r="DG13" s="40"/>
      <c r="DH13" s="40"/>
      <c r="DI13" s="40"/>
      <c r="DJ13" s="40"/>
      <c r="DK13" s="40"/>
      <c r="DL13" s="40"/>
      <c r="DM13" s="40"/>
      <c r="DN13" s="40"/>
      <c r="DO13" s="40"/>
      <c r="DP13" s="40">
        <f t="shared" si="39"/>
        <v>0</v>
      </c>
      <c r="DQ13" s="172" t="str">
        <f t="shared" si="40"/>
        <v/>
      </c>
      <c r="DS13" s="189"/>
      <c r="DT13" s="190"/>
      <c r="DU13" s="190"/>
      <c r="DV13" s="191"/>
      <c r="DW13" s="138"/>
      <c r="DX13" s="42"/>
    </row>
    <row r="14" spans="1:132" ht="13.5" customHeight="1" x14ac:dyDescent="0.4">
      <c r="A14" s="104">
        <v>10</v>
      </c>
      <c r="B14" s="23" t="s">
        <v>88</v>
      </c>
      <c r="C14" s="164"/>
      <c r="D14" s="164"/>
      <c r="E14" s="24"/>
      <c r="F14" s="29"/>
      <c r="G14" s="25" t="str">
        <f>IF(SUM($F$5:F14)=0,"",SUM($F$5:F14))</f>
        <v/>
      </c>
      <c r="H14" s="43" t="str">
        <f t="shared" si="0"/>
        <v/>
      </c>
      <c r="I14" s="148" t="e">
        <f t="array" aca="1" ref="I14" ca="1">IF($A15="",$G14/($V14-$U$5+INDIRECT(IF(_xlfn.SHEET()&lt;6,"令和8年"&amp;_xlfn.SHEET()+7&amp;"月","令和9年"&amp;_xlfn.SHEET()-5&amp;"月")&amp;"!$U$5")),$G14/($V15-$U$5))</f>
        <v>#VALUE!</v>
      </c>
      <c r="J14" s="26" t="str">
        <f t="shared" si="1"/>
        <v/>
      </c>
      <c r="K14" s="27"/>
      <c r="L14" s="165">
        <f t="shared" si="2"/>
        <v>0</v>
      </c>
      <c r="M14" s="28" t="str">
        <f t="shared" si="3"/>
        <v/>
      </c>
      <c r="N14" s="166" t="str">
        <f t="shared" si="4"/>
        <v/>
      </c>
      <c r="O14" s="167" t="str">
        <f t="shared" si="5"/>
        <v/>
      </c>
      <c r="P14" s="168"/>
      <c r="Q14" s="169" t="str">
        <f t="shared" si="6"/>
        <v/>
      </c>
      <c r="R14" s="170">
        <v>26</v>
      </c>
      <c r="S14" s="171">
        <v>19</v>
      </c>
      <c r="T14" s="24" t="s">
        <v>84</v>
      </c>
      <c r="U14" s="29">
        <v>390574</v>
      </c>
      <c r="V14" s="30">
        <f t="shared" si="41"/>
        <v>4011600</v>
      </c>
      <c r="W14" s="27">
        <v>175</v>
      </c>
      <c r="X14" s="31">
        <f t="shared" si="7"/>
        <v>2231.8514285714286</v>
      </c>
      <c r="Y14" s="29">
        <v>274711</v>
      </c>
      <c r="Z14" s="32">
        <f t="shared" si="42"/>
        <v>3695309</v>
      </c>
      <c r="AA14" s="33">
        <f t="shared" si="8"/>
        <v>1.0855925715549093</v>
      </c>
      <c r="AB14" s="158">
        <v>800000</v>
      </c>
      <c r="AC14" s="34">
        <f t="shared" si="43"/>
        <v>4150000</v>
      </c>
      <c r="AD14" s="158"/>
      <c r="AE14" s="25"/>
      <c r="AF14" s="25"/>
      <c r="AG14" s="25"/>
      <c r="AH14" s="25"/>
      <c r="AI14" s="25"/>
      <c r="AJ14" s="25"/>
      <c r="AK14" s="25"/>
      <c r="AL14" s="158"/>
      <c r="AM14" s="25"/>
      <c r="AN14" s="158"/>
      <c r="AO14" s="25"/>
      <c r="AP14" s="25"/>
      <c r="AQ14" s="158"/>
      <c r="AR14" s="35">
        <f t="shared" si="9"/>
        <v>0</v>
      </c>
      <c r="AS14" s="172" t="str">
        <f t="shared" si="10"/>
        <v/>
      </c>
      <c r="AT14" s="36">
        <f t="shared" si="11"/>
        <v>0</v>
      </c>
      <c r="AU14" s="173"/>
      <c r="AV14" s="82">
        <f t="shared" si="12"/>
        <v>10</v>
      </c>
      <c r="AW14" s="37"/>
      <c r="AX14" s="174" t="str">
        <f t="shared" si="13"/>
        <v/>
      </c>
      <c r="AY14" s="37"/>
      <c r="AZ14" s="174" t="str">
        <f t="shared" si="14"/>
        <v/>
      </c>
      <c r="BA14" s="37"/>
      <c r="BB14" s="174" t="str">
        <f t="shared" si="15"/>
        <v/>
      </c>
      <c r="BC14" s="37"/>
      <c r="BD14" s="174" t="str">
        <f t="shared" si="16"/>
        <v/>
      </c>
      <c r="BE14" s="37"/>
      <c r="BF14" s="174" t="str">
        <f t="shared" si="17"/>
        <v/>
      </c>
      <c r="BG14" s="37"/>
      <c r="BH14" s="174" t="str">
        <f t="shared" si="18"/>
        <v/>
      </c>
      <c r="BI14" s="37"/>
      <c r="BJ14" s="174" t="str">
        <f t="shared" si="19"/>
        <v/>
      </c>
      <c r="BK14" s="37"/>
      <c r="BL14" s="174" t="str">
        <f t="shared" si="20"/>
        <v/>
      </c>
      <c r="BM14" s="37"/>
      <c r="BN14" s="174" t="str">
        <f t="shared" si="21"/>
        <v/>
      </c>
      <c r="BO14" s="37"/>
      <c r="BP14" s="174" t="str">
        <f t="shared" si="22"/>
        <v/>
      </c>
      <c r="BQ14" s="37"/>
      <c r="BR14" s="174" t="str">
        <f t="shared" si="23"/>
        <v/>
      </c>
      <c r="BS14" s="37"/>
      <c r="BT14" s="174" t="str">
        <f t="shared" si="24"/>
        <v/>
      </c>
      <c r="BU14" s="37"/>
      <c r="BV14" s="174" t="str">
        <f t="shared" si="25"/>
        <v/>
      </c>
      <c r="BW14" s="37"/>
      <c r="BX14" s="174" t="str">
        <f t="shared" si="26"/>
        <v/>
      </c>
      <c r="BY14" s="37"/>
      <c r="BZ14" s="174" t="str">
        <f t="shared" si="27"/>
        <v/>
      </c>
      <c r="CA14" s="37"/>
      <c r="CB14" s="174" t="str">
        <f t="shared" si="28"/>
        <v/>
      </c>
      <c r="CC14" s="37"/>
      <c r="CD14" s="174" t="str">
        <f t="shared" si="29"/>
        <v/>
      </c>
      <c r="CE14" s="37"/>
      <c r="CF14" s="174" t="str">
        <f t="shared" si="30"/>
        <v/>
      </c>
      <c r="CG14" s="37"/>
      <c r="CH14" s="174" t="str">
        <f t="shared" si="31"/>
        <v/>
      </c>
      <c r="CI14" s="37"/>
      <c r="CJ14" s="174" t="str">
        <f t="shared" si="32"/>
        <v/>
      </c>
      <c r="CK14" s="37"/>
      <c r="CL14" s="174" t="str">
        <f t="shared" si="33"/>
        <v/>
      </c>
      <c r="CM14" s="37"/>
      <c r="CN14" s="174" t="str">
        <f t="shared" si="34"/>
        <v/>
      </c>
      <c r="CO14" s="37"/>
      <c r="CP14" s="174" t="str">
        <f t="shared" si="35"/>
        <v/>
      </c>
      <c r="CQ14" s="37"/>
      <c r="CR14" s="174" t="str">
        <f t="shared" si="36"/>
        <v/>
      </c>
      <c r="CS14" s="37"/>
      <c r="CT14" s="174" t="str">
        <f t="shared" si="37"/>
        <v/>
      </c>
      <c r="CU14" s="38"/>
      <c r="CV14" s="87"/>
      <c r="CW14" s="90"/>
      <c r="CX14" s="38"/>
      <c r="CY14" s="39"/>
      <c r="CZ14" s="37"/>
      <c r="DA14" s="39"/>
      <c r="DB14" s="24">
        <v>10</v>
      </c>
      <c r="DC14" s="96" t="str">
        <f t="shared" si="38"/>
        <v>土</v>
      </c>
      <c r="DF14" s="125"/>
      <c r="DG14" s="40"/>
      <c r="DH14" s="40"/>
      <c r="DI14" s="40"/>
      <c r="DJ14" s="40"/>
      <c r="DK14" s="40"/>
      <c r="DL14" s="40"/>
      <c r="DM14" s="40"/>
      <c r="DN14" s="40"/>
      <c r="DO14" s="40"/>
      <c r="DP14" s="40">
        <f t="shared" si="39"/>
        <v>0</v>
      </c>
      <c r="DQ14" s="172" t="str">
        <f t="shared" si="40"/>
        <v/>
      </c>
      <c r="DS14" s="189"/>
      <c r="DT14" s="190"/>
      <c r="DU14" s="190"/>
      <c r="DV14" s="191"/>
      <c r="DW14" s="41"/>
      <c r="DX14" s="42"/>
    </row>
    <row r="15" spans="1:132" ht="13.5" customHeight="1" x14ac:dyDescent="0.4">
      <c r="A15" s="104">
        <v>11</v>
      </c>
      <c r="B15" s="23" t="s">
        <v>89</v>
      </c>
      <c r="C15" s="164"/>
      <c r="D15" s="164"/>
      <c r="E15" s="24"/>
      <c r="F15" s="29"/>
      <c r="G15" s="25" t="str">
        <f>IF(SUM($F$5:F15)=0,"",SUM($F$5:F15))</f>
        <v/>
      </c>
      <c r="H15" s="43" t="str">
        <f t="shared" si="0"/>
        <v/>
      </c>
      <c r="I15" s="148" t="e">
        <f t="array" aca="1" ref="I15" ca="1">IF($A16="",$G15/($V15-$U$5+INDIRECT(IF(_xlfn.SHEET()&lt;6,"令和8年"&amp;_xlfn.SHEET()+7&amp;"月","令和9年"&amp;_xlfn.SHEET()-5&amp;"月")&amp;"!$U$5")),$G15/($V16-$U$5))</f>
        <v>#VALUE!</v>
      </c>
      <c r="J15" s="26" t="str">
        <f t="shared" si="1"/>
        <v/>
      </c>
      <c r="K15" s="27"/>
      <c r="L15" s="165">
        <f t="shared" si="2"/>
        <v>0</v>
      </c>
      <c r="M15" s="28" t="str">
        <f t="shared" si="3"/>
        <v/>
      </c>
      <c r="N15" s="166" t="str">
        <f t="shared" si="4"/>
        <v/>
      </c>
      <c r="O15" s="167" t="str">
        <f t="shared" si="5"/>
        <v/>
      </c>
      <c r="P15" s="168"/>
      <c r="Q15" s="169" t="str">
        <f t="shared" si="6"/>
        <v/>
      </c>
      <c r="R15" s="170">
        <v>26</v>
      </c>
      <c r="S15" s="171">
        <v>20</v>
      </c>
      <c r="T15" s="24" t="s">
        <v>84</v>
      </c>
      <c r="U15" s="29">
        <v>589852</v>
      </c>
      <c r="V15" s="30">
        <f t="shared" si="41"/>
        <v>4601452</v>
      </c>
      <c r="W15" s="27">
        <v>354</v>
      </c>
      <c r="X15" s="31">
        <f t="shared" si="7"/>
        <v>1666.2485875706216</v>
      </c>
      <c r="Y15" s="29">
        <v>222426</v>
      </c>
      <c r="Z15" s="32">
        <f t="shared" si="42"/>
        <v>3917735</v>
      </c>
      <c r="AA15" s="33">
        <f t="shared" si="8"/>
        <v>1.17451843986385</v>
      </c>
      <c r="AB15" s="158">
        <v>800000</v>
      </c>
      <c r="AC15" s="34">
        <f t="shared" si="43"/>
        <v>4950000</v>
      </c>
      <c r="AD15" s="158"/>
      <c r="AE15" s="25"/>
      <c r="AF15" s="25"/>
      <c r="AG15" s="25"/>
      <c r="AH15" s="25"/>
      <c r="AI15" s="25"/>
      <c r="AJ15" s="25"/>
      <c r="AK15" s="25"/>
      <c r="AL15" s="158"/>
      <c r="AM15" s="25"/>
      <c r="AN15" s="158"/>
      <c r="AO15" s="25"/>
      <c r="AP15" s="25"/>
      <c r="AQ15" s="158"/>
      <c r="AR15" s="35">
        <f t="shared" si="9"/>
        <v>0</v>
      </c>
      <c r="AS15" s="172" t="str">
        <f t="shared" si="10"/>
        <v/>
      </c>
      <c r="AT15" s="36">
        <f t="shared" si="11"/>
        <v>0</v>
      </c>
      <c r="AU15" s="173"/>
      <c r="AV15" s="82">
        <f t="shared" si="12"/>
        <v>11</v>
      </c>
      <c r="AW15" s="37"/>
      <c r="AX15" s="174" t="str">
        <f t="shared" si="13"/>
        <v/>
      </c>
      <c r="AY15" s="37"/>
      <c r="AZ15" s="174" t="str">
        <f t="shared" si="14"/>
        <v/>
      </c>
      <c r="BA15" s="37"/>
      <c r="BB15" s="174" t="str">
        <f t="shared" si="15"/>
        <v/>
      </c>
      <c r="BC15" s="37"/>
      <c r="BD15" s="174" t="str">
        <f t="shared" si="16"/>
        <v/>
      </c>
      <c r="BE15" s="37"/>
      <c r="BF15" s="174" t="str">
        <f t="shared" si="17"/>
        <v/>
      </c>
      <c r="BG15" s="37"/>
      <c r="BH15" s="174" t="str">
        <f t="shared" si="18"/>
        <v/>
      </c>
      <c r="BI15" s="37"/>
      <c r="BJ15" s="174" t="str">
        <f t="shared" si="19"/>
        <v/>
      </c>
      <c r="BK15" s="37"/>
      <c r="BL15" s="174" t="str">
        <f t="shared" si="20"/>
        <v/>
      </c>
      <c r="BM15" s="37"/>
      <c r="BN15" s="174" t="str">
        <f t="shared" si="21"/>
        <v/>
      </c>
      <c r="BO15" s="37"/>
      <c r="BP15" s="174" t="str">
        <f t="shared" si="22"/>
        <v/>
      </c>
      <c r="BQ15" s="37"/>
      <c r="BR15" s="174" t="str">
        <f t="shared" si="23"/>
        <v/>
      </c>
      <c r="BS15" s="37"/>
      <c r="BT15" s="174" t="str">
        <f t="shared" si="24"/>
        <v/>
      </c>
      <c r="BU15" s="37"/>
      <c r="BV15" s="174" t="str">
        <f t="shared" si="25"/>
        <v/>
      </c>
      <c r="BW15" s="37"/>
      <c r="BX15" s="174" t="str">
        <f t="shared" si="26"/>
        <v/>
      </c>
      <c r="BY15" s="37"/>
      <c r="BZ15" s="174" t="str">
        <f t="shared" si="27"/>
        <v/>
      </c>
      <c r="CA15" s="37"/>
      <c r="CB15" s="174" t="str">
        <f t="shared" si="28"/>
        <v/>
      </c>
      <c r="CC15" s="37"/>
      <c r="CD15" s="174" t="str">
        <f t="shared" si="29"/>
        <v/>
      </c>
      <c r="CE15" s="37"/>
      <c r="CF15" s="174" t="str">
        <f t="shared" si="30"/>
        <v/>
      </c>
      <c r="CG15" s="37"/>
      <c r="CH15" s="174" t="str">
        <f t="shared" si="31"/>
        <v/>
      </c>
      <c r="CI15" s="37"/>
      <c r="CJ15" s="174" t="str">
        <f t="shared" si="32"/>
        <v/>
      </c>
      <c r="CK15" s="37"/>
      <c r="CL15" s="174" t="str">
        <f t="shared" si="33"/>
        <v/>
      </c>
      <c r="CM15" s="37"/>
      <c r="CN15" s="174" t="str">
        <f t="shared" si="34"/>
        <v/>
      </c>
      <c r="CO15" s="37"/>
      <c r="CP15" s="174" t="str">
        <f t="shared" si="35"/>
        <v/>
      </c>
      <c r="CQ15" s="37"/>
      <c r="CR15" s="174" t="str">
        <f t="shared" si="36"/>
        <v/>
      </c>
      <c r="CS15" s="37"/>
      <c r="CT15" s="174" t="str">
        <f t="shared" si="37"/>
        <v/>
      </c>
      <c r="CU15" s="38"/>
      <c r="CV15" s="87"/>
      <c r="CW15" s="90"/>
      <c r="CX15" s="38"/>
      <c r="CY15" s="39"/>
      <c r="CZ15" s="37"/>
      <c r="DA15" s="39"/>
      <c r="DB15" s="24">
        <v>11</v>
      </c>
      <c r="DC15" s="96" t="str">
        <f t="shared" si="38"/>
        <v>日</v>
      </c>
      <c r="DF15" s="125"/>
      <c r="DG15" s="40"/>
      <c r="DH15" s="40"/>
      <c r="DI15" s="40"/>
      <c r="DJ15" s="40"/>
      <c r="DK15" s="40"/>
      <c r="DL15" s="40"/>
      <c r="DM15" s="40"/>
      <c r="DN15" s="40"/>
      <c r="DO15" s="40"/>
      <c r="DP15" s="40">
        <f t="shared" si="39"/>
        <v>0</v>
      </c>
      <c r="DQ15" s="172" t="str">
        <f t="shared" si="40"/>
        <v/>
      </c>
      <c r="DS15" s="189"/>
      <c r="DT15" s="190"/>
      <c r="DU15" s="190"/>
      <c r="DV15" s="191"/>
      <c r="DW15" s="41"/>
      <c r="DX15" s="42"/>
    </row>
    <row r="16" spans="1:132" ht="13.5" customHeight="1" x14ac:dyDescent="0.4">
      <c r="A16" s="104">
        <v>12</v>
      </c>
      <c r="B16" s="140" t="s">
        <v>90</v>
      </c>
      <c r="C16" s="164"/>
      <c r="D16" s="164"/>
      <c r="E16" s="24"/>
      <c r="F16" s="29"/>
      <c r="G16" s="25" t="str">
        <f>IF(SUM($F$5:F16)=0,"",SUM($F$5:F16))</f>
        <v/>
      </c>
      <c r="H16" s="43" t="str">
        <f t="shared" si="0"/>
        <v/>
      </c>
      <c r="I16" s="148" t="e">
        <f t="array" aca="1" ref="I16" ca="1">IF($A17="",$G16/($V16-$U$5+INDIRECT(IF(_xlfn.SHEET()&lt;6,"令和8年"&amp;_xlfn.SHEET()+7&amp;"月","令和9年"&amp;_xlfn.SHEET()-5&amp;"月")&amp;"!$U$5")),$G16/($V17-$U$5))</f>
        <v>#VALUE!</v>
      </c>
      <c r="J16" s="26" t="str">
        <f t="shared" si="1"/>
        <v/>
      </c>
      <c r="K16" s="27"/>
      <c r="L16" s="165">
        <f t="shared" si="2"/>
        <v>0</v>
      </c>
      <c r="M16" s="28" t="str">
        <f t="shared" si="3"/>
        <v/>
      </c>
      <c r="N16" s="166" t="str">
        <f t="shared" si="4"/>
        <v/>
      </c>
      <c r="O16" s="167" t="str">
        <f t="shared" si="5"/>
        <v/>
      </c>
      <c r="P16" s="168"/>
      <c r="Q16" s="169" t="str">
        <f t="shared" si="6"/>
        <v/>
      </c>
      <c r="R16" s="170">
        <v>26</v>
      </c>
      <c r="S16" s="171">
        <v>21</v>
      </c>
      <c r="T16" s="24" t="s">
        <v>93</v>
      </c>
      <c r="U16" s="29">
        <v>710416</v>
      </c>
      <c r="V16" s="30">
        <f t="shared" si="41"/>
        <v>5311868</v>
      </c>
      <c r="W16" s="27">
        <v>453</v>
      </c>
      <c r="X16" s="31">
        <f t="shared" si="7"/>
        <v>1568.2472406181016</v>
      </c>
      <c r="Y16" s="29">
        <v>624070</v>
      </c>
      <c r="Z16" s="32">
        <f t="shared" si="42"/>
        <v>4541805</v>
      </c>
      <c r="AA16" s="33">
        <f t="shared" si="8"/>
        <v>1.1695499916883265</v>
      </c>
      <c r="AB16" s="158">
        <v>800000</v>
      </c>
      <c r="AC16" s="34">
        <f t="shared" si="43"/>
        <v>5750000</v>
      </c>
      <c r="AD16" s="158"/>
      <c r="AE16" s="25"/>
      <c r="AF16" s="25"/>
      <c r="AG16" s="25"/>
      <c r="AH16" s="25"/>
      <c r="AI16" s="25"/>
      <c r="AJ16" s="25"/>
      <c r="AK16" s="25"/>
      <c r="AL16" s="158"/>
      <c r="AM16" s="25"/>
      <c r="AN16" s="158"/>
      <c r="AO16" s="25"/>
      <c r="AP16" s="25"/>
      <c r="AQ16" s="158"/>
      <c r="AR16" s="35">
        <f t="shared" si="9"/>
        <v>0</v>
      </c>
      <c r="AS16" s="172" t="str">
        <f t="shared" si="10"/>
        <v/>
      </c>
      <c r="AT16" s="36">
        <f t="shared" si="11"/>
        <v>0</v>
      </c>
      <c r="AU16" s="173"/>
      <c r="AV16" s="82">
        <f t="shared" si="12"/>
        <v>12</v>
      </c>
      <c r="AW16" s="37"/>
      <c r="AX16" s="174" t="str">
        <f t="shared" si="13"/>
        <v/>
      </c>
      <c r="AY16" s="37"/>
      <c r="AZ16" s="174" t="str">
        <f t="shared" si="14"/>
        <v/>
      </c>
      <c r="BA16" s="37"/>
      <c r="BB16" s="174" t="str">
        <f t="shared" si="15"/>
        <v/>
      </c>
      <c r="BC16" s="37"/>
      <c r="BD16" s="174" t="str">
        <f t="shared" si="16"/>
        <v/>
      </c>
      <c r="BE16" s="37"/>
      <c r="BF16" s="174" t="str">
        <f t="shared" si="17"/>
        <v/>
      </c>
      <c r="BG16" s="37"/>
      <c r="BH16" s="174" t="str">
        <f t="shared" si="18"/>
        <v/>
      </c>
      <c r="BI16" s="37"/>
      <c r="BJ16" s="174" t="str">
        <f t="shared" si="19"/>
        <v/>
      </c>
      <c r="BK16" s="37"/>
      <c r="BL16" s="174" t="str">
        <f t="shared" si="20"/>
        <v/>
      </c>
      <c r="BM16" s="37"/>
      <c r="BN16" s="174" t="str">
        <f t="shared" si="21"/>
        <v/>
      </c>
      <c r="BO16" s="37"/>
      <c r="BP16" s="174" t="str">
        <f t="shared" si="22"/>
        <v/>
      </c>
      <c r="BQ16" s="37"/>
      <c r="BR16" s="174" t="str">
        <f t="shared" si="23"/>
        <v/>
      </c>
      <c r="BS16" s="37"/>
      <c r="BT16" s="174" t="str">
        <f t="shared" si="24"/>
        <v/>
      </c>
      <c r="BU16" s="37"/>
      <c r="BV16" s="174" t="str">
        <f t="shared" si="25"/>
        <v/>
      </c>
      <c r="BW16" s="37"/>
      <c r="BX16" s="174" t="str">
        <f t="shared" si="26"/>
        <v/>
      </c>
      <c r="BY16" s="37"/>
      <c r="BZ16" s="174" t="str">
        <f t="shared" si="27"/>
        <v/>
      </c>
      <c r="CA16" s="37"/>
      <c r="CB16" s="174" t="str">
        <f t="shared" si="28"/>
        <v/>
      </c>
      <c r="CC16" s="37"/>
      <c r="CD16" s="174" t="str">
        <f t="shared" si="29"/>
        <v/>
      </c>
      <c r="CE16" s="37"/>
      <c r="CF16" s="174" t="str">
        <f t="shared" si="30"/>
        <v/>
      </c>
      <c r="CG16" s="37"/>
      <c r="CH16" s="174" t="str">
        <f t="shared" si="31"/>
        <v/>
      </c>
      <c r="CI16" s="37"/>
      <c r="CJ16" s="174" t="str">
        <f t="shared" si="32"/>
        <v/>
      </c>
      <c r="CK16" s="37"/>
      <c r="CL16" s="174" t="str">
        <f t="shared" si="33"/>
        <v/>
      </c>
      <c r="CM16" s="37"/>
      <c r="CN16" s="174" t="str">
        <f t="shared" si="34"/>
        <v/>
      </c>
      <c r="CO16" s="37"/>
      <c r="CP16" s="174" t="str">
        <f t="shared" si="35"/>
        <v/>
      </c>
      <c r="CQ16" s="37"/>
      <c r="CR16" s="174" t="str">
        <f t="shared" si="36"/>
        <v/>
      </c>
      <c r="CS16" s="37"/>
      <c r="CT16" s="174" t="str">
        <f t="shared" si="37"/>
        <v/>
      </c>
      <c r="CU16" s="38"/>
      <c r="CV16" s="87"/>
      <c r="CW16" s="90"/>
      <c r="CX16" s="38"/>
      <c r="CY16" s="39"/>
      <c r="CZ16" s="37"/>
      <c r="DA16" s="39"/>
      <c r="DB16" s="24">
        <v>12</v>
      </c>
      <c r="DC16" s="96" t="str">
        <f t="shared" si="38"/>
        <v>月</v>
      </c>
      <c r="DF16" s="125"/>
      <c r="DG16" s="40"/>
      <c r="DH16" s="40"/>
      <c r="DI16" s="40"/>
      <c r="DJ16" s="40"/>
      <c r="DK16" s="40"/>
      <c r="DL16" s="40"/>
      <c r="DM16" s="40"/>
      <c r="DN16" s="40"/>
      <c r="DO16" s="40"/>
      <c r="DP16" s="40">
        <f t="shared" si="39"/>
        <v>0</v>
      </c>
      <c r="DQ16" s="172" t="str">
        <f t="shared" si="40"/>
        <v/>
      </c>
      <c r="DS16" s="189"/>
      <c r="DT16" s="190"/>
      <c r="DU16" s="190"/>
      <c r="DV16" s="191"/>
      <c r="DW16" s="138"/>
      <c r="DX16" s="42"/>
    </row>
    <row r="17" spans="1:128" ht="13.5" customHeight="1" x14ac:dyDescent="0.4">
      <c r="A17" s="104">
        <v>13</v>
      </c>
      <c r="B17" s="23" t="s">
        <v>91</v>
      </c>
      <c r="C17" s="164"/>
      <c r="D17" s="164"/>
      <c r="E17" s="24"/>
      <c r="F17" s="29"/>
      <c r="G17" s="25" t="str">
        <f>IF(SUM($F$5:F17)=0,"",SUM($F$5:F17))</f>
        <v/>
      </c>
      <c r="H17" s="43" t="str">
        <f t="shared" si="0"/>
        <v/>
      </c>
      <c r="I17" s="148" t="e">
        <f t="array" aca="1" ref="I17" ca="1">IF($A18="",$G17/($V17-$U$5+INDIRECT(IF(_xlfn.SHEET()&lt;6,"令和8年"&amp;_xlfn.SHEET()+7&amp;"月","令和9年"&amp;_xlfn.SHEET()-5&amp;"月")&amp;"!$U$5")),$G17/($V18-$U$5))</f>
        <v>#VALUE!</v>
      </c>
      <c r="J17" s="26" t="str">
        <f t="shared" si="1"/>
        <v/>
      </c>
      <c r="K17" s="27"/>
      <c r="L17" s="165">
        <f t="shared" si="2"/>
        <v>0</v>
      </c>
      <c r="M17" s="28" t="str">
        <f t="shared" si="3"/>
        <v/>
      </c>
      <c r="N17" s="166" t="str">
        <f t="shared" si="4"/>
        <v/>
      </c>
      <c r="O17" s="167" t="str">
        <f t="shared" si="5"/>
        <v/>
      </c>
      <c r="P17" s="168"/>
      <c r="Q17" s="169" t="str">
        <f t="shared" si="6"/>
        <v/>
      </c>
      <c r="R17" s="170">
        <v>28</v>
      </c>
      <c r="S17" s="171">
        <v>20</v>
      </c>
      <c r="T17" s="24" t="s">
        <v>84</v>
      </c>
      <c r="U17" s="29">
        <v>595248</v>
      </c>
      <c r="V17" s="30">
        <f t="shared" si="41"/>
        <v>5907116</v>
      </c>
      <c r="W17" s="27">
        <v>402</v>
      </c>
      <c r="X17" s="31">
        <f t="shared" si="7"/>
        <v>1480.7164179104477</v>
      </c>
      <c r="Y17" s="29">
        <v>820575</v>
      </c>
      <c r="Z17" s="32">
        <f t="shared" si="42"/>
        <v>5362380</v>
      </c>
      <c r="AA17" s="33">
        <f t="shared" si="8"/>
        <v>1.1015847440875133</v>
      </c>
      <c r="AB17" s="158">
        <v>250000</v>
      </c>
      <c r="AC17" s="34">
        <f t="shared" si="43"/>
        <v>6000000</v>
      </c>
      <c r="AD17" s="158"/>
      <c r="AE17" s="25"/>
      <c r="AF17" s="25"/>
      <c r="AG17" s="25"/>
      <c r="AH17" s="25"/>
      <c r="AI17" s="25"/>
      <c r="AJ17" s="25"/>
      <c r="AK17" s="25"/>
      <c r="AL17" s="158"/>
      <c r="AM17" s="25"/>
      <c r="AN17" s="158"/>
      <c r="AO17" s="25"/>
      <c r="AP17" s="25"/>
      <c r="AQ17" s="158"/>
      <c r="AR17" s="35">
        <f t="shared" si="9"/>
        <v>0</v>
      </c>
      <c r="AS17" s="172" t="str">
        <f t="shared" si="10"/>
        <v/>
      </c>
      <c r="AT17" s="36">
        <f t="shared" si="11"/>
        <v>0</v>
      </c>
      <c r="AU17" s="173"/>
      <c r="AV17" s="82">
        <f t="shared" si="12"/>
        <v>13</v>
      </c>
      <c r="AW17" s="37"/>
      <c r="AX17" s="174" t="str">
        <f t="shared" si="13"/>
        <v/>
      </c>
      <c r="AY17" s="37"/>
      <c r="AZ17" s="174" t="str">
        <f t="shared" si="14"/>
        <v/>
      </c>
      <c r="BA17" s="37"/>
      <c r="BB17" s="174" t="str">
        <f t="shared" si="15"/>
        <v/>
      </c>
      <c r="BC17" s="37"/>
      <c r="BD17" s="174" t="str">
        <f t="shared" si="16"/>
        <v/>
      </c>
      <c r="BE17" s="37"/>
      <c r="BF17" s="174" t="str">
        <f t="shared" si="17"/>
        <v/>
      </c>
      <c r="BG17" s="37"/>
      <c r="BH17" s="174" t="str">
        <f t="shared" si="18"/>
        <v/>
      </c>
      <c r="BI17" s="37"/>
      <c r="BJ17" s="174" t="str">
        <f t="shared" si="19"/>
        <v/>
      </c>
      <c r="BK17" s="37"/>
      <c r="BL17" s="174" t="str">
        <f t="shared" si="20"/>
        <v/>
      </c>
      <c r="BM17" s="37"/>
      <c r="BN17" s="174" t="str">
        <f t="shared" si="21"/>
        <v/>
      </c>
      <c r="BO17" s="37"/>
      <c r="BP17" s="174" t="str">
        <f t="shared" si="22"/>
        <v/>
      </c>
      <c r="BQ17" s="37"/>
      <c r="BR17" s="174" t="str">
        <f t="shared" si="23"/>
        <v/>
      </c>
      <c r="BS17" s="37"/>
      <c r="BT17" s="174" t="str">
        <f t="shared" si="24"/>
        <v/>
      </c>
      <c r="BU17" s="37"/>
      <c r="BV17" s="174" t="str">
        <f t="shared" si="25"/>
        <v/>
      </c>
      <c r="BW17" s="37"/>
      <c r="BX17" s="174" t="str">
        <f t="shared" si="26"/>
        <v/>
      </c>
      <c r="BY17" s="37"/>
      <c r="BZ17" s="174" t="str">
        <f t="shared" si="27"/>
        <v/>
      </c>
      <c r="CA17" s="37"/>
      <c r="CB17" s="174" t="str">
        <f t="shared" si="28"/>
        <v/>
      </c>
      <c r="CC17" s="37"/>
      <c r="CD17" s="174" t="str">
        <f t="shared" si="29"/>
        <v/>
      </c>
      <c r="CE17" s="37"/>
      <c r="CF17" s="174" t="str">
        <f t="shared" si="30"/>
        <v/>
      </c>
      <c r="CG17" s="37"/>
      <c r="CH17" s="174" t="str">
        <f t="shared" si="31"/>
        <v/>
      </c>
      <c r="CI17" s="37"/>
      <c r="CJ17" s="174" t="str">
        <f t="shared" si="32"/>
        <v/>
      </c>
      <c r="CK17" s="37"/>
      <c r="CL17" s="174" t="str">
        <f t="shared" si="33"/>
        <v/>
      </c>
      <c r="CM17" s="37"/>
      <c r="CN17" s="174" t="str">
        <f t="shared" si="34"/>
        <v/>
      </c>
      <c r="CO17" s="37"/>
      <c r="CP17" s="174" t="str">
        <f t="shared" si="35"/>
        <v/>
      </c>
      <c r="CQ17" s="37"/>
      <c r="CR17" s="174" t="str">
        <f t="shared" si="36"/>
        <v/>
      </c>
      <c r="CS17" s="37"/>
      <c r="CT17" s="174" t="str">
        <f t="shared" si="37"/>
        <v/>
      </c>
      <c r="CU17" s="38"/>
      <c r="CV17" s="87"/>
      <c r="CW17" s="90"/>
      <c r="CX17" s="38"/>
      <c r="CY17" s="39"/>
      <c r="CZ17" s="37"/>
      <c r="DA17" s="39"/>
      <c r="DB17" s="24">
        <v>13</v>
      </c>
      <c r="DC17" s="96" t="str">
        <f t="shared" si="38"/>
        <v>火</v>
      </c>
      <c r="DF17" s="125"/>
      <c r="DG17" s="40"/>
      <c r="DH17" s="40"/>
      <c r="DI17" s="40"/>
      <c r="DJ17" s="40"/>
      <c r="DK17" s="40"/>
      <c r="DL17" s="40"/>
      <c r="DM17" s="40"/>
      <c r="DN17" s="40"/>
      <c r="DO17" s="40"/>
      <c r="DP17" s="40">
        <f t="shared" si="39"/>
        <v>0</v>
      </c>
      <c r="DQ17" s="172" t="str">
        <f t="shared" si="40"/>
        <v/>
      </c>
      <c r="DS17" s="189"/>
      <c r="DT17" s="190"/>
      <c r="DU17" s="190"/>
      <c r="DV17" s="191"/>
      <c r="DW17" s="41"/>
      <c r="DX17" s="42"/>
    </row>
    <row r="18" spans="1:128" ht="13.5" customHeight="1" x14ac:dyDescent="0.4">
      <c r="A18" s="104">
        <v>14</v>
      </c>
      <c r="B18" s="23" t="s">
        <v>83</v>
      </c>
      <c r="C18" s="164"/>
      <c r="D18" s="164"/>
      <c r="E18" s="24"/>
      <c r="F18" s="29"/>
      <c r="G18" s="25" t="str">
        <f>IF(SUM($F$5:F18)=0,"",SUM($F$5:F18))</f>
        <v/>
      </c>
      <c r="H18" s="43" t="str">
        <f t="shared" si="0"/>
        <v/>
      </c>
      <c r="I18" s="148" t="e">
        <f t="array" aca="1" ref="I18" ca="1">IF($A19="",$G18/($V18-$U$5+INDIRECT(IF(_xlfn.SHEET()&lt;6,"令和8年"&amp;_xlfn.SHEET()+7&amp;"月","令和9年"&amp;_xlfn.SHEET()-5&amp;"月")&amp;"!$U$5")),$G18/($V19-$U$5))</f>
        <v>#VALUE!</v>
      </c>
      <c r="J18" s="26" t="str">
        <f t="shared" si="1"/>
        <v/>
      </c>
      <c r="K18" s="27"/>
      <c r="L18" s="165">
        <f t="shared" si="2"/>
        <v>0</v>
      </c>
      <c r="M18" s="28" t="str">
        <f t="shared" si="3"/>
        <v/>
      </c>
      <c r="N18" s="166" t="str">
        <f t="shared" si="4"/>
        <v/>
      </c>
      <c r="O18" s="167" t="str">
        <f t="shared" si="5"/>
        <v/>
      </c>
      <c r="P18" s="168"/>
      <c r="Q18" s="169" t="str">
        <f t="shared" si="6"/>
        <v/>
      </c>
      <c r="R18" s="170">
        <v>23</v>
      </c>
      <c r="S18" s="171">
        <v>18</v>
      </c>
      <c r="T18" s="24" t="s">
        <v>114</v>
      </c>
      <c r="U18" s="29">
        <v>252216</v>
      </c>
      <c r="V18" s="30">
        <f t="shared" si="41"/>
        <v>6159332</v>
      </c>
      <c r="W18" s="27">
        <v>159</v>
      </c>
      <c r="X18" s="31">
        <f t="shared" si="7"/>
        <v>1586.2641509433963</v>
      </c>
      <c r="Y18" s="29">
        <v>721690</v>
      </c>
      <c r="Z18" s="32">
        <f t="shared" si="42"/>
        <v>6084070</v>
      </c>
      <c r="AA18" s="33">
        <f t="shared" si="8"/>
        <v>1.0123703376193895</v>
      </c>
      <c r="AB18" s="158">
        <v>250000</v>
      </c>
      <c r="AC18" s="34">
        <f t="shared" si="43"/>
        <v>6250000</v>
      </c>
      <c r="AD18" s="158"/>
      <c r="AE18" s="25"/>
      <c r="AF18" s="25"/>
      <c r="AG18" s="25"/>
      <c r="AH18" s="25"/>
      <c r="AI18" s="25"/>
      <c r="AJ18" s="25"/>
      <c r="AK18" s="25"/>
      <c r="AL18" s="158"/>
      <c r="AM18" s="25"/>
      <c r="AN18" s="158"/>
      <c r="AO18" s="25"/>
      <c r="AP18" s="25"/>
      <c r="AQ18" s="158"/>
      <c r="AR18" s="35">
        <f t="shared" si="9"/>
        <v>0</v>
      </c>
      <c r="AS18" s="172" t="str">
        <f t="shared" si="10"/>
        <v/>
      </c>
      <c r="AT18" s="36">
        <f t="shared" si="11"/>
        <v>0</v>
      </c>
      <c r="AU18" s="173"/>
      <c r="AV18" s="82">
        <f t="shared" si="12"/>
        <v>14</v>
      </c>
      <c r="AW18" s="37"/>
      <c r="AX18" s="174" t="str">
        <f t="shared" si="13"/>
        <v/>
      </c>
      <c r="AY18" s="37"/>
      <c r="AZ18" s="174" t="str">
        <f t="shared" si="14"/>
        <v/>
      </c>
      <c r="BA18" s="37"/>
      <c r="BB18" s="174" t="str">
        <f t="shared" si="15"/>
        <v/>
      </c>
      <c r="BC18" s="37"/>
      <c r="BD18" s="174" t="str">
        <f t="shared" si="16"/>
        <v/>
      </c>
      <c r="BE18" s="37"/>
      <c r="BF18" s="174" t="str">
        <f t="shared" si="17"/>
        <v/>
      </c>
      <c r="BG18" s="37"/>
      <c r="BH18" s="174" t="str">
        <f t="shared" si="18"/>
        <v/>
      </c>
      <c r="BI18" s="37"/>
      <c r="BJ18" s="174" t="str">
        <f t="shared" si="19"/>
        <v/>
      </c>
      <c r="BK18" s="37"/>
      <c r="BL18" s="174" t="str">
        <f t="shared" si="20"/>
        <v/>
      </c>
      <c r="BM18" s="37"/>
      <c r="BN18" s="174" t="str">
        <f t="shared" si="21"/>
        <v/>
      </c>
      <c r="BO18" s="37"/>
      <c r="BP18" s="174" t="str">
        <f t="shared" si="22"/>
        <v/>
      </c>
      <c r="BQ18" s="37"/>
      <c r="BR18" s="174" t="str">
        <f t="shared" si="23"/>
        <v/>
      </c>
      <c r="BS18" s="37"/>
      <c r="BT18" s="174" t="str">
        <f t="shared" si="24"/>
        <v/>
      </c>
      <c r="BU18" s="37"/>
      <c r="BV18" s="174" t="str">
        <f t="shared" si="25"/>
        <v/>
      </c>
      <c r="BW18" s="37"/>
      <c r="BX18" s="174" t="str">
        <f t="shared" si="26"/>
        <v/>
      </c>
      <c r="BY18" s="37"/>
      <c r="BZ18" s="174" t="str">
        <f t="shared" si="27"/>
        <v/>
      </c>
      <c r="CA18" s="37"/>
      <c r="CB18" s="174" t="str">
        <f t="shared" si="28"/>
        <v/>
      </c>
      <c r="CC18" s="37"/>
      <c r="CD18" s="174" t="str">
        <f t="shared" si="29"/>
        <v/>
      </c>
      <c r="CE18" s="37"/>
      <c r="CF18" s="174" t="str">
        <f t="shared" si="30"/>
        <v/>
      </c>
      <c r="CG18" s="37"/>
      <c r="CH18" s="174" t="str">
        <f t="shared" si="31"/>
        <v/>
      </c>
      <c r="CI18" s="37"/>
      <c r="CJ18" s="174" t="str">
        <f t="shared" si="32"/>
        <v/>
      </c>
      <c r="CK18" s="37"/>
      <c r="CL18" s="174" t="str">
        <f t="shared" si="33"/>
        <v/>
      </c>
      <c r="CM18" s="37"/>
      <c r="CN18" s="174" t="str">
        <f t="shared" si="34"/>
        <v/>
      </c>
      <c r="CO18" s="37"/>
      <c r="CP18" s="174" t="str">
        <f t="shared" si="35"/>
        <v/>
      </c>
      <c r="CQ18" s="37"/>
      <c r="CR18" s="174" t="str">
        <f t="shared" si="36"/>
        <v/>
      </c>
      <c r="CS18" s="37"/>
      <c r="CT18" s="174" t="str">
        <f t="shared" si="37"/>
        <v/>
      </c>
      <c r="CU18" s="38"/>
      <c r="CV18" s="87"/>
      <c r="CW18" s="90"/>
      <c r="CX18" s="38"/>
      <c r="CY18" s="39"/>
      <c r="CZ18" s="37"/>
      <c r="DA18" s="39"/>
      <c r="DB18" s="24">
        <v>14</v>
      </c>
      <c r="DC18" s="96" t="str">
        <f t="shared" si="38"/>
        <v>水</v>
      </c>
      <c r="DF18" s="125"/>
      <c r="DG18" s="40"/>
      <c r="DH18" s="40"/>
      <c r="DI18" s="40"/>
      <c r="DJ18" s="40"/>
      <c r="DK18" s="40"/>
      <c r="DL18" s="40"/>
      <c r="DM18" s="40"/>
      <c r="DN18" s="40"/>
      <c r="DO18" s="40"/>
      <c r="DP18" s="40">
        <f t="shared" si="39"/>
        <v>0</v>
      </c>
      <c r="DQ18" s="172" t="str">
        <f t="shared" si="40"/>
        <v/>
      </c>
      <c r="DS18" s="189"/>
      <c r="DT18" s="190"/>
      <c r="DU18" s="190"/>
      <c r="DV18" s="191"/>
      <c r="DW18" s="41"/>
      <c r="DX18" s="42"/>
    </row>
    <row r="19" spans="1:128" ht="13.5" customHeight="1" x14ac:dyDescent="0.4">
      <c r="A19" s="104">
        <v>15</v>
      </c>
      <c r="B19" s="23" t="s">
        <v>85</v>
      </c>
      <c r="C19" s="164"/>
      <c r="D19" s="164"/>
      <c r="E19" s="24"/>
      <c r="F19" s="29"/>
      <c r="G19" s="25" t="str">
        <f>IF(SUM($F$5:F19)=0,"",SUM($F$5:F19))</f>
        <v/>
      </c>
      <c r="H19" s="43" t="str">
        <f t="shared" si="0"/>
        <v/>
      </c>
      <c r="I19" s="148" t="e">
        <f t="array" aca="1" ref="I19" ca="1">IF($A20="",$G19/($V19-$U$5+INDIRECT(IF(_xlfn.SHEET()&lt;6,"令和8年"&amp;_xlfn.SHEET()+7&amp;"月","令和9年"&amp;_xlfn.SHEET()-5&amp;"月")&amp;"!$U$5")),$G19/($V20-$U$5))</f>
        <v>#VALUE!</v>
      </c>
      <c r="J19" s="26" t="str">
        <f t="shared" si="1"/>
        <v/>
      </c>
      <c r="K19" s="27"/>
      <c r="L19" s="165">
        <f t="shared" si="2"/>
        <v>0</v>
      </c>
      <c r="M19" s="28" t="str">
        <f t="shared" si="3"/>
        <v/>
      </c>
      <c r="N19" s="166" t="str">
        <f t="shared" si="4"/>
        <v/>
      </c>
      <c r="O19" s="167" t="str">
        <f t="shared" si="5"/>
        <v/>
      </c>
      <c r="P19" s="168"/>
      <c r="Q19" s="169" t="str">
        <f t="shared" si="6"/>
        <v/>
      </c>
      <c r="R19" s="170">
        <v>23</v>
      </c>
      <c r="S19" s="171">
        <v>18</v>
      </c>
      <c r="T19" s="24" t="s">
        <v>114</v>
      </c>
      <c r="U19" s="29">
        <v>210290</v>
      </c>
      <c r="V19" s="30">
        <f t="shared" si="41"/>
        <v>6369622</v>
      </c>
      <c r="W19" s="27">
        <v>169</v>
      </c>
      <c r="X19" s="31">
        <f t="shared" si="7"/>
        <v>1244.3195266272189</v>
      </c>
      <c r="Y19" s="29">
        <v>286445</v>
      </c>
      <c r="Z19" s="32">
        <f t="shared" si="42"/>
        <v>6370515</v>
      </c>
      <c r="AA19" s="33">
        <f t="shared" si="8"/>
        <v>0.99985982294994991</v>
      </c>
      <c r="AB19" s="158">
        <v>250000</v>
      </c>
      <c r="AC19" s="34">
        <f t="shared" si="43"/>
        <v>6500000</v>
      </c>
      <c r="AD19" s="158"/>
      <c r="AE19" s="25"/>
      <c r="AF19" s="25"/>
      <c r="AG19" s="25"/>
      <c r="AH19" s="25"/>
      <c r="AI19" s="25"/>
      <c r="AJ19" s="25"/>
      <c r="AK19" s="25"/>
      <c r="AL19" s="158"/>
      <c r="AM19" s="25"/>
      <c r="AN19" s="158"/>
      <c r="AO19" s="25"/>
      <c r="AP19" s="25"/>
      <c r="AQ19" s="158"/>
      <c r="AR19" s="35">
        <f t="shared" si="9"/>
        <v>0</v>
      </c>
      <c r="AS19" s="172" t="str">
        <f t="shared" si="10"/>
        <v/>
      </c>
      <c r="AT19" s="36">
        <f t="shared" si="11"/>
        <v>0</v>
      </c>
      <c r="AU19" s="173"/>
      <c r="AV19" s="82">
        <f t="shared" si="12"/>
        <v>15</v>
      </c>
      <c r="AW19" s="37"/>
      <c r="AX19" s="174" t="str">
        <f t="shared" si="13"/>
        <v/>
      </c>
      <c r="AY19" s="37"/>
      <c r="AZ19" s="174" t="str">
        <f t="shared" si="14"/>
        <v/>
      </c>
      <c r="BA19" s="37"/>
      <c r="BB19" s="174" t="str">
        <f t="shared" si="15"/>
        <v/>
      </c>
      <c r="BC19" s="37"/>
      <c r="BD19" s="174" t="str">
        <f t="shared" si="16"/>
        <v/>
      </c>
      <c r="BE19" s="37"/>
      <c r="BF19" s="174" t="str">
        <f t="shared" si="17"/>
        <v/>
      </c>
      <c r="BG19" s="37"/>
      <c r="BH19" s="174" t="str">
        <f t="shared" si="18"/>
        <v/>
      </c>
      <c r="BI19" s="37"/>
      <c r="BJ19" s="174" t="str">
        <f t="shared" si="19"/>
        <v/>
      </c>
      <c r="BK19" s="37"/>
      <c r="BL19" s="174" t="str">
        <f t="shared" si="20"/>
        <v/>
      </c>
      <c r="BM19" s="37"/>
      <c r="BN19" s="174" t="str">
        <f t="shared" si="21"/>
        <v/>
      </c>
      <c r="BO19" s="37"/>
      <c r="BP19" s="174" t="str">
        <f t="shared" si="22"/>
        <v/>
      </c>
      <c r="BQ19" s="37"/>
      <c r="BR19" s="174" t="str">
        <f t="shared" si="23"/>
        <v/>
      </c>
      <c r="BS19" s="37"/>
      <c r="BT19" s="174" t="str">
        <f t="shared" si="24"/>
        <v/>
      </c>
      <c r="BU19" s="37"/>
      <c r="BV19" s="174" t="str">
        <f t="shared" si="25"/>
        <v/>
      </c>
      <c r="BW19" s="37"/>
      <c r="BX19" s="174" t="str">
        <f t="shared" si="26"/>
        <v/>
      </c>
      <c r="BY19" s="37"/>
      <c r="BZ19" s="174" t="str">
        <f t="shared" si="27"/>
        <v/>
      </c>
      <c r="CA19" s="37"/>
      <c r="CB19" s="174" t="str">
        <f t="shared" si="28"/>
        <v/>
      </c>
      <c r="CC19" s="37"/>
      <c r="CD19" s="174" t="str">
        <f t="shared" si="29"/>
        <v/>
      </c>
      <c r="CE19" s="37"/>
      <c r="CF19" s="174" t="str">
        <f t="shared" si="30"/>
        <v/>
      </c>
      <c r="CG19" s="37"/>
      <c r="CH19" s="174" t="str">
        <f t="shared" si="31"/>
        <v/>
      </c>
      <c r="CI19" s="37"/>
      <c r="CJ19" s="174" t="str">
        <f t="shared" si="32"/>
        <v/>
      </c>
      <c r="CK19" s="37"/>
      <c r="CL19" s="174" t="str">
        <f t="shared" si="33"/>
        <v/>
      </c>
      <c r="CM19" s="37"/>
      <c r="CN19" s="174" t="str">
        <f t="shared" si="34"/>
        <v/>
      </c>
      <c r="CO19" s="37"/>
      <c r="CP19" s="174" t="str">
        <f t="shared" si="35"/>
        <v/>
      </c>
      <c r="CQ19" s="37"/>
      <c r="CR19" s="174" t="str">
        <f t="shared" si="36"/>
        <v/>
      </c>
      <c r="CS19" s="37"/>
      <c r="CT19" s="174" t="str">
        <f t="shared" si="37"/>
        <v/>
      </c>
      <c r="CU19" s="38"/>
      <c r="CV19" s="87"/>
      <c r="CW19" s="90"/>
      <c r="CX19" s="38"/>
      <c r="CY19" s="39"/>
      <c r="CZ19" s="37"/>
      <c r="DA19" s="39"/>
      <c r="DB19" s="24">
        <v>15</v>
      </c>
      <c r="DC19" s="96" t="str">
        <f t="shared" si="38"/>
        <v>木</v>
      </c>
      <c r="DF19" s="125"/>
      <c r="DG19" s="40"/>
      <c r="DH19" s="40"/>
      <c r="DI19" s="40"/>
      <c r="DJ19" s="40"/>
      <c r="DK19" s="40"/>
      <c r="DL19" s="40"/>
      <c r="DM19" s="40"/>
      <c r="DN19" s="40"/>
      <c r="DO19" s="40"/>
      <c r="DP19" s="40">
        <f t="shared" si="39"/>
        <v>0</v>
      </c>
      <c r="DQ19" s="172" t="str">
        <f t="shared" si="40"/>
        <v/>
      </c>
      <c r="DS19" s="189"/>
      <c r="DT19" s="190"/>
      <c r="DU19" s="190"/>
      <c r="DV19" s="191"/>
      <c r="DW19" s="138"/>
      <c r="DX19" s="42"/>
    </row>
    <row r="20" spans="1:128" ht="13.5" customHeight="1" x14ac:dyDescent="0.4">
      <c r="A20" s="104">
        <v>16</v>
      </c>
      <c r="B20" s="23" t="s">
        <v>86</v>
      </c>
      <c r="C20" s="164"/>
      <c r="D20" s="164"/>
      <c r="E20" s="24"/>
      <c r="F20" s="29"/>
      <c r="G20" s="25" t="str">
        <f>IF(SUM($F$5:F20)=0,"",SUM($F$5:F20))</f>
        <v/>
      </c>
      <c r="H20" s="43" t="str">
        <f t="shared" si="0"/>
        <v/>
      </c>
      <c r="I20" s="148" t="e">
        <f t="array" aca="1" ref="I20" ca="1">IF($A21="",$G20/($V20-$U$5+INDIRECT(IF(_xlfn.SHEET()&lt;6,"令和8年"&amp;_xlfn.SHEET()+7&amp;"月","令和9年"&amp;_xlfn.SHEET()-5&amp;"月")&amp;"!$U$5")),$G20/($V21-$U$5))</f>
        <v>#VALUE!</v>
      </c>
      <c r="J20" s="26" t="str">
        <f t="shared" si="1"/>
        <v/>
      </c>
      <c r="K20" s="27"/>
      <c r="L20" s="165">
        <f t="shared" si="2"/>
        <v>0</v>
      </c>
      <c r="M20" s="28" t="str">
        <f t="shared" si="3"/>
        <v/>
      </c>
      <c r="N20" s="166" t="str">
        <f t="shared" si="4"/>
        <v/>
      </c>
      <c r="O20" s="167" t="str">
        <f t="shared" si="5"/>
        <v/>
      </c>
      <c r="P20" s="168"/>
      <c r="Q20" s="169" t="str">
        <f t="shared" si="6"/>
        <v/>
      </c>
      <c r="R20" s="170">
        <v>27</v>
      </c>
      <c r="S20" s="171">
        <v>15</v>
      </c>
      <c r="T20" s="24" t="s">
        <v>116</v>
      </c>
      <c r="U20" s="29">
        <v>310887</v>
      </c>
      <c r="V20" s="30">
        <f t="shared" si="41"/>
        <v>6680509</v>
      </c>
      <c r="W20" s="27">
        <v>167</v>
      </c>
      <c r="X20" s="31">
        <f t="shared" si="7"/>
        <v>1861.5988023952095</v>
      </c>
      <c r="Y20" s="29">
        <v>295588</v>
      </c>
      <c r="Z20" s="32">
        <f t="shared" si="42"/>
        <v>6666103</v>
      </c>
      <c r="AA20" s="33">
        <f t="shared" si="8"/>
        <v>1.002161082719544</v>
      </c>
      <c r="AB20" s="158">
        <v>250000</v>
      </c>
      <c r="AC20" s="34">
        <f t="shared" si="43"/>
        <v>6750000</v>
      </c>
      <c r="AD20" s="158"/>
      <c r="AE20" s="25"/>
      <c r="AF20" s="25"/>
      <c r="AG20" s="25"/>
      <c r="AH20" s="25"/>
      <c r="AI20" s="25"/>
      <c r="AJ20" s="25"/>
      <c r="AK20" s="25"/>
      <c r="AL20" s="158"/>
      <c r="AM20" s="25"/>
      <c r="AN20" s="158"/>
      <c r="AO20" s="25"/>
      <c r="AP20" s="25"/>
      <c r="AQ20" s="158"/>
      <c r="AR20" s="35">
        <f t="shared" si="9"/>
        <v>0</v>
      </c>
      <c r="AS20" s="172" t="str">
        <f t="shared" si="10"/>
        <v/>
      </c>
      <c r="AT20" s="36">
        <f t="shared" si="11"/>
        <v>0</v>
      </c>
      <c r="AU20" s="173"/>
      <c r="AV20" s="82">
        <f t="shared" si="12"/>
        <v>16</v>
      </c>
      <c r="AW20" s="37"/>
      <c r="AX20" s="174" t="str">
        <f t="shared" si="13"/>
        <v/>
      </c>
      <c r="AY20" s="37"/>
      <c r="AZ20" s="174" t="str">
        <f t="shared" si="14"/>
        <v/>
      </c>
      <c r="BA20" s="37"/>
      <c r="BB20" s="174" t="str">
        <f t="shared" si="15"/>
        <v/>
      </c>
      <c r="BC20" s="37"/>
      <c r="BD20" s="174" t="str">
        <f t="shared" si="16"/>
        <v/>
      </c>
      <c r="BE20" s="37"/>
      <c r="BF20" s="174" t="str">
        <f t="shared" si="17"/>
        <v/>
      </c>
      <c r="BG20" s="37"/>
      <c r="BH20" s="174" t="str">
        <f t="shared" si="18"/>
        <v/>
      </c>
      <c r="BI20" s="37"/>
      <c r="BJ20" s="174" t="str">
        <f t="shared" si="19"/>
        <v/>
      </c>
      <c r="BK20" s="37"/>
      <c r="BL20" s="174" t="str">
        <f t="shared" si="20"/>
        <v/>
      </c>
      <c r="BM20" s="37"/>
      <c r="BN20" s="174" t="str">
        <f t="shared" si="21"/>
        <v/>
      </c>
      <c r="BO20" s="37"/>
      <c r="BP20" s="174" t="str">
        <f t="shared" si="22"/>
        <v/>
      </c>
      <c r="BQ20" s="37"/>
      <c r="BR20" s="174" t="str">
        <f t="shared" si="23"/>
        <v/>
      </c>
      <c r="BS20" s="37"/>
      <c r="BT20" s="174" t="str">
        <f t="shared" si="24"/>
        <v/>
      </c>
      <c r="BU20" s="37"/>
      <c r="BV20" s="174" t="str">
        <f t="shared" si="25"/>
        <v/>
      </c>
      <c r="BW20" s="37"/>
      <c r="BX20" s="174" t="str">
        <f t="shared" si="26"/>
        <v/>
      </c>
      <c r="BY20" s="37"/>
      <c r="BZ20" s="174" t="str">
        <f t="shared" si="27"/>
        <v/>
      </c>
      <c r="CA20" s="37"/>
      <c r="CB20" s="174" t="str">
        <f t="shared" si="28"/>
        <v/>
      </c>
      <c r="CC20" s="37"/>
      <c r="CD20" s="174" t="str">
        <f t="shared" si="29"/>
        <v/>
      </c>
      <c r="CE20" s="37"/>
      <c r="CF20" s="174" t="str">
        <f t="shared" si="30"/>
        <v/>
      </c>
      <c r="CG20" s="37"/>
      <c r="CH20" s="174" t="str">
        <f t="shared" si="31"/>
        <v/>
      </c>
      <c r="CI20" s="37"/>
      <c r="CJ20" s="174" t="str">
        <f t="shared" si="32"/>
        <v/>
      </c>
      <c r="CK20" s="37"/>
      <c r="CL20" s="174" t="str">
        <f t="shared" si="33"/>
        <v/>
      </c>
      <c r="CM20" s="37"/>
      <c r="CN20" s="174" t="str">
        <f t="shared" si="34"/>
        <v/>
      </c>
      <c r="CO20" s="37"/>
      <c r="CP20" s="174" t="str">
        <f t="shared" si="35"/>
        <v/>
      </c>
      <c r="CQ20" s="37"/>
      <c r="CR20" s="174" t="str">
        <f t="shared" si="36"/>
        <v/>
      </c>
      <c r="CS20" s="37"/>
      <c r="CT20" s="174" t="str">
        <f t="shared" si="37"/>
        <v/>
      </c>
      <c r="CU20" s="38"/>
      <c r="CV20" s="87"/>
      <c r="CW20" s="90"/>
      <c r="CX20" s="38"/>
      <c r="CY20" s="39"/>
      <c r="CZ20" s="37"/>
      <c r="DA20" s="39"/>
      <c r="DB20" s="24">
        <v>16</v>
      </c>
      <c r="DC20" s="96" t="str">
        <f t="shared" si="38"/>
        <v>金</v>
      </c>
      <c r="DF20" s="125"/>
      <c r="DG20" s="40"/>
      <c r="DH20" s="40"/>
      <c r="DI20" s="40"/>
      <c r="DJ20" s="40"/>
      <c r="DK20" s="40"/>
      <c r="DL20" s="40"/>
      <c r="DM20" s="40"/>
      <c r="DN20" s="40"/>
      <c r="DO20" s="40"/>
      <c r="DP20" s="40">
        <f t="shared" si="39"/>
        <v>0</v>
      </c>
      <c r="DQ20" s="172" t="str">
        <f t="shared" si="40"/>
        <v/>
      </c>
      <c r="DS20" s="189"/>
      <c r="DT20" s="190"/>
      <c r="DU20" s="190"/>
      <c r="DV20" s="191"/>
      <c r="DW20" s="41"/>
      <c r="DX20" s="42"/>
    </row>
    <row r="21" spans="1:128" ht="13.5" customHeight="1" x14ac:dyDescent="0.4">
      <c r="A21" s="104">
        <v>17</v>
      </c>
      <c r="B21" s="23" t="s">
        <v>88</v>
      </c>
      <c r="C21" s="164"/>
      <c r="D21" s="164"/>
      <c r="E21" s="24"/>
      <c r="F21" s="29"/>
      <c r="G21" s="25" t="str">
        <f>IF(SUM($F$5:F21)=0,"",SUM($F$5:F21))</f>
        <v/>
      </c>
      <c r="H21" s="43" t="str">
        <f t="shared" si="0"/>
        <v/>
      </c>
      <c r="I21" s="148" t="e">
        <f t="array" aca="1" ref="I21" ca="1">IF($A22="",$G21/($V21-$U$5+INDIRECT(IF(_xlfn.SHEET()&lt;6,"令和8年"&amp;_xlfn.SHEET()+7&amp;"月","令和9年"&amp;_xlfn.SHEET()-5&amp;"月")&amp;"!$U$5")),$G21/($V22-$U$5))</f>
        <v>#VALUE!</v>
      </c>
      <c r="J21" s="26" t="str">
        <f t="shared" si="1"/>
        <v/>
      </c>
      <c r="K21" s="27"/>
      <c r="L21" s="165">
        <f t="shared" si="2"/>
        <v>0</v>
      </c>
      <c r="M21" s="28" t="str">
        <f t="shared" si="3"/>
        <v/>
      </c>
      <c r="N21" s="166" t="str">
        <f t="shared" si="4"/>
        <v/>
      </c>
      <c r="O21" s="167" t="str">
        <f t="shared" si="5"/>
        <v/>
      </c>
      <c r="P21" s="168"/>
      <c r="Q21" s="169" t="str">
        <f t="shared" si="6"/>
        <v/>
      </c>
      <c r="R21" s="170">
        <v>27</v>
      </c>
      <c r="S21" s="171">
        <v>18</v>
      </c>
      <c r="T21" s="24" t="s">
        <v>84</v>
      </c>
      <c r="U21" s="29">
        <v>190110</v>
      </c>
      <c r="V21" s="30">
        <f t="shared" si="41"/>
        <v>6870619</v>
      </c>
      <c r="W21" s="27">
        <v>122</v>
      </c>
      <c r="X21" s="31">
        <f t="shared" si="7"/>
        <v>1558.2786885245901</v>
      </c>
      <c r="Y21" s="29">
        <v>240780</v>
      </c>
      <c r="Z21" s="32">
        <f t="shared" si="42"/>
        <v>6906883</v>
      </c>
      <c r="AA21" s="33">
        <f t="shared" si="8"/>
        <v>0.9947495853049777</v>
      </c>
      <c r="AB21" s="158">
        <v>800000</v>
      </c>
      <c r="AC21" s="34">
        <f t="shared" si="43"/>
        <v>7550000</v>
      </c>
      <c r="AD21" s="158"/>
      <c r="AE21" s="25"/>
      <c r="AF21" s="25"/>
      <c r="AG21" s="25"/>
      <c r="AH21" s="25"/>
      <c r="AI21" s="25"/>
      <c r="AJ21" s="25"/>
      <c r="AK21" s="25"/>
      <c r="AL21" s="158"/>
      <c r="AM21" s="25"/>
      <c r="AN21" s="158"/>
      <c r="AO21" s="25"/>
      <c r="AP21" s="25"/>
      <c r="AQ21" s="158"/>
      <c r="AR21" s="35">
        <f t="shared" si="9"/>
        <v>0</v>
      </c>
      <c r="AS21" s="172" t="str">
        <f t="shared" si="10"/>
        <v/>
      </c>
      <c r="AT21" s="36">
        <f t="shared" si="11"/>
        <v>0</v>
      </c>
      <c r="AU21" s="173"/>
      <c r="AV21" s="82">
        <f t="shared" si="12"/>
        <v>17</v>
      </c>
      <c r="AW21" s="37"/>
      <c r="AX21" s="174" t="str">
        <f t="shared" si="13"/>
        <v/>
      </c>
      <c r="AY21" s="37"/>
      <c r="AZ21" s="174" t="str">
        <f t="shared" si="14"/>
        <v/>
      </c>
      <c r="BA21" s="37"/>
      <c r="BB21" s="174" t="str">
        <f t="shared" si="15"/>
        <v/>
      </c>
      <c r="BC21" s="37"/>
      <c r="BD21" s="174" t="str">
        <f t="shared" si="16"/>
        <v/>
      </c>
      <c r="BE21" s="37"/>
      <c r="BF21" s="174" t="str">
        <f t="shared" si="17"/>
        <v/>
      </c>
      <c r="BG21" s="37"/>
      <c r="BH21" s="174" t="str">
        <f t="shared" si="18"/>
        <v/>
      </c>
      <c r="BI21" s="37"/>
      <c r="BJ21" s="174" t="str">
        <f t="shared" si="19"/>
        <v/>
      </c>
      <c r="BK21" s="37"/>
      <c r="BL21" s="174" t="str">
        <f t="shared" si="20"/>
        <v/>
      </c>
      <c r="BM21" s="37"/>
      <c r="BN21" s="174" t="str">
        <f t="shared" si="21"/>
        <v/>
      </c>
      <c r="BO21" s="37"/>
      <c r="BP21" s="174" t="str">
        <f t="shared" si="22"/>
        <v/>
      </c>
      <c r="BQ21" s="37"/>
      <c r="BR21" s="174" t="str">
        <f t="shared" si="23"/>
        <v/>
      </c>
      <c r="BS21" s="37"/>
      <c r="BT21" s="174" t="str">
        <f t="shared" si="24"/>
        <v/>
      </c>
      <c r="BU21" s="37"/>
      <c r="BV21" s="174" t="str">
        <f t="shared" si="25"/>
        <v/>
      </c>
      <c r="BW21" s="37"/>
      <c r="BX21" s="174" t="str">
        <f t="shared" si="26"/>
        <v/>
      </c>
      <c r="BY21" s="37"/>
      <c r="BZ21" s="174" t="str">
        <f t="shared" si="27"/>
        <v/>
      </c>
      <c r="CA21" s="37"/>
      <c r="CB21" s="174" t="str">
        <f t="shared" si="28"/>
        <v/>
      </c>
      <c r="CC21" s="37"/>
      <c r="CD21" s="174" t="str">
        <f t="shared" si="29"/>
        <v/>
      </c>
      <c r="CE21" s="37"/>
      <c r="CF21" s="174" t="str">
        <f t="shared" si="30"/>
        <v/>
      </c>
      <c r="CG21" s="37"/>
      <c r="CH21" s="174" t="str">
        <f t="shared" si="31"/>
        <v/>
      </c>
      <c r="CI21" s="37"/>
      <c r="CJ21" s="174" t="str">
        <f t="shared" si="32"/>
        <v/>
      </c>
      <c r="CK21" s="37"/>
      <c r="CL21" s="174" t="str">
        <f t="shared" si="33"/>
        <v/>
      </c>
      <c r="CM21" s="37"/>
      <c r="CN21" s="174" t="str">
        <f t="shared" si="34"/>
        <v/>
      </c>
      <c r="CO21" s="37"/>
      <c r="CP21" s="174" t="str">
        <f t="shared" si="35"/>
        <v/>
      </c>
      <c r="CQ21" s="37"/>
      <c r="CR21" s="174" t="str">
        <f t="shared" si="36"/>
        <v/>
      </c>
      <c r="CS21" s="37"/>
      <c r="CT21" s="174" t="str">
        <f t="shared" si="37"/>
        <v/>
      </c>
      <c r="CU21" s="38"/>
      <c r="CV21" s="87"/>
      <c r="CW21" s="90"/>
      <c r="CX21" s="38"/>
      <c r="CY21" s="39"/>
      <c r="CZ21" s="37"/>
      <c r="DA21" s="39"/>
      <c r="DB21" s="24">
        <v>17</v>
      </c>
      <c r="DC21" s="96" t="str">
        <f t="shared" si="38"/>
        <v>土</v>
      </c>
      <c r="DF21" s="125"/>
      <c r="DG21" s="40"/>
      <c r="DH21" s="40"/>
      <c r="DI21" s="40"/>
      <c r="DJ21" s="40"/>
      <c r="DK21" s="40"/>
      <c r="DL21" s="40"/>
      <c r="DM21" s="40"/>
      <c r="DN21" s="40"/>
      <c r="DO21" s="40"/>
      <c r="DP21" s="40">
        <f t="shared" si="39"/>
        <v>0</v>
      </c>
      <c r="DQ21" s="172" t="str">
        <f t="shared" si="40"/>
        <v/>
      </c>
      <c r="DS21" s="189"/>
      <c r="DT21" s="190"/>
      <c r="DU21" s="190"/>
      <c r="DV21" s="191"/>
      <c r="DW21" s="41"/>
      <c r="DX21" s="42"/>
    </row>
    <row r="22" spans="1:128" ht="13.5" customHeight="1" x14ac:dyDescent="0.4">
      <c r="A22" s="104">
        <v>18</v>
      </c>
      <c r="B22" s="23" t="s">
        <v>89</v>
      </c>
      <c r="C22" s="164"/>
      <c r="D22" s="164"/>
      <c r="E22" s="24"/>
      <c r="F22" s="29"/>
      <c r="G22" s="25" t="str">
        <f>IF(SUM($F$5:F22)=0,"",SUM($F$5:F22))</f>
        <v/>
      </c>
      <c r="H22" s="43" t="str">
        <f t="shared" si="0"/>
        <v/>
      </c>
      <c r="I22" s="148" t="e">
        <f t="array" aca="1" ref="I22" ca="1">IF($A23="",$G22/($V22-$U$5+INDIRECT(IF(_xlfn.SHEET()&lt;6,"令和8年"&amp;_xlfn.SHEET()+7&amp;"月","令和9年"&amp;_xlfn.SHEET()-5&amp;"月")&amp;"!$U$5")),$G22/($V23-$U$5))</f>
        <v>#VALUE!</v>
      </c>
      <c r="J22" s="26" t="str">
        <f t="shared" si="1"/>
        <v/>
      </c>
      <c r="K22" s="27"/>
      <c r="L22" s="165">
        <f t="shared" si="2"/>
        <v>0</v>
      </c>
      <c r="M22" s="28" t="str">
        <f t="shared" si="3"/>
        <v/>
      </c>
      <c r="N22" s="166" t="str">
        <f t="shared" si="4"/>
        <v/>
      </c>
      <c r="O22" s="167" t="str">
        <f t="shared" si="5"/>
        <v/>
      </c>
      <c r="P22" s="168"/>
      <c r="Q22" s="169" t="str">
        <f t="shared" si="6"/>
        <v/>
      </c>
      <c r="R22" s="170">
        <v>23</v>
      </c>
      <c r="S22" s="171">
        <v>18</v>
      </c>
      <c r="T22" s="24" t="s">
        <v>84</v>
      </c>
      <c r="U22" s="29">
        <v>542626</v>
      </c>
      <c r="V22" s="30">
        <f t="shared" si="41"/>
        <v>7413245</v>
      </c>
      <c r="W22" s="27">
        <v>360</v>
      </c>
      <c r="X22" s="31">
        <f t="shared" si="7"/>
        <v>1507.2944444444445</v>
      </c>
      <c r="Y22" s="29">
        <v>266312</v>
      </c>
      <c r="Z22" s="32">
        <f t="shared" si="42"/>
        <v>7173195</v>
      </c>
      <c r="AA22" s="33">
        <f t="shared" si="8"/>
        <v>1.0334648646802436</v>
      </c>
      <c r="AB22" s="158">
        <v>800000</v>
      </c>
      <c r="AC22" s="34">
        <f t="shared" si="43"/>
        <v>8350000</v>
      </c>
      <c r="AD22" s="158"/>
      <c r="AE22" s="25"/>
      <c r="AF22" s="25"/>
      <c r="AG22" s="25"/>
      <c r="AH22" s="25"/>
      <c r="AI22" s="25"/>
      <c r="AJ22" s="25"/>
      <c r="AK22" s="25"/>
      <c r="AL22" s="158"/>
      <c r="AM22" s="25"/>
      <c r="AN22" s="158"/>
      <c r="AO22" s="25"/>
      <c r="AP22" s="25"/>
      <c r="AQ22" s="158"/>
      <c r="AR22" s="35">
        <f t="shared" si="9"/>
        <v>0</v>
      </c>
      <c r="AS22" s="172" t="str">
        <f t="shared" si="10"/>
        <v/>
      </c>
      <c r="AT22" s="36">
        <f t="shared" si="11"/>
        <v>0</v>
      </c>
      <c r="AU22" s="173"/>
      <c r="AV22" s="82">
        <f t="shared" si="12"/>
        <v>18</v>
      </c>
      <c r="AW22" s="37"/>
      <c r="AX22" s="174" t="str">
        <f t="shared" si="13"/>
        <v/>
      </c>
      <c r="AY22" s="37"/>
      <c r="AZ22" s="174" t="str">
        <f t="shared" si="14"/>
        <v/>
      </c>
      <c r="BA22" s="37"/>
      <c r="BB22" s="174" t="str">
        <f t="shared" si="15"/>
        <v/>
      </c>
      <c r="BC22" s="37"/>
      <c r="BD22" s="174" t="str">
        <f t="shared" si="16"/>
        <v/>
      </c>
      <c r="BE22" s="37"/>
      <c r="BF22" s="174" t="str">
        <f t="shared" si="17"/>
        <v/>
      </c>
      <c r="BG22" s="37"/>
      <c r="BH22" s="174" t="str">
        <f t="shared" si="18"/>
        <v/>
      </c>
      <c r="BI22" s="37"/>
      <c r="BJ22" s="174" t="str">
        <f t="shared" si="19"/>
        <v/>
      </c>
      <c r="BK22" s="37"/>
      <c r="BL22" s="174" t="str">
        <f t="shared" si="20"/>
        <v/>
      </c>
      <c r="BM22" s="37"/>
      <c r="BN22" s="174" t="str">
        <f t="shared" si="21"/>
        <v/>
      </c>
      <c r="BO22" s="37"/>
      <c r="BP22" s="174" t="str">
        <f t="shared" si="22"/>
        <v/>
      </c>
      <c r="BQ22" s="37"/>
      <c r="BR22" s="174" t="str">
        <f t="shared" si="23"/>
        <v/>
      </c>
      <c r="BS22" s="37"/>
      <c r="BT22" s="174" t="str">
        <f t="shared" si="24"/>
        <v/>
      </c>
      <c r="BU22" s="37"/>
      <c r="BV22" s="174" t="str">
        <f t="shared" si="25"/>
        <v/>
      </c>
      <c r="BW22" s="37"/>
      <c r="BX22" s="174" t="str">
        <f t="shared" si="26"/>
        <v/>
      </c>
      <c r="BY22" s="37"/>
      <c r="BZ22" s="174" t="str">
        <f t="shared" si="27"/>
        <v/>
      </c>
      <c r="CA22" s="37"/>
      <c r="CB22" s="174" t="str">
        <f t="shared" si="28"/>
        <v/>
      </c>
      <c r="CC22" s="37"/>
      <c r="CD22" s="174" t="str">
        <f t="shared" si="29"/>
        <v/>
      </c>
      <c r="CE22" s="37"/>
      <c r="CF22" s="174" t="str">
        <f t="shared" si="30"/>
        <v/>
      </c>
      <c r="CG22" s="37"/>
      <c r="CH22" s="174" t="str">
        <f t="shared" si="31"/>
        <v/>
      </c>
      <c r="CI22" s="37"/>
      <c r="CJ22" s="174" t="str">
        <f t="shared" si="32"/>
        <v/>
      </c>
      <c r="CK22" s="37"/>
      <c r="CL22" s="174" t="str">
        <f t="shared" si="33"/>
        <v/>
      </c>
      <c r="CM22" s="37"/>
      <c r="CN22" s="174" t="str">
        <f t="shared" si="34"/>
        <v/>
      </c>
      <c r="CO22" s="37"/>
      <c r="CP22" s="174" t="str">
        <f t="shared" si="35"/>
        <v/>
      </c>
      <c r="CQ22" s="37"/>
      <c r="CR22" s="174" t="str">
        <f t="shared" si="36"/>
        <v/>
      </c>
      <c r="CS22" s="37"/>
      <c r="CT22" s="174" t="str">
        <f t="shared" si="37"/>
        <v/>
      </c>
      <c r="CU22" s="38"/>
      <c r="CV22" s="87"/>
      <c r="CW22" s="90"/>
      <c r="CX22" s="38"/>
      <c r="CY22" s="39"/>
      <c r="CZ22" s="37"/>
      <c r="DA22" s="39"/>
      <c r="DB22" s="24">
        <v>18</v>
      </c>
      <c r="DC22" s="96" t="str">
        <f t="shared" si="38"/>
        <v>日</v>
      </c>
      <c r="DF22" s="125"/>
      <c r="DG22" s="40"/>
      <c r="DH22" s="40"/>
      <c r="DI22" s="40"/>
      <c r="DJ22" s="40"/>
      <c r="DK22" s="40"/>
      <c r="DL22" s="40"/>
      <c r="DM22" s="40"/>
      <c r="DN22" s="40"/>
      <c r="DO22" s="40"/>
      <c r="DP22" s="40">
        <f t="shared" si="39"/>
        <v>0</v>
      </c>
      <c r="DQ22" s="172" t="str">
        <f t="shared" si="40"/>
        <v/>
      </c>
      <c r="DS22" s="189"/>
      <c r="DT22" s="190"/>
      <c r="DU22" s="190"/>
      <c r="DV22" s="191"/>
      <c r="DW22" s="138"/>
      <c r="DX22" s="42"/>
    </row>
    <row r="23" spans="1:128" ht="13.5" customHeight="1" x14ac:dyDescent="0.4">
      <c r="A23" s="104">
        <v>19</v>
      </c>
      <c r="B23" s="23" t="s">
        <v>90</v>
      </c>
      <c r="C23" s="164"/>
      <c r="D23" s="164"/>
      <c r="E23" s="24"/>
      <c r="F23" s="29"/>
      <c r="G23" s="25" t="str">
        <f>IF(SUM($F$5:F23)=0,"",SUM($F$5:F23))</f>
        <v/>
      </c>
      <c r="H23" s="43" t="str">
        <f t="shared" si="0"/>
        <v/>
      </c>
      <c r="I23" s="148" t="e">
        <f t="array" aca="1" ref="I23" ca="1">IF($A24="",$G23/($V23-$U$5+INDIRECT(IF(_xlfn.SHEET()&lt;6,"令和8年"&amp;_xlfn.SHEET()+7&amp;"月","令和9年"&amp;_xlfn.SHEET()-5&amp;"月")&amp;"!$U$5")),$G23/($V24-$U$5))</f>
        <v>#VALUE!</v>
      </c>
      <c r="J23" s="26" t="str">
        <f t="shared" si="1"/>
        <v/>
      </c>
      <c r="K23" s="27"/>
      <c r="L23" s="165">
        <f t="shared" si="2"/>
        <v>0</v>
      </c>
      <c r="M23" s="28" t="str">
        <f t="shared" si="3"/>
        <v/>
      </c>
      <c r="N23" s="166" t="str">
        <f t="shared" si="4"/>
        <v/>
      </c>
      <c r="O23" s="167" t="str">
        <f t="shared" si="5"/>
        <v/>
      </c>
      <c r="P23" s="168"/>
      <c r="Q23" s="169" t="str">
        <f t="shared" si="6"/>
        <v/>
      </c>
      <c r="R23" s="170">
        <v>22</v>
      </c>
      <c r="S23" s="171">
        <v>18</v>
      </c>
      <c r="T23" s="24" t="s">
        <v>93</v>
      </c>
      <c r="U23" s="29">
        <v>618011</v>
      </c>
      <c r="V23" s="30">
        <f t="shared" si="41"/>
        <v>8031256</v>
      </c>
      <c r="W23" s="27">
        <v>412</v>
      </c>
      <c r="X23" s="31">
        <f t="shared" si="7"/>
        <v>1500.0266990291261</v>
      </c>
      <c r="Y23" s="29">
        <v>593420</v>
      </c>
      <c r="Z23" s="32">
        <f t="shared" si="42"/>
        <v>7766615</v>
      </c>
      <c r="AA23" s="33">
        <f t="shared" si="8"/>
        <v>1.0340741751715516</v>
      </c>
      <c r="AB23" s="158">
        <v>250000</v>
      </c>
      <c r="AC23" s="34">
        <f t="shared" si="43"/>
        <v>8600000</v>
      </c>
      <c r="AD23" s="158"/>
      <c r="AE23" s="25"/>
      <c r="AF23" s="25"/>
      <c r="AG23" s="25"/>
      <c r="AH23" s="25"/>
      <c r="AI23" s="25"/>
      <c r="AJ23" s="25"/>
      <c r="AK23" s="25"/>
      <c r="AL23" s="158"/>
      <c r="AM23" s="25"/>
      <c r="AN23" s="158"/>
      <c r="AO23" s="25"/>
      <c r="AP23" s="25"/>
      <c r="AQ23" s="158"/>
      <c r="AR23" s="35">
        <f t="shared" si="9"/>
        <v>0</v>
      </c>
      <c r="AS23" s="172" t="str">
        <f t="shared" si="10"/>
        <v/>
      </c>
      <c r="AT23" s="36">
        <f t="shared" si="11"/>
        <v>0</v>
      </c>
      <c r="AU23" s="173"/>
      <c r="AV23" s="82">
        <f t="shared" si="12"/>
        <v>19</v>
      </c>
      <c r="AW23" s="37"/>
      <c r="AX23" s="174" t="str">
        <f t="shared" si="13"/>
        <v/>
      </c>
      <c r="AY23" s="37"/>
      <c r="AZ23" s="174" t="str">
        <f t="shared" si="14"/>
        <v/>
      </c>
      <c r="BA23" s="37"/>
      <c r="BB23" s="174" t="str">
        <f t="shared" si="15"/>
        <v/>
      </c>
      <c r="BC23" s="37"/>
      <c r="BD23" s="174" t="str">
        <f t="shared" si="16"/>
        <v/>
      </c>
      <c r="BE23" s="37"/>
      <c r="BF23" s="174" t="str">
        <f t="shared" si="17"/>
        <v/>
      </c>
      <c r="BG23" s="37"/>
      <c r="BH23" s="174" t="str">
        <f t="shared" si="18"/>
        <v/>
      </c>
      <c r="BI23" s="37"/>
      <c r="BJ23" s="174" t="str">
        <f t="shared" si="19"/>
        <v/>
      </c>
      <c r="BK23" s="37"/>
      <c r="BL23" s="174" t="str">
        <f t="shared" si="20"/>
        <v/>
      </c>
      <c r="BM23" s="37"/>
      <c r="BN23" s="174" t="str">
        <f t="shared" si="21"/>
        <v/>
      </c>
      <c r="BO23" s="37"/>
      <c r="BP23" s="174" t="str">
        <f t="shared" si="22"/>
        <v/>
      </c>
      <c r="BQ23" s="37"/>
      <c r="BR23" s="174" t="str">
        <f t="shared" si="23"/>
        <v/>
      </c>
      <c r="BS23" s="37"/>
      <c r="BT23" s="174" t="str">
        <f t="shared" si="24"/>
        <v/>
      </c>
      <c r="BU23" s="37"/>
      <c r="BV23" s="174" t="str">
        <f t="shared" si="25"/>
        <v/>
      </c>
      <c r="BW23" s="37"/>
      <c r="BX23" s="174" t="str">
        <f t="shared" si="26"/>
        <v/>
      </c>
      <c r="BY23" s="37"/>
      <c r="BZ23" s="174" t="str">
        <f t="shared" si="27"/>
        <v/>
      </c>
      <c r="CA23" s="37"/>
      <c r="CB23" s="174" t="str">
        <f t="shared" si="28"/>
        <v/>
      </c>
      <c r="CC23" s="37"/>
      <c r="CD23" s="174" t="str">
        <f t="shared" si="29"/>
        <v/>
      </c>
      <c r="CE23" s="37"/>
      <c r="CF23" s="174" t="str">
        <f t="shared" si="30"/>
        <v/>
      </c>
      <c r="CG23" s="37"/>
      <c r="CH23" s="174" t="str">
        <f t="shared" si="31"/>
        <v/>
      </c>
      <c r="CI23" s="37"/>
      <c r="CJ23" s="174" t="str">
        <f t="shared" si="32"/>
        <v/>
      </c>
      <c r="CK23" s="37"/>
      <c r="CL23" s="174" t="str">
        <f t="shared" si="33"/>
        <v/>
      </c>
      <c r="CM23" s="37"/>
      <c r="CN23" s="174" t="str">
        <f t="shared" si="34"/>
        <v/>
      </c>
      <c r="CO23" s="37"/>
      <c r="CP23" s="174" t="str">
        <f t="shared" si="35"/>
        <v/>
      </c>
      <c r="CQ23" s="37"/>
      <c r="CR23" s="174" t="str">
        <f t="shared" si="36"/>
        <v/>
      </c>
      <c r="CS23" s="37"/>
      <c r="CT23" s="174" t="str">
        <f t="shared" si="37"/>
        <v/>
      </c>
      <c r="CU23" s="38"/>
      <c r="CV23" s="87"/>
      <c r="CW23" s="90"/>
      <c r="CX23" s="38"/>
      <c r="CY23" s="39"/>
      <c r="CZ23" s="37"/>
      <c r="DA23" s="39"/>
      <c r="DB23" s="24">
        <v>19</v>
      </c>
      <c r="DC23" s="96" t="str">
        <f t="shared" si="38"/>
        <v>月</v>
      </c>
      <c r="DF23" s="125"/>
      <c r="DG23" s="40"/>
      <c r="DH23" s="40"/>
      <c r="DI23" s="40"/>
      <c r="DJ23" s="40"/>
      <c r="DK23" s="40"/>
      <c r="DL23" s="40"/>
      <c r="DM23" s="40"/>
      <c r="DN23" s="40"/>
      <c r="DO23" s="40"/>
      <c r="DP23" s="40">
        <f t="shared" si="39"/>
        <v>0</v>
      </c>
      <c r="DQ23" s="172" t="str">
        <f t="shared" si="40"/>
        <v/>
      </c>
      <c r="DS23" s="189"/>
      <c r="DT23" s="190"/>
      <c r="DU23" s="190"/>
      <c r="DV23" s="191"/>
      <c r="DW23" s="41"/>
      <c r="DX23" s="42"/>
    </row>
    <row r="24" spans="1:128" ht="13.5" customHeight="1" x14ac:dyDescent="0.4">
      <c r="A24" s="104">
        <v>20</v>
      </c>
      <c r="B24" s="23" t="s">
        <v>91</v>
      </c>
      <c r="C24" s="164"/>
      <c r="D24" s="164"/>
      <c r="E24" s="24"/>
      <c r="F24" s="29"/>
      <c r="G24" s="25" t="str">
        <f>IF(SUM($F$5:F24)=0,"",SUM($F$5:F24))</f>
        <v/>
      </c>
      <c r="H24" s="43" t="str">
        <f t="shared" si="0"/>
        <v/>
      </c>
      <c r="I24" s="148" t="e">
        <f t="array" aca="1" ref="I24" ca="1">IF($A25="",$G24/($V24-$U$5+INDIRECT(IF(_xlfn.SHEET()&lt;6,"令和8年"&amp;_xlfn.SHEET()+7&amp;"月","令和9年"&amp;_xlfn.SHEET()-5&amp;"月")&amp;"!$U$5")),$G24/($V25-$U$5))</f>
        <v>#VALUE!</v>
      </c>
      <c r="J24" s="26" t="str">
        <f t="shared" si="1"/>
        <v/>
      </c>
      <c r="K24" s="27"/>
      <c r="L24" s="165">
        <f t="shared" si="2"/>
        <v>0</v>
      </c>
      <c r="M24" s="28" t="str">
        <f t="shared" si="3"/>
        <v/>
      </c>
      <c r="N24" s="166" t="str">
        <f t="shared" si="4"/>
        <v/>
      </c>
      <c r="O24" s="167" t="str">
        <f t="shared" si="5"/>
        <v/>
      </c>
      <c r="P24" s="168"/>
      <c r="Q24" s="169" t="str">
        <f t="shared" si="6"/>
        <v/>
      </c>
      <c r="R24" s="170">
        <v>22</v>
      </c>
      <c r="S24" s="171">
        <v>18</v>
      </c>
      <c r="T24" s="24" t="s">
        <v>114</v>
      </c>
      <c r="U24" s="29">
        <v>272770</v>
      </c>
      <c r="V24" s="30">
        <f t="shared" si="41"/>
        <v>8304026</v>
      </c>
      <c r="W24" s="27">
        <v>202</v>
      </c>
      <c r="X24" s="31">
        <f t="shared" si="7"/>
        <v>1350.3465346534654</v>
      </c>
      <c r="Y24" s="29">
        <v>641128</v>
      </c>
      <c r="Z24" s="32">
        <f t="shared" si="42"/>
        <v>8407743</v>
      </c>
      <c r="AA24" s="33">
        <f t="shared" si="8"/>
        <v>0.98766410914320291</v>
      </c>
      <c r="AB24" s="158">
        <v>250000</v>
      </c>
      <c r="AC24" s="34">
        <f t="shared" si="43"/>
        <v>8850000</v>
      </c>
      <c r="AD24" s="158"/>
      <c r="AE24" s="25"/>
      <c r="AF24" s="25"/>
      <c r="AG24" s="25"/>
      <c r="AH24" s="25"/>
      <c r="AI24" s="25"/>
      <c r="AJ24" s="25"/>
      <c r="AK24" s="25"/>
      <c r="AL24" s="158"/>
      <c r="AM24" s="25"/>
      <c r="AN24" s="158"/>
      <c r="AO24" s="25"/>
      <c r="AP24" s="25"/>
      <c r="AQ24" s="158"/>
      <c r="AR24" s="35">
        <f t="shared" si="9"/>
        <v>0</v>
      </c>
      <c r="AS24" s="172" t="str">
        <f t="shared" si="10"/>
        <v/>
      </c>
      <c r="AT24" s="36">
        <f t="shared" si="11"/>
        <v>0</v>
      </c>
      <c r="AU24" s="173"/>
      <c r="AV24" s="82">
        <f t="shared" si="12"/>
        <v>20</v>
      </c>
      <c r="AW24" s="37"/>
      <c r="AX24" s="174" t="str">
        <f t="shared" si="13"/>
        <v/>
      </c>
      <c r="AY24" s="37"/>
      <c r="AZ24" s="174" t="str">
        <f t="shared" si="14"/>
        <v/>
      </c>
      <c r="BA24" s="37"/>
      <c r="BB24" s="174" t="str">
        <f t="shared" si="15"/>
        <v/>
      </c>
      <c r="BC24" s="37"/>
      <c r="BD24" s="174" t="str">
        <f t="shared" si="16"/>
        <v/>
      </c>
      <c r="BE24" s="37"/>
      <c r="BF24" s="174" t="str">
        <f t="shared" si="17"/>
        <v/>
      </c>
      <c r="BG24" s="37"/>
      <c r="BH24" s="174" t="str">
        <f t="shared" si="18"/>
        <v/>
      </c>
      <c r="BI24" s="37"/>
      <c r="BJ24" s="174" t="str">
        <f t="shared" si="19"/>
        <v/>
      </c>
      <c r="BK24" s="37"/>
      <c r="BL24" s="174" t="str">
        <f t="shared" si="20"/>
        <v/>
      </c>
      <c r="BM24" s="37"/>
      <c r="BN24" s="174" t="str">
        <f t="shared" si="21"/>
        <v/>
      </c>
      <c r="BO24" s="37"/>
      <c r="BP24" s="174" t="str">
        <f t="shared" si="22"/>
        <v/>
      </c>
      <c r="BQ24" s="37"/>
      <c r="BR24" s="174" t="str">
        <f t="shared" si="23"/>
        <v/>
      </c>
      <c r="BS24" s="37"/>
      <c r="BT24" s="174" t="str">
        <f t="shared" si="24"/>
        <v/>
      </c>
      <c r="BU24" s="37"/>
      <c r="BV24" s="174" t="str">
        <f t="shared" si="25"/>
        <v/>
      </c>
      <c r="BW24" s="37"/>
      <c r="BX24" s="174" t="str">
        <f t="shared" si="26"/>
        <v/>
      </c>
      <c r="BY24" s="37"/>
      <c r="BZ24" s="174" t="str">
        <f t="shared" si="27"/>
        <v/>
      </c>
      <c r="CA24" s="37"/>
      <c r="CB24" s="174" t="str">
        <f t="shared" si="28"/>
        <v/>
      </c>
      <c r="CC24" s="37"/>
      <c r="CD24" s="174" t="str">
        <f t="shared" si="29"/>
        <v/>
      </c>
      <c r="CE24" s="37"/>
      <c r="CF24" s="174" t="str">
        <f t="shared" si="30"/>
        <v/>
      </c>
      <c r="CG24" s="37"/>
      <c r="CH24" s="174" t="str">
        <f t="shared" si="31"/>
        <v/>
      </c>
      <c r="CI24" s="37"/>
      <c r="CJ24" s="174" t="str">
        <f t="shared" si="32"/>
        <v/>
      </c>
      <c r="CK24" s="37"/>
      <c r="CL24" s="174" t="str">
        <f t="shared" si="33"/>
        <v/>
      </c>
      <c r="CM24" s="37"/>
      <c r="CN24" s="174" t="str">
        <f t="shared" si="34"/>
        <v/>
      </c>
      <c r="CO24" s="37"/>
      <c r="CP24" s="174" t="str">
        <f t="shared" si="35"/>
        <v/>
      </c>
      <c r="CQ24" s="37"/>
      <c r="CR24" s="174" t="str">
        <f t="shared" si="36"/>
        <v/>
      </c>
      <c r="CS24" s="37"/>
      <c r="CT24" s="174" t="str">
        <f t="shared" si="37"/>
        <v/>
      </c>
      <c r="CU24" s="38"/>
      <c r="CV24" s="87"/>
      <c r="CW24" s="90"/>
      <c r="CX24" s="38"/>
      <c r="CY24" s="39"/>
      <c r="CZ24" s="37"/>
      <c r="DA24" s="39"/>
      <c r="DB24" s="24">
        <v>20</v>
      </c>
      <c r="DC24" s="96" t="str">
        <f t="shared" si="38"/>
        <v>火</v>
      </c>
      <c r="DF24" s="125"/>
      <c r="DG24" s="40"/>
      <c r="DH24" s="40"/>
      <c r="DI24" s="40"/>
      <c r="DJ24" s="40"/>
      <c r="DK24" s="40"/>
      <c r="DL24" s="40"/>
      <c r="DM24" s="40"/>
      <c r="DN24" s="40"/>
      <c r="DO24" s="40"/>
      <c r="DP24" s="40">
        <f t="shared" si="39"/>
        <v>0</v>
      </c>
      <c r="DQ24" s="172" t="str">
        <f t="shared" si="40"/>
        <v/>
      </c>
      <c r="DS24" s="189"/>
      <c r="DT24" s="190"/>
      <c r="DU24" s="190"/>
      <c r="DV24" s="191"/>
      <c r="DW24" s="41"/>
      <c r="DX24" s="42"/>
    </row>
    <row r="25" spans="1:128" ht="13.5" customHeight="1" x14ac:dyDescent="0.4">
      <c r="A25" s="104">
        <v>21</v>
      </c>
      <c r="B25" s="23" t="s">
        <v>83</v>
      </c>
      <c r="C25" s="164"/>
      <c r="D25" s="164"/>
      <c r="E25" s="24"/>
      <c r="F25" s="29"/>
      <c r="G25" s="25" t="str">
        <f>IF(SUM($F$5:F25)=0,"",SUM($F$5:F25))</f>
        <v/>
      </c>
      <c r="H25" s="43" t="str">
        <f t="shared" si="0"/>
        <v/>
      </c>
      <c r="I25" s="148" t="e">
        <f t="array" aca="1" ref="I25" ca="1">IF($A26="",$G25/($V25-$U$5+INDIRECT(IF(_xlfn.SHEET()&lt;6,"令和8年"&amp;_xlfn.SHEET()+7&amp;"月","令和9年"&amp;_xlfn.SHEET()-5&amp;"月")&amp;"!$U$5")),$G25/($V26-$U$5))</f>
        <v>#VALUE!</v>
      </c>
      <c r="J25" s="26" t="str">
        <f t="shared" si="1"/>
        <v/>
      </c>
      <c r="K25" s="27"/>
      <c r="L25" s="165">
        <f t="shared" si="2"/>
        <v>0</v>
      </c>
      <c r="M25" s="28" t="str">
        <f t="shared" si="3"/>
        <v/>
      </c>
      <c r="N25" s="166" t="str">
        <f t="shared" si="4"/>
        <v/>
      </c>
      <c r="O25" s="167" t="str">
        <f t="shared" si="5"/>
        <v/>
      </c>
      <c r="P25" s="168"/>
      <c r="Q25" s="169" t="str">
        <f t="shared" si="6"/>
        <v/>
      </c>
      <c r="R25" s="170">
        <v>18</v>
      </c>
      <c r="S25" s="171">
        <v>13</v>
      </c>
      <c r="T25" s="24" t="s">
        <v>84</v>
      </c>
      <c r="U25" s="29">
        <v>280004</v>
      </c>
      <c r="V25" s="30">
        <f t="shared" si="41"/>
        <v>8584030</v>
      </c>
      <c r="W25" s="27">
        <v>194</v>
      </c>
      <c r="X25" s="31">
        <f t="shared" si="7"/>
        <v>1443.319587628866</v>
      </c>
      <c r="Y25" s="29">
        <v>247276</v>
      </c>
      <c r="Z25" s="32">
        <f t="shared" si="42"/>
        <v>8655019</v>
      </c>
      <c r="AA25" s="33">
        <f t="shared" si="8"/>
        <v>0.9917979382829778</v>
      </c>
      <c r="AB25" s="158">
        <v>250000</v>
      </c>
      <c r="AC25" s="34">
        <f t="shared" si="43"/>
        <v>9100000</v>
      </c>
      <c r="AD25" s="158"/>
      <c r="AE25" s="25"/>
      <c r="AF25" s="25"/>
      <c r="AG25" s="25"/>
      <c r="AH25" s="25"/>
      <c r="AI25" s="25"/>
      <c r="AJ25" s="25"/>
      <c r="AK25" s="25"/>
      <c r="AL25" s="158"/>
      <c r="AM25" s="25"/>
      <c r="AN25" s="158"/>
      <c r="AO25" s="25"/>
      <c r="AP25" s="25"/>
      <c r="AQ25" s="158"/>
      <c r="AR25" s="35">
        <f t="shared" si="9"/>
        <v>0</v>
      </c>
      <c r="AS25" s="172" t="str">
        <f t="shared" si="10"/>
        <v/>
      </c>
      <c r="AT25" s="36">
        <f t="shared" si="11"/>
        <v>0</v>
      </c>
      <c r="AU25" s="173"/>
      <c r="AV25" s="82">
        <f t="shared" si="12"/>
        <v>21</v>
      </c>
      <c r="AW25" s="37"/>
      <c r="AX25" s="174" t="str">
        <f t="shared" si="13"/>
        <v/>
      </c>
      <c r="AY25" s="37"/>
      <c r="AZ25" s="174" t="str">
        <f t="shared" si="14"/>
        <v/>
      </c>
      <c r="BA25" s="37"/>
      <c r="BB25" s="174" t="str">
        <f t="shared" si="15"/>
        <v/>
      </c>
      <c r="BC25" s="37"/>
      <c r="BD25" s="174" t="str">
        <f t="shared" si="16"/>
        <v/>
      </c>
      <c r="BE25" s="37"/>
      <c r="BF25" s="174" t="str">
        <f t="shared" si="17"/>
        <v/>
      </c>
      <c r="BG25" s="37"/>
      <c r="BH25" s="174" t="str">
        <f t="shared" si="18"/>
        <v/>
      </c>
      <c r="BI25" s="37"/>
      <c r="BJ25" s="174" t="str">
        <f t="shared" si="19"/>
        <v/>
      </c>
      <c r="BK25" s="37"/>
      <c r="BL25" s="174" t="str">
        <f t="shared" si="20"/>
        <v/>
      </c>
      <c r="BM25" s="37"/>
      <c r="BN25" s="174" t="str">
        <f t="shared" si="21"/>
        <v/>
      </c>
      <c r="BO25" s="37"/>
      <c r="BP25" s="174" t="str">
        <f t="shared" si="22"/>
        <v/>
      </c>
      <c r="BQ25" s="37"/>
      <c r="BR25" s="174" t="str">
        <f t="shared" si="23"/>
        <v/>
      </c>
      <c r="BS25" s="37"/>
      <c r="BT25" s="174" t="str">
        <f t="shared" si="24"/>
        <v/>
      </c>
      <c r="BU25" s="37"/>
      <c r="BV25" s="174" t="str">
        <f t="shared" si="25"/>
        <v/>
      </c>
      <c r="BW25" s="37"/>
      <c r="BX25" s="174" t="str">
        <f t="shared" si="26"/>
        <v/>
      </c>
      <c r="BY25" s="37"/>
      <c r="BZ25" s="174" t="str">
        <f t="shared" si="27"/>
        <v/>
      </c>
      <c r="CA25" s="37"/>
      <c r="CB25" s="174" t="str">
        <f t="shared" si="28"/>
        <v/>
      </c>
      <c r="CC25" s="37"/>
      <c r="CD25" s="174" t="str">
        <f t="shared" si="29"/>
        <v/>
      </c>
      <c r="CE25" s="37"/>
      <c r="CF25" s="174" t="str">
        <f t="shared" si="30"/>
        <v/>
      </c>
      <c r="CG25" s="37"/>
      <c r="CH25" s="174" t="str">
        <f t="shared" si="31"/>
        <v/>
      </c>
      <c r="CI25" s="37"/>
      <c r="CJ25" s="174" t="str">
        <f t="shared" si="32"/>
        <v/>
      </c>
      <c r="CK25" s="37"/>
      <c r="CL25" s="174" t="str">
        <f t="shared" si="33"/>
        <v/>
      </c>
      <c r="CM25" s="37"/>
      <c r="CN25" s="174" t="str">
        <f t="shared" si="34"/>
        <v/>
      </c>
      <c r="CO25" s="37"/>
      <c r="CP25" s="174" t="str">
        <f t="shared" si="35"/>
        <v/>
      </c>
      <c r="CQ25" s="37"/>
      <c r="CR25" s="174" t="str">
        <f t="shared" si="36"/>
        <v/>
      </c>
      <c r="CS25" s="37"/>
      <c r="CT25" s="174" t="str">
        <f t="shared" si="37"/>
        <v/>
      </c>
      <c r="CU25" s="38"/>
      <c r="CV25" s="87"/>
      <c r="CW25" s="90"/>
      <c r="CX25" s="38"/>
      <c r="CY25" s="39"/>
      <c r="CZ25" s="37"/>
      <c r="DA25" s="39"/>
      <c r="DB25" s="24">
        <v>21</v>
      </c>
      <c r="DC25" s="96" t="str">
        <f t="shared" si="38"/>
        <v>水</v>
      </c>
      <c r="DF25" s="125"/>
      <c r="DG25" s="40"/>
      <c r="DH25" s="40"/>
      <c r="DI25" s="40"/>
      <c r="DJ25" s="40"/>
      <c r="DK25" s="40"/>
      <c r="DL25" s="40"/>
      <c r="DM25" s="40"/>
      <c r="DN25" s="40"/>
      <c r="DO25" s="40"/>
      <c r="DP25" s="40">
        <f t="shared" si="39"/>
        <v>0</v>
      </c>
      <c r="DQ25" s="172" t="str">
        <f t="shared" si="40"/>
        <v/>
      </c>
      <c r="DS25" s="189"/>
      <c r="DT25" s="190"/>
      <c r="DU25" s="190"/>
      <c r="DV25" s="191"/>
      <c r="DW25" s="138"/>
      <c r="DX25" s="42"/>
    </row>
    <row r="26" spans="1:128" ht="13.5" customHeight="1" x14ac:dyDescent="0.4">
      <c r="A26" s="104">
        <v>22</v>
      </c>
      <c r="B26" s="23" t="s">
        <v>85</v>
      </c>
      <c r="C26" s="164"/>
      <c r="D26" s="164"/>
      <c r="E26" s="24"/>
      <c r="F26" s="29"/>
      <c r="G26" s="25" t="str">
        <f>IF(SUM($F$5:F26)=0,"",SUM($F$5:F26))</f>
        <v/>
      </c>
      <c r="H26" s="43" t="str">
        <f t="shared" si="0"/>
        <v/>
      </c>
      <c r="I26" s="148" t="e">
        <f t="array" aca="1" ref="I26" ca="1">IF($A27="",$G26/($V26-$U$5+INDIRECT(IF(_xlfn.SHEET()&lt;6,"令和8年"&amp;_xlfn.SHEET()+7&amp;"月","令和9年"&amp;_xlfn.SHEET()-5&amp;"月")&amp;"!$U$5")),$G26/($V27-$U$5))</f>
        <v>#VALUE!</v>
      </c>
      <c r="J26" s="26" t="str">
        <f t="shared" si="1"/>
        <v/>
      </c>
      <c r="K26" s="27"/>
      <c r="L26" s="165">
        <f t="shared" si="2"/>
        <v>0</v>
      </c>
      <c r="M26" s="28" t="str">
        <f t="shared" si="3"/>
        <v/>
      </c>
      <c r="N26" s="166" t="str">
        <f t="shared" si="4"/>
        <v/>
      </c>
      <c r="O26" s="167" t="str">
        <f t="shared" si="5"/>
        <v/>
      </c>
      <c r="P26" s="168"/>
      <c r="Q26" s="169" t="str">
        <f t="shared" si="6"/>
        <v/>
      </c>
      <c r="R26" s="170">
        <v>19</v>
      </c>
      <c r="S26" s="171">
        <v>12</v>
      </c>
      <c r="T26" s="24" t="s">
        <v>93</v>
      </c>
      <c r="U26" s="29">
        <v>309813</v>
      </c>
      <c r="V26" s="30">
        <f t="shared" si="41"/>
        <v>8893843</v>
      </c>
      <c r="W26" s="27">
        <v>180</v>
      </c>
      <c r="X26" s="31">
        <f t="shared" si="7"/>
        <v>1721.1833333333334</v>
      </c>
      <c r="Y26" s="29">
        <v>192430</v>
      </c>
      <c r="Z26" s="32">
        <f t="shared" si="42"/>
        <v>8847449</v>
      </c>
      <c r="AA26" s="33">
        <f t="shared" si="8"/>
        <v>1.0052437713967044</v>
      </c>
      <c r="AB26" s="158">
        <v>250000</v>
      </c>
      <c r="AC26" s="34">
        <f t="shared" si="43"/>
        <v>9350000</v>
      </c>
      <c r="AD26" s="158"/>
      <c r="AE26" s="25"/>
      <c r="AF26" s="25"/>
      <c r="AG26" s="25"/>
      <c r="AH26" s="25"/>
      <c r="AI26" s="25"/>
      <c r="AJ26" s="25"/>
      <c r="AK26" s="25"/>
      <c r="AL26" s="158"/>
      <c r="AM26" s="25"/>
      <c r="AN26" s="158"/>
      <c r="AO26" s="25"/>
      <c r="AP26" s="25"/>
      <c r="AQ26" s="158"/>
      <c r="AR26" s="35">
        <f t="shared" si="9"/>
        <v>0</v>
      </c>
      <c r="AS26" s="172" t="str">
        <f t="shared" si="10"/>
        <v/>
      </c>
      <c r="AT26" s="36">
        <f t="shared" si="11"/>
        <v>0</v>
      </c>
      <c r="AU26" s="173"/>
      <c r="AV26" s="82">
        <f t="shared" si="12"/>
        <v>22</v>
      </c>
      <c r="AW26" s="37"/>
      <c r="AX26" s="174" t="str">
        <f t="shared" si="13"/>
        <v/>
      </c>
      <c r="AY26" s="37"/>
      <c r="AZ26" s="174" t="str">
        <f t="shared" si="14"/>
        <v/>
      </c>
      <c r="BA26" s="37"/>
      <c r="BB26" s="174" t="str">
        <f t="shared" si="15"/>
        <v/>
      </c>
      <c r="BC26" s="37"/>
      <c r="BD26" s="174" t="str">
        <f t="shared" si="16"/>
        <v/>
      </c>
      <c r="BE26" s="37"/>
      <c r="BF26" s="174" t="str">
        <f t="shared" si="17"/>
        <v/>
      </c>
      <c r="BG26" s="37"/>
      <c r="BH26" s="174" t="str">
        <f t="shared" si="18"/>
        <v/>
      </c>
      <c r="BI26" s="37"/>
      <c r="BJ26" s="174" t="str">
        <f t="shared" si="19"/>
        <v/>
      </c>
      <c r="BK26" s="37"/>
      <c r="BL26" s="174" t="str">
        <f t="shared" si="20"/>
        <v/>
      </c>
      <c r="BM26" s="37"/>
      <c r="BN26" s="174" t="str">
        <f t="shared" si="21"/>
        <v/>
      </c>
      <c r="BO26" s="37"/>
      <c r="BP26" s="174" t="str">
        <f t="shared" si="22"/>
        <v/>
      </c>
      <c r="BQ26" s="37"/>
      <c r="BR26" s="174" t="str">
        <f t="shared" si="23"/>
        <v/>
      </c>
      <c r="BS26" s="37"/>
      <c r="BT26" s="174" t="str">
        <f t="shared" si="24"/>
        <v/>
      </c>
      <c r="BU26" s="37"/>
      <c r="BV26" s="174" t="str">
        <f t="shared" si="25"/>
        <v/>
      </c>
      <c r="BW26" s="37"/>
      <c r="BX26" s="174" t="str">
        <f t="shared" si="26"/>
        <v/>
      </c>
      <c r="BY26" s="37"/>
      <c r="BZ26" s="174" t="str">
        <f t="shared" si="27"/>
        <v/>
      </c>
      <c r="CA26" s="37"/>
      <c r="CB26" s="174" t="str">
        <f t="shared" si="28"/>
        <v/>
      </c>
      <c r="CC26" s="37"/>
      <c r="CD26" s="174" t="str">
        <f t="shared" si="29"/>
        <v/>
      </c>
      <c r="CE26" s="37"/>
      <c r="CF26" s="174" t="str">
        <f t="shared" si="30"/>
        <v/>
      </c>
      <c r="CG26" s="37"/>
      <c r="CH26" s="174" t="str">
        <f t="shared" si="31"/>
        <v/>
      </c>
      <c r="CI26" s="37"/>
      <c r="CJ26" s="174" t="str">
        <f t="shared" si="32"/>
        <v/>
      </c>
      <c r="CK26" s="37"/>
      <c r="CL26" s="174" t="str">
        <f t="shared" si="33"/>
        <v/>
      </c>
      <c r="CM26" s="37"/>
      <c r="CN26" s="174" t="str">
        <f t="shared" si="34"/>
        <v/>
      </c>
      <c r="CO26" s="37"/>
      <c r="CP26" s="174" t="str">
        <f t="shared" si="35"/>
        <v/>
      </c>
      <c r="CQ26" s="37"/>
      <c r="CR26" s="174" t="str">
        <f t="shared" si="36"/>
        <v/>
      </c>
      <c r="CS26" s="37"/>
      <c r="CT26" s="174" t="str">
        <f t="shared" si="37"/>
        <v/>
      </c>
      <c r="CU26" s="38"/>
      <c r="CV26" s="87"/>
      <c r="CW26" s="90"/>
      <c r="CX26" s="38"/>
      <c r="CY26" s="39"/>
      <c r="CZ26" s="37"/>
      <c r="DA26" s="39"/>
      <c r="DB26" s="24">
        <v>22</v>
      </c>
      <c r="DC26" s="96" t="str">
        <f t="shared" si="38"/>
        <v>木</v>
      </c>
      <c r="DF26" s="125"/>
      <c r="DG26" s="40"/>
      <c r="DH26" s="40"/>
      <c r="DI26" s="40"/>
      <c r="DJ26" s="40"/>
      <c r="DK26" s="40"/>
      <c r="DL26" s="40"/>
      <c r="DM26" s="40"/>
      <c r="DN26" s="40"/>
      <c r="DO26" s="40"/>
      <c r="DP26" s="40">
        <f t="shared" si="39"/>
        <v>0</v>
      </c>
      <c r="DQ26" s="172" t="str">
        <f t="shared" si="40"/>
        <v/>
      </c>
      <c r="DS26" s="189"/>
      <c r="DT26" s="190"/>
      <c r="DU26" s="190"/>
      <c r="DV26" s="191"/>
      <c r="DW26" s="41"/>
      <c r="DX26" s="42"/>
    </row>
    <row r="27" spans="1:128" ht="13.5" customHeight="1" x14ac:dyDescent="0.4">
      <c r="A27" s="104">
        <v>23</v>
      </c>
      <c r="B27" s="23" t="s">
        <v>86</v>
      </c>
      <c r="C27" s="164"/>
      <c r="D27" s="164"/>
      <c r="E27" s="24"/>
      <c r="F27" s="29"/>
      <c r="G27" s="25" t="str">
        <f>IF(SUM($F$5:F27)=0,"",SUM($F$5:F27))</f>
        <v/>
      </c>
      <c r="H27" s="43" t="str">
        <f t="shared" si="0"/>
        <v/>
      </c>
      <c r="I27" s="148" t="e">
        <f t="array" aca="1" ref="I27" ca="1">IF($A28="",$G27/($V27-$U$5+INDIRECT(IF(_xlfn.SHEET()&lt;6,"令和8年"&amp;_xlfn.SHEET()+7&amp;"月","令和9年"&amp;_xlfn.SHEET()-5&amp;"月")&amp;"!$U$5")),$G27/($V28-$U$5))</f>
        <v>#VALUE!</v>
      </c>
      <c r="J27" s="26" t="str">
        <f t="shared" si="1"/>
        <v/>
      </c>
      <c r="K27" s="27"/>
      <c r="L27" s="165">
        <f t="shared" si="2"/>
        <v>0</v>
      </c>
      <c r="M27" s="28" t="str">
        <f t="shared" si="3"/>
        <v/>
      </c>
      <c r="N27" s="166" t="str">
        <f t="shared" si="4"/>
        <v/>
      </c>
      <c r="O27" s="167" t="str">
        <f t="shared" si="5"/>
        <v/>
      </c>
      <c r="P27" s="168"/>
      <c r="Q27" s="169" t="str">
        <f t="shared" si="6"/>
        <v/>
      </c>
      <c r="R27" s="170">
        <v>22</v>
      </c>
      <c r="S27" s="171">
        <v>12</v>
      </c>
      <c r="T27" s="24" t="s">
        <v>84</v>
      </c>
      <c r="U27" s="29">
        <v>144354</v>
      </c>
      <c r="V27" s="30">
        <f t="shared" si="41"/>
        <v>9038197</v>
      </c>
      <c r="W27" s="27">
        <v>121</v>
      </c>
      <c r="X27" s="31">
        <f t="shared" si="7"/>
        <v>1193.0082644628098</v>
      </c>
      <c r="Y27" s="29">
        <v>277529</v>
      </c>
      <c r="Z27" s="32">
        <f t="shared" si="42"/>
        <v>9124978</v>
      </c>
      <c r="AA27" s="33">
        <f t="shared" si="8"/>
        <v>0.99048973049578859</v>
      </c>
      <c r="AB27" s="158">
        <v>250000</v>
      </c>
      <c r="AC27" s="34">
        <f t="shared" si="43"/>
        <v>9600000</v>
      </c>
      <c r="AD27" s="158"/>
      <c r="AE27" s="25"/>
      <c r="AF27" s="25"/>
      <c r="AG27" s="25"/>
      <c r="AH27" s="25"/>
      <c r="AI27" s="25"/>
      <c r="AJ27" s="25"/>
      <c r="AK27" s="25"/>
      <c r="AL27" s="158"/>
      <c r="AM27" s="25"/>
      <c r="AN27" s="158"/>
      <c r="AO27" s="25"/>
      <c r="AP27" s="25"/>
      <c r="AQ27" s="158"/>
      <c r="AR27" s="35">
        <f t="shared" si="9"/>
        <v>0</v>
      </c>
      <c r="AS27" s="172" t="str">
        <f t="shared" si="10"/>
        <v/>
      </c>
      <c r="AT27" s="36">
        <f t="shared" si="11"/>
        <v>0</v>
      </c>
      <c r="AU27" s="173"/>
      <c r="AV27" s="82">
        <f t="shared" si="12"/>
        <v>23</v>
      </c>
      <c r="AW27" s="37"/>
      <c r="AX27" s="174" t="str">
        <f t="shared" si="13"/>
        <v/>
      </c>
      <c r="AY27" s="37"/>
      <c r="AZ27" s="174" t="str">
        <f t="shared" si="14"/>
        <v/>
      </c>
      <c r="BA27" s="37"/>
      <c r="BB27" s="174" t="str">
        <f t="shared" si="15"/>
        <v/>
      </c>
      <c r="BC27" s="37"/>
      <c r="BD27" s="174" t="str">
        <f t="shared" si="16"/>
        <v/>
      </c>
      <c r="BE27" s="37"/>
      <c r="BF27" s="174" t="str">
        <f t="shared" si="17"/>
        <v/>
      </c>
      <c r="BG27" s="37"/>
      <c r="BH27" s="174" t="str">
        <f t="shared" si="18"/>
        <v/>
      </c>
      <c r="BI27" s="37"/>
      <c r="BJ27" s="174" t="str">
        <f t="shared" si="19"/>
        <v/>
      </c>
      <c r="BK27" s="37"/>
      <c r="BL27" s="174" t="str">
        <f t="shared" si="20"/>
        <v/>
      </c>
      <c r="BM27" s="37"/>
      <c r="BN27" s="174" t="str">
        <f t="shared" si="21"/>
        <v/>
      </c>
      <c r="BO27" s="37"/>
      <c r="BP27" s="174" t="str">
        <f t="shared" si="22"/>
        <v/>
      </c>
      <c r="BQ27" s="37"/>
      <c r="BR27" s="174" t="str">
        <f t="shared" si="23"/>
        <v/>
      </c>
      <c r="BS27" s="37"/>
      <c r="BT27" s="174" t="str">
        <f t="shared" si="24"/>
        <v/>
      </c>
      <c r="BU27" s="37"/>
      <c r="BV27" s="174" t="str">
        <f t="shared" si="25"/>
        <v/>
      </c>
      <c r="BW27" s="37"/>
      <c r="BX27" s="174" t="str">
        <f t="shared" si="26"/>
        <v/>
      </c>
      <c r="BY27" s="37"/>
      <c r="BZ27" s="174" t="str">
        <f t="shared" si="27"/>
        <v/>
      </c>
      <c r="CA27" s="37"/>
      <c r="CB27" s="174" t="str">
        <f t="shared" si="28"/>
        <v/>
      </c>
      <c r="CC27" s="37"/>
      <c r="CD27" s="174" t="str">
        <f t="shared" si="29"/>
        <v/>
      </c>
      <c r="CE27" s="37"/>
      <c r="CF27" s="174" t="str">
        <f t="shared" si="30"/>
        <v/>
      </c>
      <c r="CG27" s="37"/>
      <c r="CH27" s="174" t="str">
        <f t="shared" si="31"/>
        <v/>
      </c>
      <c r="CI27" s="37"/>
      <c r="CJ27" s="174" t="str">
        <f t="shared" si="32"/>
        <v/>
      </c>
      <c r="CK27" s="37"/>
      <c r="CL27" s="174" t="str">
        <f t="shared" si="33"/>
        <v/>
      </c>
      <c r="CM27" s="37"/>
      <c r="CN27" s="174" t="str">
        <f t="shared" si="34"/>
        <v/>
      </c>
      <c r="CO27" s="37"/>
      <c r="CP27" s="174" t="str">
        <f t="shared" si="35"/>
        <v/>
      </c>
      <c r="CQ27" s="37"/>
      <c r="CR27" s="174" t="str">
        <f t="shared" si="36"/>
        <v/>
      </c>
      <c r="CS27" s="37"/>
      <c r="CT27" s="174" t="str">
        <f t="shared" si="37"/>
        <v/>
      </c>
      <c r="CU27" s="38"/>
      <c r="CV27" s="87"/>
      <c r="CW27" s="90"/>
      <c r="CX27" s="38"/>
      <c r="CY27" s="39"/>
      <c r="CZ27" s="37"/>
      <c r="DA27" s="39"/>
      <c r="DB27" s="24">
        <v>23</v>
      </c>
      <c r="DC27" s="96" t="str">
        <f t="shared" si="38"/>
        <v>金</v>
      </c>
      <c r="DF27" s="125"/>
      <c r="DG27" s="40"/>
      <c r="DH27" s="40"/>
      <c r="DI27" s="40"/>
      <c r="DJ27" s="40"/>
      <c r="DK27" s="40"/>
      <c r="DL27" s="40"/>
      <c r="DM27" s="40"/>
      <c r="DN27" s="40"/>
      <c r="DO27" s="40"/>
      <c r="DP27" s="40">
        <f t="shared" si="39"/>
        <v>0</v>
      </c>
      <c r="DQ27" s="172" t="str">
        <f t="shared" si="40"/>
        <v/>
      </c>
      <c r="DS27" s="189"/>
      <c r="DT27" s="190"/>
      <c r="DU27" s="190"/>
      <c r="DV27" s="191"/>
      <c r="DW27" s="41"/>
      <c r="DX27" s="42"/>
    </row>
    <row r="28" spans="1:128" ht="13.5" customHeight="1" x14ac:dyDescent="0.4">
      <c r="A28" s="104">
        <v>24</v>
      </c>
      <c r="B28" s="23" t="s">
        <v>88</v>
      </c>
      <c r="C28" s="164"/>
      <c r="D28" s="164"/>
      <c r="E28" s="24"/>
      <c r="F28" s="29"/>
      <c r="G28" s="25" t="str">
        <f>IF(SUM($F$5:F28)=0,"",SUM($F$5:F28))</f>
        <v/>
      </c>
      <c r="H28" s="43" t="str">
        <f t="shared" si="0"/>
        <v/>
      </c>
      <c r="I28" s="148" t="e">
        <f t="array" aca="1" ref="I28" ca="1">IF($A29="",$G28/($V28-$U$5+INDIRECT(IF(_xlfn.SHEET()&lt;6,"令和8年"&amp;_xlfn.SHEET()+7&amp;"月","令和9年"&amp;_xlfn.SHEET()-5&amp;"月")&amp;"!$U$5")),$G28/($V29-$U$5))</f>
        <v>#VALUE!</v>
      </c>
      <c r="J28" s="26" t="str">
        <f t="shared" si="1"/>
        <v/>
      </c>
      <c r="K28" s="27"/>
      <c r="L28" s="165">
        <f t="shared" si="2"/>
        <v>0</v>
      </c>
      <c r="M28" s="28" t="str">
        <f t="shared" si="3"/>
        <v/>
      </c>
      <c r="N28" s="166" t="str">
        <f t="shared" si="4"/>
        <v/>
      </c>
      <c r="O28" s="167" t="str">
        <f t="shared" si="5"/>
        <v/>
      </c>
      <c r="P28" s="168"/>
      <c r="Q28" s="169" t="str">
        <f t="shared" si="6"/>
        <v/>
      </c>
      <c r="R28" s="170">
        <v>21</v>
      </c>
      <c r="S28" s="171">
        <v>14</v>
      </c>
      <c r="T28" s="24" t="s">
        <v>114</v>
      </c>
      <c r="U28" s="29">
        <v>204994</v>
      </c>
      <c r="V28" s="30">
        <f t="shared" si="41"/>
        <v>9243191</v>
      </c>
      <c r="W28" s="27">
        <v>114</v>
      </c>
      <c r="X28" s="31">
        <f t="shared" si="7"/>
        <v>1798.1929824561403</v>
      </c>
      <c r="Y28" s="29">
        <v>216902</v>
      </c>
      <c r="Z28" s="32">
        <f t="shared" si="42"/>
        <v>9341880</v>
      </c>
      <c r="AA28" s="33">
        <f t="shared" si="8"/>
        <v>0.98943585231238251</v>
      </c>
      <c r="AB28" s="158">
        <v>800000</v>
      </c>
      <c r="AC28" s="34">
        <f t="shared" si="43"/>
        <v>10400000</v>
      </c>
      <c r="AD28" s="158"/>
      <c r="AE28" s="25"/>
      <c r="AF28" s="25"/>
      <c r="AG28" s="25"/>
      <c r="AH28" s="25"/>
      <c r="AI28" s="25"/>
      <c r="AJ28" s="25"/>
      <c r="AK28" s="25"/>
      <c r="AL28" s="158"/>
      <c r="AM28" s="25"/>
      <c r="AN28" s="158"/>
      <c r="AO28" s="25"/>
      <c r="AP28" s="25"/>
      <c r="AQ28" s="158"/>
      <c r="AR28" s="35">
        <f t="shared" si="9"/>
        <v>0</v>
      </c>
      <c r="AS28" s="172" t="str">
        <f t="shared" si="10"/>
        <v/>
      </c>
      <c r="AT28" s="36">
        <f t="shared" si="11"/>
        <v>0</v>
      </c>
      <c r="AU28" s="173"/>
      <c r="AV28" s="82">
        <f t="shared" si="12"/>
        <v>24</v>
      </c>
      <c r="AW28" s="37"/>
      <c r="AX28" s="174" t="str">
        <f t="shared" si="13"/>
        <v/>
      </c>
      <c r="AY28" s="37"/>
      <c r="AZ28" s="174" t="str">
        <f t="shared" si="14"/>
        <v/>
      </c>
      <c r="BA28" s="37"/>
      <c r="BB28" s="174" t="str">
        <f t="shared" si="15"/>
        <v/>
      </c>
      <c r="BC28" s="37"/>
      <c r="BD28" s="174" t="str">
        <f t="shared" si="16"/>
        <v/>
      </c>
      <c r="BE28" s="37"/>
      <c r="BF28" s="174" t="str">
        <f t="shared" si="17"/>
        <v/>
      </c>
      <c r="BG28" s="37"/>
      <c r="BH28" s="174" t="str">
        <f t="shared" si="18"/>
        <v/>
      </c>
      <c r="BI28" s="37"/>
      <c r="BJ28" s="174" t="str">
        <f t="shared" si="19"/>
        <v/>
      </c>
      <c r="BK28" s="37"/>
      <c r="BL28" s="174" t="str">
        <f t="shared" si="20"/>
        <v/>
      </c>
      <c r="BM28" s="37"/>
      <c r="BN28" s="174" t="str">
        <f t="shared" si="21"/>
        <v/>
      </c>
      <c r="BO28" s="37"/>
      <c r="BP28" s="174" t="str">
        <f t="shared" si="22"/>
        <v/>
      </c>
      <c r="BQ28" s="37"/>
      <c r="BR28" s="174" t="str">
        <f t="shared" si="23"/>
        <v/>
      </c>
      <c r="BS28" s="37"/>
      <c r="BT28" s="174" t="str">
        <f t="shared" si="24"/>
        <v/>
      </c>
      <c r="BU28" s="37"/>
      <c r="BV28" s="174" t="str">
        <f t="shared" si="25"/>
        <v/>
      </c>
      <c r="BW28" s="37"/>
      <c r="BX28" s="174" t="str">
        <f t="shared" si="26"/>
        <v/>
      </c>
      <c r="BY28" s="37"/>
      <c r="BZ28" s="174" t="str">
        <f t="shared" si="27"/>
        <v/>
      </c>
      <c r="CA28" s="37"/>
      <c r="CB28" s="174" t="str">
        <f t="shared" si="28"/>
        <v/>
      </c>
      <c r="CC28" s="37"/>
      <c r="CD28" s="174" t="str">
        <f t="shared" si="29"/>
        <v/>
      </c>
      <c r="CE28" s="37"/>
      <c r="CF28" s="174" t="str">
        <f t="shared" si="30"/>
        <v/>
      </c>
      <c r="CG28" s="37"/>
      <c r="CH28" s="174" t="str">
        <f t="shared" si="31"/>
        <v/>
      </c>
      <c r="CI28" s="37"/>
      <c r="CJ28" s="174" t="str">
        <f t="shared" si="32"/>
        <v/>
      </c>
      <c r="CK28" s="37"/>
      <c r="CL28" s="174" t="str">
        <f t="shared" si="33"/>
        <v/>
      </c>
      <c r="CM28" s="37"/>
      <c r="CN28" s="174" t="str">
        <f t="shared" si="34"/>
        <v/>
      </c>
      <c r="CO28" s="37"/>
      <c r="CP28" s="174" t="str">
        <f t="shared" si="35"/>
        <v/>
      </c>
      <c r="CQ28" s="37"/>
      <c r="CR28" s="174" t="str">
        <f t="shared" si="36"/>
        <v/>
      </c>
      <c r="CS28" s="37"/>
      <c r="CT28" s="174" t="str">
        <f t="shared" si="37"/>
        <v/>
      </c>
      <c r="CU28" s="38"/>
      <c r="CV28" s="87"/>
      <c r="CW28" s="90"/>
      <c r="CX28" s="38"/>
      <c r="CY28" s="39"/>
      <c r="CZ28" s="37"/>
      <c r="DA28" s="39"/>
      <c r="DB28" s="24">
        <v>24</v>
      </c>
      <c r="DC28" s="96" t="str">
        <f t="shared" si="38"/>
        <v>土</v>
      </c>
      <c r="DF28" s="125"/>
      <c r="DG28" s="40"/>
      <c r="DH28" s="40"/>
      <c r="DI28" s="40"/>
      <c r="DJ28" s="40"/>
      <c r="DK28" s="40"/>
      <c r="DL28" s="40"/>
      <c r="DM28" s="40"/>
      <c r="DN28" s="40"/>
      <c r="DO28" s="40"/>
      <c r="DP28" s="40">
        <f t="shared" si="39"/>
        <v>0</v>
      </c>
      <c r="DQ28" s="172" t="str">
        <f t="shared" si="40"/>
        <v/>
      </c>
      <c r="DS28" s="189"/>
      <c r="DT28" s="190"/>
      <c r="DU28" s="190"/>
      <c r="DV28" s="191"/>
      <c r="DW28" s="138"/>
      <c r="DX28" s="42"/>
    </row>
    <row r="29" spans="1:128" ht="13.5" customHeight="1" x14ac:dyDescent="0.4">
      <c r="A29" s="104">
        <v>25</v>
      </c>
      <c r="B29" s="23" t="s">
        <v>89</v>
      </c>
      <c r="C29" s="164"/>
      <c r="D29" s="164"/>
      <c r="E29" s="24"/>
      <c r="F29" s="29"/>
      <c r="G29" s="25" t="str">
        <f>IF(SUM($F$5:F29)=0,"",SUM($F$5:F29))</f>
        <v/>
      </c>
      <c r="H29" s="43" t="str">
        <f t="shared" si="0"/>
        <v/>
      </c>
      <c r="I29" s="148" t="e">
        <f t="array" aca="1" ref="I29" ca="1">IF($A30="",$G29/($V29-$U$5+INDIRECT(IF(_xlfn.SHEET()&lt;6,"令和8年"&amp;_xlfn.SHEET()+7&amp;"月","令和9年"&amp;_xlfn.SHEET()-5&amp;"月")&amp;"!$U$5")),$G29/($V30-$U$5))</f>
        <v>#VALUE!</v>
      </c>
      <c r="J29" s="26" t="str">
        <f t="shared" si="1"/>
        <v/>
      </c>
      <c r="K29" s="27"/>
      <c r="L29" s="165">
        <f t="shared" si="2"/>
        <v>0</v>
      </c>
      <c r="M29" s="28" t="str">
        <f t="shared" si="3"/>
        <v/>
      </c>
      <c r="N29" s="166" t="str">
        <f t="shared" si="4"/>
        <v/>
      </c>
      <c r="O29" s="167" t="str">
        <f t="shared" si="5"/>
        <v/>
      </c>
      <c r="P29" s="168"/>
      <c r="Q29" s="169" t="str">
        <f t="shared" si="6"/>
        <v/>
      </c>
      <c r="R29" s="170">
        <v>22</v>
      </c>
      <c r="S29" s="171">
        <v>15</v>
      </c>
      <c r="T29" s="24" t="s">
        <v>117</v>
      </c>
      <c r="U29" s="29">
        <v>783043</v>
      </c>
      <c r="V29" s="30">
        <f t="shared" si="41"/>
        <v>10026234</v>
      </c>
      <c r="W29" s="27">
        <v>446</v>
      </c>
      <c r="X29" s="31">
        <f t="shared" si="7"/>
        <v>1755.701793721973</v>
      </c>
      <c r="Y29" s="29">
        <v>364068</v>
      </c>
      <c r="Z29" s="32">
        <f t="shared" si="42"/>
        <v>9705948</v>
      </c>
      <c r="AA29" s="33">
        <f t="shared" si="8"/>
        <v>1.03299894044353</v>
      </c>
      <c r="AB29" s="158">
        <v>800000</v>
      </c>
      <c r="AC29" s="34">
        <f t="shared" si="43"/>
        <v>11200000</v>
      </c>
      <c r="AD29" s="158"/>
      <c r="AE29" s="25"/>
      <c r="AF29" s="25"/>
      <c r="AG29" s="25"/>
      <c r="AH29" s="25"/>
      <c r="AI29" s="25"/>
      <c r="AJ29" s="25"/>
      <c r="AK29" s="25"/>
      <c r="AL29" s="158"/>
      <c r="AM29" s="25"/>
      <c r="AN29" s="158"/>
      <c r="AO29" s="25"/>
      <c r="AP29" s="25"/>
      <c r="AQ29" s="158"/>
      <c r="AR29" s="35">
        <f t="shared" si="9"/>
        <v>0</v>
      </c>
      <c r="AS29" s="172" t="str">
        <f t="shared" si="10"/>
        <v/>
      </c>
      <c r="AT29" s="36">
        <f t="shared" si="11"/>
        <v>0</v>
      </c>
      <c r="AU29" s="173"/>
      <c r="AV29" s="82">
        <f t="shared" si="12"/>
        <v>25</v>
      </c>
      <c r="AW29" s="37"/>
      <c r="AX29" s="174" t="str">
        <f t="shared" si="13"/>
        <v/>
      </c>
      <c r="AY29" s="37"/>
      <c r="AZ29" s="174" t="str">
        <f t="shared" si="14"/>
        <v/>
      </c>
      <c r="BA29" s="37"/>
      <c r="BB29" s="174" t="str">
        <f t="shared" si="15"/>
        <v/>
      </c>
      <c r="BC29" s="37"/>
      <c r="BD29" s="174" t="str">
        <f t="shared" si="16"/>
        <v/>
      </c>
      <c r="BE29" s="37"/>
      <c r="BF29" s="174" t="str">
        <f t="shared" si="17"/>
        <v/>
      </c>
      <c r="BG29" s="37"/>
      <c r="BH29" s="174" t="str">
        <f t="shared" si="18"/>
        <v/>
      </c>
      <c r="BI29" s="37"/>
      <c r="BJ29" s="174" t="str">
        <f t="shared" si="19"/>
        <v/>
      </c>
      <c r="BK29" s="37"/>
      <c r="BL29" s="174" t="str">
        <f t="shared" si="20"/>
        <v/>
      </c>
      <c r="BM29" s="37"/>
      <c r="BN29" s="174" t="str">
        <f t="shared" si="21"/>
        <v/>
      </c>
      <c r="BO29" s="37"/>
      <c r="BP29" s="174" t="str">
        <f t="shared" si="22"/>
        <v/>
      </c>
      <c r="BQ29" s="37"/>
      <c r="BR29" s="174" t="str">
        <f t="shared" si="23"/>
        <v/>
      </c>
      <c r="BS29" s="37"/>
      <c r="BT29" s="174" t="str">
        <f t="shared" si="24"/>
        <v/>
      </c>
      <c r="BU29" s="37"/>
      <c r="BV29" s="174" t="str">
        <f t="shared" si="25"/>
        <v/>
      </c>
      <c r="BW29" s="37"/>
      <c r="BX29" s="174" t="str">
        <f t="shared" si="26"/>
        <v/>
      </c>
      <c r="BY29" s="37"/>
      <c r="BZ29" s="174" t="str">
        <f t="shared" si="27"/>
        <v/>
      </c>
      <c r="CA29" s="37"/>
      <c r="CB29" s="174" t="str">
        <f t="shared" si="28"/>
        <v/>
      </c>
      <c r="CC29" s="37"/>
      <c r="CD29" s="174" t="str">
        <f t="shared" si="29"/>
        <v/>
      </c>
      <c r="CE29" s="37"/>
      <c r="CF29" s="174" t="str">
        <f t="shared" si="30"/>
        <v/>
      </c>
      <c r="CG29" s="37"/>
      <c r="CH29" s="174" t="str">
        <f t="shared" si="31"/>
        <v/>
      </c>
      <c r="CI29" s="37"/>
      <c r="CJ29" s="174" t="str">
        <f t="shared" si="32"/>
        <v/>
      </c>
      <c r="CK29" s="37"/>
      <c r="CL29" s="174" t="str">
        <f t="shared" si="33"/>
        <v/>
      </c>
      <c r="CM29" s="37"/>
      <c r="CN29" s="174" t="str">
        <f t="shared" si="34"/>
        <v/>
      </c>
      <c r="CO29" s="37"/>
      <c r="CP29" s="174" t="str">
        <f t="shared" si="35"/>
        <v/>
      </c>
      <c r="CQ29" s="37"/>
      <c r="CR29" s="174" t="str">
        <f t="shared" si="36"/>
        <v/>
      </c>
      <c r="CS29" s="37"/>
      <c r="CT29" s="174" t="str">
        <f t="shared" si="37"/>
        <v/>
      </c>
      <c r="CU29" s="38"/>
      <c r="CV29" s="87"/>
      <c r="CW29" s="90"/>
      <c r="CX29" s="38"/>
      <c r="CY29" s="39"/>
      <c r="CZ29" s="37"/>
      <c r="DA29" s="39"/>
      <c r="DB29" s="24">
        <v>25</v>
      </c>
      <c r="DC29" s="96" t="str">
        <f t="shared" si="38"/>
        <v>日</v>
      </c>
      <c r="DF29" s="125"/>
      <c r="DG29" s="40"/>
      <c r="DH29" s="40"/>
      <c r="DI29" s="40"/>
      <c r="DJ29" s="40"/>
      <c r="DK29" s="40"/>
      <c r="DL29" s="40"/>
      <c r="DM29" s="40"/>
      <c r="DN29" s="40"/>
      <c r="DO29" s="40"/>
      <c r="DP29" s="40">
        <f t="shared" si="39"/>
        <v>0</v>
      </c>
      <c r="DQ29" s="172" t="str">
        <f t="shared" si="40"/>
        <v/>
      </c>
      <c r="DS29" s="189"/>
      <c r="DT29" s="190"/>
      <c r="DU29" s="190"/>
      <c r="DV29" s="191"/>
      <c r="DW29" s="41"/>
      <c r="DX29" s="42"/>
    </row>
    <row r="30" spans="1:128" ht="13.5" customHeight="1" x14ac:dyDescent="0.4">
      <c r="A30" s="104">
        <v>26</v>
      </c>
      <c r="B30" s="23" t="s">
        <v>90</v>
      </c>
      <c r="C30" s="164"/>
      <c r="D30" s="164"/>
      <c r="E30" s="24"/>
      <c r="F30" s="29"/>
      <c r="G30" s="25" t="str">
        <f>IF(SUM($F$5:F30)=0,"",SUM($F$5:F30))</f>
        <v/>
      </c>
      <c r="H30" s="43" t="str">
        <f t="shared" si="0"/>
        <v/>
      </c>
      <c r="I30" s="148" t="e">
        <f t="array" aca="1" ref="I30" ca="1">IF($A31="",$G30/($V30-$U$5+INDIRECT(IF(_xlfn.SHEET()&lt;6,"令和8年"&amp;_xlfn.SHEET()+7&amp;"月","令和9年"&amp;_xlfn.SHEET()-5&amp;"月")&amp;"!$U$5")),$G30/($V31-$U$5))</f>
        <v>#VALUE!</v>
      </c>
      <c r="J30" s="26" t="str">
        <f t="shared" si="1"/>
        <v/>
      </c>
      <c r="K30" s="27"/>
      <c r="L30" s="165">
        <f t="shared" si="2"/>
        <v>0</v>
      </c>
      <c r="M30" s="28" t="str">
        <f t="shared" si="3"/>
        <v/>
      </c>
      <c r="N30" s="166" t="str">
        <f t="shared" si="4"/>
        <v/>
      </c>
      <c r="O30" s="167" t="str">
        <f t="shared" si="5"/>
        <v/>
      </c>
      <c r="P30" s="168"/>
      <c r="Q30" s="169" t="str">
        <f t="shared" si="6"/>
        <v/>
      </c>
      <c r="R30" s="170">
        <v>22</v>
      </c>
      <c r="S30" s="171">
        <v>15</v>
      </c>
      <c r="T30" s="24" t="s">
        <v>93</v>
      </c>
      <c r="U30" s="29">
        <v>789066</v>
      </c>
      <c r="V30" s="30">
        <f t="shared" si="41"/>
        <v>10815300</v>
      </c>
      <c r="W30" s="27">
        <v>488</v>
      </c>
      <c r="X30" s="31">
        <f t="shared" si="7"/>
        <v>1616.938524590164</v>
      </c>
      <c r="Y30" s="29">
        <v>738658</v>
      </c>
      <c r="Z30" s="32">
        <f t="shared" si="42"/>
        <v>10444606</v>
      </c>
      <c r="AA30" s="33">
        <f t="shared" si="8"/>
        <v>1.0354914297389486</v>
      </c>
      <c r="AB30" s="158">
        <v>250000</v>
      </c>
      <c r="AC30" s="34">
        <f t="shared" si="43"/>
        <v>11450000</v>
      </c>
      <c r="AD30" s="158"/>
      <c r="AE30" s="25"/>
      <c r="AF30" s="25"/>
      <c r="AG30" s="25"/>
      <c r="AH30" s="25"/>
      <c r="AI30" s="25"/>
      <c r="AJ30" s="25"/>
      <c r="AK30" s="25"/>
      <c r="AL30" s="158"/>
      <c r="AM30" s="25"/>
      <c r="AN30" s="158"/>
      <c r="AO30" s="25"/>
      <c r="AP30" s="25"/>
      <c r="AQ30" s="158"/>
      <c r="AR30" s="35">
        <f t="shared" si="9"/>
        <v>0</v>
      </c>
      <c r="AS30" s="172" t="str">
        <f t="shared" si="10"/>
        <v/>
      </c>
      <c r="AT30" s="36">
        <f t="shared" si="11"/>
        <v>0</v>
      </c>
      <c r="AU30" s="173"/>
      <c r="AV30" s="82">
        <f t="shared" si="12"/>
        <v>26</v>
      </c>
      <c r="AW30" s="37"/>
      <c r="AX30" s="174" t="str">
        <f t="shared" si="13"/>
        <v/>
      </c>
      <c r="AY30" s="37"/>
      <c r="AZ30" s="174" t="str">
        <f t="shared" si="14"/>
        <v/>
      </c>
      <c r="BA30" s="37"/>
      <c r="BB30" s="174" t="str">
        <f t="shared" si="15"/>
        <v/>
      </c>
      <c r="BC30" s="37"/>
      <c r="BD30" s="174" t="str">
        <f t="shared" si="16"/>
        <v/>
      </c>
      <c r="BE30" s="37"/>
      <c r="BF30" s="174" t="str">
        <f t="shared" si="17"/>
        <v/>
      </c>
      <c r="BG30" s="37"/>
      <c r="BH30" s="174" t="str">
        <f t="shared" si="18"/>
        <v/>
      </c>
      <c r="BI30" s="37"/>
      <c r="BJ30" s="174" t="str">
        <f t="shared" si="19"/>
        <v/>
      </c>
      <c r="BK30" s="37"/>
      <c r="BL30" s="174" t="str">
        <f t="shared" si="20"/>
        <v/>
      </c>
      <c r="BM30" s="37"/>
      <c r="BN30" s="174" t="str">
        <f t="shared" si="21"/>
        <v/>
      </c>
      <c r="BO30" s="37"/>
      <c r="BP30" s="174" t="str">
        <f t="shared" si="22"/>
        <v/>
      </c>
      <c r="BQ30" s="37"/>
      <c r="BR30" s="174" t="str">
        <f t="shared" si="23"/>
        <v/>
      </c>
      <c r="BS30" s="37"/>
      <c r="BT30" s="174" t="str">
        <f t="shared" si="24"/>
        <v/>
      </c>
      <c r="BU30" s="37"/>
      <c r="BV30" s="174" t="str">
        <f t="shared" si="25"/>
        <v/>
      </c>
      <c r="BW30" s="37"/>
      <c r="BX30" s="174" t="str">
        <f t="shared" si="26"/>
        <v/>
      </c>
      <c r="BY30" s="37"/>
      <c r="BZ30" s="174" t="str">
        <f t="shared" si="27"/>
        <v/>
      </c>
      <c r="CA30" s="37"/>
      <c r="CB30" s="174" t="str">
        <f t="shared" si="28"/>
        <v/>
      </c>
      <c r="CC30" s="37"/>
      <c r="CD30" s="174" t="str">
        <f t="shared" si="29"/>
        <v/>
      </c>
      <c r="CE30" s="37"/>
      <c r="CF30" s="174" t="str">
        <f t="shared" si="30"/>
        <v/>
      </c>
      <c r="CG30" s="37"/>
      <c r="CH30" s="174" t="str">
        <f t="shared" si="31"/>
        <v/>
      </c>
      <c r="CI30" s="37"/>
      <c r="CJ30" s="174" t="str">
        <f t="shared" si="32"/>
        <v/>
      </c>
      <c r="CK30" s="37"/>
      <c r="CL30" s="174" t="str">
        <f t="shared" si="33"/>
        <v/>
      </c>
      <c r="CM30" s="37"/>
      <c r="CN30" s="174" t="str">
        <f t="shared" si="34"/>
        <v/>
      </c>
      <c r="CO30" s="37"/>
      <c r="CP30" s="174" t="str">
        <f t="shared" si="35"/>
        <v/>
      </c>
      <c r="CQ30" s="37"/>
      <c r="CR30" s="174" t="str">
        <f t="shared" si="36"/>
        <v/>
      </c>
      <c r="CS30" s="37"/>
      <c r="CT30" s="174" t="str">
        <f t="shared" si="37"/>
        <v/>
      </c>
      <c r="CU30" s="38"/>
      <c r="CV30" s="87"/>
      <c r="CW30" s="90"/>
      <c r="CX30" s="38"/>
      <c r="CY30" s="39"/>
      <c r="CZ30" s="37"/>
      <c r="DA30" s="39"/>
      <c r="DB30" s="24">
        <v>26</v>
      </c>
      <c r="DC30" s="96" t="str">
        <f t="shared" si="38"/>
        <v>月</v>
      </c>
      <c r="DF30" s="125"/>
      <c r="DG30" s="40"/>
      <c r="DH30" s="40"/>
      <c r="DI30" s="40"/>
      <c r="DJ30" s="40"/>
      <c r="DK30" s="40"/>
      <c r="DL30" s="40"/>
      <c r="DM30" s="40"/>
      <c r="DN30" s="40"/>
      <c r="DO30" s="40"/>
      <c r="DP30" s="40">
        <f t="shared" si="39"/>
        <v>0</v>
      </c>
      <c r="DQ30" s="172" t="str">
        <f t="shared" si="40"/>
        <v/>
      </c>
      <c r="DS30" s="189"/>
      <c r="DT30" s="190"/>
      <c r="DU30" s="190"/>
      <c r="DV30" s="191"/>
      <c r="DW30" s="41"/>
      <c r="DX30" s="42"/>
    </row>
    <row r="31" spans="1:128" ht="13.5" customHeight="1" x14ac:dyDescent="0.4">
      <c r="A31" s="104">
        <v>27</v>
      </c>
      <c r="B31" s="23" t="s">
        <v>91</v>
      </c>
      <c r="C31" s="164"/>
      <c r="D31" s="164"/>
      <c r="E31" s="24"/>
      <c r="F31" s="29"/>
      <c r="G31" s="25" t="str">
        <f>IF(SUM($F$5:F31)=0,"",SUM($F$5:F31))</f>
        <v/>
      </c>
      <c r="H31" s="43" t="str">
        <f t="shared" si="0"/>
        <v/>
      </c>
      <c r="I31" s="148" t="e">
        <f t="array" aca="1" ref="I31" ca="1">IF($A32="",$G31/($V31-$U$5+INDIRECT(IF(_xlfn.SHEET()&lt;6,"令和8年"&amp;_xlfn.SHEET()+7&amp;"月","令和9年"&amp;_xlfn.SHEET()-5&amp;"月")&amp;"!$U$5")),$G31/($V32-$U$5))</f>
        <v>#VALUE!</v>
      </c>
      <c r="J31" s="26" t="str">
        <f t="shared" si="1"/>
        <v/>
      </c>
      <c r="K31" s="27"/>
      <c r="L31" s="165">
        <f t="shared" si="2"/>
        <v>0</v>
      </c>
      <c r="M31" s="28" t="str">
        <f t="shared" si="3"/>
        <v/>
      </c>
      <c r="N31" s="166" t="str">
        <f t="shared" si="4"/>
        <v/>
      </c>
      <c r="O31" s="167" t="str">
        <f t="shared" si="5"/>
        <v/>
      </c>
      <c r="P31" s="168"/>
      <c r="Q31" s="169" t="str">
        <f t="shared" si="6"/>
        <v/>
      </c>
      <c r="R31" s="170">
        <v>22</v>
      </c>
      <c r="S31" s="171">
        <v>12</v>
      </c>
      <c r="T31" s="24" t="s">
        <v>84</v>
      </c>
      <c r="U31" s="29">
        <v>290714</v>
      </c>
      <c r="V31" s="30">
        <f t="shared" si="41"/>
        <v>11106014</v>
      </c>
      <c r="W31" s="27">
        <v>212</v>
      </c>
      <c r="X31" s="31">
        <f t="shared" si="7"/>
        <v>1371.2924528301887</v>
      </c>
      <c r="Y31" s="29">
        <v>750709</v>
      </c>
      <c r="Z31" s="32">
        <f t="shared" si="42"/>
        <v>11195315</v>
      </c>
      <c r="AA31" s="33">
        <f t="shared" si="8"/>
        <v>0.99202335977147582</v>
      </c>
      <c r="AB31" s="158">
        <v>250000</v>
      </c>
      <c r="AC31" s="34">
        <f t="shared" si="43"/>
        <v>11700000</v>
      </c>
      <c r="AD31" s="158"/>
      <c r="AE31" s="25"/>
      <c r="AF31" s="25"/>
      <c r="AG31" s="25"/>
      <c r="AH31" s="25"/>
      <c r="AI31" s="25"/>
      <c r="AJ31" s="25"/>
      <c r="AK31" s="25"/>
      <c r="AL31" s="158"/>
      <c r="AM31" s="25"/>
      <c r="AN31" s="158"/>
      <c r="AO31" s="25"/>
      <c r="AP31" s="25"/>
      <c r="AQ31" s="158"/>
      <c r="AR31" s="35">
        <f t="shared" si="9"/>
        <v>0</v>
      </c>
      <c r="AS31" s="172" t="str">
        <f t="shared" si="10"/>
        <v/>
      </c>
      <c r="AT31" s="36">
        <f t="shared" si="11"/>
        <v>0</v>
      </c>
      <c r="AU31" s="173"/>
      <c r="AV31" s="82">
        <f t="shared" si="12"/>
        <v>27</v>
      </c>
      <c r="AW31" s="37"/>
      <c r="AX31" s="174" t="str">
        <f t="shared" si="13"/>
        <v/>
      </c>
      <c r="AY31" s="37"/>
      <c r="AZ31" s="174" t="str">
        <f t="shared" si="14"/>
        <v/>
      </c>
      <c r="BA31" s="37"/>
      <c r="BB31" s="174" t="str">
        <f t="shared" si="15"/>
        <v/>
      </c>
      <c r="BC31" s="37"/>
      <c r="BD31" s="174" t="str">
        <f t="shared" si="16"/>
        <v/>
      </c>
      <c r="BE31" s="37"/>
      <c r="BF31" s="174" t="str">
        <f t="shared" si="17"/>
        <v/>
      </c>
      <c r="BG31" s="37"/>
      <c r="BH31" s="174" t="str">
        <f t="shared" si="18"/>
        <v/>
      </c>
      <c r="BI31" s="37"/>
      <c r="BJ31" s="174" t="str">
        <f t="shared" si="19"/>
        <v/>
      </c>
      <c r="BK31" s="37"/>
      <c r="BL31" s="174" t="str">
        <f t="shared" si="20"/>
        <v/>
      </c>
      <c r="BM31" s="37"/>
      <c r="BN31" s="174" t="str">
        <f t="shared" si="21"/>
        <v/>
      </c>
      <c r="BO31" s="37"/>
      <c r="BP31" s="174" t="str">
        <f t="shared" si="22"/>
        <v/>
      </c>
      <c r="BQ31" s="37"/>
      <c r="BR31" s="174" t="str">
        <f t="shared" si="23"/>
        <v/>
      </c>
      <c r="BS31" s="37"/>
      <c r="BT31" s="174" t="str">
        <f t="shared" si="24"/>
        <v/>
      </c>
      <c r="BU31" s="37"/>
      <c r="BV31" s="174" t="str">
        <f t="shared" si="25"/>
        <v/>
      </c>
      <c r="BW31" s="37"/>
      <c r="BX31" s="174" t="str">
        <f t="shared" si="26"/>
        <v/>
      </c>
      <c r="BY31" s="37"/>
      <c r="BZ31" s="174" t="str">
        <f t="shared" si="27"/>
        <v/>
      </c>
      <c r="CA31" s="37"/>
      <c r="CB31" s="174" t="str">
        <f t="shared" si="28"/>
        <v/>
      </c>
      <c r="CC31" s="37"/>
      <c r="CD31" s="174" t="str">
        <f t="shared" si="29"/>
        <v/>
      </c>
      <c r="CE31" s="37"/>
      <c r="CF31" s="174" t="str">
        <f t="shared" si="30"/>
        <v/>
      </c>
      <c r="CG31" s="37"/>
      <c r="CH31" s="174" t="str">
        <f t="shared" si="31"/>
        <v/>
      </c>
      <c r="CI31" s="37"/>
      <c r="CJ31" s="174" t="str">
        <f t="shared" si="32"/>
        <v/>
      </c>
      <c r="CK31" s="37"/>
      <c r="CL31" s="174" t="str">
        <f t="shared" si="33"/>
        <v/>
      </c>
      <c r="CM31" s="37"/>
      <c r="CN31" s="174" t="str">
        <f t="shared" si="34"/>
        <v/>
      </c>
      <c r="CO31" s="37"/>
      <c r="CP31" s="174" t="str">
        <f t="shared" si="35"/>
        <v/>
      </c>
      <c r="CQ31" s="37"/>
      <c r="CR31" s="174" t="str">
        <f t="shared" si="36"/>
        <v/>
      </c>
      <c r="CS31" s="37"/>
      <c r="CT31" s="174" t="str">
        <f t="shared" si="37"/>
        <v/>
      </c>
      <c r="CU31" s="38"/>
      <c r="CV31" s="87"/>
      <c r="CW31" s="90"/>
      <c r="CX31" s="38"/>
      <c r="CY31" s="39"/>
      <c r="CZ31" s="37"/>
      <c r="DA31" s="39"/>
      <c r="DB31" s="24">
        <v>27</v>
      </c>
      <c r="DC31" s="96" t="str">
        <f t="shared" si="38"/>
        <v>火</v>
      </c>
      <c r="DF31" s="125"/>
      <c r="DG31" s="40"/>
      <c r="DH31" s="40"/>
      <c r="DI31" s="40"/>
      <c r="DJ31" s="40"/>
      <c r="DK31" s="40"/>
      <c r="DL31" s="40"/>
      <c r="DM31" s="40"/>
      <c r="DN31" s="40"/>
      <c r="DO31" s="40"/>
      <c r="DP31" s="40">
        <f t="shared" si="39"/>
        <v>0</v>
      </c>
      <c r="DQ31" s="172" t="str">
        <f t="shared" si="40"/>
        <v/>
      </c>
      <c r="DS31" s="189"/>
      <c r="DT31" s="190"/>
      <c r="DU31" s="190"/>
      <c r="DV31" s="191"/>
      <c r="DW31" s="138"/>
      <c r="DX31" s="42"/>
    </row>
    <row r="32" spans="1:128" ht="13.5" customHeight="1" x14ac:dyDescent="0.4">
      <c r="A32" s="104">
        <v>28</v>
      </c>
      <c r="B32" s="23" t="s">
        <v>83</v>
      </c>
      <c r="C32" s="164"/>
      <c r="D32" s="164"/>
      <c r="E32" s="24"/>
      <c r="F32" s="29"/>
      <c r="G32" s="25" t="str">
        <f>IF(SUM($F$5:F32)=0,"",SUM($F$5:F32))</f>
        <v/>
      </c>
      <c r="H32" s="43" t="str">
        <f t="shared" si="0"/>
        <v/>
      </c>
      <c r="I32" s="148" t="e">
        <f t="array" aca="1" ref="I32" ca="1">IF($A33="",$G32/($V32-$U$5+INDIRECT(IF(_xlfn.SHEET()&lt;6,"令和8年"&amp;_xlfn.SHEET()+7&amp;"月","令和9年"&amp;_xlfn.SHEET()-5&amp;"月")&amp;"!$U$5")),$G32/($V33-$U$5))</f>
        <v>#VALUE!</v>
      </c>
      <c r="J32" s="26" t="str">
        <f t="shared" si="1"/>
        <v/>
      </c>
      <c r="K32" s="27"/>
      <c r="L32" s="165">
        <f t="shared" si="2"/>
        <v>0</v>
      </c>
      <c r="M32" s="28" t="str">
        <f t="shared" si="3"/>
        <v/>
      </c>
      <c r="N32" s="166" t="str">
        <f t="shared" si="4"/>
        <v/>
      </c>
      <c r="O32" s="167" t="str">
        <f t="shared" si="5"/>
        <v/>
      </c>
      <c r="P32" s="168"/>
      <c r="Q32" s="169" t="str">
        <f t="shared" si="6"/>
        <v/>
      </c>
      <c r="R32" s="170">
        <v>23</v>
      </c>
      <c r="S32" s="171">
        <v>15</v>
      </c>
      <c r="T32" s="24" t="s">
        <v>84</v>
      </c>
      <c r="U32" s="29">
        <v>253627</v>
      </c>
      <c r="V32" s="30">
        <f t="shared" si="41"/>
        <v>11359641</v>
      </c>
      <c r="W32" s="27">
        <v>146</v>
      </c>
      <c r="X32" s="31">
        <f t="shared" si="7"/>
        <v>1737.1712328767123</v>
      </c>
      <c r="Y32" s="29">
        <v>339844</v>
      </c>
      <c r="Z32" s="32">
        <f t="shared" si="42"/>
        <v>11535159</v>
      </c>
      <c r="AA32" s="33">
        <f t="shared" si="8"/>
        <v>0.98478408490078029</v>
      </c>
      <c r="AB32" s="158">
        <v>250000</v>
      </c>
      <c r="AC32" s="34">
        <f t="shared" si="43"/>
        <v>11950000</v>
      </c>
      <c r="AD32" s="158"/>
      <c r="AE32" s="25"/>
      <c r="AF32" s="25"/>
      <c r="AG32" s="25"/>
      <c r="AH32" s="25"/>
      <c r="AI32" s="25"/>
      <c r="AJ32" s="25"/>
      <c r="AK32" s="25"/>
      <c r="AL32" s="158"/>
      <c r="AM32" s="25"/>
      <c r="AN32" s="158"/>
      <c r="AO32" s="25"/>
      <c r="AP32" s="25"/>
      <c r="AQ32" s="158"/>
      <c r="AR32" s="35">
        <f t="shared" si="9"/>
        <v>0</v>
      </c>
      <c r="AS32" s="172" t="str">
        <f t="shared" si="10"/>
        <v/>
      </c>
      <c r="AT32" s="36">
        <f t="shared" si="11"/>
        <v>0</v>
      </c>
      <c r="AU32" s="173"/>
      <c r="AV32" s="82">
        <f t="shared" si="12"/>
        <v>28</v>
      </c>
      <c r="AW32" s="37"/>
      <c r="AX32" s="174" t="str">
        <f t="shared" si="13"/>
        <v/>
      </c>
      <c r="AY32" s="37"/>
      <c r="AZ32" s="174" t="str">
        <f t="shared" si="14"/>
        <v/>
      </c>
      <c r="BA32" s="37"/>
      <c r="BB32" s="174" t="str">
        <f t="shared" si="15"/>
        <v/>
      </c>
      <c r="BC32" s="37"/>
      <c r="BD32" s="174" t="str">
        <f t="shared" si="16"/>
        <v/>
      </c>
      <c r="BE32" s="37"/>
      <c r="BF32" s="174" t="str">
        <f t="shared" si="17"/>
        <v/>
      </c>
      <c r="BG32" s="37"/>
      <c r="BH32" s="174" t="str">
        <f t="shared" si="18"/>
        <v/>
      </c>
      <c r="BI32" s="37"/>
      <c r="BJ32" s="174" t="str">
        <f t="shared" si="19"/>
        <v/>
      </c>
      <c r="BK32" s="37"/>
      <c r="BL32" s="174" t="str">
        <f t="shared" si="20"/>
        <v/>
      </c>
      <c r="BM32" s="37"/>
      <c r="BN32" s="174" t="str">
        <f t="shared" si="21"/>
        <v/>
      </c>
      <c r="BO32" s="37"/>
      <c r="BP32" s="174" t="str">
        <f t="shared" si="22"/>
        <v/>
      </c>
      <c r="BQ32" s="37"/>
      <c r="BR32" s="174" t="str">
        <f t="shared" si="23"/>
        <v/>
      </c>
      <c r="BS32" s="37"/>
      <c r="BT32" s="174" t="str">
        <f t="shared" si="24"/>
        <v/>
      </c>
      <c r="BU32" s="37"/>
      <c r="BV32" s="174" t="str">
        <f t="shared" si="25"/>
        <v/>
      </c>
      <c r="BW32" s="37"/>
      <c r="BX32" s="174" t="str">
        <f t="shared" si="26"/>
        <v/>
      </c>
      <c r="BY32" s="37"/>
      <c r="BZ32" s="174" t="str">
        <f t="shared" si="27"/>
        <v/>
      </c>
      <c r="CA32" s="37"/>
      <c r="CB32" s="174" t="str">
        <f t="shared" si="28"/>
        <v/>
      </c>
      <c r="CC32" s="37"/>
      <c r="CD32" s="174" t="str">
        <f t="shared" si="29"/>
        <v/>
      </c>
      <c r="CE32" s="37"/>
      <c r="CF32" s="174" t="str">
        <f t="shared" si="30"/>
        <v/>
      </c>
      <c r="CG32" s="37"/>
      <c r="CH32" s="174" t="str">
        <f t="shared" si="31"/>
        <v/>
      </c>
      <c r="CI32" s="37"/>
      <c r="CJ32" s="174" t="str">
        <f t="shared" si="32"/>
        <v/>
      </c>
      <c r="CK32" s="37"/>
      <c r="CL32" s="174" t="str">
        <f t="shared" si="33"/>
        <v/>
      </c>
      <c r="CM32" s="37"/>
      <c r="CN32" s="174" t="str">
        <f t="shared" si="34"/>
        <v/>
      </c>
      <c r="CO32" s="37"/>
      <c r="CP32" s="174" t="str">
        <f t="shared" si="35"/>
        <v/>
      </c>
      <c r="CQ32" s="37"/>
      <c r="CR32" s="174" t="str">
        <f t="shared" si="36"/>
        <v/>
      </c>
      <c r="CS32" s="37"/>
      <c r="CT32" s="174" t="str">
        <f t="shared" si="37"/>
        <v/>
      </c>
      <c r="CU32" s="38"/>
      <c r="CV32" s="87"/>
      <c r="CW32" s="90"/>
      <c r="CX32" s="38"/>
      <c r="CY32" s="39"/>
      <c r="CZ32" s="37"/>
      <c r="DA32" s="39"/>
      <c r="DB32" s="24">
        <v>28</v>
      </c>
      <c r="DC32" s="96" t="str">
        <f t="shared" si="38"/>
        <v>水</v>
      </c>
      <c r="DF32" s="125"/>
      <c r="DG32" s="40"/>
      <c r="DH32" s="40"/>
      <c r="DI32" s="40"/>
      <c r="DJ32" s="40"/>
      <c r="DK32" s="40"/>
      <c r="DL32" s="40"/>
      <c r="DM32" s="40"/>
      <c r="DN32" s="40"/>
      <c r="DO32" s="40"/>
      <c r="DP32" s="40">
        <f t="shared" si="39"/>
        <v>0</v>
      </c>
      <c r="DQ32" s="172" t="str">
        <f t="shared" si="40"/>
        <v/>
      </c>
      <c r="DS32" s="189"/>
      <c r="DT32" s="190"/>
      <c r="DU32" s="190"/>
      <c r="DV32" s="191"/>
      <c r="DW32" s="41"/>
      <c r="DX32" s="42"/>
    </row>
    <row r="33" spans="1:128" ht="13.5" customHeight="1" x14ac:dyDescent="0.4">
      <c r="A33" s="104">
        <v>29</v>
      </c>
      <c r="B33" s="23" t="s">
        <v>85</v>
      </c>
      <c r="C33" s="164"/>
      <c r="D33" s="164"/>
      <c r="E33" s="24"/>
      <c r="F33" s="29"/>
      <c r="G33" s="25" t="str">
        <f>IF(SUM($F$5:F33)=0,"",SUM($F$5:F33))</f>
        <v/>
      </c>
      <c r="H33" s="43" t="str">
        <f t="shared" si="0"/>
        <v/>
      </c>
      <c r="I33" s="148" t="e">
        <f t="array" aca="1" ref="I33" ca="1">IF($A34="",$G33/($V33-$U$5+INDIRECT(IF(_xlfn.SHEET()&lt;6,"令和8年"&amp;_xlfn.SHEET()+7&amp;"月","令和9年"&amp;_xlfn.SHEET()-5&amp;"月")&amp;"!$U$5")),$G33/($V34-$U$5))</f>
        <v>#VALUE!</v>
      </c>
      <c r="J33" s="26" t="str">
        <f t="shared" si="1"/>
        <v/>
      </c>
      <c r="K33" s="27"/>
      <c r="L33" s="165">
        <f t="shared" si="2"/>
        <v>0</v>
      </c>
      <c r="M33" s="28" t="str">
        <f t="shared" si="3"/>
        <v/>
      </c>
      <c r="N33" s="166" t="str">
        <f t="shared" si="4"/>
        <v/>
      </c>
      <c r="O33" s="167" t="str">
        <f t="shared" si="5"/>
        <v/>
      </c>
      <c r="P33" s="168"/>
      <c r="Q33" s="169" t="str">
        <f t="shared" si="6"/>
        <v/>
      </c>
      <c r="R33" s="170">
        <v>20</v>
      </c>
      <c r="S33" s="171">
        <v>14</v>
      </c>
      <c r="T33" s="24" t="s">
        <v>84</v>
      </c>
      <c r="U33" s="29">
        <v>434703</v>
      </c>
      <c r="V33" s="30">
        <f t="shared" si="41"/>
        <v>11794344</v>
      </c>
      <c r="W33" s="27">
        <v>233</v>
      </c>
      <c r="X33" s="31">
        <f t="shared" si="7"/>
        <v>1865.6781115879828</v>
      </c>
      <c r="Y33" s="29">
        <v>250485</v>
      </c>
      <c r="Z33" s="32">
        <f t="shared" si="42"/>
        <v>11785644</v>
      </c>
      <c r="AA33" s="33">
        <f t="shared" si="8"/>
        <v>1.0007381862204561</v>
      </c>
      <c r="AB33" s="158">
        <v>250000</v>
      </c>
      <c r="AC33" s="34">
        <f t="shared" si="43"/>
        <v>12200000</v>
      </c>
      <c r="AD33" s="158"/>
      <c r="AE33" s="25"/>
      <c r="AF33" s="25"/>
      <c r="AG33" s="25"/>
      <c r="AH33" s="25"/>
      <c r="AI33" s="25"/>
      <c r="AJ33" s="25"/>
      <c r="AK33" s="25"/>
      <c r="AL33" s="158"/>
      <c r="AM33" s="25"/>
      <c r="AN33" s="158"/>
      <c r="AO33" s="25"/>
      <c r="AP33" s="25"/>
      <c r="AQ33" s="158"/>
      <c r="AR33" s="35">
        <f t="shared" si="9"/>
        <v>0</v>
      </c>
      <c r="AS33" s="172" t="str">
        <f t="shared" si="10"/>
        <v/>
      </c>
      <c r="AT33" s="36">
        <f t="shared" si="11"/>
        <v>0</v>
      </c>
      <c r="AU33" s="173"/>
      <c r="AV33" s="82">
        <f t="shared" si="12"/>
        <v>29</v>
      </c>
      <c r="AW33" s="37"/>
      <c r="AX33" s="174" t="str">
        <f t="shared" si="13"/>
        <v/>
      </c>
      <c r="AY33" s="37"/>
      <c r="AZ33" s="174" t="str">
        <f t="shared" si="14"/>
        <v/>
      </c>
      <c r="BA33" s="37"/>
      <c r="BB33" s="174" t="str">
        <f t="shared" si="15"/>
        <v/>
      </c>
      <c r="BC33" s="37"/>
      <c r="BD33" s="174" t="str">
        <f t="shared" si="16"/>
        <v/>
      </c>
      <c r="BE33" s="37"/>
      <c r="BF33" s="174" t="str">
        <f t="shared" si="17"/>
        <v/>
      </c>
      <c r="BG33" s="37"/>
      <c r="BH33" s="174" t="str">
        <f t="shared" si="18"/>
        <v/>
      </c>
      <c r="BI33" s="37"/>
      <c r="BJ33" s="174" t="str">
        <f t="shared" si="19"/>
        <v/>
      </c>
      <c r="BK33" s="37"/>
      <c r="BL33" s="174" t="str">
        <f t="shared" si="20"/>
        <v/>
      </c>
      <c r="BM33" s="37"/>
      <c r="BN33" s="174" t="str">
        <f t="shared" si="21"/>
        <v/>
      </c>
      <c r="BO33" s="37"/>
      <c r="BP33" s="174" t="str">
        <f t="shared" si="22"/>
        <v/>
      </c>
      <c r="BQ33" s="37"/>
      <c r="BR33" s="174" t="str">
        <f t="shared" si="23"/>
        <v/>
      </c>
      <c r="BS33" s="37"/>
      <c r="BT33" s="174" t="str">
        <f t="shared" si="24"/>
        <v/>
      </c>
      <c r="BU33" s="37"/>
      <c r="BV33" s="174" t="str">
        <f t="shared" si="25"/>
        <v/>
      </c>
      <c r="BW33" s="37"/>
      <c r="BX33" s="174" t="str">
        <f t="shared" si="26"/>
        <v/>
      </c>
      <c r="BY33" s="37"/>
      <c r="BZ33" s="174" t="str">
        <f t="shared" si="27"/>
        <v/>
      </c>
      <c r="CA33" s="37"/>
      <c r="CB33" s="174" t="str">
        <f t="shared" si="28"/>
        <v/>
      </c>
      <c r="CC33" s="37"/>
      <c r="CD33" s="174" t="str">
        <f t="shared" si="29"/>
        <v/>
      </c>
      <c r="CE33" s="37"/>
      <c r="CF33" s="174" t="str">
        <f t="shared" si="30"/>
        <v/>
      </c>
      <c r="CG33" s="37"/>
      <c r="CH33" s="174" t="str">
        <f t="shared" si="31"/>
        <v/>
      </c>
      <c r="CI33" s="37"/>
      <c r="CJ33" s="174" t="str">
        <f t="shared" si="32"/>
        <v/>
      </c>
      <c r="CK33" s="37"/>
      <c r="CL33" s="174" t="str">
        <f t="shared" si="33"/>
        <v/>
      </c>
      <c r="CM33" s="37"/>
      <c r="CN33" s="174" t="str">
        <f t="shared" si="34"/>
        <v/>
      </c>
      <c r="CO33" s="37"/>
      <c r="CP33" s="174" t="str">
        <f t="shared" si="35"/>
        <v/>
      </c>
      <c r="CQ33" s="37"/>
      <c r="CR33" s="174" t="str">
        <f t="shared" si="36"/>
        <v/>
      </c>
      <c r="CS33" s="37"/>
      <c r="CT33" s="174" t="str">
        <f t="shared" si="37"/>
        <v/>
      </c>
      <c r="CU33" s="38"/>
      <c r="CV33" s="87"/>
      <c r="CW33" s="90"/>
      <c r="CX33" s="38"/>
      <c r="CY33" s="39"/>
      <c r="CZ33" s="37"/>
      <c r="DA33" s="39"/>
      <c r="DB33" s="24">
        <v>29</v>
      </c>
      <c r="DC33" s="96" t="str">
        <f t="shared" si="38"/>
        <v>木</v>
      </c>
      <c r="DF33" s="125"/>
      <c r="DG33" s="40"/>
      <c r="DH33" s="40"/>
      <c r="DI33" s="40"/>
      <c r="DJ33" s="40"/>
      <c r="DK33" s="40"/>
      <c r="DL33" s="40"/>
      <c r="DM33" s="40"/>
      <c r="DN33" s="40"/>
      <c r="DO33" s="40"/>
      <c r="DP33" s="40">
        <f t="shared" si="39"/>
        <v>0</v>
      </c>
      <c r="DQ33" s="172" t="str">
        <f t="shared" si="40"/>
        <v/>
      </c>
      <c r="DS33" s="189"/>
      <c r="DT33" s="190"/>
      <c r="DU33" s="190"/>
      <c r="DV33" s="191"/>
      <c r="DW33" s="41"/>
      <c r="DX33" s="42"/>
    </row>
    <row r="34" spans="1:128" ht="13.5" customHeight="1" x14ac:dyDescent="0.4">
      <c r="A34" s="104">
        <v>30</v>
      </c>
      <c r="B34" s="23" t="s">
        <v>86</v>
      </c>
      <c r="C34" s="164"/>
      <c r="D34" s="164"/>
      <c r="E34" s="24"/>
      <c r="F34" s="29"/>
      <c r="G34" s="25" t="str">
        <f>IF(SUM($F$5:F34)=0,"",SUM($F$5:F34))</f>
        <v/>
      </c>
      <c r="H34" s="43" t="str">
        <f t="shared" si="0"/>
        <v/>
      </c>
      <c r="I34" s="148" t="e">
        <f t="array" aca="1" ref="I34" ca="1">IF($A35="",$G34/($V34-$U$5+INDIRECT(IF(_xlfn.SHEET()&lt;6,"令和8年"&amp;_xlfn.SHEET()+7&amp;"月","令和9年"&amp;_xlfn.SHEET()-5&amp;"月")&amp;"!$U$5")),$G34/($V35-$U$5))</f>
        <v>#VALUE!</v>
      </c>
      <c r="J34" s="26" t="str">
        <f t="shared" si="1"/>
        <v/>
      </c>
      <c r="K34" s="27"/>
      <c r="L34" s="165">
        <f t="shared" si="2"/>
        <v>0</v>
      </c>
      <c r="M34" s="28" t="str">
        <f t="shared" si="3"/>
        <v/>
      </c>
      <c r="N34" s="166" t="str">
        <f t="shared" si="4"/>
        <v/>
      </c>
      <c r="O34" s="167" t="str">
        <f t="shared" si="5"/>
        <v/>
      </c>
      <c r="P34" s="168"/>
      <c r="Q34" s="169" t="str">
        <f t="shared" si="6"/>
        <v/>
      </c>
      <c r="R34" s="170">
        <v>20</v>
      </c>
      <c r="S34" s="171">
        <v>12</v>
      </c>
      <c r="T34" s="24" t="s">
        <v>114</v>
      </c>
      <c r="U34" s="29">
        <v>237713</v>
      </c>
      <c r="V34" s="30">
        <f t="shared" si="41"/>
        <v>12032057</v>
      </c>
      <c r="W34" s="27">
        <v>138</v>
      </c>
      <c r="X34" s="31">
        <f t="shared" si="7"/>
        <v>1722.5579710144928</v>
      </c>
      <c r="Y34" s="29">
        <v>257440</v>
      </c>
      <c r="Z34" s="32">
        <f t="shared" si="42"/>
        <v>12043084</v>
      </c>
      <c r="AA34" s="33">
        <f t="shared" si="8"/>
        <v>0.99908437074755929</v>
      </c>
      <c r="AB34" s="158">
        <v>250000</v>
      </c>
      <c r="AC34" s="34">
        <f t="shared" si="43"/>
        <v>12450000</v>
      </c>
      <c r="AD34" s="158"/>
      <c r="AE34" s="25"/>
      <c r="AF34" s="25"/>
      <c r="AG34" s="25"/>
      <c r="AH34" s="25"/>
      <c r="AI34" s="25"/>
      <c r="AJ34" s="25"/>
      <c r="AK34" s="25"/>
      <c r="AL34" s="158"/>
      <c r="AM34" s="25"/>
      <c r="AN34" s="158"/>
      <c r="AO34" s="25"/>
      <c r="AP34" s="25"/>
      <c r="AQ34" s="158"/>
      <c r="AR34" s="35">
        <f t="shared" si="9"/>
        <v>0</v>
      </c>
      <c r="AS34" s="172" t="str">
        <f t="shared" si="10"/>
        <v/>
      </c>
      <c r="AT34" s="36">
        <f t="shared" si="11"/>
        <v>0</v>
      </c>
      <c r="AU34" s="173"/>
      <c r="AV34" s="82">
        <f t="shared" si="12"/>
        <v>30</v>
      </c>
      <c r="AW34" s="37"/>
      <c r="AX34" s="174" t="str">
        <f t="shared" si="13"/>
        <v/>
      </c>
      <c r="AY34" s="37"/>
      <c r="AZ34" s="174" t="str">
        <f t="shared" si="14"/>
        <v/>
      </c>
      <c r="BA34" s="37"/>
      <c r="BB34" s="174" t="str">
        <f t="shared" si="15"/>
        <v/>
      </c>
      <c r="BC34" s="37"/>
      <c r="BD34" s="174" t="str">
        <f t="shared" si="16"/>
        <v/>
      </c>
      <c r="BE34" s="37"/>
      <c r="BF34" s="174" t="str">
        <f t="shared" si="17"/>
        <v/>
      </c>
      <c r="BG34" s="37"/>
      <c r="BH34" s="174" t="str">
        <f t="shared" si="18"/>
        <v/>
      </c>
      <c r="BI34" s="37"/>
      <c r="BJ34" s="174" t="str">
        <f t="shared" si="19"/>
        <v/>
      </c>
      <c r="BK34" s="37"/>
      <c r="BL34" s="174" t="str">
        <f t="shared" si="20"/>
        <v/>
      </c>
      <c r="BM34" s="37"/>
      <c r="BN34" s="174" t="str">
        <f t="shared" si="21"/>
        <v/>
      </c>
      <c r="BO34" s="37"/>
      <c r="BP34" s="174" t="str">
        <f t="shared" si="22"/>
        <v/>
      </c>
      <c r="BQ34" s="37"/>
      <c r="BR34" s="174" t="str">
        <f t="shared" si="23"/>
        <v/>
      </c>
      <c r="BS34" s="37"/>
      <c r="BT34" s="174" t="str">
        <f t="shared" si="24"/>
        <v/>
      </c>
      <c r="BU34" s="37"/>
      <c r="BV34" s="174" t="str">
        <f t="shared" si="25"/>
        <v/>
      </c>
      <c r="BW34" s="37"/>
      <c r="BX34" s="174" t="str">
        <f t="shared" si="26"/>
        <v/>
      </c>
      <c r="BY34" s="37"/>
      <c r="BZ34" s="174" t="str">
        <f t="shared" si="27"/>
        <v/>
      </c>
      <c r="CA34" s="37"/>
      <c r="CB34" s="174" t="str">
        <f t="shared" si="28"/>
        <v/>
      </c>
      <c r="CC34" s="37"/>
      <c r="CD34" s="174" t="str">
        <f t="shared" si="29"/>
        <v/>
      </c>
      <c r="CE34" s="37"/>
      <c r="CF34" s="174" t="str">
        <f t="shared" si="30"/>
        <v/>
      </c>
      <c r="CG34" s="37"/>
      <c r="CH34" s="174" t="str">
        <f t="shared" si="31"/>
        <v/>
      </c>
      <c r="CI34" s="37"/>
      <c r="CJ34" s="174" t="str">
        <f t="shared" si="32"/>
        <v/>
      </c>
      <c r="CK34" s="37"/>
      <c r="CL34" s="174" t="str">
        <f t="shared" si="33"/>
        <v/>
      </c>
      <c r="CM34" s="37"/>
      <c r="CN34" s="174" t="str">
        <f t="shared" si="34"/>
        <v/>
      </c>
      <c r="CO34" s="37"/>
      <c r="CP34" s="174" t="str">
        <f t="shared" si="35"/>
        <v/>
      </c>
      <c r="CQ34" s="37"/>
      <c r="CR34" s="174" t="str">
        <f t="shared" si="36"/>
        <v/>
      </c>
      <c r="CS34" s="37"/>
      <c r="CT34" s="174" t="str">
        <f t="shared" si="37"/>
        <v/>
      </c>
      <c r="CU34" s="38"/>
      <c r="CV34" s="87"/>
      <c r="CW34" s="90"/>
      <c r="CX34" s="38"/>
      <c r="CY34" s="39"/>
      <c r="CZ34" s="37"/>
      <c r="DA34" s="39"/>
      <c r="DB34" s="24">
        <v>30</v>
      </c>
      <c r="DC34" s="96" t="str">
        <f t="shared" si="38"/>
        <v>金</v>
      </c>
      <c r="DF34" s="125"/>
      <c r="DG34" s="40"/>
      <c r="DH34" s="40"/>
      <c r="DI34" s="40"/>
      <c r="DJ34" s="40"/>
      <c r="DK34" s="40"/>
      <c r="DL34" s="40"/>
      <c r="DM34" s="40"/>
      <c r="DN34" s="40"/>
      <c r="DO34" s="40"/>
      <c r="DP34" s="40">
        <f t="shared" si="39"/>
        <v>0</v>
      </c>
      <c r="DQ34" s="172" t="str">
        <f t="shared" si="40"/>
        <v/>
      </c>
      <c r="DS34" s="189"/>
      <c r="DT34" s="190"/>
      <c r="DU34" s="190"/>
      <c r="DV34" s="191"/>
      <c r="DW34" s="41"/>
      <c r="DX34" s="42"/>
    </row>
    <row r="35" spans="1:128" ht="13.5" customHeight="1" thickBot="1" x14ac:dyDescent="0.45">
      <c r="A35" s="105">
        <v>31</v>
      </c>
      <c r="B35" s="23" t="s">
        <v>88</v>
      </c>
      <c r="C35" s="175"/>
      <c r="D35" s="175"/>
      <c r="E35" s="24"/>
      <c r="F35" s="29"/>
      <c r="G35" s="25" t="str">
        <f>IF(SUM($F$5:F35)=0,"",SUM($F$5:F35))</f>
        <v/>
      </c>
      <c r="H35" s="43" t="str">
        <f t="shared" si="0"/>
        <v/>
      </c>
      <c r="I35" s="148" t="e">
        <f t="array" aca="1" ref="I35" ca="1">IF($A36="",$G35/($V35-$U$5+INDIRECT(IF(_xlfn.SHEET()&lt;6,"令和8年"&amp;_xlfn.SHEET()+7&amp;"月","令和9年"&amp;_xlfn.SHEET()-5&amp;"月")&amp;"!$U$5")),$G35/($V36-$U$5))</f>
        <v>#VALUE!</v>
      </c>
      <c r="J35" s="26" t="str">
        <f t="shared" si="1"/>
        <v/>
      </c>
      <c r="K35" s="27"/>
      <c r="L35" s="165">
        <f t="shared" si="2"/>
        <v>0</v>
      </c>
      <c r="M35" s="28" t="str">
        <f t="shared" si="3"/>
        <v/>
      </c>
      <c r="N35" s="166" t="str">
        <f t="shared" si="4"/>
        <v/>
      </c>
      <c r="O35" s="167" t="str">
        <f t="shared" si="5"/>
        <v/>
      </c>
      <c r="P35" s="168"/>
      <c r="Q35" s="169" t="str">
        <f t="shared" si="6"/>
        <v/>
      </c>
      <c r="R35" s="170">
        <v>21</v>
      </c>
      <c r="S35" s="176">
        <v>13</v>
      </c>
      <c r="T35" s="24" t="s">
        <v>94</v>
      </c>
      <c r="U35" s="29">
        <v>282063</v>
      </c>
      <c r="V35" s="30">
        <f t="shared" si="41"/>
        <v>12314120</v>
      </c>
      <c r="W35" s="27">
        <v>156</v>
      </c>
      <c r="X35" s="31">
        <f t="shared" si="7"/>
        <v>1808.0961538461538</v>
      </c>
      <c r="Y35" s="29">
        <v>282046</v>
      </c>
      <c r="Z35" s="32">
        <f t="shared" si="42"/>
        <v>12325130</v>
      </c>
      <c r="AA35" s="33">
        <f t="shared" si="8"/>
        <v>0.99910670313416572</v>
      </c>
      <c r="AB35" s="158">
        <v>800000</v>
      </c>
      <c r="AC35" s="34">
        <f t="shared" si="43"/>
        <v>13250000</v>
      </c>
      <c r="AD35" s="158"/>
      <c r="AE35" s="25"/>
      <c r="AF35" s="25"/>
      <c r="AG35" s="25"/>
      <c r="AH35" s="25"/>
      <c r="AI35" s="25"/>
      <c r="AJ35" s="25"/>
      <c r="AK35" s="25"/>
      <c r="AL35" s="158"/>
      <c r="AM35" s="25"/>
      <c r="AN35" s="158"/>
      <c r="AO35" s="25"/>
      <c r="AP35" s="25"/>
      <c r="AQ35" s="158"/>
      <c r="AR35" s="35">
        <f t="shared" si="9"/>
        <v>0</v>
      </c>
      <c r="AS35" s="172" t="str">
        <f t="shared" si="10"/>
        <v/>
      </c>
      <c r="AT35" s="36">
        <f t="shared" si="11"/>
        <v>0</v>
      </c>
      <c r="AU35" s="173"/>
      <c r="AV35" s="82">
        <f t="shared" si="12"/>
        <v>31</v>
      </c>
      <c r="AW35" s="37"/>
      <c r="AX35" s="174" t="str">
        <f t="shared" si="13"/>
        <v/>
      </c>
      <c r="AY35" s="37"/>
      <c r="AZ35" s="174" t="str">
        <f t="shared" si="14"/>
        <v/>
      </c>
      <c r="BA35" s="37"/>
      <c r="BB35" s="174" t="str">
        <f t="shared" si="15"/>
        <v/>
      </c>
      <c r="BC35" s="37"/>
      <c r="BD35" s="174" t="str">
        <f t="shared" si="16"/>
        <v/>
      </c>
      <c r="BE35" s="37"/>
      <c r="BF35" s="174" t="str">
        <f t="shared" si="17"/>
        <v/>
      </c>
      <c r="BG35" s="37"/>
      <c r="BH35" s="174" t="str">
        <f t="shared" si="18"/>
        <v/>
      </c>
      <c r="BI35" s="37"/>
      <c r="BJ35" s="174" t="str">
        <f t="shared" si="19"/>
        <v/>
      </c>
      <c r="BK35" s="37"/>
      <c r="BL35" s="174" t="str">
        <f t="shared" si="20"/>
        <v/>
      </c>
      <c r="BM35" s="37"/>
      <c r="BN35" s="174" t="str">
        <f t="shared" si="21"/>
        <v/>
      </c>
      <c r="BO35" s="37"/>
      <c r="BP35" s="174" t="str">
        <f t="shared" si="22"/>
        <v/>
      </c>
      <c r="BQ35" s="37"/>
      <c r="BR35" s="174" t="str">
        <f t="shared" si="23"/>
        <v/>
      </c>
      <c r="BS35" s="37"/>
      <c r="BT35" s="174" t="str">
        <f t="shared" si="24"/>
        <v/>
      </c>
      <c r="BU35" s="37"/>
      <c r="BV35" s="174" t="str">
        <f t="shared" si="25"/>
        <v/>
      </c>
      <c r="BW35" s="37"/>
      <c r="BX35" s="174" t="str">
        <f t="shared" si="26"/>
        <v/>
      </c>
      <c r="BY35" s="37"/>
      <c r="BZ35" s="174" t="str">
        <f t="shared" si="27"/>
        <v/>
      </c>
      <c r="CA35" s="37"/>
      <c r="CB35" s="174" t="str">
        <f t="shared" si="28"/>
        <v/>
      </c>
      <c r="CC35" s="37"/>
      <c r="CD35" s="174" t="str">
        <f t="shared" si="29"/>
        <v/>
      </c>
      <c r="CE35" s="37"/>
      <c r="CF35" s="174" t="str">
        <f t="shared" si="30"/>
        <v/>
      </c>
      <c r="CG35" s="37"/>
      <c r="CH35" s="174" t="str">
        <f t="shared" si="31"/>
        <v/>
      </c>
      <c r="CI35" s="37"/>
      <c r="CJ35" s="174" t="str">
        <f t="shared" si="32"/>
        <v/>
      </c>
      <c r="CK35" s="37"/>
      <c r="CL35" s="174" t="str">
        <f t="shared" si="33"/>
        <v/>
      </c>
      <c r="CM35" s="37"/>
      <c r="CN35" s="174" t="str">
        <f t="shared" si="34"/>
        <v/>
      </c>
      <c r="CO35" s="37"/>
      <c r="CP35" s="174" t="str">
        <f t="shared" si="35"/>
        <v/>
      </c>
      <c r="CQ35" s="37"/>
      <c r="CR35" s="174" t="str">
        <f t="shared" si="36"/>
        <v/>
      </c>
      <c r="CS35" s="37"/>
      <c r="CT35" s="174" t="str">
        <f t="shared" si="37"/>
        <v/>
      </c>
      <c r="CU35" s="38"/>
      <c r="CV35" s="87"/>
      <c r="CW35" s="90"/>
      <c r="CX35" s="38"/>
      <c r="CY35" s="39"/>
      <c r="CZ35" s="37"/>
      <c r="DA35" s="39"/>
      <c r="DB35" s="24">
        <v>31</v>
      </c>
      <c r="DC35" s="96" t="str">
        <f t="shared" si="38"/>
        <v>土</v>
      </c>
      <c r="DF35" s="125"/>
      <c r="DG35" s="40"/>
      <c r="DH35" s="40"/>
      <c r="DI35" s="40"/>
      <c r="DJ35" s="40"/>
      <c r="DK35" s="40"/>
      <c r="DL35" s="40"/>
      <c r="DM35" s="40"/>
      <c r="DN35" s="40"/>
      <c r="DO35" s="40"/>
      <c r="DP35" s="40">
        <f t="shared" si="39"/>
        <v>0</v>
      </c>
      <c r="DQ35" s="172" t="str">
        <f t="shared" si="40"/>
        <v/>
      </c>
      <c r="DS35" s="189"/>
      <c r="DT35" s="190"/>
      <c r="DU35" s="190"/>
      <c r="DV35" s="191"/>
      <c r="DW35" s="41"/>
      <c r="DX35" s="42"/>
    </row>
    <row r="36" spans="1:128" ht="18.75" customHeight="1" thickTop="1" thickBot="1" x14ac:dyDescent="0.45">
      <c r="A36" s="62"/>
      <c r="B36" s="103"/>
      <c r="C36" s="103"/>
      <c r="D36" s="103"/>
      <c r="E36" s="44" t="s">
        <v>95</v>
      </c>
      <c r="F36" s="25">
        <f>SUM(F5:F35)</f>
        <v>0</v>
      </c>
      <c r="G36" s="25"/>
      <c r="H36" s="43"/>
      <c r="I36" s="148"/>
      <c r="J36" s="26"/>
      <c r="K36" s="45">
        <f>SUM(K4:K35)</f>
        <v>0</v>
      </c>
      <c r="L36" s="165">
        <f t="shared" si="2"/>
        <v>0</v>
      </c>
      <c r="M36" s="46"/>
      <c r="N36" s="47" t="str">
        <f t="shared" si="4"/>
        <v/>
      </c>
      <c r="O36" s="48"/>
      <c r="P36" s="177"/>
      <c r="Q36" s="178"/>
      <c r="R36" s="49"/>
      <c r="S36" s="128"/>
      <c r="T36" s="50" t="s">
        <v>95</v>
      </c>
      <c r="U36" s="51">
        <f>SUM(U5:U35)</f>
        <v>12314120</v>
      </c>
      <c r="V36" s="30"/>
      <c r="W36" s="52">
        <f>SUM(W5:W35)</f>
        <v>7678</v>
      </c>
      <c r="X36" s="53"/>
      <c r="Y36" s="25">
        <f>SUM(Y5:Y35)</f>
        <v>12325130</v>
      </c>
      <c r="Z36" s="32"/>
      <c r="AA36" s="54"/>
      <c r="AB36" s="55"/>
      <c r="AC36" s="54"/>
      <c r="AD36" s="158">
        <f t="shared" ref="AD36:AR36" si="44">SUM(AD5:AD35)</f>
        <v>0</v>
      </c>
      <c r="AE36" s="25">
        <f t="shared" si="44"/>
        <v>0</v>
      </c>
      <c r="AF36" s="25">
        <f t="shared" si="44"/>
        <v>0</v>
      </c>
      <c r="AG36" s="25">
        <f t="shared" si="44"/>
        <v>0</v>
      </c>
      <c r="AH36" s="25">
        <f t="shared" si="44"/>
        <v>0</v>
      </c>
      <c r="AI36" s="25">
        <f t="shared" si="44"/>
        <v>0</v>
      </c>
      <c r="AJ36" s="25">
        <f t="shared" si="44"/>
        <v>0</v>
      </c>
      <c r="AK36" s="25">
        <f t="shared" si="44"/>
        <v>0</v>
      </c>
      <c r="AL36" s="25">
        <f t="shared" si="44"/>
        <v>0</v>
      </c>
      <c r="AM36" s="25">
        <f t="shared" si="44"/>
        <v>0</v>
      </c>
      <c r="AN36" s="25">
        <f t="shared" si="44"/>
        <v>0</v>
      </c>
      <c r="AO36" s="25">
        <f t="shared" si="44"/>
        <v>0</v>
      </c>
      <c r="AP36" s="25">
        <f t="shared" si="44"/>
        <v>0</v>
      </c>
      <c r="AQ36" s="158">
        <f t="shared" si="44"/>
        <v>0</v>
      </c>
      <c r="AR36" s="56">
        <f t="shared" si="44"/>
        <v>0</v>
      </c>
      <c r="AS36" s="179" t="str">
        <f>IF(ISERROR((AR36/$F36)),"",AR36/$F36)</f>
        <v/>
      </c>
      <c r="AT36" s="77">
        <f>SUM(AT5:AT35)</f>
        <v>0</v>
      </c>
      <c r="AU36" s="173"/>
      <c r="AV36" s="83" t="s">
        <v>95</v>
      </c>
      <c r="AW36" s="57">
        <f>SUM(AW5:AW35)</f>
        <v>0</v>
      </c>
      <c r="AX36" s="57"/>
      <c r="AY36" s="57">
        <f>SUM(AY5:AY35)</f>
        <v>0</v>
      </c>
      <c r="AZ36" s="57"/>
      <c r="BA36" s="57">
        <f>SUM(BA5:BA35)</f>
        <v>0</v>
      </c>
      <c r="BB36" s="57"/>
      <c r="BC36" s="57">
        <f>SUM(BC5:BC35)</f>
        <v>0</v>
      </c>
      <c r="BD36" s="57"/>
      <c r="BE36" s="57">
        <f>SUM(BE5:BE35)</f>
        <v>0</v>
      </c>
      <c r="BF36" s="57"/>
      <c r="BG36" s="57">
        <f>SUM(BG5:BG35)</f>
        <v>0</v>
      </c>
      <c r="BH36" s="57"/>
      <c r="BI36" s="57">
        <f>SUM(BI5:BI35)</f>
        <v>0</v>
      </c>
      <c r="BJ36" s="57"/>
      <c r="BK36" s="57">
        <f>SUM(BK5:BK35)</f>
        <v>0</v>
      </c>
      <c r="BL36" s="57"/>
      <c r="BM36" s="57">
        <f>SUM(BM5:BM35)</f>
        <v>0</v>
      </c>
      <c r="BN36" s="57"/>
      <c r="BO36" s="57">
        <f>SUM(BO5:BO35)</f>
        <v>0</v>
      </c>
      <c r="BP36" s="57"/>
      <c r="BQ36" s="57">
        <f>SUM(BQ5:BQ35)</f>
        <v>0</v>
      </c>
      <c r="BR36" s="57"/>
      <c r="BS36" s="57">
        <f>SUM(BS5:BS35)</f>
        <v>0</v>
      </c>
      <c r="BT36" s="57"/>
      <c r="BU36" s="57">
        <f>SUM(BU5:BU35)</f>
        <v>0</v>
      </c>
      <c r="BV36" s="57"/>
      <c r="BW36" s="57">
        <f>SUM(BW5:BW35)</f>
        <v>0</v>
      </c>
      <c r="BX36" s="57"/>
      <c r="BY36" s="57">
        <f>SUM(BY5:BY35)</f>
        <v>0</v>
      </c>
      <c r="BZ36" s="57"/>
      <c r="CA36" s="57">
        <f>SUM(CA5:CA35)</f>
        <v>0</v>
      </c>
      <c r="CB36" s="57"/>
      <c r="CC36" s="57">
        <f>SUM(CC5:CC35)</f>
        <v>0</v>
      </c>
      <c r="CD36" s="58"/>
      <c r="CE36" s="57">
        <f>SUM(CE5:CE35)</f>
        <v>0</v>
      </c>
      <c r="CF36" s="58"/>
      <c r="CG36" s="57">
        <f>SUM(CG5:CG35)</f>
        <v>0</v>
      </c>
      <c r="CH36" s="57"/>
      <c r="CI36" s="57">
        <f>SUM(CI5:CI35)</f>
        <v>0</v>
      </c>
      <c r="CJ36" s="58"/>
      <c r="CK36" s="57">
        <f>SUM(CK5:CK35)</f>
        <v>0</v>
      </c>
      <c r="CL36" s="58"/>
      <c r="CM36" s="57">
        <f>SUM(CM5:CM35)</f>
        <v>0</v>
      </c>
      <c r="CN36" s="57"/>
      <c r="CO36" s="57">
        <f>SUM(CO5:CO35)</f>
        <v>0</v>
      </c>
      <c r="CP36" s="58"/>
      <c r="CQ36" s="57">
        <f>SUM(CQ5:CQ35)</f>
        <v>0</v>
      </c>
      <c r="CR36" s="58"/>
      <c r="CS36" s="57">
        <f>SUM(CS5:CS35)</f>
        <v>0</v>
      </c>
      <c r="CT36" s="60"/>
      <c r="CU36" s="59">
        <f>SUM(CU5:CU35)</f>
        <v>0</v>
      </c>
      <c r="CV36" s="60">
        <f>SUM(CV5:CV35)</f>
        <v>0</v>
      </c>
      <c r="CW36" s="91"/>
      <c r="CX36" s="59">
        <f>SUM(CX5:CX35)</f>
        <v>0</v>
      </c>
      <c r="CY36" s="39">
        <f>SUM(CY5:CY35)</f>
        <v>0</v>
      </c>
      <c r="CZ36" s="57">
        <f>SUM(CZ5:CZ35)</f>
        <v>0</v>
      </c>
      <c r="DA36" s="61">
        <f>SUM(DA5:DA35)</f>
        <v>0</v>
      </c>
      <c r="DB36" s="44"/>
      <c r="DC36" s="96"/>
      <c r="DF36" s="125">
        <f t="shared" ref="DF36:DP36" si="45">SUM(DF5:DF35)</f>
        <v>0</v>
      </c>
      <c r="DG36" s="40">
        <f t="shared" si="45"/>
        <v>0</v>
      </c>
      <c r="DH36" s="40">
        <f t="shared" si="45"/>
        <v>0</v>
      </c>
      <c r="DI36" s="40">
        <f t="shared" si="45"/>
        <v>0</v>
      </c>
      <c r="DJ36" s="40">
        <f t="shared" si="45"/>
        <v>0</v>
      </c>
      <c r="DK36" s="40">
        <f t="shared" si="45"/>
        <v>0</v>
      </c>
      <c r="DL36" s="40">
        <f t="shared" si="45"/>
        <v>0</v>
      </c>
      <c r="DM36" s="40">
        <f t="shared" si="45"/>
        <v>0</v>
      </c>
      <c r="DN36" s="40">
        <f t="shared" si="45"/>
        <v>0</v>
      </c>
      <c r="DO36" s="40">
        <f t="shared" si="45"/>
        <v>0</v>
      </c>
      <c r="DP36" s="40">
        <f t="shared" si="45"/>
        <v>0</v>
      </c>
      <c r="DQ36" s="179" t="str">
        <f>IF(ISERROR((DP36/$F36)),"",DP36/$F36)</f>
        <v/>
      </c>
      <c r="DS36" s="198" t="s">
        <v>96</v>
      </c>
      <c r="DT36" s="199"/>
      <c r="DU36" s="199"/>
      <c r="DV36" s="199"/>
      <c r="DW36" s="199"/>
      <c r="DX36" s="199"/>
    </row>
    <row r="37" spans="1:128" ht="19.149999999999999" customHeight="1" thickTop="1" thickBot="1" x14ac:dyDescent="0.45">
      <c r="E37" s="62" t="s">
        <v>97</v>
      </c>
      <c r="F37" s="66" t="str">
        <f>IF(ISERROR(AVERAGE(F5:F35)),"",AVERAGE(F5:F35))</f>
        <v/>
      </c>
      <c r="G37" s="66"/>
      <c r="H37" s="100" t="str">
        <f>IF(ISERROR(F37/U37),"",(F37/U37))</f>
        <v/>
      </c>
      <c r="I37" s="149"/>
      <c r="J37" s="101" t="str">
        <f>IF(ISERROR(F37/AC5),"",(F37/AC5))</f>
        <v/>
      </c>
      <c r="K37" s="102" t="str">
        <f>IF(ISERROR(AVERAGE(K4:K35)),"",AVERAGE(K4:K35))</f>
        <v/>
      </c>
      <c r="L37" s="180" t="str">
        <f t="shared" si="2"/>
        <v/>
      </c>
      <c r="M37" s="102" t="str">
        <f>IF(ISERROR(AVERAGE(M4:M35)),"",AVERAGE(M4:M35))</f>
        <v/>
      </c>
      <c r="N37" s="181" t="str">
        <f t="shared" si="4"/>
        <v/>
      </c>
      <c r="O37" s="182" t="e">
        <f>AVERAGE(O4:O35)</f>
        <v>#DIV/0!</v>
      </c>
      <c r="P37" s="183"/>
      <c r="Q37" s="184" t="e">
        <f>AVERAGE(Q4:Q35)</f>
        <v>#DIV/0!</v>
      </c>
      <c r="T37" s="62" t="s">
        <v>97</v>
      </c>
      <c r="U37" s="63">
        <f>IF(ISERROR(AVERAGE(U5:U35)),"",AVERAGE(U5:U35))</f>
        <v>397229.67741935485</v>
      </c>
      <c r="V37" s="64"/>
      <c r="W37" s="65">
        <f>IF(ISERROR(AVERAGE(W5:W35)),"",AVERAGE(W5:W35))</f>
        <v>247.67741935483872</v>
      </c>
      <c r="X37" s="65">
        <f>IF(ISERROR(AVERAGE(X5:X35)),"",AVERAGE(X5:X35))</f>
        <v>1612.302689361311</v>
      </c>
      <c r="Y37" s="66">
        <f>IF(ISERROR(AVERAGE(Y5:Y35)),"",AVERAGE(Y5:Y35))</f>
        <v>397584.83870967739</v>
      </c>
      <c r="Z37" s="66"/>
      <c r="AA37" s="67"/>
      <c r="AB37" s="201" t="s">
        <v>98</v>
      </c>
      <c r="AC37" s="202"/>
      <c r="AD37" s="68" t="str">
        <f t="shared" ref="AD37:AQ37" si="46">IF(ISERROR(AVERAGE(AD5:AD35)),"",AVERAGE(AD5:AD35))</f>
        <v/>
      </c>
      <c r="AE37" s="66" t="str">
        <f t="shared" si="46"/>
        <v/>
      </c>
      <c r="AF37" s="66" t="str">
        <f t="shared" si="46"/>
        <v/>
      </c>
      <c r="AG37" s="66" t="str">
        <f t="shared" si="46"/>
        <v/>
      </c>
      <c r="AH37" s="66" t="str">
        <f t="shared" si="46"/>
        <v/>
      </c>
      <c r="AI37" s="66" t="str">
        <f t="shared" si="46"/>
        <v/>
      </c>
      <c r="AJ37" s="66" t="str">
        <f t="shared" si="46"/>
        <v/>
      </c>
      <c r="AK37" s="66" t="str">
        <f t="shared" si="46"/>
        <v/>
      </c>
      <c r="AL37" s="66" t="str">
        <f t="shared" si="46"/>
        <v/>
      </c>
      <c r="AM37" s="66" t="str">
        <f t="shared" si="46"/>
        <v/>
      </c>
      <c r="AN37" s="66" t="str">
        <f t="shared" si="46"/>
        <v/>
      </c>
      <c r="AO37" s="66" t="str">
        <f t="shared" si="46"/>
        <v/>
      </c>
      <c r="AP37" s="66" t="str">
        <f t="shared" si="46"/>
        <v/>
      </c>
      <c r="AQ37" s="69" t="str">
        <f t="shared" si="46"/>
        <v/>
      </c>
      <c r="AR37" s="70"/>
      <c r="AS37" s="185"/>
      <c r="AT37" s="185"/>
      <c r="AU37" s="186"/>
      <c r="AV37" s="84" t="s">
        <v>97</v>
      </c>
      <c r="AW37" s="72" t="str">
        <f>IF(ISERROR(AVERAGE(AW5:AW35)),"",AVERAGE(AW5:AW35))</f>
        <v/>
      </c>
      <c r="AX37" s="187" t="e">
        <f>AVERAGE(AX5:AX35)</f>
        <v>#DIV/0!</v>
      </c>
      <c r="AY37" s="72" t="str">
        <f>IF(ISERROR(AVERAGE(AY5:AY35)),"",AVERAGE(AY5:AY35))</f>
        <v/>
      </c>
      <c r="AZ37" s="187" t="e">
        <f>AVERAGE(AZ5:AZ35)</f>
        <v>#DIV/0!</v>
      </c>
      <c r="BA37" s="72" t="str">
        <f>IF(ISERROR(AVERAGE(BA5:BA35)),"",AVERAGE(BA5:BA35))</f>
        <v/>
      </c>
      <c r="BB37" s="187" t="e">
        <f>AVERAGE(BB5:BB35)</f>
        <v>#DIV/0!</v>
      </c>
      <c r="BC37" s="72" t="str">
        <f>IF(ISERROR(AVERAGE(BC5:BC35)),"",AVERAGE(BC5:BC35))</f>
        <v/>
      </c>
      <c r="BD37" s="187" t="e">
        <f>AVERAGE(BD5:BD35)</f>
        <v>#DIV/0!</v>
      </c>
      <c r="BE37" s="72" t="str">
        <f>IF(ISERROR(AVERAGE(BE5:BE35)),"",AVERAGE(BE5:BE35))</f>
        <v/>
      </c>
      <c r="BF37" s="187" t="e">
        <f>AVERAGE(BF5:BF35)</f>
        <v>#DIV/0!</v>
      </c>
      <c r="BG37" s="72" t="str">
        <f>IF(ISERROR(AVERAGE(BG5:BG35)),"",AVERAGE(BG5:BG35))</f>
        <v/>
      </c>
      <c r="BH37" s="187" t="e">
        <f>AVERAGE(BH5:BH35)</f>
        <v>#DIV/0!</v>
      </c>
      <c r="BI37" s="72" t="str">
        <f>IF(ISERROR(AVERAGE(BI5:BI35)),"",AVERAGE(BI5:BI35))</f>
        <v/>
      </c>
      <c r="BJ37" s="187" t="e">
        <f>AVERAGE(BJ5:BJ35)</f>
        <v>#DIV/0!</v>
      </c>
      <c r="BK37" s="72" t="str">
        <f>IF(ISERROR(AVERAGE(BK5:BK35)),"",AVERAGE(BK5:BK35))</f>
        <v/>
      </c>
      <c r="BL37" s="187" t="e">
        <f>AVERAGE(BL5:BL35)</f>
        <v>#DIV/0!</v>
      </c>
      <c r="BM37" s="72" t="str">
        <f>IF(ISERROR(AVERAGE(BM5:BM35)),"",AVERAGE(BM5:BM35))</f>
        <v/>
      </c>
      <c r="BN37" s="187" t="e">
        <f>AVERAGE(BN5:BN35)</f>
        <v>#DIV/0!</v>
      </c>
      <c r="BO37" s="72" t="str">
        <f>IF(ISERROR(AVERAGE(BO5:BO35)),"",AVERAGE(BO5:BO35))</f>
        <v/>
      </c>
      <c r="BP37" s="187" t="e">
        <f>AVERAGE(BP5:BP35)</f>
        <v>#DIV/0!</v>
      </c>
      <c r="BQ37" s="72" t="str">
        <f>IF(ISERROR(AVERAGE(BQ5:BQ35)),"",AVERAGE(BQ5:BQ35))</f>
        <v/>
      </c>
      <c r="BR37" s="187" t="e">
        <f>AVERAGE(BR5:BR35)</f>
        <v>#DIV/0!</v>
      </c>
      <c r="BS37" s="72" t="str">
        <f>IF(ISERROR(AVERAGE(BS5:BS35)),"",AVERAGE(BS5:BS35))</f>
        <v/>
      </c>
      <c r="BT37" s="187" t="e">
        <f>AVERAGE(BT5:BT35)</f>
        <v>#DIV/0!</v>
      </c>
      <c r="BU37" s="72" t="str">
        <f>IF(ISERROR(AVERAGE(BU5:BU35)),"",AVERAGE(BU5:BU35))</f>
        <v/>
      </c>
      <c r="BV37" s="187" t="e">
        <f>AVERAGE(BV5:BV35)</f>
        <v>#DIV/0!</v>
      </c>
      <c r="BW37" s="72" t="str">
        <f>IF(ISERROR(AVERAGE(BW5:BW35)),"",AVERAGE(BW5:BW35))</f>
        <v/>
      </c>
      <c r="BX37" s="187" t="e">
        <f>AVERAGE(BX5:BX35)</f>
        <v>#DIV/0!</v>
      </c>
      <c r="BY37" s="72" t="str">
        <f>IF(ISERROR(AVERAGE(BY5:BY35)),"",AVERAGE(BY5:BY35))</f>
        <v/>
      </c>
      <c r="BZ37" s="187" t="e">
        <f>AVERAGE(BZ5:BZ35)</f>
        <v>#DIV/0!</v>
      </c>
      <c r="CA37" s="72" t="str">
        <f>IF(ISERROR(AVERAGE(CA5:CA35)),"",AVERAGE(CA5:CA35))</f>
        <v/>
      </c>
      <c r="CB37" s="187" t="e">
        <f>AVERAGE(CB5:CB35)</f>
        <v>#DIV/0!</v>
      </c>
      <c r="CC37" s="72" t="str">
        <f>IF(ISERROR(AVERAGE(CC5:CC35)),"",AVERAGE(CC5:CC35))</f>
        <v/>
      </c>
      <c r="CD37" s="187" t="e">
        <f>AVERAGE(CD5:CD35)</f>
        <v>#DIV/0!</v>
      </c>
      <c r="CE37" s="72" t="str">
        <f>IF(ISERROR(AVERAGE(CE5:CE35)),"",AVERAGE(CE5:CE35))</f>
        <v/>
      </c>
      <c r="CF37" s="187" t="e">
        <f>AVERAGE(CF5:CF35)</f>
        <v>#DIV/0!</v>
      </c>
      <c r="CG37" s="72" t="str">
        <f>IF(ISERROR(AVERAGE(CG5:CG35)),"",AVERAGE(CG5:CG35))</f>
        <v/>
      </c>
      <c r="CH37" s="187" t="e">
        <f>AVERAGE(CH5:CH35)</f>
        <v>#DIV/0!</v>
      </c>
      <c r="CI37" s="72" t="str">
        <f>IF(ISERROR(AVERAGE(CI5:CI35)),"",AVERAGE(CI5:CI35))</f>
        <v/>
      </c>
      <c r="CJ37" s="187" t="e">
        <f>AVERAGE(CJ5:CJ35)</f>
        <v>#DIV/0!</v>
      </c>
      <c r="CK37" s="72" t="str">
        <f>IF(ISERROR(AVERAGE(CK5:CK35)),"",AVERAGE(CK5:CK35))</f>
        <v/>
      </c>
      <c r="CL37" s="187" t="e">
        <f>AVERAGE(CL5:CL35)</f>
        <v>#DIV/0!</v>
      </c>
      <c r="CM37" s="72" t="str">
        <f>IF(ISERROR(AVERAGE(CM5:CM35)),"",AVERAGE(CM5:CM35))</f>
        <v/>
      </c>
      <c r="CN37" s="187" t="e">
        <f>AVERAGE(CN5:CN35)</f>
        <v>#DIV/0!</v>
      </c>
      <c r="CO37" s="72" t="str">
        <f>IF(ISERROR(AVERAGE(CO5:CO35)),"",AVERAGE(CO5:CO35))</f>
        <v/>
      </c>
      <c r="CP37" s="187" t="e">
        <f>AVERAGE(CP5:CP35)</f>
        <v>#DIV/0!</v>
      </c>
      <c r="CQ37" s="72" t="str">
        <f>IF(ISERROR(AVERAGE(CQ5:CQ35)),"",AVERAGE(CQ5:CQ35))</f>
        <v/>
      </c>
      <c r="CR37" s="187" t="e">
        <f>AVERAGE(CR5:CR35)</f>
        <v>#DIV/0!</v>
      </c>
      <c r="CS37" s="72" t="str">
        <f>IF(ISERROR(AVERAGE(CS5:CS35)),"",AVERAGE(CS5:CS35))</f>
        <v/>
      </c>
      <c r="CT37" s="188" t="e">
        <f>AVERAGE(CT5:CT35)</f>
        <v>#DIV/0!</v>
      </c>
      <c r="CU37" s="71" t="str">
        <f>IF(ISERROR(AVERAGE(CU5:CU35)),"",AVERAGE(CU5:CU35))</f>
        <v/>
      </c>
      <c r="CV37" s="88" t="str">
        <f>IF(ISERROR(AVERAGE(CV5:CV35)),"",AVERAGE(CV5:CV35))</f>
        <v/>
      </c>
      <c r="CW37" s="92"/>
      <c r="CX37" s="71" t="str">
        <f>IF(ISERROR(AVERAGE(CX5:CX35)),"",AVERAGE(CX5:CX35))</f>
        <v/>
      </c>
      <c r="CY37" s="154" t="str">
        <f>IF(ISERROR(AVERAGE(CY5:CY35)),"",AVERAGE(CY5:CY35))</f>
        <v/>
      </c>
      <c r="CZ37" s="72" t="str">
        <f>IF(ISERROR(AVERAGE(CZ5:CZ35)),"",AVERAGE(CZ5:CZ35))</f>
        <v/>
      </c>
      <c r="DA37" s="72" t="str">
        <f>IF(ISERROR(AVERAGE(DA5:DA35)),"",AVERAGE(DA5:DA35))</f>
        <v/>
      </c>
      <c r="DB37" s="98"/>
      <c r="DC37" s="99"/>
      <c r="DF37" s="126" t="e">
        <f t="shared" ref="DF37:DP37" si="47">AVERAGE(DF5:DF35)</f>
        <v>#DIV/0!</v>
      </c>
      <c r="DG37" s="127" t="e">
        <f t="shared" si="47"/>
        <v>#DIV/0!</v>
      </c>
      <c r="DH37" s="127" t="e">
        <f t="shared" si="47"/>
        <v>#DIV/0!</v>
      </c>
      <c r="DI37" s="127" t="e">
        <f t="shared" si="47"/>
        <v>#DIV/0!</v>
      </c>
      <c r="DJ37" s="127" t="e">
        <f t="shared" si="47"/>
        <v>#DIV/0!</v>
      </c>
      <c r="DK37" s="127" t="e">
        <f t="shared" si="47"/>
        <v>#DIV/0!</v>
      </c>
      <c r="DL37" s="127" t="e">
        <f t="shared" si="47"/>
        <v>#DIV/0!</v>
      </c>
      <c r="DM37" s="127" t="e">
        <f t="shared" si="47"/>
        <v>#DIV/0!</v>
      </c>
      <c r="DN37" s="127" t="e">
        <f t="shared" si="47"/>
        <v>#DIV/0!</v>
      </c>
      <c r="DO37" s="127" t="e">
        <f t="shared" si="47"/>
        <v>#DIV/0!</v>
      </c>
      <c r="DP37" s="127">
        <f t="shared" si="47"/>
        <v>0</v>
      </c>
      <c r="DQ37" s="188"/>
      <c r="DS37" s="198" t="s">
        <v>99</v>
      </c>
      <c r="DT37" s="199"/>
      <c r="DU37" s="199"/>
      <c r="DV37" s="199"/>
      <c r="DW37" s="199"/>
      <c r="DX37" s="199"/>
    </row>
    <row r="38" spans="1:128" ht="19.149999999999999" customHeight="1" thickTop="1" thickBot="1" x14ac:dyDescent="0.45">
      <c r="DS38" s="198" t="s">
        <v>100</v>
      </c>
      <c r="DT38" s="199"/>
      <c r="DU38" s="199"/>
      <c r="DV38" s="199"/>
      <c r="DW38" s="199"/>
      <c r="DX38" s="199"/>
    </row>
    <row r="39" spans="1:128" ht="18.75" customHeight="1" thickTop="1" x14ac:dyDescent="0.4">
      <c r="E39" s="196" t="s">
        <v>101</v>
      </c>
      <c r="F39" s="197"/>
      <c r="H39" s="137" t="s">
        <v>12</v>
      </c>
      <c r="T39" s="200" t="s">
        <v>102</v>
      </c>
      <c r="U39" s="197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 spans="1:128" ht="18.75" customHeight="1" thickBot="1" x14ac:dyDescent="0.45">
      <c r="E40" s="133" t="s">
        <v>95</v>
      </c>
      <c r="F40" s="143" t="e">
        <f>('令和8年9月 '!G34-'令和8年9月 '!G19)+令和8年10月!G19</f>
        <v>#VALUE!</v>
      </c>
      <c r="H40" s="142" t="str">
        <f>IF(ISERROR(F40/U40),"",(F40/U40))</f>
        <v/>
      </c>
      <c r="I40" s="146"/>
      <c r="T40" s="133" t="s">
        <v>95</v>
      </c>
      <c r="U40" s="135">
        <f>('令和8年9月 '!V34-'令和8年9月 '!V19)+令和8年10月!V19</f>
        <v>11916252</v>
      </c>
    </row>
    <row r="41" spans="1:128" ht="18.75" customHeight="1" thickTop="1" thickBot="1" x14ac:dyDescent="0.45">
      <c r="E41" s="134" t="s">
        <v>97</v>
      </c>
      <c r="F41" s="136" t="e">
        <f>F40/30</f>
        <v>#VALUE!</v>
      </c>
      <c r="T41" s="134" t="s">
        <v>97</v>
      </c>
      <c r="U41" s="136">
        <f>U40/30</f>
        <v>397208.4</v>
      </c>
    </row>
    <row r="42" spans="1:128" ht="13.9" customHeight="1" thickTop="1" x14ac:dyDescent="0.4"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</row>
  </sheetData>
  <mergeCells count="44">
    <mergeCell ref="DS36:DX36"/>
    <mergeCell ref="T39:U39"/>
    <mergeCell ref="DS12:DV12"/>
    <mergeCell ref="DS21:DV21"/>
    <mergeCell ref="DS31:DV31"/>
    <mergeCell ref="AX1:BC2"/>
    <mergeCell ref="DS14:DV14"/>
    <mergeCell ref="DS23:DV23"/>
    <mergeCell ref="M1:M2"/>
    <mergeCell ref="DS17:DV17"/>
    <mergeCell ref="DS6:DV6"/>
    <mergeCell ref="DS5:DV5"/>
    <mergeCell ref="E39:F39"/>
    <mergeCell ref="DS8:DV8"/>
    <mergeCell ref="DS27:DV27"/>
    <mergeCell ref="DS29:DV29"/>
    <mergeCell ref="DS19:DV19"/>
    <mergeCell ref="DS10:DV10"/>
    <mergeCell ref="DS13:DV13"/>
    <mergeCell ref="DS9:DV9"/>
    <mergeCell ref="DS34:DV34"/>
    <mergeCell ref="DS28:DV28"/>
    <mergeCell ref="DS24:DV24"/>
    <mergeCell ref="DS15:DV15"/>
    <mergeCell ref="DS38:DX38"/>
    <mergeCell ref="DS35:DV35"/>
    <mergeCell ref="DS37:DX37"/>
    <mergeCell ref="AB37:AC37"/>
    <mergeCell ref="A1:E2"/>
    <mergeCell ref="G1:G2"/>
    <mergeCell ref="DS30:DV30"/>
    <mergeCell ref="DS33:DV33"/>
    <mergeCell ref="DS4:DV4"/>
    <mergeCell ref="DS20:DV20"/>
    <mergeCell ref="DS16:DV16"/>
    <mergeCell ref="DS7:DV7"/>
    <mergeCell ref="DS25:DV25"/>
    <mergeCell ref="DS32:DV32"/>
    <mergeCell ref="DS26:DV26"/>
    <mergeCell ref="DS22:DV22"/>
    <mergeCell ref="F1:F2"/>
    <mergeCell ref="DS18:DV18"/>
    <mergeCell ref="H1:K2"/>
    <mergeCell ref="DS11:DV11"/>
  </mergeCells>
  <phoneticPr fontId="3"/>
  <conditionalFormatting sqref="B5:D35">
    <cfRule type="expression" dxfId="284" priority="42" stopIfTrue="1">
      <formula>(B5)="土"</formula>
    </cfRule>
    <cfRule type="expression" dxfId="283" priority="43" stopIfTrue="1">
      <formula>(B5)="日"</formula>
    </cfRule>
  </conditionalFormatting>
  <conditionalFormatting sqref="R5:S35">
    <cfRule type="expression" dxfId="282" priority="1" stopIfTrue="1">
      <formula>(R5)="土"</formula>
    </cfRule>
    <cfRule type="expression" dxfId="281" priority="2" stopIfTrue="1">
      <formula>(R5)="日"</formula>
    </cfRule>
  </conditionalFormatting>
  <conditionalFormatting sqref="AX5:AX34">
    <cfRule type="cellIs" dxfId="280" priority="31" operator="equal">
      <formula>0</formula>
    </cfRule>
  </conditionalFormatting>
  <conditionalFormatting sqref="AZ5:AZ34">
    <cfRule type="cellIs" dxfId="279" priority="30" operator="equal">
      <formula>0</formula>
    </cfRule>
  </conditionalFormatting>
  <conditionalFormatting sqref="BB5:BB34">
    <cfRule type="cellIs" dxfId="278" priority="29" operator="equal">
      <formula>0</formula>
    </cfRule>
  </conditionalFormatting>
  <conditionalFormatting sqref="BD5:BD34">
    <cfRule type="cellIs" dxfId="277" priority="28" operator="equal">
      <formula>0</formula>
    </cfRule>
  </conditionalFormatting>
  <conditionalFormatting sqref="BF5:BF34">
    <cfRule type="cellIs" dxfId="276" priority="27" operator="equal">
      <formula>0</formula>
    </cfRule>
  </conditionalFormatting>
  <conditionalFormatting sqref="BH5:BH34">
    <cfRule type="cellIs" dxfId="275" priority="26" operator="equal">
      <formula>0</formula>
    </cfRule>
  </conditionalFormatting>
  <conditionalFormatting sqref="BJ5:BJ34">
    <cfRule type="cellIs" dxfId="274" priority="25" operator="equal">
      <formula>0</formula>
    </cfRule>
  </conditionalFormatting>
  <conditionalFormatting sqref="BL5:BL34">
    <cfRule type="cellIs" dxfId="273" priority="24" operator="equal">
      <formula>0</formula>
    </cfRule>
  </conditionalFormatting>
  <conditionalFormatting sqref="BN5:BN34">
    <cfRule type="cellIs" dxfId="272" priority="23" operator="equal">
      <formula>0</formula>
    </cfRule>
  </conditionalFormatting>
  <conditionalFormatting sqref="BP5:BP34">
    <cfRule type="cellIs" dxfId="271" priority="22" operator="equal">
      <formula>0</formula>
    </cfRule>
  </conditionalFormatting>
  <conditionalFormatting sqref="BR5:BR34">
    <cfRule type="cellIs" dxfId="270" priority="21" operator="equal">
      <formula>0</formula>
    </cfRule>
  </conditionalFormatting>
  <conditionalFormatting sqref="BT5:BT34">
    <cfRule type="cellIs" dxfId="269" priority="20" operator="equal">
      <formula>0</formula>
    </cfRule>
  </conditionalFormatting>
  <conditionalFormatting sqref="BV5:BV34">
    <cfRule type="cellIs" dxfId="268" priority="19" operator="equal">
      <formula>0</formula>
    </cfRule>
  </conditionalFormatting>
  <conditionalFormatting sqref="BX5:BX34">
    <cfRule type="cellIs" dxfId="267" priority="18" operator="equal">
      <formula>0</formula>
    </cfRule>
  </conditionalFormatting>
  <conditionalFormatting sqref="BZ5:BZ34">
    <cfRule type="cellIs" dxfId="266" priority="17" operator="equal">
      <formula>0</formula>
    </cfRule>
  </conditionalFormatting>
  <conditionalFormatting sqref="CB5:CB34">
    <cfRule type="cellIs" dxfId="265" priority="16" operator="equal">
      <formula>0</formula>
    </cfRule>
  </conditionalFormatting>
  <conditionalFormatting sqref="CD5:CD34">
    <cfRule type="cellIs" dxfId="264" priority="15" operator="equal">
      <formula>0</formula>
    </cfRule>
  </conditionalFormatting>
  <conditionalFormatting sqref="CF5:CF34">
    <cfRule type="cellIs" dxfId="263" priority="14" operator="equal">
      <formula>0</formula>
    </cfRule>
  </conditionalFormatting>
  <conditionalFormatting sqref="CH5:CH34">
    <cfRule type="cellIs" dxfId="262" priority="13" operator="equal">
      <formula>0</formula>
    </cfRule>
  </conditionalFormatting>
  <conditionalFormatting sqref="CJ5:CJ34">
    <cfRule type="cellIs" dxfId="261" priority="12" operator="equal">
      <formula>0</formula>
    </cfRule>
  </conditionalFormatting>
  <conditionalFormatting sqref="CL5:CL34">
    <cfRule type="cellIs" dxfId="260" priority="11" operator="equal">
      <formula>0</formula>
    </cfRule>
  </conditionalFormatting>
  <conditionalFormatting sqref="CN5:CN34">
    <cfRule type="cellIs" dxfId="259" priority="10" operator="equal">
      <formula>0</formula>
    </cfRule>
  </conditionalFormatting>
  <conditionalFormatting sqref="CP5:CP34">
    <cfRule type="cellIs" dxfId="258" priority="9" operator="equal">
      <formula>0</formula>
    </cfRule>
  </conditionalFormatting>
  <conditionalFormatting sqref="CR5:CR34">
    <cfRule type="cellIs" dxfId="257" priority="8" operator="equal">
      <formula>0</formula>
    </cfRule>
  </conditionalFormatting>
  <conditionalFormatting sqref="CT5:CT34">
    <cfRule type="cellIs" dxfId="256" priority="7" operator="equal">
      <formula>0</formula>
    </cfRule>
  </conditionalFormatting>
  <conditionalFormatting sqref="DC5:DC36">
    <cfRule type="expression" dxfId="255" priority="3" stopIfTrue="1">
      <formula>(DC5)="土"</formula>
    </cfRule>
    <cfRule type="expression" dxfId="254" priority="4" stopIfTrue="1">
      <formula>(DC5)="日"</formula>
    </cfRule>
  </conditionalFormatting>
  <pageMargins left="0.12" right="0.18" top="0.75" bottom="0.75" header="0.3" footer="0.3"/>
  <pageSetup paperSize="9" orientation="landscape" horizontalDpi="429496729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B42"/>
  <sheetViews>
    <sheetView topLeftCell="CS1" zoomScaleNormal="100" workbookViewId="0">
      <pane ySplit="4" topLeftCell="A11" activePane="bottomLeft" state="frozen"/>
      <selection pane="bottomLeft" activeCell="DD4" sqref="DD4"/>
    </sheetView>
  </sheetViews>
  <sheetFormatPr defaultRowHeight="13.5" x14ac:dyDescent="0.4"/>
  <cols>
    <col min="1" max="4" width="3.125" style="5" customWidth="1"/>
    <col min="5" max="5" width="5.625" style="5" customWidth="1"/>
    <col min="6" max="6" width="10.625" style="73" customWidth="1"/>
    <col min="7" max="7" width="12.5" style="73" customWidth="1"/>
    <col min="8" max="10" width="8.625" style="2" customWidth="1"/>
    <col min="11" max="11" width="5.625" style="2" customWidth="1"/>
    <col min="12" max="12" width="4.625" style="2" customWidth="1"/>
    <col min="13" max="13" width="5.625" style="2" customWidth="1"/>
    <col min="14" max="17" width="4.625" style="2" customWidth="1"/>
    <col min="18" max="19" width="3.125" style="5" customWidth="1"/>
    <col min="20" max="20" width="5.625" style="5" customWidth="1"/>
    <col min="21" max="21" width="7.625" style="73" customWidth="1"/>
    <col min="22" max="22" width="8.625" style="73" customWidth="1"/>
    <col min="23" max="24" width="5.625" style="2" customWidth="1"/>
    <col min="25" max="25" width="6.625" style="2" customWidth="1"/>
    <col min="26" max="26" width="9.875" style="2" customWidth="1"/>
    <col min="27" max="38" width="8.625" style="73" customWidth="1"/>
    <col min="39" max="43" width="8.625" style="73" hidden="1" customWidth="1"/>
    <col min="44" max="44" width="12.5" style="2" customWidth="1"/>
    <col min="45" max="45" width="6.75" style="2" customWidth="1"/>
    <col min="46" max="46" width="12.625" style="2" customWidth="1"/>
    <col min="47" max="47" width="8.625" style="161" customWidth="1"/>
    <col min="48" max="48" width="5.5" style="2" bestFit="1" customWidth="1"/>
    <col min="49" max="98" width="6.75" style="2" customWidth="1"/>
    <col min="99" max="100" width="8.625" style="2" customWidth="1"/>
    <col min="101" max="101" width="2.875" style="2" customWidth="1"/>
    <col min="102" max="102" width="10.625" style="2" customWidth="1"/>
    <col min="103" max="103" width="6.625" style="2" customWidth="1"/>
    <col min="104" max="104" width="10.625" style="2" customWidth="1"/>
    <col min="105" max="105" width="6.625" style="2" customWidth="1"/>
    <col min="106" max="107" width="3.125" style="5" customWidth="1"/>
    <col min="108" max="108" width="1.125" style="2" customWidth="1"/>
    <col min="109" max="109" width="2.375" style="2" customWidth="1"/>
    <col min="110" max="120" width="7.625" style="6" hidden="1" customWidth="1"/>
    <col min="121" max="121" width="6.75" style="2" hidden="1" customWidth="1"/>
    <col min="122" max="122" width="8.75" style="2" customWidth="1"/>
    <col min="123" max="126" width="8.625" style="2" customWidth="1"/>
    <col min="127" max="127" width="12.625" style="2" customWidth="1"/>
    <col min="128" max="128" width="8.625" style="2" customWidth="1"/>
    <col min="129" max="303" width="9" style="2" customWidth="1"/>
    <col min="304" max="305" width="3.125" style="2" customWidth="1"/>
    <col min="306" max="306" width="5.875" style="2" bestFit="1" customWidth="1"/>
    <col min="307" max="307" width="5.625" style="2" customWidth="1"/>
    <col min="308" max="308" width="10.625" style="2" customWidth="1"/>
    <col min="309" max="309" width="12.625" style="2" customWidth="1"/>
    <col min="310" max="310" width="8.625" style="2" customWidth="1"/>
    <col min="311" max="311" width="5.625" style="2" customWidth="1"/>
    <col min="312" max="312" width="4.625" style="2" customWidth="1"/>
    <col min="313" max="313" width="5.625" style="2" customWidth="1"/>
    <col min="314" max="317" width="4.625" style="2" customWidth="1"/>
    <col min="318" max="318" width="7.625" style="2" customWidth="1"/>
    <col min="319" max="319" width="8.625" style="2" customWidth="1"/>
    <col min="320" max="321" width="5.625" style="2" customWidth="1"/>
    <col min="322" max="322" width="6.625" style="2" customWidth="1"/>
    <col min="323" max="323" width="9.875" style="2" customWidth="1"/>
    <col min="324" max="325" width="8.625" style="2" customWidth="1"/>
    <col min="326" max="326" width="5.5" style="2" bestFit="1" customWidth="1"/>
    <col min="327" max="368" width="6.75" style="2" customWidth="1"/>
    <col min="369" max="369" width="9" style="2" customWidth="1"/>
    <col min="370" max="370" width="9.875" style="2" customWidth="1"/>
    <col min="371" max="371" width="2.875" style="2" customWidth="1"/>
    <col min="372" max="372" width="12.25" style="2" customWidth="1"/>
    <col min="373" max="373" width="6.375" style="2" customWidth="1"/>
    <col min="374" max="375" width="3.125" style="2" customWidth="1"/>
    <col min="376" max="376" width="1.125" style="2" customWidth="1"/>
    <col min="377" max="377" width="9" style="2" customWidth="1"/>
    <col min="378" max="378" width="2.375" style="2" customWidth="1"/>
    <col min="379" max="396" width="7.625" style="2" customWidth="1"/>
    <col min="397" max="559" width="9" style="2" customWidth="1"/>
    <col min="560" max="561" width="3.125" style="2" customWidth="1"/>
    <col min="562" max="562" width="5.875" style="2" bestFit="1" customWidth="1"/>
    <col min="563" max="563" width="5.625" style="2" customWidth="1"/>
    <col min="564" max="564" width="10.625" style="2" customWidth="1"/>
    <col min="565" max="565" width="12.625" style="2" customWidth="1"/>
    <col min="566" max="566" width="8.625" style="2" customWidth="1"/>
    <col min="567" max="567" width="5.625" style="2" customWidth="1"/>
    <col min="568" max="568" width="4.625" style="2" customWidth="1"/>
    <col min="569" max="569" width="5.625" style="2" customWidth="1"/>
    <col min="570" max="573" width="4.625" style="2" customWidth="1"/>
    <col min="574" max="574" width="7.625" style="2" customWidth="1"/>
    <col min="575" max="575" width="8.625" style="2" customWidth="1"/>
    <col min="576" max="577" width="5.625" style="2" customWidth="1"/>
    <col min="578" max="578" width="6.625" style="2" customWidth="1"/>
    <col min="579" max="579" width="9.875" style="2" customWidth="1"/>
    <col min="580" max="581" width="8.625" style="2" customWidth="1"/>
    <col min="582" max="582" width="5.5" style="2" bestFit="1" customWidth="1"/>
    <col min="583" max="624" width="6.75" style="2" customWidth="1"/>
    <col min="625" max="625" width="9" style="2" customWidth="1"/>
    <col min="626" max="626" width="9.875" style="2" customWidth="1"/>
    <col min="627" max="627" width="2.875" style="2" customWidth="1"/>
    <col min="628" max="628" width="12.25" style="2" customWidth="1"/>
    <col min="629" max="629" width="6.375" style="2" customWidth="1"/>
    <col min="630" max="631" width="3.125" style="2" customWidth="1"/>
    <col min="632" max="632" width="1.125" style="2" customWidth="1"/>
    <col min="633" max="633" width="9" style="2" customWidth="1"/>
    <col min="634" max="634" width="2.375" style="2" customWidth="1"/>
    <col min="635" max="652" width="7.625" style="2" customWidth="1"/>
    <col min="653" max="815" width="9" style="2" customWidth="1"/>
    <col min="816" max="817" width="3.125" style="2" customWidth="1"/>
    <col min="818" max="818" width="5.875" style="2" bestFit="1" customWidth="1"/>
    <col min="819" max="819" width="5.625" style="2" customWidth="1"/>
    <col min="820" max="820" width="10.625" style="2" customWidth="1"/>
    <col min="821" max="821" width="12.625" style="2" customWidth="1"/>
    <col min="822" max="822" width="8.625" style="2" customWidth="1"/>
    <col min="823" max="823" width="5.625" style="2" customWidth="1"/>
    <col min="824" max="824" width="4.625" style="2" customWidth="1"/>
    <col min="825" max="825" width="5.625" style="2" customWidth="1"/>
    <col min="826" max="829" width="4.625" style="2" customWidth="1"/>
    <col min="830" max="830" width="7.625" style="2" customWidth="1"/>
    <col min="831" max="831" width="8.625" style="2" customWidth="1"/>
    <col min="832" max="833" width="5.625" style="2" customWidth="1"/>
    <col min="834" max="834" width="6.625" style="2" customWidth="1"/>
    <col min="835" max="835" width="9.875" style="2" customWidth="1"/>
    <col min="836" max="837" width="8.625" style="2" customWidth="1"/>
    <col min="838" max="838" width="5.5" style="2" bestFit="1" customWidth="1"/>
    <col min="839" max="880" width="6.75" style="2" customWidth="1"/>
    <col min="881" max="881" width="9" style="2" customWidth="1"/>
    <col min="882" max="882" width="9.875" style="2" customWidth="1"/>
    <col min="883" max="883" width="2.875" style="2" customWidth="1"/>
    <col min="884" max="884" width="12.25" style="2" customWidth="1"/>
    <col min="885" max="885" width="6.375" style="2" customWidth="1"/>
    <col min="886" max="887" width="3.125" style="2" customWidth="1"/>
    <col min="888" max="888" width="1.125" style="2" customWidth="1"/>
    <col min="889" max="889" width="9" style="2" customWidth="1"/>
    <col min="890" max="890" width="2.375" style="2" customWidth="1"/>
    <col min="891" max="908" width="7.625" style="2" customWidth="1"/>
    <col min="909" max="1071" width="9" style="2" customWidth="1"/>
    <col min="1072" max="1073" width="3.125" style="2" customWidth="1"/>
    <col min="1074" max="1074" width="5.875" style="2" bestFit="1" customWidth="1"/>
    <col min="1075" max="1075" width="5.625" style="2" customWidth="1"/>
    <col min="1076" max="1076" width="10.625" style="2" customWidth="1"/>
    <col min="1077" max="1077" width="12.625" style="2" customWidth="1"/>
    <col min="1078" max="1078" width="8.625" style="2" customWidth="1"/>
    <col min="1079" max="1079" width="5.625" style="2" customWidth="1"/>
    <col min="1080" max="1080" width="4.625" style="2" customWidth="1"/>
    <col min="1081" max="1081" width="5.625" style="2" customWidth="1"/>
    <col min="1082" max="1085" width="4.625" style="2" customWidth="1"/>
    <col min="1086" max="1086" width="7.625" style="2" customWidth="1"/>
    <col min="1087" max="1087" width="8.625" style="2" customWidth="1"/>
    <col min="1088" max="1089" width="5.625" style="2" customWidth="1"/>
    <col min="1090" max="1090" width="6.625" style="2" customWidth="1"/>
    <col min="1091" max="1091" width="9.875" style="2" customWidth="1"/>
    <col min="1092" max="1093" width="8.625" style="2" customWidth="1"/>
    <col min="1094" max="1094" width="5.5" style="2" bestFit="1" customWidth="1"/>
    <col min="1095" max="1136" width="6.75" style="2" customWidth="1"/>
    <col min="1137" max="1137" width="9" style="2" customWidth="1"/>
    <col min="1138" max="1138" width="9.875" style="2" customWidth="1"/>
    <col min="1139" max="1139" width="2.875" style="2" customWidth="1"/>
    <col min="1140" max="1140" width="12.25" style="2" customWidth="1"/>
    <col min="1141" max="1141" width="6.375" style="2" customWidth="1"/>
    <col min="1142" max="1143" width="3.125" style="2" customWidth="1"/>
    <col min="1144" max="1144" width="1.125" style="2" customWidth="1"/>
    <col min="1145" max="1145" width="9" style="2" customWidth="1"/>
    <col min="1146" max="1146" width="2.375" style="2" customWidth="1"/>
    <col min="1147" max="1164" width="7.625" style="2" customWidth="1"/>
    <col min="1165" max="1327" width="9" style="2" customWidth="1"/>
    <col min="1328" max="1329" width="3.125" style="2" customWidth="1"/>
    <col min="1330" max="1330" width="5.875" style="2" bestFit="1" customWidth="1"/>
    <col min="1331" max="1331" width="5.625" style="2" customWidth="1"/>
    <col min="1332" max="1332" width="10.625" style="2" customWidth="1"/>
    <col min="1333" max="1333" width="12.625" style="2" customWidth="1"/>
    <col min="1334" max="1334" width="8.625" style="2" customWidth="1"/>
    <col min="1335" max="1335" width="5.625" style="2" customWidth="1"/>
    <col min="1336" max="1336" width="4.625" style="2" customWidth="1"/>
    <col min="1337" max="1337" width="5.625" style="2" customWidth="1"/>
    <col min="1338" max="1341" width="4.625" style="2" customWidth="1"/>
    <col min="1342" max="1342" width="7.625" style="2" customWidth="1"/>
    <col min="1343" max="1343" width="8.625" style="2" customWidth="1"/>
    <col min="1344" max="1345" width="5.625" style="2" customWidth="1"/>
    <col min="1346" max="1346" width="6.625" style="2" customWidth="1"/>
    <col min="1347" max="1347" width="9.875" style="2" customWidth="1"/>
    <col min="1348" max="1349" width="8.625" style="2" customWidth="1"/>
    <col min="1350" max="1350" width="5.5" style="2" bestFit="1" customWidth="1"/>
    <col min="1351" max="1392" width="6.75" style="2" customWidth="1"/>
    <col min="1393" max="1393" width="9" style="2" customWidth="1"/>
    <col min="1394" max="1394" width="9.875" style="2" customWidth="1"/>
    <col min="1395" max="1395" width="2.875" style="2" customWidth="1"/>
    <col min="1396" max="1396" width="12.25" style="2" customWidth="1"/>
    <col min="1397" max="1397" width="6.375" style="2" customWidth="1"/>
    <col min="1398" max="1399" width="3.125" style="2" customWidth="1"/>
    <col min="1400" max="1400" width="1.125" style="2" customWidth="1"/>
    <col min="1401" max="1401" width="9" style="2" customWidth="1"/>
    <col min="1402" max="1402" width="2.375" style="2" customWidth="1"/>
    <col min="1403" max="1420" width="7.625" style="2" customWidth="1"/>
    <col min="1421" max="1583" width="9" style="2" customWidth="1"/>
    <col min="1584" max="1585" width="3.125" style="2" customWidth="1"/>
    <col min="1586" max="1586" width="5.875" style="2" bestFit="1" customWidth="1"/>
    <col min="1587" max="1587" width="5.625" style="2" customWidth="1"/>
    <col min="1588" max="1588" width="10.625" style="2" customWidth="1"/>
    <col min="1589" max="1589" width="12.625" style="2" customWidth="1"/>
    <col min="1590" max="1590" width="8.625" style="2" customWidth="1"/>
    <col min="1591" max="1591" width="5.625" style="2" customWidth="1"/>
    <col min="1592" max="1592" width="4.625" style="2" customWidth="1"/>
    <col min="1593" max="1593" width="5.625" style="2" customWidth="1"/>
    <col min="1594" max="1597" width="4.625" style="2" customWidth="1"/>
    <col min="1598" max="1598" width="7.625" style="2" customWidth="1"/>
    <col min="1599" max="1599" width="8.625" style="2" customWidth="1"/>
    <col min="1600" max="1601" width="5.625" style="2" customWidth="1"/>
    <col min="1602" max="1602" width="6.625" style="2" customWidth="1"/>
    <col min="1603" max="1603" width="9.875" style="2" customWidth="1"/>
    <col min="1604" max="1605" width="8.625" style="2" customWidth="1"/>
    <col min="1606" max="1606" width="5.5" style="2" bestFit="1" customWidth="1"/>
    <col min="1607" max="1648" width="6.75" style="2" customWidth="1"/>
    <col min="1649" max="1649" width="9" style="2" customWidth="1"/>
    <col min="1650" max="1650" width="9.875" style="2" customWidth="1"/>
    <col min="1651" max="1651" width="2.875" style="2" customWidth="1"/>
    <col min="1652" max="1652" width="12.25" style="2" customWidth="1"/>
    <col min="1653" max="1653" width="6.375" style="2" customWidth="1"/>
    <col min="1654" max="1655" width="3.125" style="2" customWidth="1"/>
    <col min="1656" max="1656" width="1.125" style="2" customWidth="1"/>
    <col min="1657" max="1657" width="9" style="2" customWidth="1"/>
    <col min="1658" max="1658" width="2.375" style="2" customWidth="1"/>
    <col min="1659" max="1676" width="7.625" style="2" customWidth="1"/>
    <col min="1677" max="1839" width="9" style="2" customWidth="1"/>
    <col min="1840" max="1841" width="3.125" style="2" customWidth="1"/>
    <col min="1842" max="1842" width="5.875" style="2" bestFit="1" customWidth="1"/>
    <col min="1843" max="1843" width="5.625" style="2" customWidth="1"/>
    <col min="1844" max="1844" width="10.625" style="2" customWidth="1"/>
    <col min="1845" max="1845" width="12.625" style="2" customWidth="1"/>
    <col min="1846" max="1846" width="8.625" style="2" customWidth="1"/>
    <col min="1847" max="1847" width="5.625" style="2" customWidth="1"/>
    <col min="1848" max="1848" width="4.625" style="2" customWidth="1"/>
    <col min="1849" max="1849" width="5.625" style="2" customWidth="1"/>
    <col min="1850" max="1853" width="4.625" style="2" customWidth="1"/>
    <col min="1854" max="1854" width="7.625" style="2" customWidth="1"/>
    <col min="1855" max="1855" width="8.625" style="2" customWidth="1"/>
    <col min="1856" max="1857" width="5.625" style="2" customWidth="1"/>
    <col min="1858" max="1858" width="6.625" style="2" customWidth="1"/>
    <col min="1859" max="1859" width="9.875" style="2" customWidth="1"/>
    <col min="1860" max="1861" width="8.625" style="2" customWidth="1"/>
    <col min="1862" max="1862" width="5.5" style="2" bestFit="1" customWidth="1"/>
    <col min="1863" max="1904" width="6.75" style="2" customWidth="1"/>
    <col min="1905" max="1905" width="9" style="2" customWidth="1"/>
    <col min="1906" max="1906" width="9.875" style="2" customWidth="1"/>
    <col min="1907" max="1907" width="2.875" style="2" customWidth="1"/>
    <col min="1908" max="1908" width="12.25" style="2" customWidth="1"/>
    <col min="1909" max="1909" width="6.375" style="2" customWidth="1"/>
    <col min="1910" max="1911" width="3.125" style="2" customWidth="1"/>
    <col min="1912" max="1912" width="1.125" style="2" customWidth="1"/>
    <col min="1913" max="1913" width="9" style="2" customWidth="1"/>
    <col min="1914" max="1914" width="2.375" style="2" customWidth="1"/>
    <col min="1915" max="1932" width="7.625" style="2" customWidth="1"/>
    <col min="1933" max="2095" width="9" style="2" customWidth="1"/>
    <col min="2096" max="2097" width="3.125" style="2" customWidth="1"/>
    <col min="2098" max="2098" width="5.875" style="2" bestFit="1" customWidth="1"/>
    <col min="2099" max="2099" width="5.625" style="2" customWidth="1"/>
    <col min="2100" max="2100" width="10.625" style="2" customWidth="1"/>
    <col min="2101" max="2101" width="12.625" style="2" customWidth="1"/>
    <col min="2102" max="2102" width="8.625" style="2" customWidth="1"/>
    <col min="2103" max="2103" width="5.625" style="2" customWidth="1"/>
    <col min="2104" max="2104" width="4.625" style="2" customWidth="1"/>
    <col min="2105" max="2105" width="5.625" style="2" customWidth="1"/>
    <col min="2106" max="2109" width="4.625" style="2" customWidth="1"/>
    <col min="2110" max="2110" width="7.625" style="2" customWidth="1"/>
    <col min="2111" max="2111" width="8.625" style="2" customWidth="1"/>
    <col min="2112" max="2113" width="5.625" style="2" customWidth="1"/>
    <col min="2114" max="2114" width="6.625" style="2" customWidth="1"/>
    <col min="2115" max="2115" width="9.875" style="2" customWidth="1"/>
    <col min="2116" max="2117" width="8.625" style="2" customWidth="1"/>
    <col min="2118" max="2118" width="5.5" style="2" bestFit="1" customWidth="1"/>
    <col min="2119" max="2160" width="6.75" style="2" customWidth="1"/>
    <col min="2161" max="2161" width="9" style="2" customWidth="1"/>
    <col min="2162" max="2162" width="9.875" style="2" customWidth="1"/>
    <col min="2163" max="2163" width="2.875" style="2" customWidth="1"/>
    <col min="2164" max="2164" width="12.25" style="2" customWidth="1"/>
    <col min="2165" max="2165" width="6.375" style="2" customWidth="1"/>
    <col min="2166" max="2167" width="3.125" style="2" customWidth="1"/>
    <col min="2168" max="2168" width="1.125" style="2" customWidth="1"/>
    <col min="2169" max="2169" width="9" style="2" customWidth="1"/>
    <col min="2170" max="2170" width="2.375" style="2" customWidth="1"/>
    <col min="2171" max="2188" width="7.625" style="2" customWidth="1"/>
    <col min="2189" max="2351" width="9" style="2" customWidth="1"/>
    <col min="2352" max="2353" width="3.125" style="2" customWidth="1"/>
    <col min="2354" max="2354" width="5.875" style="2" bestFit="1" customWidth="1"/>
    <col min="2355" max="2355" width="5.625" style="2" customWidth="1"/>
    <col min="2356" max="2356" width="10.625" style="2" customWidth="1"/>
    <col min="2357" max="2357" width="12.625" style="2" customWidth="1"/>
    <col min="2358" max="2358" width="8.625" style="2" customWidth="1"/>
    <col min="2359" max="2359" width="5.625" style="2" customWidth="1"/>
    <col min="2360" max="2360" width="4.625" style="2" customWidth="1"/>
    <col min="2361" max="2361" width="5.625" style="2" customWidth="1"/>
    <col min="2362" max="2365" width="4.625" style="2" customWidth="1"/>
    <col min="2366" max="2366" width="7.625" style="2" customWidth="1"/>
    <col min="2367" max="2367" width="8.625" style="2" customWidth="1"/>
    <col min="2368" max="2369" width="5.625" style="2" customWidth="1"/>
    <col min="2370" max="2370" width="6.625" style="2" customWidth="1"/>
    <col min="2371" max="2371" width="9.875" style="2" customWidth="1"/>
    <col min="2372" max="2373" width="8.625" style="2" customWidth="1"/>
    <col min="2374" max="2374" width="5.5" style="2" bestFit="1" customWidth="1"/>
    <col min="2375" max="2416" width="6.75" style="2" customWidth="1"/>
    <col min="2417" max="2417" width="9" style="2" customWidth="1"/>
    <col min="2418" max="2418" width="9.875" style="2" customWidth="1"/>
    <col min="2419" max="2419" width="2.875" style="2" customWidth="1"/>
    <col min="2420" max="2420" width="12.25" style="2" customWidth="1"/>
    <col min="2421" max="2421" width="6.375" style="2" customWidth="1"/>
    <col min="2422" max="2423" width="3.125" style="2" customWidth="1"/>
    <col min="2424" max="2424" width="1.125" style="2" customWidth="1"/>
    <col min="2425" max="2425" width="9" style="2" customWidth="1"/>
    <col min="2426" max="2426" width="2.375" style="2" customWidth="1"/>
    <col min="2427" max="2444" width="7.625" style="2" customWidth="1"/>
    <col min="2445" max="2607" width="9" style="2" customWidth="1"/>
    <col min="2608" max="2609" width="3.125" style="2" customWidth="1"/>
    <col min="2610" max="2610" width="5.875" style="2" bestFit="1" customWidth="1"/>
    <col min="2611" max="2611" width="5.625" style="2" customWidth="1"/>
    <col min="2612" max="2612" width="10.625" style="2" customWidth="1"/>
    <col min="2613" max="2613" width="12.625" style="2" customWidth="1"/>
    <col min="2614" max="2614" width="8.625" style="2" customWidth="1"/>
    <col min="2615" max="2615" width="5.625" style="2" customWidth="1"/>
    <col min="2616" max="2616" width="4.625" style="2" customWidth="1"/>
    <col min="2617" max="2617" width="5.625" style="2" customWidth="1"/>
    <col min="2618" max="2621" width="4.625" style="2" customWidth="1"/>
    <col min="2622" max="2622" width="7.625" style="2" customWidth="1"/>
    <col min="2623" max="2623" width="8.625" style="2" customWidth="1"/>
    <col min="2624" max="2625" width="5.625" style="2" customWidth="1"/>
    <col min="2626" max="2626" width="6.625" style="2" customWidth="1"/>
    <col min="2627" max="2627" width="9.875" style="2" customWidth="1"/>
    <col min="2628" max="2629" width="8.625" style="2" customWidth="1"/>
    <col min="2630" max="2630" width="5.5" style="2" bestFit="1" customWidth="1"/>
    <col min="2631" max="2672" width="6.75" style="2" customWidth="1"/>
    <col min="2673" max="2673" width="9" style="2" customWidth="1"/>
    <col min="2674" max="2674" width="9.875" style="2" customWidth="1"/>
    <col min="2675" max="2675" width="2.875" style="2" customWidth="1"/>
    <col min="2676" max="2676" width="12.25" style="2" customWidth="1"/>
    <col min="2677" max="2677" width="6.375" style="2" customWidth="1"/>
    <col min="2678" max="2679" width="3.125" style="2" customWidth="1"/>
    <col min="2680" max="2680" width="1.125" style="2" customWidth="1"/>
    <col min="2681" max="2681" width="9" style="2" customWidth="1"/>
    <col min="2682" max="2682" width="2.375" style="2" customWidth="1"/>
    <col min="2683" max="2700" width="7.625" style="2" customWidth="1"/>
    <col min="2701" max="2863" width="9" style="2" customWidth="1"/>
    <col min="2864" max="2865" width="3.125" style="2" customWidth="1"/>
    <col min="2866" max="2866" width="5.875" style="2" bestFit="1" customWidth="1"/>
    <col min="2867" max="2867" width="5.625" style="2" customWidth="1"/>
    <col min="2868" max="2868" width="10.625" style="2" customWidth="1"/>
    <col min="2869" max="2869" width="12.625" style="2" customWidth="1"/>
    <col min="2870" max="2870" width="8.625" style="2" customWidth="1"/>
    <col min="2871" max="2871" width="5.625" style="2" customWidth="1"/>
    <col min="2872" max="2872" width="4.625" style="2" customWidth="1"/>
    <col min="2873" max="2873" width="5.625" style="2" customWidth="1"/>
    <col min="2874" max="2877" width="4.625" style="2" customWidth="1"/>
    <col min="2878" max="2878" width="7.625" style="2" customWidth="1"/>
    <col min="2879" max="2879" width="8.625" style="2" customWidth="1"/>
    <col min="2880" max="2881" width="5.625" style="2" customWidth="1"/>
    <col min="2882" max="2882" width="6.625" style="2" customWidth="1"/>
    <col min="2883" max="2883" width="9.875" style="2" customWidth="1"/>
    <col min="2884" max="2885" width="8.625" style="2" customWidth="1"/>
    <col min="2886" max="2886" width="5.5" style="2" bestFit="1" customWidth="1"/>
    <col min="2887" max="2928" width="6.75" style="2" customWidth="1"/>
    <col min="2929" max="2929" width="9" style="2" customWidth="1"/>
    <col min="2930" max="2930" width="9.875" style="2" customWidth="1"/>
    <col min="2931" max="2931" width="2.875" style="2" customWidth="1"/>
    <col min="2932" max="2932" width="12.25" style="2" customWidth="1"/>
    <col min="2933" max="2933" width="6.375" style="2" customWidth="1"/>
    <col min="2934" max="2935" width="3.125" style="2" customWidth="1"/>
    <col min="2936" max="2936" width="1.125" style="2" customWidth="1"/>
    <col min="2937" max="2937" width="9" style="2" customWidth="1"/>
    <col min="2938" max="2938" width="2.375" style="2" customWidth="1"/>
    <col min="2939" max="2956" width="7.625" style="2" customWidth="1"/>
    <col min="2957" max="3119" width="9" style="2" customWidth="1"/>
    <col min="3120" max="3121" width="3.125" style="2" customWidth="1"/>
    <col min="3122" max="3122" width="5.875" style="2" bestFit="1" customWidth="1"/>
    <col min="3123" max="3123" width="5.625" style="2" customWidth="1"/>
    <col min="3124" max="3124" width="10.625" style="2" customWidth="1"/>
    <col min="3125" max="3125" width="12.625" style="2" customWidth="1"/>
    <col min="3126" max="3126" width="8.625" style="2" customWidth="1"/>
    <col min="3127" max="3127" width="5.625" style="2" customWidth="1"/>
    <col min="3128" max="3128" width="4.625" style="2" customWidth="1"/>
    <col min="3129" max="3129" width="5.625" style="2" customWidth="1"/>
    <col min="3130" max="3133" width="4.625" style="2" customWidth="1"/>
    <col min="3134" max="3134" width="7.625" style="2" customWidth="1"/>
    <col min="3135" max="3135" width="8.625" style="2" customWidth="1"/>
    <col min="3136" max="3137" width="5.625" style="2" customWidth="1"/>
    <col min="3138" max="3138" width="6.625" style="2" customWidth="1"/>
    <col min="3139" max="3139" width="9.875" style="2" customWidth="1"/>
    <col min="3140" max="3141" width="8.625" style="2" customWidth="1"/>
    <col min="3142" max="3142" width="5.5" style="2" bestFit="1" customWidth="1"/>
    <col min="3143" max="3184" width="6.75" style="2" customWidth="1"/>
    <col min="3185" max="3185" width="9" style="2" customWidth="1"/>
    <col min="3186" max="3186" width="9.875" style="2" customWidth="1"/>
    <col min="3187" max="3187" width="2.875" style="2" customWidth="1"/>
    <col min="3188" max="3188" width="12.25" style="2" customWidth="1"/>
    <col min="3189" max="3189" width="6.375" style="2" customWidth="1"/>
    <col min="3190" max="3191" width="3.125" style="2" customWidth="1"/>
    <col min="3192" max="3192" width="1.125" style="2" customWidth="1"/>
    <col min="3193" max="3193" width="9" style="2" customWidth="1"/>
    <col min="3194" max="3194" width="2.375" style="2" customWidth="1"/>
    <col min="3195" max="3212" width="7.625" style="2" customWidth="1"/>
    <col min="3213" max="3375" width="9" style="2" customWidth="1"/>
    <col min="3376" max="3377" width="3.125" style="2" customWidth="1"/>
    <col min="3378" max="3378" width="5.875" style="2" bestFit="1" customWidth="1"/>
    <col min="3379" max="3379" width="5.625" style="2" customWidth="1"/>
    <col min="3380" max="3380" width="10.625" style="2" customWidth="1"/>
    <col min="3381" max="3381" width="12.625" style="2" customWidth="1"/>
    <col min="3382" max="3382" width="8.625" style="2" customWidth="1"/>
    <col min="3383" max="3383" width="5.625" style="2" customWidth="1"/>
    <col min="3384" max="3384" width="4.625" style="2" customWidth="1"/>
    <col min="3385" max="3385" width="5.625" style="2" customWidth="1"/>
    <col min="3386" max="3389" width="4.625" style="2" customWidth="1"/>
    <col min="3390" max="3390" width="7.625" style="2" customWidth="1"/>
    <col min="3391" max="3391" width="8.625" style="2" customWidth="1"/>
    <col min="3392" max="3393" width="5.625" style="2" customWidth="1"/>
    <col min="3394" max="3394" width="6.625" style="2" customWidth="1"/>
    <col min="3395" max="3395" width="9.875" style="2" customWidth="1"/>
    <col min="3396" max="3397" width="8.625" style="2" customWidth="1"/>
    <col min="3398" max="3398" width="5.5" style="2" bestFit="1" customWidth="1"/>
    <col min="3399" max="3440" width="6.75" style="2" customWidth="1"/>
    <col min="3441" max="3441" width="9" style="2" customWidth="1"/>
    <col min="3442" max="3442" width="9.875" style="2" customWidth="1"/>
    <col min="3443" max="3443" width="2.875" style="2" customWidth="1"/>
    <col min="3444" max="3444" width="12.25" style="2" customWidth="1"/>
    <col min="3445" max="3445" width="6.375" style="2" customWidth="1"/>
    <col min="3446" max="3447" width="3.125" style="2" customWidth="1"/>
    <col min="3448" max="3448" width="1.125" style="2" customWidth="1"/>
    <col min="3449" max="3449" width="9" style="2" customWidth="1"/>
    <col min="3450" max="3450" width="2.375" style="2" customWidth="1"/>
    <col min="3451" max="3468" width="7.625" style="2" customWidth="1"/>
    <col min="3469" max="3631" width="9" style="2" customWidth="1"/>
    <col min="3632" max="3633" width="3.125" style="2" customWidth="1"/>
    <col min="3634" max="3634" width="5.875" style="2" bestFit="1" customWidth="1"/>
    <col min="3635" max="3635" width="5.625" style="2" customWidth="1"/>
    <col min="3636" max="3636" width="10.625" style="2" customWidth="1"/>
    <col min="3637" max="3637" width="12.625" style="2" customWidth="1"/>
    <col min="3638" max="3638" width="8.625" style="2" customWidth="1"/>
    <col min="3639" max="3639" width="5.625" style="2" customWidth="1"/>
    <col min="3640" max="3640" width="4.625" style="2" customWidth="1"/>
    <col min="3641" max="3641" width="5.625" style="2" customWidth="1"/>
    <col min="3642" max="3645" width="4.625" style="2" customWidth="1"/>
    <col min="3646" max="3646" width="7.625" style="2" customWidth="1"/>
    <col min="3647" max="3647" width="8.625" style="2" customWidth="1"/>
    <col min="3648" max="3649" width="5.625" style="2" customWidth="1"/>
    <col min="3650" max="3650" width="6.625" style="2" customWidth="1"/>
    <col min="3651" max="3651" width="9.875" style="2" customWidth="1"/>
    <col min="3652" max="3653" width="8.625" style="2" customWidth="1"/>
    <col min="3654" max="3654" width="5.5" style="2" bestFit="1" customWidth="1"/>
    <col min="3655" max="3696" width="6.75" style="2" customWidth="1"/>
    <col min="3697" max="3697" width="9" style="2" customWidth="1"/>
    <col min="3698" max="3698" width="9.875" style="2" customWidth="1"/>
    <col min="3699" max="3699" width="2.875" style="2" customWidth="1"/>
    <col min="3700" max="3700" width="12.25" style="2" customWidth="1"/>
    <col min="3701" max="3701" width="6.375" style="2" customWidth="1"/>
    <col min="3702" max="3703" width="3.125" style="2" customWidth="1"/>
    <col min="3704" max="3704" width="1.125" style="2" customWidth="1"/>
    <col min="3705" max="3705" width="9" style="2" customWidth="1"/>
    <col min="3706" max="3706" width="2.375" style="2" customWidth="1"/>
    <col min="3707" max="3724" width="7.625" style="2" customWidth="1"/>
    <col min="3725" max="3887" width="9" style="2" customWidth="1"/>
    <col min="3888" max="3889" width="3.125" style="2" customWidth="1"/>
    <col min="3890" max="3890" width="5.875" style="2" bestFit="1" customWidth="1"/>
    <col min="3891" max="3891" width="5.625" style="2" customWidth="1"/>
    <col min="3892" max="3892" width="10.625" style="2" customWidth="1"/>
    <col min="3893" max="3893" width="12.625" style="2" customWidth="1"/>
    <col min="3894" max="3894" width="8.625" style="2" customWidth="1"/>
    <col min="3895" max="3895" width="5.625" style="2" customWidth="1"/>
    <col min="3896" max="3896" width="4.625" style="2" customWidth="1"/>
    <col min="3897" max="3897" width="5.625" style="2" customWidth="1"/>
    <col min="3898" max="3901" width="4.625" style="2" customWidth="1"/>
    <col min="3902" max="3902" width="7.625" style="2" customWidth="1"/>
    <col min="3903" max="3903" width="8.625" style="2" customWidth="1"/>
    <col min="3904" max="3905" width="5.625" style="2" customWidth="1"/>
    <col min="3906" max="3906" width="6.625" style="2" customWidth="1"/>
    <col min="3907" max="3907" width="9.875" style="2" customWidth="1"/>
    <col min="3908" max="3909" width="8.625" style="2" customWidth="1"/>
    <col min="3910" max="3910" width="5.5" style="2" bestFit="1" customWidth="1"/>
    <col min="3911" max="3952" width="6.75" style="2" customWidth="1"/>
    <col min="3953" max="3953" width="9" style="2" customWidth="1"/>
    <col min="3954" max="3954" width="9.875" style="2" customWidth="1"/>
    <col min="3955" max="3955" width="2.875" style="2" customWidth="1"/>
    <col min="3956" max="3956" width="12.25" style="2" customWidth="1"/>
    <col min="3957" max="3957" width="6.375" style="2" customWidth="1"/>
    <col min="3958" max="3959" width="3.125" style="2" customWidth="1"/>
    <col min="3960" max="3960" width="1.125" style="2" customWidth="1"/>
    <col min="3961" max="3961" width="9" style="2" customWidth="1"/>
    <col min="3962" max="3962" width="2.375" style="2" customWidth="1"/>
    <col min="3963" max="3980" width="7.625" style="2" customWidth="1"/>
    <col min="3981" max="4143" width="9" style="2" customWidth="1"/>
    <col min="4144" max="4145" width="3.125" style="2" customWidth="1"/>
    <col min="4146" max="4146" width="5.875" style="2" bestFit="1" customWidth="1"/>
    <col min="4147" max="4147" width="5.625" style="2" customWidth="1"/>
    <col min="4148" max="4148" width="10.625" style="2" customWidth="1"/>
    <col min="4149" max="4149" width="12.625" style="2" customWidth="1"/>
    <col min="4150" max="4150" width="8.625" style="2" customWidth="1"/>
    <col min="4151" max="4151" width="5.625" style="2" customWidth="1"/>
    <col min="4152" max="4152" width="4.625" style="2" customWidth="1"/>
    <col min="4153" max="4153" width="5.625" style="2" customWidth="1"/>
    <col min="4154" max="4157" width="4.625" style="2" customWidth="1"/>
    <col min="4158" max="4158" width="7.625" style="2" customWidth="1"/>
    <col min="4159" max="4159" width="8.625" style="2" customWidth="1"/>
    <col min="4160" max="4161" width="5.625" style="2" customWidth="1"/>
    <col min="4162" max="4162" width="6.625" style="2" customWidth="1"/>
    <col min="4163" max="4163" width="9.875" style="2" customWidth="1"/>
    <col min="4164" max="4165" width="8.625" style="2" customWidth="1"/>
    <col min="4166" max="4166" width="5.5" style="2" bestFit="1" customWidth="1"/>
    <col min="4167" max="4208" width="6.75" style="2" customWidth="1"/>
    <col min="4209" max="4209" width="9" style="2" customWidth="1"/>
    <col min="4210" max="4210" width="9.875" style="2" customWidth="1"/>
    <col min="4211" max="4211" width="2.875" style="2" customWidth="1"/>
    <col min="4212" max="4212" width="12.25" style="2" customWidth="1"/>
    <col min="4213" max="4213" width="6.375" style="2" customWidth="1"/>
    <col min="4214" max="4215" width="3.125" style="2" customWidth="1"/>
    <col min="4216" max="4216" width="1.125" style="2" customWidth="1"/>
    <col min="4217" max="4217" width="9" style="2" customWidth="1"/>
    <col min="4218" max="4218" width="2.375" style="2" customWidth="1"/>
    <col min="4219" max="4236" width="7.625" style="2" customWidth="1"/>
    <col min="4237" max="4399" width="9" style="2" customWidth="1"/>
    <col min="4400" max="4401" width="3.125" style="2" customWidth="1"/>
    <col min="4402" max="4402" width="5.875" style="2" bestFit="1" customWidth="1"/>
    <col min="4403" max="4403" width="5.625" style="2" customWidth="1"/>
    <col min="4404" max="4404" width="10.625" style="2" customWidth="1"/>
    <col min="4405" max="4405" width="12.625" style="2" customWidth="1"/>
    <col min="4406" max="4406" width="8.625" style="2" customWidth="1"/>
    <col min="4407" max="4407" width="5.625" style="2" customWidth="1"/>
    <col min="4408" max="4408" width="4.625" style="2" customWidth="1"/>
    <col min="4409" max="4409" width="5.625" style="2" customWidth="1"/>
    <col min="4410" max="4413" width="4.625" style="2" customWidth="1"/>
    <col min="4414" max="4414" width="7.625" style="2" customWidth="1"/>
    <col min="4415" max="4415" width="8.625" style="2" customWidth="1"/>
    <col min="4416" max="4417" width="5.625" style="2" customWidth="1"/>
    <col min="4418" max="4418" width="6.625" style="2" customWidth="1"/>
    <col min="4419" max="4419" width="9.875" style="2" customWidth="1"/>
    <col min="4420" max="4421" width="8.625" style="2" customWidth="1"/>
    <col min="4422" max="4422" width="5.5" style="2" bestFit="1" customWidth="1"/>
    <col min="4423" max="4464" width="6.75" style="2" customWidth="1"/>
    <col min="4465" max="4465" width="9" style="2" customWidth="1"/>
    <col min="4466" max="4466" width="9.875" style="2" customWidth="1"/>
    <col min="4467" max="4467" width="2.875" style="2" customWidth="1"/>
    <col min="4468" max="4468" width="12.25" style="2" customWidth="1"/>
    <col min="4469" max="4469" width="6.375" style="2" customWidth="1"/>
    <col min="4470" max="4471" width="3.125" style="2" customWidth="1"/>
    <col min="4472" max="4472" width="1.125" style="2" customWidth="1"/>
    <col min="4473" max="4473" width="9" style="2" customWidth="1"/>
    <col min="4474" max="4474" width="2.375" style="2" customWidth="1"/>
    <col min="4475" max="4492" width="7.625" style="2" customWidth="1"/>
    <col min="4493" max="4655" width="9" style="2" customWidth="1"/>
    <col min="4656" max="4657" width="3.125" style="2" customWidth="1"/>
    <col min="4658" max="4658" width="5.875" style="2" bestFit="1" customWidth="1"/>
    <col min="4659" max="4659" width="5.625" style="2" customWidth="1"/>
    <col min="4660" max="4660" width="10.625" style="2" customWidth="1"/>
    <col min="4661" max="4661" width="12.625" style="2" customWidth="1"/>
    <col min="4662" max="4662" width="8.625" style="2" customWidth="1"/>
    <col min="4663" max="4663" width="5.625" style="2" customWidth="1"/>
    <col min="4664" max="4664" width="4.625" style="2" customWidth="1"/>
    <col min="4665" max="4665" width="5.625" style="2" customWidth="1"/>
    <col min="4666" max="4669" width="4.625" style="2" customWidth="1"/>
    <col min="4670" max="4670" width="7.625" style="2" customWidth="1"/>
    <col min="4671" max="4671" width="8.625" style="2" customWidth="1"/>
    <col min="4672" max="4673" width="5.625" style="2" customWidth="1"/>
    <col min="4674" max="4674" width="6.625" style="2" customWidth="1"/>
    <col min="4675" max="4675" width="9.875" style="2" customWidth="1"/>
    <col min="4676" max="4677" width="8.625" style="2" customWidth="1"/>
    <col min="4678" max="4678" width="5.5" style="2" bestFit="1" customWidth="1"/>
    <col min="4679" max="4720" width="6.75" style="2" customWidth="1"/>
    <col min="4721" max="4721" width="9" style="2" customWidth="1"/>
    <col min="4722" max="4722" width="9.875" style="2" customWidth="1"/>
    <col min="4723" max="4723" width="2.875" style="2" customWidth="1"/>
    <col min="4724" max="4724" width="12.25" style="2" customWidth="1"/>
    <col min="4725" max="4725" width="6.375" style="2" customWidth="1"/>
    <col min="4726" max="4727" width="3.125" style="2" customWidth="1"/>
    <col min="4728" max="4728" width="1.125" style="2" customWidth="1"/>
    <col min="4729" max="4729" width="9" style="2" customWidth="1"/>
    <col min="4730" max="4730" width="2.375" style="2" customWidth="1"/>
    <col min="4731" max="4748" width="7.625" style="2" customWidth="1"/>
    <col min="4749" max="4911" width="9" style="2" customWidth="1"/>
    <col min="4912" max="4913" width="3.125" style="2" customWidth="1"/>
    <col min="4914" max="4914" width="5.875" style="2" bestFit="1" customWidth="1"/>
    <col min="4915" max="4915" width="5.625" style="2" customWidth="1"/>
    <col min="4916" max="4916" width="10.625" style="2" customWidth="1"/>
    <col min="4917" max="4917" width="12.625" style="2" customWidth="1"/>
    <col min="4918" max="4918" width="8.625" style="2" customWidth="1"/>
    <col min="4919" max="4919" width="5.625" style="2" customWidth="1"/>
    <col min="4920" max="4920" width="4.625" style="2" customWidth="1"/>
    <col min="4921" max="4921" width="5.625" style="2" customWidth="1"/>
    <col min="4922" max="4925" width="4.625" style="2" customWidth="1"/>
    <col min="4926" max="4926" width="7.625" style="2" customWidth="1"/>
    <col min="4927" max="4927" width="8.625" style="2" customWidth="1"/>
    <col min="4928" max="4929" width="5.625" style="2" customWidth="1"/>
    <col min="4930" max="4930" width="6.625" style="2" customWidth="1"/>
    <col min="4931" max="4931" width="9.875" style="2" customWidth="1"/>
    <col min="4932" max="4933" width="8.625" style="2" customWidth="1"/>
    <col min="4934" max="4934" width="5.5" style="2" bestFit="1" customWidth="1"/>
    <col min="4935" max="4976" width="6.75" style="2" customWidth="1"/>
    <col min="4977" max="4977" width="9" style="2" customWidth="1"/>
    <col min="4978" max="4978" width="9.875" style="2" customWidth="1"/>
    <col min="4979" max="4979" width="2.875" style="2" customWidth="1"/>
    <col min="4980" max="4980" width="12.25" style="2" customWidth="1"/>
    <col min="4981" max="4981" width="6.375" style="2" customWidth="1"/>
    <col min="4982" max="4983" width="3.125" style="2" customWidth="1"/>
    <col min="4984" max="4984" width="1.125" style="2" customWidth="1"/>
    <col min="4985" max="4985" width="9" style="2" customWidth="1"/>
    <col min="4986" max="4986" width="2.375" style="2" customWidth="1"/>
    <col min="4987" max="5004" width="7.625" style="2" customWidth="1"/>
    <col min="5005" max="5167" width="9" style="2" customWidth="1"/>
    <col min="5168" max="5169" width="3.125" style="2" customWidth="1"/>
    <col min="5170" max="5170" width="5.875" style="2" bestFit="1" customWidth="1"/>
    <col min="5171" max="5171" width="5.625" style="2" customWidth="1"/>
    <col min="5172" max="5172" width="10.625" style="2" customWidth="1"/>
    <col min="5173" max="5173" width="12.625" style="2" customWidth="1"/>
    <col min="5174" max="5174" width="8.625" style="2" customWidth="1"/>
    <col min="5175" max="5175" width="5.625" style="2" customWidth="1"/>
    <col min="5176" max="5176" width="4.625" style="2" customWidth="1"/>
    <col min="5177" max="5177" width="5.625" style="2" customWidth="1"/>
    <col min="5178" max="5181" width="4.625" style="2" customWidth="1"/>
    <col min="5182" max="5182" width="7.625" style="2" customWidth="1"/>
    <col min="5183" max="5183" width="8.625" style="2" customWidth="1"/>
    <col min="5184" max="5185" width="5.625" style="2" customWidth="1"/>
    <col min="5186" max="5186" width="6.625" style="2" customWidth="1"/>
    <col min="5187" max="5187" width="9.875" style="2" customWidth="1"/>
    <col min="5188" max="5189" width="8.625" style="2" customWidth="1"/>
    <col min="5190" max="5190" width="5.5" style="2" bestFit="1" customWidth="1"/>
    <col min="5191" max="5232" width="6.75" style="2" customWidth="1"/>
    <col min="5233" max="5233" width="9" style="2" customWidth="1"/>
    <col min="5234" max="5234" width="9.875" style="2" customWidth="1"/>
    <col min="5235" max="5235" width="2.875" style="2" customWidth="1"/>
    <col min="5236" max="5236" width="12.25" style="2" customWidth="1"/>
    <col min="5237" max="5237" width="6.375" style="2" customWidth="1"/>
    <col min="5238" max="5239" width="3.125" style="2" customWidth="1"/>
    <col min="5240" max="5240" width="1.125" style="2" customWidth="1"/>
    <col min="5241" max="5241" width="9" style="2" customWidth="1"/>
    <col min="5242" max="5242" width="2.375" style="2" customWidth="1"/>
    <col min="5243" max="5260" width="7.625" style="2" customWidth="1"/>
    <col min="5261" max="5423" width="9" style="2" customWidth="1"/>
    <col min="5424" max="5425" width="3.125" style="2" customWidth="1"/>
    <col min="5426" max="5426" width="5.875" style="2" bestFit="1" customWidth="1"/>
    <col min="5427" max="5427" width="5.625" style="2" customWidth="1"/>
    <col min="5428" max="5428" width="10.625" style="2" customWidth="1"/>
    <col min="5429" max="5429" width="12.625" style="2" customWidth="1"/>
    <col min="5430" max="5430" width="8.625" style="2" customWidth="1"/>
    <col min="5431" max="5431" width="5.625" style="2" customWidth="1"/>
    <col min="5432" max="5432" width="4.625" style="2" customWidth="1"/>
    <col min="5433" max="5433" width="5.625" style="2" customWidth="1"/>
    <col min="5434" max="5437" width="4.625" style="2" customWidth="1"/>
    <col min="5438" max="5438" width="7.625" style="2" customWidth="1"/>
    <col min="5439" max="5439" width="8.625" style="2" customWidth="1"/>
    <col min="5440" max="5441" width="5.625" style="2" customWidth="1"/>
    <col min="5442" max="5442" width="6.625" style="2" customWidth="1"/>
    <col min="5443" max="5443" width="9.875" style="2" customWidth="1"/>
    <col min="5444" max="5445" width="8.625" style="2" customWidth="1"/>
    <col min="5446" max="5446" width="5.5" style="2" bestFit="1" customWidth="1"/>
    <col min="5447" max="5488" width="6.75" style="2" customWidth="1"/>
    <col min="5489" max="5489" width="9" style="2" customWidth="1"/>
    <col min="5490" max="5490" width="9.875" style="2" customWidth="1"/>
    <col min="5491" max="5491" width="2.875" style="2" customWidth="1"/>
    <col min="5492" max="5492" width="12.25" style="2" customWidth="1"/>
    <col min="5493" max="5493" width="6.375" style="2" customWidth="1"/>
    <col min="5494" max="5495" width="3.125" style="2" customWidth="1"/>
    <col min="5496" max="5496" width="1.125" style="2" customWidth="1"/>
    <col min="5497" max="5497" width="9" style="2" customWidth="1"/>
    <col min="5498" max="5498" width="2.375" style="2" customWidth="1"/>
    <col min="5499" max="5516" width="7.625" style="2" customWidth="1"/>
    <col min="5517" max="5679" width="9" style="2" customWidth="1"/>
    <col min="5680" max="5681" width="3.125" style="2" customWidth="1"/>
    <col min="5682" max="5682" width="5.875" style="2" bestFit="1" customWidth="1"/>
    <col min="5683" max="5683" width="5.625" style="2" customWidth="1"/>
    <col min="5684" max="5684" width="10.625" style="2" customWidth="1"/>
    <col min="5685" max="5685" width="12.625" style="2" customWidth="1"/>
    <col min="5686" max="5686" width="8.625" style="2" customWidth="1"/>
    <col min="5687" max="5687" width="5.625" style="2" customWidth="1"/>
    <col min="5688" max="5688" width="4.625" style="2" customWidth="1"/>
    <col min="5689" max="5689" width="5.625" style="2" customWidth="1"/>
    <col min="5690" max="5693" width="4.625" style="2" customWidth="1"/>
    <col min="5694" max="5694" width="7.625" style="2" customWidth="1"/>
    <col min="5695" max="5695" width="8.625" style="2" customWidth="1"/>
    <col min="5696" max="5697" width="5.625" style="2" customWidth="1"/>
    <col min="5698" max="5698" width="6.625" style="2" customWidth="1"/>
    <col min="5699" max="5699" width="9.875" style="2" customWidth="1"/>
    <col min="5700" max="5701" width="8.625" style="2" customWidth="1"/>
    <col min="5702" max="5702" width="5.5" style="2" bestFit="1" customWidth="1"/>
    <col min="5703" max="5744" width="6.75" style="2" customWidth="1"/>
    <col min="5745" max="5745" width="9" style="2" customWidth="1"/>
    <col min="5746" max="5746" width="9.875" style="2" customWidth="1"/>
    <col min="5747" max="5747" width="2.875" style="2" customWidth="1"/>
    <col min="5748" max="5748" width="12.25" style="2" customWidth="1"/>
    <col min="5749" max="5749" width="6.375" style="2" customWidth="1"/>
    <col min="5750" max="5751" width="3.125" style="2" customWidth="1"/>
    <col min="5752" max="5752" width="1.125" style="2" customWidth="1"/>
    <col min="5753" max="5753" width="9" style="2" customWidth="1"/>
    <col min="5754" max="5754" width="2.375" style="2" customWidth="1"/>
    <col min="5755" max="5772" width="7.625" style="2" customWidth="1"/>
    <col min="5773" max="5935" width="9" style="2" customWidth="1"/>
    <col min="5936" max="5937" width="3.125" style="2" customWidth="1"/>
    <col min="5938" max="5938" width="5.875" style="2" bestFit="1" customWidth="1"/>
    <col min="5939" max="5939" width="5.625" style="2" customWidth="1"/>
    <col min="5940" max="5940" width="10.625" style="2" customWidth="1"/>
    <col min="5941" max="5941" width="12.625" style="2" customWidth="1"/>
    <col min="5942" max="5942" width="8.625" style="2" customWidth="1"/>
    <col min="5943" max="5943" width="5.625" style="2" customWidth="1"/>
    <col min="5944" max="5944" width="4.625" style="2" customWidth="1"/>
    <col min="5945" max="5945" width="5.625" style="2" customWidth="1"/>
    <col min="5946" max="5949" width="4.625" style="2" customWidth="1"/>
    <col min="5950" max="5950" width="7.625" style="2" customWidth="1"/>
    <col min="5951" max="5951" width="8.625" style="2" customWidth="1"/>
    <col min="5952" max="5953" width="5.625" style="2" customWidth="1"/>
    <col min="5954" max="5954" width="6.625" style="2" customWidth="1"/>
    <col min="5955" max="5955" width="9.875" style="2" customWidth="1"/>
    <col min="5956" max="5957" width="8.625" style="2" customWidth="1"/>
    <col min="5958" max="5958" width="5.5" style="2" bestFit="1" customWidth="1"/>
    <col min="5959" max="6000" width="6.75" style="2" customWidth="1"/>
    <col min="6001" max="6001" width="9" style="2" customWidth="1"/>
    <col min="6002" max="6002" width="9.875" style="2" customWidth="1"/>
    <col min="6003" max="6003" width="2.875" style="2" customWidth="1"/>
    <col min="6004" max="6004" width="12.25" style="2" customWidth="1"/>
    <col min="6005" max="6005" width="6.375" style="2" customWidth="1"/>
    <col min="6006" max="6007" width="3.125" style="2" customWidth="1"/>
    <col min="6008" max="6008" width="1.125" style="2" customWidth="1"/>
    <col min="6009" max="6009" width="9" style="2" customWidth="1"/>
    <col min="6010" max="6010" width="2.375" style="2" customWidth="1"/>
    <col min="6011" max="6028" width="7.625" style="2" customWidth="1"/>
    <col min="6029" max="6191" width="9" style="2" customWidth="1"/>
    <col min="6192" max="6193" width="3.125" style="2" customWidth="1"/>
    <col min="6194" max="6194" width="5.875" style="2" bestFit="1" customWidth="1"/>
    <col min="6195" max="6195" width="5.625" style="2" customWidth="1"/>
    <col min="6196" max="6196" width="10.625" style="2" customWidth="1"/>
    <col min="6197" max="6197" width="12.625" style="2" customWidth="1"/>
    <col min="6198" max="6198" width="8.625" style="2" customWidth="1"/>
    <col min="6199" max="6199" width="5.625" style="2" customWidth="1"/>
    <col min="6200" max="6200" width="4.625" style="2" customWidth="1"/>
    <col min="6201" max="6201" width="5.625" style="2" customWidth="1"/>
    <col min="6202" max="6205" width="4.625" style="2" customWidth="1"/>
    <col min="6206" max="6206" width="7.625" style="2" customWidth="1"/>
    <col min="6207" max="6207" width="8.625" style="2" customWidth="1"/>
    <col min="6208" max="6209" width="5.625" style="2" customWidth="1"/>
    <col min="6210" max="6210" width="6.625" style="2" customWidth="1"/>
    <col min="6211" max="6211" width="9.875" style="2" customWidth="1"/>
    <col min="6212" max="6213" width="8.625" style="2" customWidth="1"/>
    <col min="6214" max="6214" width="5.5" style="2" bestFit="1" customWidth="1"/>
    <col min="6215" max="6256" width="6.75" style="2" customWidth="1"/>
    <col min="6257" max="6257" width="9" style="2" customWidth="1"/>
    <col min="6258" max="6258" width="9.875" style="2" customWidth="1"/>
    <col min="6259" max="6259" width="2.875" style="2" customWidth="1"/>
    <col min="6260" max="6260" width="12.25" style="2" customWidth="1"/>
    <col min="6261" max="6261" width="6.375" style="2" customWidth="1"/>
    <col min="6262" max="6263" width="3.125" style="2" customWidth="1"/>
    <col min="6264" max="6264" width="1.125" style="2" customWidth="1"/>
    <col min="6265" max="6265" width="9" style="2" customWidth="1"/>
    <col min="6266" max="6266" width="2.375" style="2" customWidth="1"/>
    <col min="6267" max="6284" width="7.625" style="2" customWidth="1"/>
    <col min="6285" max="6447" width="9" style="2" customWidth="1"/>
    <col min="6448" max="6449" width="3.125" style="2" customWidth="1"/>
    <col min="6450" max="6450" width="5.875" style="2" bestFit="1" customWidth="1"/>
    <col min="6451" max="6451" width="5.625" style="2" customWidth="1"/>
    <col min="6452" max="6452" width="10.625" style="2" customWidth="1"/>
    <col min="6453" max="6453" width="12.625" style="2" customWidth="1"/>
    <col min="6454" max="6454" width="8.625" style="2" customWidth="1"/>
    <col min="6455" max="6455" width="5.625" style="2" customWidth="1"/>
    <col min="6456" max="6456" width="4.625" style="2" customWidth="1"/>
    <col min="6457" max="6457" width="5.625" style="2" customWidth="1"/>
    <col min="6458" max="6461" width="4.625" style="2" customWidth="1"/>
    <col min="6462" max="6462" width="7.625" style="2" customWidth="1"/>
    <col min="6463" max="6463" width="8.625" style="2" customWidth="1"/>
    <col min="6464" max="6465" width="5.625" style="2" customWidth="1"/>
    <col min="6466" max="6466" width="6.625" style="2" customWidth="1"/>
    <col min="6467" max="6467" width="9.875" style="2" customWidth="1"/>
    <col min="6468" max="6469" width="8.625" style="2" customWidth="1"/>
    <col min="6470" max="6470" width="5.5" style="2" bestFit="1" customWidth="1"/>
    <col min="6471" max="6512" width="6.75" style="2" customWidth="1"/>
    <col min="6513" max="6513" width="9" style="2" customWidth="1"/>
    <col min="6514" max="6514" width="9.875" style="2" customWidth="1"/>
    <col min="6515" max="6515" width="2.875" style="2" customWidth="1"/>
    <col min="6516" max="6516" width="12.25" style="2" customWidth="1"/>
    <col min="6517" max="6517" width="6.375" style="2" customWidth="1"/>
    <col min="6518" max="6519" width="3.125" style="2" customWidth="1"/>
    <col min="6520" max="6520" width="1.125" style="2" customWidth="1"/>
    <col min="6521" max="6521" width="9" style="2" customWidth="1"/>
    <col min="6522" max="6522" width="2.375" style="2" customWidth="1"/>
    <col min="6523" max="6540" width="7.625" style="2" customWidth="1"/>
    <col min="6541" max="6703" width="9" style="2" customWidth="1"/>
    <col min="6704" max="6705" width="3.125" style="2" customWidth="1"/>
    <col min="6706" max="6706" width="5.875" style="2" bestFit="1" customWidth="1"/>
    <col min="6707" max="6707" width="5.625" style="2" customWidth="1"/>
    <col min="6708" max="6708" width="10.625" style="2" customWidth="1"/>
    <col min="6709" max="6709" width="12.625" style="2" customWidth="1"/>
    <col min="6710" max="6710" width="8.625" style="2" customWidth="1"/>
    <col min="6711" max="6711" width="5.625" style="2" customWidth="1"/>
    <col min="6712" max="6712" width="4.625" style="2" customWidth="1"/>
    <col min="6713" max="6713" width="5.625" style="2" customWidth="1"/>
    <col min="6714" max="6717" width="4.625" style="2" customWidth="1"/>
    <col min="6718" max="6718" width="7.625" style="2" customWidth="1"/>
    <col min="6719" max="6719" width="8.625" style="2" customWidth="1"/>
    <col min="6720" max="6721" width="5.625" style="2" customWidth="1"/>
    <col min="6722" max="6722" width="6.625" style="2" customWidth="1"/>
    <col min="6723" max="6723" width="9.875" style="2" customWidth="1"/>
    <col min="6724" max="6725" width="8.625" style="2" customWidth="1"/>
    <col min="6726" max="6726" width="5.5" style="2" bestFit="1" customWidth="1"/>
    <col min="6727" max="6768" width="6.75" style="2" customWidth="1"/>
    <col min="6769" max="6769" width="9" style="2" customWidth="1"/>
    <col min="6770" max="6770" width="9.875" style="2" customWidth="1"/>
    <col min="6771" max="6771" width="2.875" style="2" customWidth="1"/>
    <col min="6772" max="6772" width="12.25" style="2" customWidth="1"/>
    <col min="6773" max="6773" width="6.375" style="2" customWidth="1"/>
    <col min="6774" max="6775" width="3.125" style="2" customWidth="1"/>
    <col min="6776" max="6776" width="1.125" style="2" customWidth="1"/>
    <col min="6777" max="6777" width="9" style="2" customWidth="1"/>
    <col min="6778" max="6778" width="2.375" style="2" customWidth="1"/>
    <col min="6779" max="6796" width="7.625" style="2" customWidth="1"/>
    <col min="6797" max="6959" width="9" style="2" customWidth="1"/>
    <col min="6960" max="6961" width="3.125" style="2" customWidth="1"/>
    <col min="6962" max="6962" width="5.875" style="2" bestFit="1" customWidth="1"/>
    <col min="6963" max="6963" width="5.625" style="2" customWidth="1"/>
    <col min="6964" max="6964" width="10.625" style="2" customWidth="1"/>
    <col min="6965" max="6965" width="12.625" style="2" customWidth="1"/>
    <col min="6966" max="6966" width="8.625" style="2" customWidth="1"/>
    <col min="6967" max="6967" width="5.625" style="2" customWidth="1"/>
    <col min="6968" max="6968" width="4.625" style="2" customWidth="1"/>
    <col min="6969" max="6969" width="5.625" style="2" customWidth="1"/>
    <col min="6970" max="6973" width="4.625" style="2" customWidth="1"/>
    <col min="6974" max="6974" width="7.625" style="2" customWidth="1"/>
    <col min="6975" max="6975" width="8.625" style="2" customWidth="1"/>
    <col min="6976" max="6977" width="5.625" style="2" customWidth="1"/>
    <col min="6978" max="6978" width="6.625" style="2" customWidth="1"/>
    <col min="6979" max="6979" width="9.875" style="2" customWidth="1"/>
    <col min="6980" max="6981" width="8.625" style="2" customWidth="1"/>
    <col min="6982" max="6982" width="5.5" style="2" bestFit="1" customWidth="1"/>
    <col min="6983" max="7024" width="6.75" style="2" customWidth="1"/>
    <col min="7025" max="7025" width="9" style="2" customWidth="1"/>
    <col min="7026" max="7026" width="9.875" style="2" customWidth="1"/>
    <col min="7027" max="7027" width="2.875" style="2" customWidth="1"/>
    <col min="7028" max="7028" width="12.25" style="2" customWidth="1"/>
    <col min="7029" max="7029" width="6.375" style="2" customWidth="1"/>
    <col min="7030" max="7031" width="3.125" style="2" customWidth="1"/>
    <col min="7032" max="7032" width="1.125" style="2" customWidth="1"/>
    <col min="7033" max="7033" width="9" style="2" customWidth="1"/>
    <col min="7034" max="7034" width="2.375" style="2" customWidth="1"/>
    <col min="7035" max="7052" width="7.625" style="2" customWidth="1"/>
    <col min="7053" max="7215" width="9" style="2" customWidth="1"/>
    <col min="7216" max="7217" width="3.125" style="2" customWidth="1"/>
    <col min="7218" max="7218" width="5.875" style="2" bestFit="1" customWidth="1"/>
    <col min="7219" max="7219" width="5.625" style="2" customWidth="1"/>
    <col min="7220" max="7220" width="10.625" style="2" customWidth="1"/>
    <col min="7221" max="7221" width="12.625" style="2" customWidth="1"/>
    <col min="7222" max="7222" width="8.625" style="2" customWidth="1"/>
    <col min="7223" max="7223" width="5.625" style="2" customWidth="1"/>
    <col min="7224" max="7224" width="4.625" style="2" customWidth="1"/>
    <col min="7225" max="7225" width="5.625" style="2" customWidth="1"/>
    <col min="7226" max="7229" width="4.625" style="2" customWidth="1"/>
    <col min="7230" max="7230" width="7.625" style="2" customWidth="1"/>
    <col min="7231" max="7231" width="8.625" style="2" customWidth="1"/>
    <col min="7232" max="7233" width="5.625" style="2" customWidth="1"/>
    <col min="7234" max="7234" width="6.625" style="2" customWidth="1"/>
    <col min="7235" max="7235" width="9.875" style="2" customWidth="1"/>
    <col min="7236" max="7237" width="8.625" style="2" customWidth="1"/>
    <col min="7238" max="7238" width="5.5" style="2" bestFit="1" customWidth="1"/>
    <col min="7239" max="7280" width="6.75" style="2" customWidth="1"/>
    <col min="7281" max="7281" width="9" style="2" customWidth="1"/>
    <col min="7282" max="7282" width="9.875" style="2" customWidth="1"/>
    <col min="7283" max="7283" width="2.875" style="2" customWidth="1"/>
    <col min="7284" max="7284" width="12.25" style="2" customWidth="1"/>
    <col min="7285" max="7285" width="6.375" style="2" customWidth="1"/>
    <col min="7286" max="7287" width="3.125" style="2" customWidth="1"/>
    <col min="7288" max="7288" width="1.125" style="2" customWidth="1"/>
    <col min="7289" max="7289" width="9" style="2" customWidth="1"/>
    <col min="7290" max="7290" width="2.375" style="2" customWidth="1"/>
    <col min="7291" max="7308" width="7.625" style="2" customWidth="1"/>
    <col min="7309" max="7471" width="9" style="2" customWidth="1"/>
    <col min="7472" max="7473" width="3.125" style="2" customWidth="1"/>
    <col min="7474" max="7474" width="5.875" style="2" bestFit="1" customWidth="1"/>
    <col min="7475" max="7475" width="5.625" style="2" customWidth="1"/>
    <col min="7476" max="7476" width="10.625" style="2" customWidth="1"/>
    <col min="7477" max="7477" width="12.625" style="2" customWidth="1"/>
    <col min="7478" max="7478" width="8.625" style="2" customWidth="1"/>
    <col min="7479" max="7479" width="5.625" style="2" customWidth="1"/>
    <col min="7480" max="7480" width="4.625" style="2" customWidth="1"/>
    <col min="7481" max="7481" width="5.625" style="2" customWidth="1"/>
    <col min="7482" max="7485" width="4.625" style="2" customWidth="1"/>
    <col min="7486" max="7486" width="7.625" style="2" customWidth="1"/>
    <col min="7487" max="7487" width="8.625" style="2" customWidth="1"/>
    <col min="7488" max="7489" width="5.625" style="2" customWidth="1"/>
    <col min="7490" max="7490" width="6.625" style="2" customWidth="1"/>
    <col min="7491" max="7491" width="9.875" style="2" customWidth="1"/>
    <col min="7492" max="7493" width="8.625" style="2" customWidth="1"/>
    <col min="7494" max="7494" width="5.5" style="2" bestFit="1" customWidth="1"/>
    <col min="7495" max="7536" width="6.75" style="2" customWidth="1"/>
    <col min="7537" max="7537" width="9" style="2" customWidth="1"/>
    <col min="7538" max="7538" width="9.875" style="2" customWidth="1"/>
    <col min="7539" max="7539" width="2.875" style="2" customWidth="1"/>
    <col min="7540" max="7540" width="12.25" style="2" customWidth="1"/>
    <col min="7541" max="7541" width="6.375" style="2" customWidth="1"/>
    <col min="7542" max="7543" width="3.125" style="2" customWidth="1"/>
    <col min="7544" max="7544" width="1.125" style="2" customWidth="1"/>
    <col min="7545" max="7545" width="9" style="2" customWidth="1"/>
    <col min="7546" max="7546" width="2.375" style="2" customWidth="1"/>
    <col min="7547" max="7564" width="7.625" style="2" customWidth="1"/>
    <col min="7565" max="7727" width="9" style="2" customWidth="1"/>
    <col min="7728" max="7729" width="3.125" style="2" customWidth="1"/>
    <col min="7730" max="7730" width="5.875" style="2" bestFit="1" customWidth="1"/>
    <col min="7731" max="7731" width="5.625" style="2" customWidth="1"/>
    <col min="7732" max="7732" width="10.625" style="2" customWidth="1"/>
    <col min="7733" max="7733" width="12.625" style="2" customWidth="1"/>
    <col min="7734" max="7734" width="8.625" style="2" customWidth="1"/>
    <col min="7735" max="7735" width="5.625" style="2" customWidth="1"/>
    <col min="7736" max="7736" width="4.625" style="2" customWidth="1"/>
    <col min="7737" max="7737" width="5.625" style="2" customWidth="1"/>
    <col min="7738" max="7741" width="4.625" style="2" customWidth="1"/>
    <col min="7742" max="7742" width="7.625" style="2" customWidth="1"/>
    <col min="7743" max="7743" width="8.625" style="2" customWidth="1"/>
    <col min="7744" max="7745" width="5.625" style="2" customWidth="1"/>
    <col min="7746" max="7746" width="6.625" style="2" customWidth="1"/>
    <col min="7747" max="7747" width="9.875" style="2" customWidth="1"/>
    <col min="7748" max="7749" width="8.625" style="2" customWidth="1"/>
    <col min="7750" max="7750" width="5.5" style="2" bestFit="1" customWidth="1"/>
    <col min="7751" max="7792" width="6.75" style="2" customWidth="1"/>
    <col min="7793" max="7793" width="9" style="2" customWidth="1"/>
    <col min="7794" max="7794" width="9.875" style="2" customWidth="1"/>
    <col min="7795" max="7795" width="2.875" style="2" customWidth="1"/>
    <col min="7796" max="7796" width="12.25" style="2" customWidth="1"/>
    <col min="7797" max="7797" width="6.375" style="2" customWidth="1"/>
    <col min="7798" max="7799" width="3.125" style="2" customWidth="1"/>
    <col min="7800" max="7800" width="1.125" style="2" customWidth="1"/>
    <col min="7801" max="7801" width="9" style="2" customWidth="1"/>
    <col min="7802" max="7802" width="2.375" style="2" customWidth="1"/>
    <col min="7803" max="7820" width="7.625" style="2" customWidth="1"/>
    <col min="7821" max="7983" width="9" style="2" customWidth="1"/>
    <col min="7984" max="7985" width="3.125" style="2" customWidth="1"/>
    <col min="7986" max="7986" width="5.875" style="2" bestFit="1" customWidth="1"/>
    <col min="7987" max="7987" width="5.625" style="2" customWidth="1"/>
    <col min="7988" max="7988" width="10.625" style="2" customWidth="1"/>
    <col min="7989" max="7989" width="12.625" style="2" customWidth="1"/>
    <col min="7990" max="7990" width="8.625" style="2" customWidth="1"/>
    <col min="7991" max="7991" width="5.625" style="2" customWidth="1"/>
    <col min="7992" max="7992" width="4.625" style="2" customWidth="1"/>
    <col min="7993" max="7993" width="5.625" style="2" customWidth="1"/>
    <col min="7994" max="7997" width="4.625" style="2" customWidth="1"/>
    <col min="7998" max="7998" width="7.625" style="2" customWidth="1"/>
    <col min="7999" max="7999" width="8.625" style="2" customWidth="1"/>
    <col min="8000" max="8001" width="5.625" style="2" customWidth="1"/>
    <col min="8002" max="8002" width="6.625" style="2" customWidth="1"/>
    <col min="8003" max="8003" width="9.875" style="2" customWidth="1"/>
    <col min="8004" max="8005" width="8.625" style="2" customWidth="1"/>
    <col min="8006" max="8006" width="5.5" style="2" bestFit="1" customWidth="1"/>
    <col min="8007" max="8048" width="6.75" style="2" customWidth="1"/>
    <col min="8049" max="8049" width="9" style="2" customWidth="1"/>
    <col min="8050" max="8050" width="9.875" style="2" customWidth="1"/>
    <col min="8051" max="8051" width="2.875" style="2" customWidth="1"/>
    <col min="8052" max="8052" width="12.25" style="2" customWidth="1"/>
    <col min="8053" max="8053" width="6.375" style="2" customWidth="1"/>
    <col min="8054" max="8055" width="3.125" style="2" customWidth="1"/>
    <col min="8056" max="8056" width="1.125" style="2" customWidth="1"/>
    <col min="8057" max="8057" width="9" style="2" customWidth="1"/>
    <col min="8058" max="8058" width="2.375" style="2" customWidth="1"/>
    <col min="8059" max="8076" width="7.625" style="2" customWidth="1"/>
    <col min="8077" max="8239" width="9" style="2" customWidth="1"/>
    <col min="8240" max="8241" width="3.125" style="2" customWidth="1"/>
    <col min="8242" max="8242" width="5.875" style="2" bestFit="1" customWidth="1"/>
    <col min="8243" max="8243" width="5.625" style="2" customWidth="1"/>
    <col min="8244" max="8244" width="10.625" style="2" customWidth="1"/>
    <col min="8245" max="8245" width="12.625" style="2" customWidth="1"/>
    <col min="8246" max="8246" width="8.625" style="2" customWidth="1"/>
    <col min="8247" max="8247" width="5.625" style="2" customWidth="1"/>
    <col min="8248" max="8248" width="4.625" style="2" customWidth="1"/>
    <col min="8249" max="8249" width="5.625" style="2" customWidth="1"/>
    <col min="8250" max="8253" width="4.625" style="2" customWidth="1"/>
    <col min="8254" max="8254" width="7.625" style="2" customWidth="1"/>
    <col min="8255" max="8255" width="8.625" style="2" customWidth="1"/>
    <col min="8256" max="8257" width="5.625" style="2" customWidth="1"/>
    <col min="8258" max="8258" width="6.625" style="2" customWidth="1"/>
    <col min="8259" max="8259" width="9.875" style="2" customWidth="1"/>
    <col min="8260" max="8261" width="8.625" style="2" customWidth="1"/>
    <col min="8262" max="8262" width="5.5" style="2" bestFit="1" customWidth="1"/>
    <col min="8263" max="8304" width="6.75" style="2" customWidth="1"/>
    <col min="8305" max="8305" width="9" style="2" customWidth="1"/>
    <col min="8306" max="8306" width="9.875" style="2" customWidth="1"/>
    <col min="8307" max="8307" width="2.875" style="2" customWidth="1"/>
    <col min="8308" max="8308" width="12.25" style="2" customWidth="1"/>
    <col min="8309" max="8309" width="6.375" style="2" customWidth="1"/>
    <col min="8310" max="8311" width="3.125" style="2" customWidth="1"/>
    <col min="8312" max="8312" width="1.125" style="2" customWidth="1"/>
    <col min="8313" max="8313" width="9" style="2" customWidth="1"/>
    <col min="8314" max="8314" width="2.375" style="2" customWidth="1"/>
    <col min="8315" max="8332" width="7.625" style="2" customWidth="1"/>
    <col min="8333" max="8495" width="9" style="2" customWidth="1"/>
    <col min="8496" max="8497" width="3.125" style="2" customWidth="1"/>
    <col min="8498" max="8498" width="5.875" style="2" bestFit="1" customWidth="1"/>
    <col min="8499" max="8499" width="5.625" style="2" customWidth="1"/>
    <col min="8500" max="8500" width="10.625" style="2" customWidth="1"/>
    <col min="8501" max="8501" width="12.625" style="2" customWidth="1"/>
    <col min="8502" max="8502" width="8.625" style="2" customWidth="1"/>
    <col min="8503" max="8503" width="5.625" style="2" customWidth="1"/>
    <col min="8504" max="8504" width="4.625" style="2" customWidth="1"/>
    <col min="8505" max="8505" width="5.625" style="2" customWidth="1"/>
    <col min="8506" max="8509" width="4.625" style="2" customWidth="1"/>
    <col min="8510" max="8510" width="7.625" style="2" customWidth="1"/>
    <col min="8511" max="8511" width="8.625" style="2" customWidth="1"/>
    <col min="8512" max="8513" width="5.625" style="2" customWidth="1"/>
    <col min="8514" max="8514" width="6.625" style="2" customWidth="1"/>
    <col min="8515" max="8515" width="9.875" style="2" customWidth="1"/>
    <col min="8516" max="8517" width="8.625" style="2" customWidth="1"/>
    <col min="8518" max="8518" width="5.5" style="2" bestFit="1" customWidth="1"/>
    <col min="8519" max="8560" width="6.75" style="2" customWidth="1"/>
    <col min="8561" max="8561" width="9" style="2" customWidth="1"/>
    <col min="8562" max="8562" width="9.875" style="2" customWidth="1"/>
    <col min="8563" max="8563" width="2.875" style="2" customWidth="1"/>
    <col min="8564" max="8564" width="12.25" style="2" customWidth="1"/>
    <col min="8565" max="8565" width="6.375" style="2" customWidth="1"/>
    <col min="8566" max="8567" width="3.125" style="2" customWidth="1"/>
    <col min="8568" max="8568" width="1.125" style="2" customWidth="1"/>
    <col min="8569" max="8569" width="9" style="2" customWidth="1"/>
    <col min="8570" max="8570" width="2.375" style="2" customWidth="1"/>
    <col min="8571" max="8588" width="7.625" style="2" customWidth="1"/>
    <col min="8589" max="8751" width="9" style="2" customWidth="1"/>
    <col min="8752" max="8753" width="3.125" style="2" customWidth="1"/>
    <col min="8754" max="8754" width="5.875" style="2" bestFit="1" customWidth="1"/>
    <col min="8755" max="8755" width="5.625" style="2" customWidth="1"/>
    <col min="8756" max="8756" width="10.625" style="2" customWidth="1"/>
    <col min="8757" max="8757" width="12.625" style="2" customWidth="1"/>
    <col min="8758" max="8758" width="8.625" style="2" customWidth="1"/>
    <col min="8759" max="8759" width="5.625" style="2" customWidth="1"/>
    <col min="8760" max="8760" width="4.625" style="2" customWidth="1"/>
    <col min="8761" max="8761" width="5.625" style="2" customWidth="1"/>
    <col min="8762" max="8765" width="4.625" style="2" customWidth="1"/>
    <col min="8766" max="8766" width="7.625" style="2" customWidth="1"/>
    <col min="8767" max="8767" width="8.625" style="2" customWidth="1"/>
    <col min="8768" max="8769" width="5.625" style="2" customWidth="1"/>
    <col min="8770" max="8770" width="6.625" style="2" customWidth="1"/>
    <col min="8771" max="8771" width="9.875" style="2" customWidth="1"/>
    <col min="8772" max="8773" width="8.625" style="2" customWidth="1"/>
    <col min="8774" max="8774" width="5.5" style="2" bestFit="1" customWidth="1"/>
    <col min="8775" max="8816" width="6.75" style="2" customWidth="1"/>
    <col min="8817" max="8817" width="9" style="2" customWidth="1"/>
    <col min="8818" max="8818" width="9.875" style="2" customWidth="1"/>
    <col min="8819" max="8819" width="2.875" style="2" customWidth="1"/>
    <col min="8820" max="8820" width="12.25" style="2" customWidth="1"/>
    <col min="8821" max="8821" width="6.375" style="2" customWidth="1"/>
    <col min="8822" max="8823" width="3.125" style="2" customWidth="1"/>
    <col min="8824" max="8824" width="1.125" style="2" customWidth="1"/>
    <col min="8825" max="8825" width="9" style="2" customWidth="1"/>
    <col min="8826" max="8826" width="2.375" style="2" customWidth="1"/>
    <col min="8827" max="8844" width="7.625" style="2" customWidth="1"/>
    <col min="8845" max="9007" width="9" style="2" customWidth="1"/>
    <col min="9008" max="9009" width="3.125" style="2" customWidth="1"/>
    <col min="9010" max="9010" width="5.875" style="2" bestFit="1" customWidth="1"/>
    <col min="9011" max="9011" width="5.625" style="2" customWidth="1"/>
    <col min="9012" max="9012" width="10.625" style="2" customWidth="1"/>
    <col min="9013" max="9013" width="12.625" style="2" customWidth="1"/>
    <col min="9014" max="9014" width="8.625" style="2" customWidth="1"/>
    <col min="9015" max="9015" width="5.625" style="2" customWidth="1"/>
    <col min="9016" max="9016" width="4.625" style="2" customWidth="1"/>
    <col min="9017" max="9017" width="5.625" style="2" customWidth="1"/>
    <col min="9018" max="9021" width="4.625" style="2" customWidth="1"/>
    <col min="9022" max="9022" width="7.625" style="2" customWidth="1"/>
    <col min="9023" max="9023" width="8.625" style="2" customWidth="1"/>
    <col min="9024" max="9025" width="5.625" style="2" customWidth="1"/>
    <col min="9026" max="9026" width="6.625" style="2" customWidth="1"/>
    <col min="9027" max="9027" width="9.875" style="2" customWidth="1"/>
    <col min="9028" max="9029" width="8.625" style="2" customWidth="1"/>
    <col min="9030" max="9030" width="5.5" style="2" bestFit="1" customWidth="1"/>
    <col min="9031" max="9072" width="6.75" style="2" customWidth="1"/>
    <col min="9073" max="9073" width="9" style="2" customWidth="1"/>
    <col min="9074" max="9074" width="9.875" style="2" customWidth="1"/>
    <col min="9075" max="9075" width="2.875" style="2" customWidth="1"/>
    <col min="9076" max="9076" width="12.25" style="2" customWidth="1"/>
    <col min="9077" max="9077" width="6.375" style="2" customWidth="1"/>
    <col min="9078" max="9079" width="3.125" style="2" customWidth="1"/>
    <col min="9080" max="9080" width="1.125" style="2" customWidth="1"/>
    <col min="9081" max="9081" width="9" style="2" customWidth="1"/>
    <col min="9082" max="9082" width="2.375" style="2" customWidth="1"/>
    <col min="9083" max="9100" width="7.625" style="2" customWidth="1"/>
    <col min="9101" max="9263" width="9" style="2" customWidth="1"/>
    <col min="9264" max="9265" width="3.125" style="2" customWidth="1"/>
    <col min="9266" max="9266" width="5.875" style="2" bestFit="1" customWidth="1"/>
    <col min="9267" max="9267" width="5.625" style="2" customWidth="1"/>
    <col min="9268" max="9268" width="10.625" style="2" customWidth="1"/>
    <col min="9269" max="9269" width="12.625" style="2" customWidth="1"/>
    <col min="9270" max="9270" width="8.625" style="2" customWidth="1"/>
    <col min="9271" max="9271" width="5.625" style="2" customWidth="1"/>
    <col min="9272" max="9272" width="4.625" style="2" customWidth="1"/>
    <col min="9273" max="9273" width="5.625" style="2" customWidth="1"/>
    <col min="9274" max="9277" width="4.625" style="2" customWidth="1"/>
    <col min="9278" max="9278" width="7.625" style="2" customWidth="1"/>
    <col min="9279" max="9279" width="8.625" style="2" customWidth="1"/>
    <col min="9280" max="9281" width="5.625" style="2" customWidth="1"/>
    <col min="9282" max="9282" width="6.625" style="2" customWidth="1"/>
    <col min="9283" max="9283" width="9.875" style="2" customWidth="1"/>
    <col min="9284" max="9285" width="8.625" style="2" customWidth="1"/>
    <col min="9286" max="9286" width="5.5" style="2" bestFit="1" customWidth="1"/>
    <col min="9287" max="9328" width="6.75" style="2" customWidth="1"/>
    <col min="9329" max="9329" width="9" style="2" customWidth="1"/>
    <col min="9330" max="9330" width="9.875" style="2" customWidth="1"/>
    <col min="9331" max="9331" width="2.875" style="2" customWidth="1"/>
    <col min="9332" max="9332" width="12.25" style="2" customWidth="1"/>
    <col min="9333" max="9333" width="6.375" style="2" customWidth="1"/>
    <col min="9334" max="9335" width="3.125" style="2" customWidth="1"/>
    <col min="9336" max="9336" width="1.125" style="2" customWidth="1"/>
    <col min="9337" max="9337" width="9" style="2" customWidth="1"/>
    <col min="9338" max="9338" width="2.375" style="2" customWidth="1"/>
    <col min="9339" max="9356" width="7.625" style="2" customWidth="1"/>
    <col min="9357" max="9519" width="9" style="2" customWidth="1"/>
    <col min="9520" max="9521" width="3.125" style="2" customWidth="1"/>
    <col min="9522" max="9522" width="5.875" style="2" bestFit="1" customWidth="1"/>
    <col min="9523" max="9523" width="5.625" style="2" customWidth="1"/>
    <col min="9524" max="9524" width="10.625" style="2" customWidth="1"/>
    <col min="9525" max="9525" width="12.625" style="2" customWidth="1"/>
    <col min="9526" max="9526" width="8.625" style="2" customWidth="1"/>
    <col min="9527" max="9527" width="5.625" style="2" customWidth="1"/>
    <col min="9528" max="9528" width="4.625" style="2" customWidth="1"/>
    <col min="9529" max="9529" width="5.625" style="2" customWidth="1"/>
    <col min="9530" max="9533" width="4.625" style="2" customWidth="1"/>
    <col min="9534" max="9534" width="7.625" style="2" customWidth="1"/>
    <col min="9535" max="9535" width="8.625" style="2" customWidth="1"/>
    <col min="9536" max="9537" width="5.625" style="2" customWidth="1"/>
    <col min="9538" max="9538" width="6.625" style="2" customWidth="1"/>
    <col min="9539" max="9539" width="9.875" style="2" customWidth="1"/>
    <col min="9540" max="9541" width="8.625" style="2" customWidth="1"/>
    <col min="9542" max="9542" width="5.5" style="2" bestFit="1" customWidth="1"/>
    <col min="9543" max="9584" width="6.75" style="2" customWidth="1"/>
    <col min="9585" max="9585" width="9" style="2" customWidth="1"/>
    <col min="9586" max="9586" width="9.875" style="2" customWidth="1"/>
    <col min="9587" max="9587" width="2.875" style="2" customWidth="1"/>
    <col min="9588" max="9588" width="12.25" style="2" customWidth="1"/>
    <col min="9589" max="9589" width="6.375" style="2" customWidth="1"/>
    <col min="9590" max="9591" width="3.125" style="2" customWidth="1"/>
    <col min="9592" max="9592" width="1.125" style="2" customWidth="1"/>
    <col min="9593" max="9593" width="9" style="2" customWidth="1"/>
    <col min="9594" max="9594" width="2.375" style="2" customWidth="1"/>
    <col min="9595" max="9612" width="7.625" style="2" customWidth="1"/>
    <col min="9613" max="9775" width="9" style="2" customWidth="1"/>
    <col min="9776" max="9777" width="3.125" style="2" customWidth="1"/>
    <col min="9778" max="9778" width="5.875" style="2" bestFit="1" customWidth="1"/>
    <col min="9779" max="9779" width="5.625" style="2" customWidth="1"/>
    <col min="9780" max="9780" width="10.625" style="2" customWidth="1"/>
    <col min="9781" max="9781" width="12.625" style="2" customWidth="1"/>
    <col min="9782" max="9782" width="8.625" style="2" customWidth="1"/>
    <col min="9783" max="9783" width="5.625" style="2" customWidth="1"/>
    <col min="9784" max="9784" width="4.625" style="2" customWidth="1"/>
    <col min="9785" max="9785" width="5.625" style="2" customWidth="1"/>
    <col min="9786" max="9789" width="4.625" style="2" customWidth="1"/>
    <col min="9790" max="9790" width="7.625" style="2" customWidth="1"/>
    <col min="9791" max="9791" width="8.625" style="2" customWidth="1"/>
    <col min="9792" max="9793" width="5.625" style="2" customWidth="1"/>
    <col min="9794" max="9794" width="6.625" style="2" customWidth="1"/>
    <col min="9795" max="9795" width="9.875" style="2" customWidth="1"/>
    <col min="9796" max="9797" width="8.625" style="2" customWidth="1"/>
    <col min="9798" max="9798" width="5.5" style="2" bestFit="1" customWidth="1"/>
    <col min="9799" max="9840" width="6.75" style="2" customWidth="1"/>
    <col min="9841" max="9841" width="9" style="2" customWidth="1"/>
    <col min="9842" max="9842" width="9.875" style="2" customWidth="1"/>
    <col min="9843" max="9843" width="2.875" style="2" customWidth="1"/>
    <col min="9844" max="9844" width="12.25" style="2" customWidth="1"/>
    <col min="9845" max="9845" width="6.375" style="2" customWidth="1"/>
    <col min="9846" max="9847" width="3.125" style="2" customWidth="1"/>
    <col min="9848" max="9848" width="1.125" style="2" customWidth="1"/>
    <col min="9849" max="9849" width="9" style="2" customWidth="1"/>
    <col min="9850" max="9850" width="2.375" style="2" customWidth="1"/>
    <col min="9851" max="9868" width="7.625" style="2" customWidth="1"/>
    <col min="9869" max="10031" width="9" style="2" customWidth="1"/>
    <col min="10032" max="10033" width="3.125" style="2" customWidth="1"/>
    <col min="10034" max="10034" width="5.875" style="2" bestFit="1" customWidth="1"/>
    <col min="10035" max="10035" width="5.625" style="2" customWidth="1"/>
    <col min="10036" max="10036" width="10.625" style="2" customWidth="1"/>
    <col min="10037" max="10037" width="12.625" style="2" customWidth="1"/>
    <col min="10038" max="10038" width="8.625" style="2" customWidth="1"/>
    <col min="10039" max="10039" width="5.625" style="2" customWidth="1"/>
    <col min="10040" max="10040" width="4.625" style="2" customWidth="1"/>
    <col min="10041" max="10041" width="5.625" style="2" customWidth="1"/>
    <col min="10042" max="10045" width="4.625" style="2" customWidth="1"/>
    <col min="10046" max="10046" width="7.625" style="2" customWidth="1"/>
    <col min="10047" max="10047" width="8.625" style="2" customWidth="1"/>
    <col min="10048" max="10049" width="5.625" style="2" customWidth="1"/>
    <col min="10050" max="10050" width="6.625" style="2" customWidth="1"/>
    <col min="10051" max="10051" width="9.875" style="2" customWidth="1"/>
    <col min="10052" max="10053" width="8.625" style="2" customWidth="1"/>
    <col min="10054" max="10054" width="5.5" style="2" bestFit="1" customWidth="1"/>
    <col min="10055" max="10096" width="6.75" style="2" customWidth="1"/>
    <col min="10097" max="10097" width="9" style="2" customWidth="1"/>
    <col min="10098" max="10098" width="9.875" style="2" customWidth="1"/>
    <col min="10099" max="10099" width="2.875" style="2" customWidth="1"/>
    <col min="10100" max="10100" width="12.25" style="2" customWidth="1"/>
    <col min="10101" max="10101" width="6.375" style="2" customWidth="1"/>
    <col min="10102" max="10103" width="3.125" style="2" customWidth="1"/>
    <col min="10104" max="10104" width="1.125" style="2" customWidth="1"/>
    <col min="10105" max="10105" width="9" style="2" customWidth="1"/>
    <col min="10106" max="10106" width="2.375" style="2" customWidth="1"/>
    <col min="10107" max="10124" width="7.625" style="2" customWidth="1"/>
    <col min="10125" max="10287" width="9" style="2" customWidth="1"/>
    <col min="10288" max="10289" width="3.125" style="2" customWidth="1"/>
    <col min="10290" max="10290" width="5.875" style="2" bestFit="1" customWidth="1"/>
    <col min="10291" max="10291" width="5.625" style="2" customWidth="1"/>
    <col min="10292" max="10292" width="10.625" style="2" customWidth="1"/>
    <col min="10293" max="10293" width="12.625" style="2" customWidth="1"/>
    <col min="10294" max="10294" width="8.625" style="2" customWidth="1"/>
    <col min="10295" max="10295" width="5.625" style="2" customWidth="1"/>
    <col min="10296" max="10296" width="4.625" style="2" customWidth="1"/>
    <col min="10297" max="10297" width="5.625" style="2" customWidth="1"/>
    <col min="10298" max="10301" width="4.625" style="2" customWidth="1"/>
    <col min="10302" max="10302" width="7.625" style="2" customWidth="1"/>
    <col min="10303" max="10303" width="8.625" style="2" customWidth="1"/>
    <col min="10304" max="10305" width="5.625" style="2" customWidth="1"/>
    <col min="10306" max="10306" width="6.625" style="2" customWidth="1"/>
    <col min="10307" max="10307" width="9.875" style="2" customWidth="1"/>
    <col min="10308" max="10309" width="8.625" style="2" customWidth="1"/>
    <col min="10310" max="10310" width="5.5" style="2" bestFit="1" customWidth="1"/>
    <col min="10311" max="10352" width="6.75" style="2" customWidth="1"/>
    <col min="10353" max="10353" width="9" style="2" customWidth="1"/>
    <col min="10354" max="10354" width="9.875" style="2" customWidth="1"/>
    <col min="10355" max="10355" width="2.875" style="2" customWidth="1"/>
    <col min="10356" max="10356" width="12.25" style="2" customWidth="1"/>
    <col min="10357" max="10357" width="6.375" style="2" customWidth="1"/>
    <col min="10358" max="10359" width="3.125" style="2" customWidth="1"/>
    <col min="10360" max="10360" width="1.125" style="2" customWidth="1"/>
    <col min="10361" max="10361" width="9" style="2" customWidth="1"/>
    <col min="10362" max="10362" width="2.375" style="2" customWidth="1"/>
    <col min="10363" max="10380" width="7.625" style="2" customWidth="1"/>
    <col min="10381" max="10543" width="9" style="2" customWidth="1"/>
    <col min="10544" max="10545" width="3.125" style="2" customWidth="1"/>
    <col min="10546" max="10546" width="5.875" style="2" bestFit="1" customWidth="1"/>
    <col min="10547" max="10547" width="5.625" style="2" customWidth="1"/>
    <col min="10548" max="10548" width="10.625" style="2" customWidth="1"/>
    <col min="10549" max="10549" width="12.625" style="2" customWidth="1"/>
    <col min="10550" max="10550" width="8.625" style="2" customWidth="1"/>
    <col min="10551" max="10551" width="5.625" style="2" customWidth="1"/>
    <col min="10552" max="10552" width="4.625" style="2" customWidth="1"/>
    <col min="10553" max="10553" width="5.625" style="2" customWidth="1"/>
    <col min="10554" max="10557" width="4.625" style="2" customWidth="1"/>
    <col min="10558" max="10558" width="7.625" style="2" customWidth="1"/>
    <col min="10559" max="10559" width="8.625" style="2" customWidth="1"/>
    <col min="10560" max="10561" width="5.625" style="2" customWidth="1"/>
    <col min="10562" max="10562" width="6.625" style="2" customWidth="1"/>
    <col min="10563" max="10563" width="9.875" style="2" customWidth="1"/>
    <col min="10564" max="10565" width="8.625" style="2" customWidth="1"/>
    <col min="10566" max="10566" width="5.5" style="2" bestFit="1" customWidth="1"/>
    <col min="10567" max="10608" width="6.75" style="2" customWidth="1"/>
    <col min="10609" max="10609" width="9" style="2" customWidth="1"/>
    <col min="10610" max="10610" width="9.875" style="2" customWidth="1"/>
    <col min="10611" max="10611" width="2.875" style="2" customWidth="1"/>
    <col min="10612" max="10612" width="12.25" style="2" customWidth="1"/>
    <col min="10613" max="10613" width="6.375" style="2" customWidth="1"/>
    <col min="10614" max="10615" width="3.125" style="2" customWidth="1"/>
    <col min="10616" max="10616" width="1.125" style="2" customWidth="1"/>
    <col min="10617" max="10617" width="9" style="2" customWidth="1"/>
    <col min="10618" max="10618" width="2.375" style="2" customWidth="1"/>
    <col min="10619" max="10636" width="7.625" style="2" customWidth="1"/>
    <col min="10637" max="10799" width="9" style="2" customWidth="1"/>
    <col min="10800" max="10801" width="3.125" style="2" customWidth="1"/>
    <col min="10802" max="10802" width="5.875" style="2" bestFit="1" customWidth="1"/>
    <col min="10803" max="10803" width="5.625" style="2" customWidth="1"/>
    <col min="10804" max="10804" width="10.625" style="2" customWidth="1"/>
    <col min="10805" max="10805" width="12.625" style="2" customWidth="1"/>
    <col min="10806" max="10806" width="8.625" style="2" customWidth="1"/>
    <col min="10807" max="10807" width="5.625" style="2" customWidth="1"/>
    <col min="10808" max="10808" width="4.625" style="2" customWidth="1"/>
    <col min="10809" max="10809" width="5.625" style="2" customWidth="1"/>
    <col min="10810" max="10813" width="4.625" style="2" customWidth="1"/>
    <col min="10814" max="10814" width="7.625" style="2" customWidth="1"/>
    <col min="10815" max="10815" width="8.625" style="2" customWidth="1"/>
    <col min="10816" max="10817" width="5.625" style="2" customWidth="1"/>
    <col min="10818" max="10818" width="6.625" style="2" customWidth="1"/>
    <col min="10819" max="10819" width="9.875" style="2" customWidth="1"/>
    <col min="10820" max="10821" width="8.625" style="2" customWidth="1"/>
    <col min="10822" max="10822" width="5.5" style="2" bestFit="1" customWidth="1"/>
    <col min="10823" max="10864" width="6.75" style="2" customWidth="1"/>
    <col min="10865" max="10865" width="9" style="2" customWidth="1"/>
    <col min="10866" max="10866" width="9.875" style="2" customWidth="1"/>
    <col min="10867" max="10867" width="2.875" style="2" customWidth="1"/>
    <col min="10868" max="10868" width="12.25" style="2" customWidth="1"/>
    <col min="10869" max="10869" width="6.375" style="2" customWidth="1"/>
    <col min="10870" max="10871" width="3.125" style="2" customWidth="1"/>
    <col min="10872" max="10872" width="1.125" style="2" customWidth="1"/>
    <col min="10873" max="10873" width="9" style="2" customWidth="1"/>
    <col min="10874" max="10874" width="2.375" style="2" customWidth="1"/>
    <col min="10875" max="10892" width="7.625" style="2" customWidth="1"/>
    <col min="10893" max="11055" width="9" style="2" customWidth="1"/>
    <col min="11056" max="11057" width="3.125" style="2" customWidth="1"/>
    <col min="11058" max="11058" width="5.875" style="2" bestFit="1" customWidth="1"/>
    <col min="11059" max="11059" width="5.625" style="2" customWidth="1"/>
    <col min="11060" max="11060" width="10.625" style="2" customWidth="1"/>
    <col min="11061" max="11061" width="12.625" style="2" customWidth="1"/>
    <col min="11062" max="11062" width="8.625" style="2" customWidth="1"/>
    <col min="11063" max="11063" width="5.625" style="2" customWidth="1"/>
    <col min="11064" max="11064" width="4.625" style="2" customWidth="1"/>
    <col min="11065" max="11065" width="5.625" style="2" customWidth="1"/>
    <col min="11066" max="11069" width="4.625" style="2" customWidth="1"/>
    <col min="11070" max="11070" width="7.625" style="2" customWidth="1"/>
    <col min="11071" max="11071" width="8.625" style="2" customWidth="1"/>
    <col min="11072" max="11073" width="5.625" style="2" customWidth="1"/>
    <col min="11074" max="11074" width="6.625" style="2" customWidth="1"/>
    <col min="11075" max="11075" width="9.875" style="2" customWidth="1"/>
    <col min="11076" max="11077" width="8.625" style="2" customWidth="1"/>
    <col min="11078" max="11078" width="5.5" style="2" bestFit="1" customWidth="1"/>
    <col min="11079" max="11120" width="6.75" style="2" customWidth="1"/>
    <col min="11121" max="11121" width="9" style="2" customWidth="1"/>
    <col min="11122" max="11122" width="9.875" style="2" customWidth="1"/>
    <col min="11123" max="11123" width="2.875" style="2" customWidth="1"/>
    <col min="11124" max="11124" width="12.25" style="2" customWidth="1"/>
    <col min="11125" max="11125" width="6.375" style="2" customWidth="1"/>
    <col min="11126" max="11127" width="3.125" style="2" customWidth="1"/>
    <col min="11128" max="11128" width="1.125" style="2" customWidth="1"/>
    <col min="11129" max="11129" width="9" style="2" customWidth="1"/>
    <col min="11130" max="11130" width="2.375" style="2" customWidth="1"/>
    <col min="11131" max="11148" width="7.625" style="2" customWidth="1"/>
    <col min="11149" max="11311" width="9" style="2" customWidth="1"/>
    <col min="11312" max="11313" width="3.125" style="2" customWidth="1"/>
    <col min="11314" max="11314" width="5.875" style="2" bestFit="1" customWidth="1"/>
    <col min="11315" max="11315" width="5.625" style="2" customWidth="1"/>
    <col min="11316" max="11316" width="10.625" style="2" customWidth="1"/>
    <col min="11317" max="11317" width="12.625" style="2" customWidth="1"/>
    <col min="11318" max="11318" width="8.625" style="2" customWidth="1"/>
    <col min="11319" max="11319" width="5.625" style="2" customWidth="1"/>
    <col min="11320" max="11320" width="4.625" style="2" customWidth="1"/>
    <col min="11321" max="11321" width="5.625" style="2" customWidth="1"/>
    <col min="11322" max="11325" width="4.625" style="2" customWidth="1"/>
    <col min="11326" max="11326" width="7.625" style="2" customWidth="1"/>
    <col min="11327" max="11327" width="8.625" style="2" customWidth="1"/>
    <col min="11328" max="11329" width="5.625" style="2" customWidth="1"/>
    <col min="11330" max="11330" width="6.625" style="2" customWidth="1"/>
    <col min="11331" max="11331" width="9.875" style="2" customWidth="1"/>
    <col min="11332" max="11333" width="8.625" style="2" customWidth="1"/>
    <col min="11334" max="11334" width="5.5" style="2" bestFit="1" customWidth="1"/>
    <col min="11335" max="11376" width="6.75" style="2" customWidth="1"/>
    <col min="11377" max="11377" width="9" style="2" customWidth="1"/>
    <col min="11378" max="11378" width="9.875" style="2" customWidth="1"/>
    <col min="11379" max="11379" width="2.875" style="2" customWidth="1"/>
    <col min="11380" max="11380" width="12.25" style="2" customWidth="1"/>
    <col min="11381" max="11381" width="6.375" style="2" customWidth="1"/>
    <col min="11382" max="11383" width="3.125" style="2" customWidth="1"/>
    <col min="11384" max="11384" width="1.125" style="2" customWidth="1"/>
    <col min="11385" max="11385" width="9" style="2" customWidth="1"/>
    <col min="11386" max="11386" width="2.375" style="2" customWidth="1"/>
    <col min="11387" max="11404" width="7.625" style="2" customWidth="1"/>
    <col min="11405" max="11567" width="9" style="2" customWidth="1"/>
    <col min="11568" max="11569" width="3.125" style="2" customWidth="1"/>
    <col min="11570" max="11570" width="5.875" style="2" bestFit="1" customWidth="1"/>
    <col min="11571" max="11571" width="5.625" style="2" customWidth="1"/>
    <col min="11572" max="11572" width="10.625" style="2" customWidth="1"/>
    <col min="11573" max="11573" width="12.625" style="2" customWidth="1"/>
    <col min="11574" max="11574" width="8.625" style="2" customWidth="1"/>
    <col min="11575" max="11575" width="5.625" style="2" customWidth="1"/>
    <col min="11576" max="11576" width="4.625" style="2" customWidth="1"/>
    <col min="11577" max="11577" width="5.625" style="2" customWidth="1"/>
    <col min="11578" max="11581" width="4.625" style="2" customWidth="1"/>
    <col min="11582" max="11582" width="7.625" style="2" customWidth="1"/>
    <col min="11583" max="11583" width="8.625" style="2" customWidth="1"/>
    <col min="11584" max="11585" width="5.625" style="2" customWidth="1"/>
    <col min="11586" max="11586" width="6.625" style="2" customWidth="1"/>
    <col min="11587" max="11587" width="9.875" style="2" customWidth="1"/>
    <col min="11588" max="11589" width="8.625" style="2" customWidth="1"/>
    <col min="11590" max="11590" width="5.5" style="2" bestFit="1" customWidth="1"/>
    <col min="11591" max="11632" width="6.75" style="2" customWidth="1"/>
    <col min="11633" max="11633" width="9" style="2" customWidth="1"/>
    <col min="11634" max="11634" width="9.875" style="2" customWidth="1"/>
    <col min="11635" max="11635" width="2.875" style="2" customWidth="1"/>
    <col min="11636" max="11636" width="12.25" style="2" customWidth="1"/>
    <col min="11637" max="11637" width="6.375" style="2" customWidth="1"/>
    <col min="11638" max="11639" width="3.125" style="2" customWidth="1"/>
    <col min="11640" max="11640" width="1.125" style="2" customWidth="1"/>
    <col min="11641" max="11641" width="9" style="2" customWidth="1"/>
    <col min="11642" max="11642" width="2.375" style="2" customWidth="1"/>
    <col min="11643" max="11660" width="7.625" style="2" customWidth="1"/>
    <col min="11661" max="11823" width="9" style="2" customWidth="1"/>
    <col min="11824" max="11825" width="3.125" style="2" customWidth="1"/>
    <col min="11826" max="11826" width="5.875" style="2" bestFit="1" customWidth="1"/>
    <col min="11827" max="11827" width="5.625" style="2" customWidth="1"/>
    <col min="11828" max="11828" width="10.625" style="2" customWidth="1"/>
    <col min="11829" max="11829" width="12.625" style="2" customWidth="1"/>
    <col min="11830" max="11830" width="8.625" style="2" customWidth="1"/>
    <col min="11831" max="11831" width="5.625" style="2" customWidth="1"/>
    <col min="11832" max="11832" width="4.625" style="2" customWidth="1"/>
    <col min="11833" max="11833" width="5.625" style="2" customWidth="1"/>
    <col min="11834" max="11837" width="4.625" style="2" customWidth="1"/>
    <col min="11838" max="11838" width="7.625" style="2" customWidth="1"/>
    <col min="11839" max="11839" width="8.625" style="2" customWidth="1"/>
    <col min="11840" max="11841" width="5.625" style="2" customWidth="1"/>
    <col min="11842" max="11842" width="6.625" style="2" customWidth="1"/>
    <col min="11843" max="11843" width="9.875" style="2" customWidth="1"/>
    <col min="11844" max="11845" width="8.625" style="2" customWidth="1"/>
    <col min="11846" max="11846" width="5.5" style="2" bestFit="1" customWidth="1"/>
    <col min="11847" max="11888" width="6.75" style="2" customWidth="1"/>
    <col min="11889" max="11889" width="9" style="2" customWidth="1"/>
    <col min="11890" max="11890" width="9.875" style="2" customWidth="1"/>
    <col min="11891" max="11891" width="2.875" style="2" customWidth="1"/>
    <col min="11892" max="11892" width="12.25" style="2" customWidth="1"/>
    <col min="11893" max="11893" width="6.375" style="2" customWidth="1"/>
    <col min="11894" max="11895" width="3.125" style="2" customWidth="1"/>
    <col min="11896" max="11896" width="1.125" style="2" customWidth="1"/>
    <col min="11897" max="11897" width="9" style="2" customWidth="1"/>
    <col min="11898" max="11898" width="2.375" style="2" customWidth="1"/>
    <col min="11899" max="11916" width="7.625" style="2" customWidth="1"/>
    <col min="11917" max="12079" width="9" style="2" customWidth="1"/>
    <col min="12080" max="12081" width="3.125" style="2" customWidth="1"/>
    <col min="12082" max="12082" width="5.875" style="2" bestFit="1" customWidth="1"/>
    <col min="12083" max="12083" width="5.625" style="2" customWidth="1"/>
    <col min="12084" max="12084" width="10.625" style="2" customWidth="1"/>
    <col min="12085" max="12085" width="12.625" style="2" customWidth="1"/>
    <col min="12086" max="12086" width="8.625" style="2" customWidth="1"/>
    <col min="12087" max="12087" width="5.625" style="2" customWidth="1"/>
    <col min="12088" max="12088" width="4.625" style="2" customWidth="1"/>
    <col min="12089" max="12089" width="5.625" style="2" customWidth="1"/>
    <col min="12090" max="12093" width="4.625" style="2" customWidth="1"/>
    <col min="12094" max="12094" width="7.625" style="2" customWidth="1"/>
    <col min="12095" max="12095" width="8.625" style="2" customWidth="1"/>
    <col min="12096" max="12097" width="5.625" style="2" customWidth="1"/>
    <col min="12098" max="12098" width="6.625" style="2" customWidth="1"/>
    <col min="12099" max="12099" width="9.875" style="2" customWidth="1"/>
    <col min="12100" max="12101" width="8.625" style="2" customWidth="1"/>
    <col min="12102" max="12102" width="5.5" style="2" bestFit="1" customWidth="1"/>
    <col min="12103" max="12144" width="6.75" style="2" customWidth="1"/>
    <col min="12145" max="12145" width="9" style="2" customWidth="1"/>
    <col min="12146" max="12146" width="9.875" style="2" customWidth="1"/>
    <col min="12147" max="12147" width="2.875" style="2" customWidth="1"/>
    <col min="12148" max="12148" width="12.25" style="2" customWidth="1"/>
    <col min="12149" max="12149" width="6.375" style="2" customWidth="1"/>
    <col min="12150" max="12151" width="3.125" style="2" customWidth="1"/>
    <col min="12152" max="12152" width="1.125" style="2" customWidth="1"/>
    <col min="12153" max="12153" width="9" style="2" customWidth="1"/>
    <col min="12154" max="12154" width="2.375" style="2" customWidth="1"/>
    <col min="12155" max="12172" width="7.625" style="2" customWidth="1"/>
    <col min="12173" max="12335" width="9" style="2" customWidth="1"/>
    <col min="12336" max="12337" width="3.125" style="2" customWidth="1"/>
    <col min="12338" max="12338" width="5.875" style="2" bestFit="1" customWidth="1"/>
    <col min="12339" max="12339" width="5.625" style="2" customWidth="1"/>
    <col min="12340" max="12340" width="10.625" style="2" customWidth="1"/>
    <col min="12341" max="12341" width="12.625" style="2" customWidth="1"/>
    <col min="12342" max="12342" width="8.625" style="2" customWidth="1"/>
    <col min="12343" max="12343" width="5.625" style="2" customWidth="1"/>
    <col min="12344" max="12344" width="4.625" style="2" customWidth="1"/>
    <col min="12345" max="12345" width="5.625" style="2" customWidth="1"/>
    <col min="12346" max="12349" width="4.625" style="2" customWidth="1"/>
    <col min="12350" max="12350" width="7.625" style="2" customWidth="1"/>
    <col min="12351" max="12351" width="8.625" style="2" customWidth="1"/>
    <col min="12352" max="12353" width="5.625" style="2" customWidth="1"/>
    <col min="12354" max="12354" width="6.625" style="2" customWidth="1"/>
    <col min="12355" max="12355" width="9.875" style="2" customWidth="1"/>
    <col min="12356" max="12357" width="8.625" style="2" customWidth="1"/>
    <col min="12358" max="12358" width="5.5" style="2" bestFit="1" customWidth="1"/>
    <col min="12359" max="12400" width="6.75" style="2" customWidth="1"/>
    <col min="12401" max="12401" width="9" style="2" customWidth="1"/>
    <col min="12402" max="12402" width="9.875" style="2" customWidth="1"/>
    <col min="12403" max="12403" width="2.875" style="2" customWidth="1"/>
    <col min="12404" max="12404" width="12.25" style="2" customWidth="1"/>
    <col min="12405" max="12405" width="6.375" style="2" customWidth="1"/>
    <col min="12406" max="12407" width="3.125" style="2" customWidth="1"/>
    <col min="12408" max="12408" width="1.125" style="2" customWidth="1"/>
    <col min="12409" max="12409" width="9" style="2" customWidth="1"/>
    <col min="12410" max="12410" width="2.375" style="2" customWidth="1"/>
    <col min="12411" max="12428" width="7.625" style="2" customWidth="1"/>
    <col min="12429" max="12591" width="9" style="2" customWidth="1"/>
    <col min="12592" max="12593" width="3.125" style="2" customWidth="1"/>
    <col min="12594" max="12594" width="5.875" style="2" bestFit="1" customWidth="1"/>
    <col min="12595" max="12595" width="5.625" style="2" customWidth="1"/>
    <col min="12596" max="12596" width="10.625" style="2" customWidth="1"/>
    <col min="12597" max="12597" width="12.625" style="2" customWidth="1"/>
    <col min="12598" max="12598" width="8.625" style="2" customWidth="1"/>
    <col min="12599" max="12599" width="5.625" style="2" customWidth="1"/>
    <col min="12600" max="12600" width="4.625" style="2" customWidth="1"/>
    <col min="12601" max="12601" width="5.625" style="2" customWidth="1"/>
    <col min="12602" max="12605" width="4.625" style="2" customWidth="1"/>
    <col min="12606" max="12606" width="7.625" style="2" customWidth="1"/>
    <col min="12607" max="12607" width="8.625" style="2" customWidth="1"/>
    <col min="12608" max="12609" width="5.625" style="2" customWidth="1"/>
    <col min="12610" max="12610" width="6.625" style="2" customWidth="1"/>
    <col min="12611" max="12611" width="9.875" style="2" customWidth="1"/>
    <col min="12612" max="12613" width="8.625" style="2" customWidth="1"/>
    <col min="12614" max="12614" width="5.5" style="2" bestFit="1" customWidth="1"/>
    <col min="12615" max="12656" width="6.75" style="2" customWidth="1"/>
    <col min="12657" max="12657" width="9" style="2" customWidth="1"/>
    <col min="12658" max="12658" width="9.875" style="2" customWidth="1"/>
    <col min="12659" max="12659" width="2.875" style="2" customWidth="1"/>
    <col min="12660" max="12660" width="12.25" style="2" customWidth="1"/>
    <col min="12661" max="12661" width="6.375" style="2" customWidth="1"/>
    <col min="12662" max="12663" width="3.125" style="2" customWidth="1"/>
    <col min="12664" max="12664" width="1.125" style="2" customWidth="1"/>
    <col min="12665" max="12665" width="9" style="2" customWidth="1"/>
    <col min="12666" max="12666" width="2.375" style="2" customWidth="1"/>
    <col min="12667" max="12684" width="7.625" style="2" customWidth="1"/>
    <col min="12685" max="12847" width="9" style="2" customWidth="1"/>
    <col min="12848" max="12849" width="3.125" style="2" customWidth="1"/>
    <col min="12850" max="12850" width="5.875" style="2" bestFit="1" customWidth="1"/>
    <col min="12851" max="12851" width="5.625" style="2" customWidth="1"/>
    <col min="12852" max="12852" width="10.625" style="2" customWidth="1"/>
    <col min="12853" max="12853" width="12.625" style="2" customWidth="1"/>
    <col min="12854" max="12854" width="8.625" style="2" customWidth="1"/>
    <col min="12855" max="12855" width="5.625" style="2" customWidth="1"/>
    <col min="12856" max="12856" width="4.625" style="2" customWidth="1"/>
    <col min="12857" max="12857" width="5.625" style="2" customWidth="1"/>
    <col min="12858" max="12861" width="4.625" style="2" customWidth="1"/>
    <col min="12862" max="12862" width="7.625" style="2" customWidth="1"/>
    <col min="12863" max="12863" width="8.625" style="2" customWidth="1"/>
    <col min="12864" max="12865" width="5.625" style="2" customWidth="1"/>
    <col min="12866" max="12866" width="6.625" style="2" customWidth="1"/>
    <col min="12867" max="12867" width="9.875" style="2" customWidth="1"/>
    <col min="12868" max="12869" width="8.625" style="2" customWidth="1"/>
    <col min="12870" max="12870" width="5.5" style="2" bestFit="1" customWidth="1"/>
    <col min="12871" max="12912" width="6.75" style="2" customWidth="1"/>
    <col min="12913" max="12913" width="9" style="2" customWidth="1"/>
    <col min="12914" max="12914" width="9.875" style="2" customWidth="1"/>
    <col min="12915" max="12915" width="2.875" style="2" customWidth="1"/>
    <col min="12916" max="12916" width="12.25" style="2" customWidth="1"/>
    <col min="12917" max="12917" width="6.375" style="2" customWidth="1"/>
    <col min="12918" max="12919" width="3.125" style="2" customWidth="1"/>
    <col min="12920" max="12920" width="1.125" style="2" customWidth="1"/>
    <col min="12921" max="12921" width="9" style="2" customWidth="1"/>
    <col min="12922" max="12922" width="2.375" style="2" customWidth="1"/>
    <col min="12923" max="12940" width="7.625" style="2" customWidth="1"/>
    <col min="12941" max="13103" width="9" style="2" customWidth="1"/>
    <col min="13104" max="13105" width="3.125" style="2" customWidth="1"/>
    <col min="13106" max="13106" width="5.875" style="2" bestFit="1" customWidth="1"/>
    <col min="13107" max="13107" width="5.625" style="2" customWidth="1"/>
    <col min="13108" max="13108" width="10.625" style="2" customWidth="1"/>
    <col min="13109" max="13109" width="12.625" style="2" customWidth="1"/>
    <col min="13110" max="13110" width="8.625" style="2" customWidth="1"/>
    <col min="13111" max="13111" width="5.625" style="2" customWidth="1"/>
    <col min="13112" max="13112" width="4.625" style="2" customWidth="1"/>
    <col min="13113" max="13113" width="5.625" style="2" customWidth="1"/>
    <col min="13114" max="13117" width="4.625" style="2" customWidth="1"/>
    <col min="13118" max="13118" width="7.625" style="2" customWidth="1"/>
    <col min="13119" max="13119" width="8.625" style="2" customWidth="1"/>
    <col min="13120" max="13121" width="5.625" style="2" customWidth="1"/>
    <col min="13122" max="13122" width="6.625" style="2" customWidth="1"/>
    <col min="13123" max="13123" width="9.875" style="2" customWidth="1"/>
    <col min="13124" max="13125" width="8.625" style="2" customWidth="1"/>
    <col min="13126" max="13126" width="5.5" style="2" bestFit="1" customWidth="1"/>
    <col min="13127" max="13168" width="6.75" style="2" customWidth="1"/>
    <col min="13169" max="13169" width="9" style="2" customWidth="1"/>
    <col min="13170" max="13170" width="9.875" style="2" customWidth="1"/>
    <col min="13171" max="13171" width="2.875" style="2" customWidth="1"/>
    <col min="13172" max="13172" width="12.25" style="2" customWidth="1"/>
    <col min="13173" max="13173" width="6.375" style="2" customWidth="1"/>
    <col min="13174" max="13175" width="3.125" style="2" customWidth="1"/>
    <col min="13176" max="13176" width="1.125" style="2" customWidth="1"/>
    <col min="13177" max="13177" width="9" style="2" customWidth="1"/>
    <col min="13178" max="13178" width="2.375" style="2" customWidth="1"/>
    <col min="13179" max="13196" width="7.625" style="2" customWidth="1"/>
    <col min="13197" max="13359" width="9" style="2" customWidth="1"/>
    <col min="13360" max="13361" width="3.125" style="2" customWidth="1"/>
    <col min="13362" max="13362" width="5.875" style="2" bestFit="1" customWidth="1"/>
    <col min="13363" max="13363" width="5.625" style="2" customWidth="1"/>
    <col min="13364" max="13364" width="10.625" style="2" customWidth="1"/>
    <col min="13365" max="13365" width="12.625" style="2" customWidth="1"/>
    <col min="13366" max="13366" width="8.625" style="2" customWidth="1"/>
    <col min="13367" max="13367" width="5.625" style="2" customWidth="1"/>
    <col min="13368" max="13368" width="4.625" style="2" customWidth="1"/>
    <col min="13369" max="13369" width="5.625" style="2" customWidth="1"/>
    <col min="13370" max="13373" width="4.625" style="2" customWidth="1"/>
    <col min="13374" max="13374" width="7.625" style="2" customWidth="1"/>
    <col min="13375" max="13375" width="8.625" style="2" customWidth="1"/>
    <col min="13376" max="13377" width="5.625" style="2" customWidth="1"/>
    <col min="13378" max="13378" width="6.625" style="2" customWidth="1"/>
    <col min="13379" max="13379" width="9.875" style="2" customWidth="1"/>
    <col min="13380" max="13381" width="8.625" style="2" customWidth="1"/>
    <col min="13382" max="13382" width="5.5" style="2" bestFit="1" customWidth="1"/>
    <col min="13383" max="13424" width="6.75" style="2" customWidth="1"/>
    <col min="13425" max="13425" width="9" style="2" customWidth="1"/>
    <col min="13426" max="13426" width="9.875" style="2" customWidth="1"/>
    <col min="13427" max="13427" width="2.875" style="2" customWidth="1"/>
    <col min="13428" max="13428" width="12.25" style="2" customWidth="1"/>
    <col min="13429" max="13429" width="6.375" style="2" customWidth="1"/>
    <col min="13430" max="13431" width="3.125" style="2" customWidth="1"/>
    <col min="13432" max="13432" width="1.125" style="2" customWidth="1"/>
    <col min="13433" max="13433" width="9" style="2" customWidth="1"/>
    <col min="13434" max="13434" width="2.375" style="2" customWidth="1"/>
    <col min="13435" max="13452" width="7.625" style="2" customWidth="1"/>
    <col min="13453" max="13615" width="9" style="2" customWidth="1"/>
    <col min="13616" max="13617" width="3.125" style="2" customWidth="1"/>
    <col min="13618" max="13618" width="5.875" style="2" bestFit="1" customWidth="1"/>
    <col min="13619" max="13619" width="5.625" style="2" customWidth="1"/>
    <col min="13620" max="13620" width="10.625" style="2" customWidth="1"/>
    <col min="13621" max="13621" width="12.625" style="2" customWidth="1"/>
    <col min="13622" max="13622" width="8.625" style="2" customWidth="1"/>
    <col min="13623" max="13623" width="5.625" style="2" customWidth="1"/>
    <col min="13624" max="13624" width="4.625" style="2" customWidth="1"/>
    <col min="13625" max="13625" width="5.625" style="2" customWidth="1"/>
    <col min="13626" max="13629" width="4.625" style="2" customWidth="1"/>
    <col min="13630" max="13630" width="7.625" style="2" customWidth="1"/>
    <col min="13631" max="13631" width="8.625" style="2" customWidth="1"/>
    <col min="13632" max="13633" width="5.625" style="2" customWidth="1"/>
    <col min="13634" max="13634" width="6.625" style="2" customWidth="1"/>
    <col min="13635" max="13635" width="9.875" style="2" customWidth="1"/>
    <col min="13636" max="13637" width="8.625" style="2" customWidth="1"/>
    <col min="13638" max="13638" width="5.5" style="2" bestFit="1" customWidth="1"/>
    <col min="13639" max="13680" width="6.75" style="2" customWidth="1"/>
    <col min="13681" max="13681" width="9" style="2" customWidth="1"/>
    <col min="13682" max="13682" width="9.875" style="2" customWidth="1"/>
    <col min="13683" max="13683" width="2.875" style="2" customWidth="1"/>
    <col min="13684" max="13684" width="12.25" style="2" customWidth="1"/>
    <col min="13685" max="13685" width="6.375" style="2" customWidth="1"/>
    <col min="13686" max="13687" width="3.125" style="2" customWidth="1"/>
    <col min="13688" max="13688" width="1.125" style="2" customWidth="1"/>
    <col min="13689" max="13689" width="9" style="2" customWidth="1"/>
    <col min="13690" max="13690" width="2.375" style="2" customWidth="1"/>
    <col min="13691" max="13708" width="7.625" style="2" customWidth="1"/>
    <col min="13709" max="13871" width="9" style="2" customWidth="1"/>
    <col min="13872" max="13873" width="3.125" style="2" customWidth="1"/>
    <col min="13874" max="13874" width="5.875" style="2" bestFit="1" customWidth="1"/>
    <col min="13875" max="13875" width="5.625" style="2" customWidth="1"/>
    <col min="13876" max="13876" width="10.625" style="2" customWidth="1"/>
    <col min="13877" max="13877" width="12.625" style="2" customWidth="1"/>
    <col min="13878" max="13878" width="8.625" style="2" customWidth="1"/>
    <col min="13879" max="13879" width="5.625" style="2" customWidth="1"/>
    <col min="13880" max="13880" width="4.625" style="2" customWidth="1"/>
    <col min="13881" max="13881" width="5.625" style="2" customWidth="1"/>
    <col min="13882" max="13885" width="4.625" style="2" customWidth="1"/>
    <col min="13886" max="13886" width="7.625" style="2" customWidth="1"/>
    <col min="13887" max="13887" width="8.625" style="2" customWidth="1"/>
    <col min="13888" max="13889" width="5.625" style="2" customWidth="1"/>
    <col min="13890" max="13890" width="6.625" style="2" customWidth="1"/>
    <col min="13891" max="13891" width="9.875" style="2" customWidth="1"/>
    <col min="13892" max="13893" width="8.625" style="2" customWidth="1"/>
    <col min="13894" max="13894" width="5.5" style="2" bestFit="1" customWidth="1"/>
    <col min="13895" max="13936" width="6.75" style="2" customWidth="1"/>
    <col min="13937" max="13937" width="9" style="2" customWidth="1"/>
    <col min="13938" max="13938" width="9.875" style="2" customWidth="1"/>
    <col min="13939" max="13939" width="2.875" style="2" customWidth="1"/>
    <col min="13940" max="13940" width="12.25" style="2" customWidth="1"/>
    <col min="13941" max="13941" width="6.375" style="2" customWidth="1"/>
    <col min="13942" max="13943" width="3.125" style="2" customWidth="1"/>
    <col min="13944" max="13944" width="1.125" style="2" customWidth="1"/>
    <col min="13945" max="13945" width="9" style="2" customWidth="1"/>
    <col min="13946" max="13946" width="2.375" style="2" customWidth="1"/>
    <col min="13947" max="13964" width="7.625" style="2" customWidth="1"/>
    <col min="13965" max="14127" width="9" style="2" customWidth="1"/>
    <col min="14128" max="14129" width="3.125" style="2" customWidth="1"/>
    <col min="14130" max="14130" width="5.875" style="2" bestFit="1" customWidth="1"/>
    <col min="14131" max="14131" width="5.625" style="2" customWidth="1"/>
    <col min="14132" max="14132" width="10.625" style="2" customWidth="1"/>
    <col min="14133" max="14133" width="12.625" style="2" customWidth="1"/>
    <col min="14134" max="14134" width="8.625" style="2" customWidth="1"/>
    <col min="14135" max="14135" width="5.625" style="2" customWidth="1"/>
    <col min="14136" max="14136" width="4.625" style="2" customWidth="1"/>
    <col min="14137" max="14137" width="5.625" style="2" customWidth="1"/>
    <col min="14138" max="14141" width="4.625" style="2" customWidth="1"/>
    <col min="14142" max="14142" width="7.625" style="2" customWidth="1"/>
    <col min="14143" max="14143" width="8.625" style="2" customWidth="1"/>
    <col min="14144" max="14145" width="5.625" style="2" customWidth="1"/>
    <col min="14146" max="14146" width="6.625" style="2" customWidth="1"/>
    <col min="14147" max="14147" width="9.875" style="2" customWidth="1"/>
    <col min="14148" max="14149" width="8.625" style="2" customWidth="1"/>
    <col min="14150" max="14150" width="5.5" style="2" bestFit="1" customWidth="1"/>
    <col min="14151" max="14192" width="6.75" style="2" customWidth="1"/>
    <col min="14193" max="14193" width="9" style="2" customWidth="1"/>
    <col min="14194" max="14194" width="9.875" style="2" customWidth="1"/>
    <col min="14195" max="14195" width="2.875" style="2" customWidth="1"/>
    <col min="14196" max="14196" width="12.25" style="2" customWidth="1"/>
    <col min="14197" max="14197" width="6.375" style="2" customWidth="1"/>
    <col min="14198" max="14199" width="3.125" style="2" customWidth="1"/>
    <col min="14200" max="14200" width="1.125" style="2" customWidth="1"/>
    <col min="14201" max="14201" width="9" style="2" customWidth="1"/>
    <col min="14202" max="14202" width="2.375" style="2" customWidth="1"/>
    <col min="14203" max="14220" width="7.625" style="2" customWidth="1"/>
    <col min="14221" max="14383" width="9" style="2" customWidth="1"/>
    <col min="14384" max="14385" width="3.125" style="2" customWidth="1"/>
    <col min="14386" max="14386" width="5.875" style="2" bestFit="1" customWidth="1"/>
    <col min="14387" max="14387" width="5.625" style="2" customWidth="1"/>
    <col min="14388" max="14388" width="10.625" style="2" customWidth="1"/>
    <col min="14389" max="14389" width="12.625" style="2" customWidth="1"/>
    <col min="14390" max="14390" width="8.625" style="2" customWidth="1"/>
    <col min="14391" max="14391" width="5.625" style="2" customWidth="1"/>
    <col min="14392" max="14392" width="4.625" style="2" customWidth="1"/>
    <col min="14393" max="14393" width="5.625" style="2" customWidth="1"/>
    <col min="14394" max="14397" width="4.625" style="2" customWidth="1"/>
    <col min="14398" max="14398" width="7.625" style="2" customWidth="1"/>
    <col min="14399" max="14399" width="8.625" style="2" customWidth="1"/>
    <col min="14400" max="14401" width="5.625" style="2" customWidth="1"/>
    <col min="14402" max="14402" width="6.625" style="2" customWidth="1"/>
    <col min="14403" max="14403" width="9.875" style="2" customWidth="1"/>
    <col min="14404" max="14405" width="8.625" style="2" customWidth="1"/>
    <col min="14406" max="14406" width="5.5" style="2" bestFit="1" customWidth="1"/>
    <col min="14407" max="14448" width="6.75" style="2" customWidth="1"/>
    <col min="14449" max="14449" width="9" style="2" customWidth="1"/>
    <col min="14450" max="14450" width="9.875" style="2" customWidth="1"/>
    <col min="14451" max="14451" width="2.875" style="2" customWidth="1"/>
    <col min="14452" max="14452" width="12.25" style="2" customWidth="1"/>
    <col min="14453" max="14453" width="6.375" style="2" customWidth="1"/>
    <col min="14454" max="14455" width="3.125" style="2" customWidth="1"/>
    <col min="14456" max="14456" width="1.125" style="2" customWidth="1"/>
    <col min="14457" max="14457" width="9" style="2" customWidth="1"/>
    <col min="14458" max="14458" width="2.375" style="2" customWidth="1"/>
    <col min="14459" max="14476" width="7.625" style="2" customWidth="1"/>
    <col min="14477" max="14639" width="9" style="2" customWidth="1"/>
    <col min="14640" max="14641" width="3.125" style="2" customWidth="1"/>
    <col min="14642" max="14642" width="5.875" style="2" bestFit="1" customWidth="1"/>
    <col min="14643" max="14643" width="5.625" style="2" customWidth="1"/>
    <col min="14644" max="14644" width="10.625" style="2" customWidth="1"/>
    <col min="14645" max="14645" width="12.625" style="2" customWidth="1"/>
    <col min="14646" max="14646" width="8.625" style="2" customWidth="1"/>
    <col min="14647" max="14647" width="5.625" style="2" customWidth="1"/>
    <col min="14648" max="14648" width="4.625" style="2" customWidth="1"/>
    <col min="14649" max="14649" width="5.625" style="2" customWidth="1"/>
    <col min="14650" max="14653" width="4.625" style="2" customWidth="1"/>
    <col min="14654" max="14654" width="7.625" style="2" customWidth="1"/>
    <col min="14655" max="14655" width="8.625" style="2" customWidth="1"/>
    <col min="14656" max="14657" width="5.625" style="2" customWidth="1"/>
    <col min="14658" max="14658" width="6.625" style="2" customWidth="1"/>
    <col min="14659" max="14659" width="9.875" style="2" customWidth="1"/>
    <col min="14660" max="14661" width="8.625" style="2" customWidth="1"/>
    <col min="14662" max="14662" width="5.5" style="2" bestFit="1" customWidth="1"/>
    <col min="14663" max="14704" width="6.75" style="2" customWidth="1"/>
    <col min="14705" max="14705" width="9" style="2" customWidth="1"/>
    <col min="14706" max="14706" width="9.875" style="2" customWidth="1"/>
    <col min="14707" max="14707" width="2.875" style="2" customWidth="1"/>
    <col min="14708" max="14708" width="12.25" style="2" customWidth="1"/>
    <col min="14709" max="14709" width="6.375" style="2" customWidth="1"/>
    <col min="14710" max="14711" width="3.125" style="2" customWidth="1"/>
    <col min="14712" max="14712" width="1.125" style="2" customWidth="1"/>
    <col min="14713" max="14713" width="9" style="2" customWidth="1"/>
    <col min="14714" max="14714" width="2.375" style="2" customWidth="1"/>
    <col min="14715" max="14732" width="7.625" style="2" customWidth="1"/>
    <col min="14733" max="14895" width="9" style="2" customWidth="1"/>
    <col min="14896" max="14897" width="3.125" style="2" customWidth="1"/>
    <col min="14898" max="14898" width="5.875" style="2" bestFit="1" customWidth="1"/>
    <col min="14899" max="14899" width="5.625" style="2" customWidth="1"/>
    <col min="14900" max="14900" width="10.625" style="2" customWidth="1"/>
    <col min="14901" max="14901" width="12.625" style="2" customWidth="1"/>
    <col min="14902" max="14902" width="8.625" style="2" customWidth="1"/>
    <col min="14903" max="14903" width="5.625" style="2" customWidth="1"/>
    <col min="14904" max="14904" width="4.625" style="2" customWidth="1"/>
    <col min="14905" max="14905" width="5.625" style="2" customWidth="1"/>
    <col min="14906" max="14909" width="4.625" style="2" customWidth="1"/>
    <col min="14910" max="14910" width="7.625" style="2" customWidth="1"/>
    <col min="14911" max="14911" width="8.625" style="2" customWidth="1"/>
    <col min="14912" max="14913" width="5.625" style="2" customWidth="1"/>
    <col min="14914" max="14914" width="6.625" style="2" customWidth="1"/>
    <col min="14915" max="14915" width="9.875" style="2" customWidth="1"/>
    <col min="14916" max="14917" width="8.625" style="2" customWidth="1"/>
    <col min="14918" max="14918" width="5.5" style="2" bestFit="1" customWidth="1"/>
    <col min="14919" max="14960" width="6.75" style="2" customWidth="1"/>
    <col min="14961" max="14961" width="9" style="2" customWidth="1"/>
    <col min="14962" max="14962" width="9.875" style="2" customWidth="1"/>
    <col min="14963" max="14963" width="2.875" style="2" customWidth="1"/>
    <col min="14964" max="14964" width="12.25" style="2" customWidth="1"/>
    <col min="14965" max="14965" width="6.375" style="2" customWidth="1"/>
    <col min="14966" max="14967" width="3.125" style="2" customWidth="1"/>
    <col min="14968" max="14968" width="1.125" style="2" customWidth="1"/>
    <col min="14969" max="14969" width="9" style="2" customWidth="1"/>
    <col min="14970" max="14970" width="2.375" style="2" customWidth="1"/>
    <col min="14971" max="14988" width="7.625" style="2" customWidth="1"/>
    <col min="14989" max="15151" width="9" style="2" customWidth="1"/>
    <col min="15152" max="15153" width="3.125" style="2" customWidth="1"/>
    <col min="15154" max="15154" width="5.875" style="2" bestFit="1" customWidth="1"/>
    <col min="15155" max="15155" width="5.625" style="2" customWidth="1"/>
    <col min="15156" max="15156" width="10.625" style="2" customWidth="1"/>
    <col min="15157" max="15157" width="12.625" style="2" customWidth="1"/>
    <col min="15158" max="15158" width="8.625" style="2" customWidth="1"/>
    <col min="15159" max="15159" width="5.625" style="2" customWidth="1"/>
    <col min="15160" max="15160" width="4.625" style="2" customWidth="1"/>
    <col min="15161" max="15161" width="5.625" style="2" customWidth="1"/>
    <col min="15162" max="15165" width="4.625" style="2" customWidth="1"/>
    <col min="15166" max="15166" width="7.625" style="2" customWidth="1"/>
    <col min="15167" max="15167" width="8.625" style="2" customWidth="1"/>
    <col min="15168" max="15169" width="5.625" style="2" customWidth="1"/>
    <col min="15170" max="15170" width="6.625" style="2" customWidth="1"/>
    <col min="15171" max="15171" width="9.875" style="2" customWidth="1"/>
    <col min="15172" max="15173" width="8.625" style="2" customWidth="1"/>
    <col min="15174" max="15174" width="5.5" style="2" bestFit="1" customWidth="1"/>
    <col min="15175" max="15216" width="6.75" style="2" customWidth="1"/>
    <col min="15217" max="15217" width="9" style="2" customWidth="1"/>
    <col min="15218" max="15218" width="9.875" style="2" customWidth="1"/>
    <col min="15219" max="15219" width="2.875" style="2" customWidth="1"/>
    <col min="15220" max="15220" width="12.25" style="2" customWidth="1"/>
    <col min="15221" max="15221" width="6.375" style="2" customWidth="1"/>
    <col min="15222" max="15223" width="3.125" style="2" customWidth="1"/>
    <col min="15224" max="15224" width="1.125" style="2" customWidth="1"/>
    <col min="15225" max="15225" width="9" style="2" customWidth="1"/>
    <col min="15226" max="15226" width="2.375" style="2" customWidth="1"/>
    <col min="15227" max="15244" width="7.625" style="2" customWidth="1"/>
    <col min="15245" max="15407" width="9" style="2" customWidth="1"/>
    <col min="15408" max="15409" width="3.125" style="2" customWidth="1"/>
    <col min="15410" max="15410" width="5.875" style="2" bestFit="1" customWidth="1"/>
    <col min="15411" max="15411" width="5.625" style="2" customWidth="1"/>
    <col min="15412" max="15412" width="10.625" style="2" customWidth="1"/>
    <col min="15413" max="15413" width="12.625" style="2" customWidth="1"/>
    <col min="15414" max="15414" width="8.625" style="2" customWidth="1"/>
    <col min="15415" max="15415" width="5.625" style="2" customWidth="1"/>
    <col min="15416" max="15416" width="4.625" style="2" customWidth="1"/>
    <col min="15417" max="15417" width="5.625" style="2" customWidth="1"/>
    <col min="15418" max="15421" width="4.625" style="2" customWidth="1"/>
    <col min="15422" max="15422" width="7.625" style="2" customWidth="1"/>
    <col min="15423" max="15423" width="8.625" style="2" customWidth="1"/>
    <col min="15424" max="15425" width="5.625" style="2" customWidth="1"/>
    <col min="15426" max="15426" width="6.625" style="2" customWidth="1"/>
    <col min="15427" max="15427" width="9.875" style="2" customWidth="1"/>
    <col min="15428" max="15429" width="8.625" style="2" customWidth="1"/>
    <col min="15430" max="15430" width="5.5" style="2" bestFit="1" customWidth="1"/>
    <col min="15431" max="15472" width="6.75" style="2" customWidth="1"/>
    <col min="15473" max="15473" width="9" style="2" customWidth="1"/>
    <col min="15474" max="15474" width="9.875" style="2" customWidth="1"/>
    <col min="15475" max="15475" width="2.875" style="2" customWidth="1"/>
    <col min="15476" max="15476" width="12.25" style="2" customWidth="1"/>
    <col min="15477" max="15477" width="6.375" style="2" customWidth="1"/>
    <col min="15478" max="15479" width="3.125" style="2" customWidth="1"/>
    <col min="15480" max="15480" width="1.125" style="2" customWidth="1"/>
    <col min="15481" max="15481" width="9" style="2" customWidth="1"/>
    <col min="15482" max="15482" width="2.375" style="2" customWidth="1"/>
    <col min="15483" max="15500" width="7.625" style="2" customWidth="1"/>
    <col min="15501" max="15663" width="9" style="2" customWidth="1"/>
    <col min="15664" max="15665" width="3.125" style="2" customWidth="1"/>
    <col min="15666" max="15666" width="5.875" style="2" bestFit="1" customWidth="1"/>
    <col min="15667" max="15667" width="5.625" style="2" customWidth="1"/>
    <col min="15668" max="15668" width="10.625" style="2" customWidth="1"/>
    <col min="15669" max="15669" width="12.625" style="2" customWidth="1"/>
    <col min="15670" max="15670" width="8.625" style="2" customWidth="1"/>
    <col min="15671" max="15671" width="5.625" style="2" customWidth="1"/>
    <col min="15672" max="15672" width="4.625" style="2" customWidth="1"/>
    <col min="15673" max="15673" width="5.625" style="2" customWidth="1"/>
    <col min="15674" max="15677" width="4.625" style="2" customWidth="1"/>
    <col min="15678" max="15678" width="7.625" style="2" customWidth="1"/>
    <col min="15679" max="15679" width="8.625" style="2" customWidth="1"/>
    <col min="15680" max="15681" width="5.625" style="2" customWidth="1"/>
    <col min="15682" max="15682" width="6.625" style="2" customWidth="1"/>
    <col min="15683" max="15683" width="9.875" style="2" customWidth="1"/>
    <col min="15684" max="15685" width="8.625" style="2" customWidth="1"/>
    <col min="15686" max="15686" width="5.5" style="2" bestFit="1" customWidth="1"/>
    <col min="15687" max="15728" width="6.75" style="2" customWidth="1"/>
    <col min="15729" max="15729" width="9" style="2" customWidth="1"/>
    <col min="15730" max="15730" width="9.875" style="2" customWidth="1"/>
    <col min="15731" max="15731" width="2.875" style="2" customWidth="1"/>
    <col min="15732" max="15732" width="12.25" style="2" customWidth="1"/>
    <col min="15733" max="15733" width="6.375" style="2" customWidth="1"/>
    <col min="15734" max="15735" width="3.125" style="2" customWidth="1"/>
    <col min="15736" max="15736" width="1.125" style="2" customWidth="1"/>
    <col min="15737" max="15737" width="9" style="2" customWidth="1"/>
    <col min="15738" max="15738" width="2.375" style="2" customWidth="1"/>
    <col min="15739" max="15756" width="7.625" style="2" customWidth="1"/>
    <col min="15757" max="15919" width="9" style="2" customWidth="1"/>
    <col min="15920" max="15921" width="3.125" style="2" customWidth="1"/>
    <col min="15922" max="15922" width="5.875" style="2" bestFit="1" customWidth="1"/>
    <col min="15923" max="15923" width="5.625" style="2" customWidth="1"/>
    <col min="15924" max="15924" width="10.625" style="2" customWidth="1"/>
    <col min="15925" max="15925" width="12.625" style="2" customWidth="1"/>
    <col min="15926" max="15926" width="8.625" style="2" customWidth="1"/>
    <col min="15927" max="15927" width="5.625" style="2" customWidth="1"/>
    <col min="15928" max="15928" width="4.625" style="2" customWidth="1"/>
    <col min="15929" max="15929" width="5.625" style="2" customWidth="1"/>
    <col min="15930" max="15933" width="4.625" style="2" customWidth="1"/>
    <col min="15934" max="15934" width="7.625" style="2" customWidth="1"/>
    <col min="15935" max="15935" width="8.625" style="2" customWidth="1"/>
    <col min="15936" max="15937" width="5.625" style="2" customWidth="1"/>
    <col min="15938" max="15938" width="6.625" style="2" customWidth="1"/>
    <col min="15939" max="15939" width="9.875" style="2" customWidth="1"/>
    <col min="15940" max="15941" width="8.625" style="2" customWidth="1"/>
    <col min="15942" max="15942" width="5.5" style="2" bestFit="1" customWidth="1"/>
    <col min="15943" max="15984" width="6.75" style="2" customWidth="1"/>
    <col min="15985" max="15985" width="9" style="2" customWidth="1"/>
    <col min="15986" max="15986" width="9.875" style="2" customWidth="1"/>
    <col min="15987" max="15987" width="2.875" style="2" customWidth="1"/>
    <col min="15988" max="15988" width="12.25" style="2" customWidth="1"/>
    <col min="15989" max="15989" width="6.375" style="2" customWidth="1"/>
    <col min="15990" max="15991" width="3.125" style="2" customWidth="1"/>
    <col min="15992" max="15992" width="1.125" style="2" customWidth="1"/>
    <col min="15993" max="15993" width="9" style="2" customWidth="1"/>
    <col min="15994" max="15994" width="2.375" style="2" customWidth="1"/>
    <col min="15995" max="16012" width="7.625" style="2" customWidth="1"/>
    <col min="16013" max="16175" width="9" style="2" customWidth="1"/>
    <col min="16176" max="16177" width="3.125" style="2" customWidth="1"/>
    <col min="16178" max="16178" width="5.875" style="2" bestFit="1" customWidth="1"/>
    <col min="16179" max="16179" width="5.625" style="2" customWidth="1"/>
    <col min="16180" max="16180" width="10.625" style="2" customWidth="1"/>
    <col min="16181" max="16181" width="12.625" style="2" customWidth="1"/>
    <col min="16182" max="16182" width="8.625" style="2" customWidth="1"/>
    <col min="16183" max="16183" width="5.625" style="2" customWidth="1"/>
    <col min="16184" max="16184" width="4.625" style="2" customWidth="1"/>
    <col min="16185" max="16185" width="5.625" style="2" customWidth="1"/>
    <col min="16186" max="16189" width="4.625" style="2" customWidth="1"/>
    <col min="16190" max="16190" width="7.625" style="2" customWidth="1"/>
    <col min="16191" max="16191" width="8.625" style="2" customWidth="1"/>
    <col min="16192" max="16193" width="5.625" style="2" customWidth="1"/>
    <col min="16194" max="16194" width="6.625" style="2" customWidth="1"/>
    <col min="16195" max="16195" width="9.875" style="2" customWidth="1"/>
    <col min="16196" max="16197" width="8.625" style="2" customWidth="1"/>
    <col min="16198" max="16198" width="5.5" style="2" bestFit="1" customWidth="1"/>
    <col min="16199" max="16240" width="6.75" style="2" customWidth="1"/>
    <col min="16241" max="16241" width="9" style="2" customWidth="1"/>
    <col min="16242" max="16242" width="9.875" style="2" customWidth="1"/>
    <col min="16243" max="16243" width="2.875" style="2" customWidth="1"/>
    <col min="16244" max="16244" width="12.25" style="2" customWidth="1"/>
    <col min="16245" max="16245" width="6.375" style="2" customWidth="1"/>
    <col min="16246" max="16247" width="3.125" style="2" customWidth="1"/>
    <col min="16248" max="16248" width="1.125" style="2" customWidth="1"/>
    <col min="16249" max="16249" width="9" style="2" customWidth="1"/>
    <col min="16250" max="16250" width="2.375" style="2" customWidth="1"/>
    <col min="16251" max="16268" width="7.625" style="2" customWidth="1"/>
    <col min="16269" max="16384" width="9" style="2" customWidth="1"/>
  </cols>
  <sheetData>
    <row r="1" spans="1:132" ht="13.5" customHeight="1" x14ac:dyDescent="0.4">
      <c r="A1" s="203" t="str">
        <f>令和8年7月!$A$1</f>
        <v>天理</v>
      </c>
      <c r="B1" s="193"/>
      <c r="C1" s="193"/>
      <c r="D1" s="193"/>
      <c r="E1" s="193"/>
      <c r="F1" s="192" t="s">
        <v>0</v>
      </c>
      <c r="G1" s="195" t="s">
        <v>1</v>
      </c>
      <c r="H1" s="194" t="s">
        <v>2</v>
      </c>
      <c r="I1" s="193"/>
      <c r="J1" s="193"/>
      <c r="K1" s="193"/>
      <c r="L1" s="159"/>
      <c r="M1" s="194" t="s">
        <v>118</v>
      </c>
      <c r="N1" s="159"/>
      <c r="O1" s="159"/>
      <c r="P1" s="159"/>
      <c r="Q1" s="159"/>
      <c r="R1" s="159"/>
      <c r="S1" s="159"/>
      <c r="T1" s="159"/>
      <c r="U1" s="1"/>
      <c r="V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U1" s="162"/>
      <c r="AX1" s="204" t="s">
        <v>4</v>
      </c>
      <c r="AY1" s="199"/>
      <c r="AZ1" s="199"/>
      <c r="BA1" s="199"/>
      <c r="BB1" s="199"/>
      <c r="BC1" s="199"/>
      <c r="BD1" s="4"/>
    </row>
    <row r="2" spans="1:132" ht="13.5" customHeight="1" x14ac:dyDescent="0.4">
      <c r="A2" s="193"/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59"/>
      <c r="M2" s="193"/>
      <c r="N2" s="159"/>
      <c r="O2" s="159"/>
      <c r="P2" s="159"/>
      <c r="Q2" s="159"/>
      <c r="R2" s="159"/>
      <c r="S2" s="159"/>
      <c r="T2" s="159"/>
      <c r="U2" s="1"/>
      <c r="V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U2" s="162"/>
      <c r="AX2" s="199"/>
      <c r="AY2" s="199"/>
      <c r="AZ2" s="199"/>
      <c r="BA2" s="199"/>
      <c r="BB2" s="199"/>
      <c r="BC2" s="199"/>
      <c r="BD2" s="4"/>
    </row>
    <row r="3" spans="1:132" ht="13.9" customHeight="1" thickBot="1" x14ac:dyDescent="0.45">
      <c r="AC3" s="7"/>
      <c r="AV3" s="2">
        <v>95</v>
      </c>
      <c r="AW3" s="2">
        <v>1</v>
      </c>
      <c r="AY3" s="2">
        <v>2</v>
      </c>
      <c r="BA3" s="2">
        <v>3</v>
      </c>
      <c r="BC3" s="2">
        <v>4</v>
      </c>
      <c r="BE3" s="2">
        <v>6</v>
      </c>
      <c r="BG3" s="2">
        <v>7</v>
      </c>
      <c r="BI3" s="2">
        <v>8</v>
      </c>
      <c r="BK3" s="2">
        <v>9</v>
      </c>
      <c r="BM3" s="2">
        <v>10</v>
      </c>
      <c r="BO3" s="2">
        <v>11</v>
      </c>
      <c r="BQ3" s="2">
        <v>12</v>
      </c>
      <c r="BS3" s="2">
        <v>15</v>
      </c>
      <c r="BU3" s="2">
        <v>28</v>
      </c>
      <c r="BW3" s="2">
        <v>33</v>
      </c>
      <c r="BY3" s="2">
        <v>40</v>
      </c>
      <c r="CA3" s="2">
        <v>41</v>
      </c>
      <c r="CC3" s="2">
        <v>45</v>
      </c>
      <c r="CE3" s="2">
        <v>46</v>
      </c>
      <c r="CG3" s="2">
        <v>36</v>
      </c>
      <c r="CI3" s="2">
        <v>47</v>
      </c>
      <c r="CK3" s="2">
        <v>31</v>
      </c>
      <c r="CM3" s="2">
        <v>48</v>
      </c>
    </row>
    <row r="4" spans="1:132" ht="26.45" customHeight="1" thickTop="1" thickBot="1" x14ac:dyDescent="0.45">
      <c r="A4" s="106" t="s">
        <v>5</v>
      </c>
      <c r="B4" s="94" t="s">
        <v>6</v>
      </c>
      <c r="C4" s="131" t="s">
        <v>7</v>
      </c>
      <c r="D4" s="131" t="s">
        <v>8</v>
      </c>
      <c r="E4" s="107" t="s">
        <v>9</v>
      </c>
      <c r="F4" s="108" t="s">
        <v>10</v>
      </c>
      <c r="G4" s="109" t="s">
        <v>11</v>
      </c>
      <c r="H4" s="110" t="s">
        <v>12</v>
      </c>
      <c r="I4" s="147" t="s">
        <v>13</v>
      </c>
      <c r="J4" s="111" t="s">
        <v>14</v>
      </c>
      <c r="K4" s="112" t="s">
        <v>15</v>
      </c>
      <c r="L4" s="113" t="s">
        <v>16</v>
      </c>
      <c r="M4" s="114" t="s">
        <v>17</v>
      </c>
      <c r="N4" s="115" t="s">
        <v>16</v>
      </c>
      <c r="O4" s="116" t="s">
        <v>18</v>
      </c>
      <c r="P4" s="117" t="s">
        <v>19</v>
      </c>
      <c r="Q4" s="118" t="s">
        <v>20</v>
      </c>
      <c r="R4" s="129" t="s">
        <v>21</v>
      </c>
      <c r="S4" s="130" t="s">
        <v>22</v>
      </c>
      <c r="T4" s="8" t="s">
        <v>23</v>
      </c>
      <c r="U4" s="9" t="s">
        <v>24</v>
      </c>
      <c r="V4" s="10" t="s">
        <v>25</v>
      </c>
      <c r="W4" s="11" t="s">
        <v>26</v>
      </c>
      <c r="X4" s="12" t="s">
        <v>27</v>
      </c>
      <c r="Y4" s="13" t="s">
        <v>28</v>
      </c>
      <c r="Z4" s="119" t="s">
        <v>29</v>
      </c>
      <c r="AA4" s="14" t="s">
        <v>30</v>
      </c>
      <c r="AB4" s="15" t="s">
        <v>31</v>
      </c>
      <c r="AC4" s="16" t="s">
        <v>32</v>
      </c>
      <c r="AD4" s="17" t="s">
        <v>33</v>
      </c>
      <c r="AE4" s="18" t="s">
        <v>34</v>
      </c>
      <c r="AF4" s="18" t="s">
        <v>35</v>
      </c>
      <c r="AG4" s="18" t="s">
        <v>36</v>
      </c>
      <c r="AH4" s="18" t="s">
        <v>37</v>
      </c>
      <c r="AI4" s="18" t="s">
        <v>38</v>
      </c>
      <c r="AJ4" s="18" t="s">
        <v>39</v>
      </c>
      <c r="AK4" s="18" t="s">
        <v>40</v>
      </c>
      <c r="AL4" s="17" t="s">
        <v>41</v>
      </c>
      <c r="AM4" s="18" t="str">
        <f>令和8年7月!$AM$4</f>
        <v>フリー①</v>
      </c>
      <c r="AN4" s="132" t="str">
        <f>令和8年7月!$AN$4</f>
        <v>フリー②</v>
      </c>
      <c r="AO4" s="18" t="str">
        <f>令和8年7月!$AO$4</f>
        <v>フリー③</v>
      </c>
      <c r="AP4" s="18" t="str">
        <f>令和8年7月!$AP$4</f>
        <v>フリー④</v>
      </c>
      <c r="AQ4" s="78" t="str">
        <f>令和8年7月!$AQ$4</f>
        <v>フリー⑤</v>
      </c>
      <c r="AR4" s="19" t="s">
        <v>47</v>
      </c>
      <c r="AS4" s="20" t="s">
        <v>48</v>
      </c>
      <c r="AT4" s="21" t="s">
        <v>49</v>
      </c>
      <c r="AU4" s="163"/>
      <c r="AV4" s="80" t="s">
        <v>144</v>
      </c>
      <c r="AW4" s="76" t="s">
        <v>145</v>
      </c>
      <c r="AX4" s="75" t="s">
        <v>146</v>
      </c>
      <c r="AY4" s="76" t="s">
        <v>147</v>
      </c>
      <c r="AZ4" s="75" t="s">
        <v>146</v>
      </c>
      <c r="BA4" s="76" t="s">
        <v>52</v>
      </c>
      <c r="BB4" s="75" t="s">
        <v>146</v>
      </c>
      <c r="BC4" s="76" t="s">
        <v>53</v>
      </c>
      <c r="BD4" s="75" t="s">
        <v>146</v>
      </c>
      <c r="BE4" s="76" t="s">
        <v>148</v>
      </c>
      <c r="BF4" s="75" t="s">
        <v>146</v>
      </c>
      <c r="BG4" s="76" t="s">
        <v>149</v>
      </c>
      <c r="BH4" s="75" t="s">
        <v>146</v>
      </c>
      <c r="BI4" s="76" t="s">
        <v>150</v>
      </c>
      <c r="BJ4" s="75" t="s">
        <v>146</v>
      </c>
      <c r="BK4" s="76" t="s">
        <v>57</v>
      </c>
      <c r="BL4" s="75" t="s">
        <v>146</v>
      </c>
      <c r="BM4" s="76" t="s">
        <v>58</v>
      </c>
      <c r="BN4" s="75" t="s">
        <v>146</v>
      </c>
      <c r="BO4" s="76" t="s">
        <v>151</v>
      </c>
      <c r="BP4" s="75" t="s">
        <v>146</v>
      </c>
      <c r="BQ4" s="76" t="s">
        <v>60</v>
      </c>
      <c r="BR4" s="75" t="s">
        <v>146</v>
      </c>
      <c r="BS4" s="76" t="s">
        <v>152</v>
      </c>
      <c r="BT4" s="75" t="s">
        <v>146</v>
      </c>
      <c r="BU4" s="76" t="s">
        <v>153</v>
      </c>
      <c r="BV4" s="75" t="s">
        <v>146</v>
      </c>
      <c r="BW4" s="76" t="s">
        <v>154</v>
      </c>
      <c r="BX4" s="75" t="s">
        <v>48</v>
      </c>
      <c r="BY4" s="76" t="s">
        <v>155</v>
      </c>
      <c r="BZ4" s="75" t="s">
        <v>156</v>
      </c>
      <c r="CA4" s="76" t="s">
        <v>157</v>
      </c>
      <c r="CB4" s="75" t="s">
        <v>48</v>
      </c>
      <c r="CC4" s="76" t="s">
        <v>158</v>
      </c>
      <c r="CD4" s="81" t="s">
        <v>48</v>
      </c>
      <c r="CE4" s="76" t="s">
        <v>159</v>
      </c>
      <c r="CF4" s="81" t="s">
        <v>48</v>
      </c>
      <c r="CG4" s="76" t="s">
        <v>160</v>
      </c>
      <c r="CH4" s="75" t="s">
        <v>48</v>
      </c>
      <c r="CI4" s="76" t="s">
        <v>161</v>
      </c>
      <c r="CJ4" s="81" t="s">
        <v>48</v>
      </c>
      <c r="CK4" s="76" t="s">
        <v>162</v>
      </c>
      <c r="CL4" s="81" t="s">
        <v>48</v>
      </c>
      <c r="CM4" s="76" t="s">
        <v>163</v>
      </c>
      <c r="CN4" s="75" t="s">
        <v>48</v>
      </c>
      <c r="CO4" s="76" t="s">
        <v>67</v>
      </c>
      <c r="CP4" s="81" t="s">
        <v>48</v>
      </c>
      <c r="CQ4" s="76" t="s">
        <v>68</v>
      </c>
      <c r="CR4" s="81" t="s">
        <v>48</v>
      </c>
      <c r="CS4" s="76" t="s">
        <v>69</v>
      </c>
      <c r="CT4" s="20" t="s">
        <v>48</v>
      </c>
      <c r="CU4" s="85" t="s">
        <v>70</v>
      </c>
      <c r="CV4" s="86" t="s">
        <v>71</v>
      </c>
      <c r="CW4" s="89"/>
      <c r="CX4" s="85" t="s">
        <v>104</v>
      </c>
      <c r="CY4" s="153" t="s">
        <v>15</v>
      </c>
      <c r="CZ4" s="155" t="s">
        <v>105</v>
      </c>
      <c r="DA4" s="93" t="s">
        <v>15</v>
      </c>
      <c r="DB4" s="94" t="s">
        <v>5</v>
      </c>
      <c r="DC4" s="95" t="s">
        <v>6</v>
      </c>
      <c r="DD4" s="2" t="s">
        <v>164</v>
      </c>
      <c r="DF4" s="121" t="s">
        <v>74</v>
      </c>
      <c r="DG4" s="122" t="s">
        <v>75</v>
      </c>
      <c r="DH4" s="122" t="s">
        <v>76</v>
      </c>
      <c r="DI4" s="122" t="s">
        <v>77</v>
      </c>
      <c r="DJ4" s="122" t="s">
        <v>78</v>
      </c>
      <c r="DK4" s="122" t="s">
        <v>42</v>
      </c>
      <c r="DL4" s="122" t="s">
        <v>43</v>
      </c>
      <c r="DM4" s="122" t="s">
        <v>44</v>
      </c>
      <c r="DN4" s="122" t="s">
        <v>45</v>
      </c>
      <c r="DO4" s="122" t="s">
        <v>46</v>
      </c>
      <c r="DP4" s="123" t="s">
        <v>79</v>
      </c>
      <c r="DQ4" s="124" t="s">
        <v>48</v>
      </c>
      <c r="DS4" s="205" t="s">
        <v>80</v>
      </c>
      <c r="DT4" s="206"/>
      <c r="DU4" s="206"/>
      <c r="DV4" s="207"/>
      <c r="DW4" s="160" t="s">
        <v>81</v>
      </c>
      <c r="DX4" s="160" t="s">
        <v>82</v>
      </c>
      <c r="DY4" s="22"/>
      <c r="DZ4" s="22"/>
      <c r="EA4" s="22"/>
    </row>
    <row r="5" spans="1:132" ht="13.5" customHeight="1" x14ac:dyDescent="0.4">
      <c r="A5" s="104">
        <v>1</v>
      </c>
      <c r="B5" s="23" t="s">
        <v>89</v>
      </c>
      <c r="C5" s="164"/>
      <c r="D5" s="164"/>
      <c r="E5" s="24"/>
      <c r="F5" s="29"/>
      <c r="G5" s="25" t="str">
        <f>IF(SUM($F$5:F5)=0,"",SUM($F$5:F5))</f>
        <v/>
      </c>
      <c r="H5" s="43" t="str">
        <f t="shared" ref="H5:H35" si="0">IF(ISERROR(G5/V5),"",(G5/V5))</f>
        <v/>
      </c>
      <c r="I5" s="148" t="e">
        <f t="array" aca="1" ref="I5" ca="1">IF($A6="",$G5/($V5-$U$5+INDIRECT(IF(_xlfn.SHEET()&lt;6,"令和8年"&amp;_xlfn.SHEET()+7&amp;"月","令和9年"&amp;_xlfn.SHEET()-5&amp;"月")&amp;"!$U$5")),$G5/($V6-$U$5))</f>
        <v>#VALUE!</v>
      </c>
      <c r="J5" s="26" t="str">
        <f t="shared" ref="J5:J35" si="1">IFERROR(G5/AC5,"")</f>
        <v/>
      </c>
      <c r="K5" s="27"/>
      <c r="L5" s="165">
        <f t="shared" ref="L5:L37" si="2">IF(ISERROR(K5/W5),"",(K5/W5))</f>
        <v>0</v>
      </c>
      <c r="M5" s="28" t="str">
        <f t="shared" ref="M5:M35" si="3">IF(ISERROR(F5/K5),"",(F5/K5))</f>
        <v/>
      </c>
      <c r="N5" s="166" t="str">
        <f t="shared" ref="N5:N37" si="4">IF(ISERROR(M5/X5),"",(M5/X5))</f>
        <v/>
      </c>
      <c r="O5" s="167" t="str">
        <f t="shared" ref="O5:O35" si="5">IF(ISERROR(F5/P5),"",(F5/P5))</f>
        <v/>
      </c>
      <c r="P5" s="168"/>
      <c r="Q5" s="169" t="str">
        <f t="shared" ref="Q5:Q35" si="6">IF(ISERROR(P5/K5),"",(P5/K5))</f>
        <v/>
      </c>
      <c r="R5" s="170">
        <v>20</v>
      </c>
      <c r="S5" s="171">
        <v>13</v>
      </c>
      <c r="T5" s="24" t="s">
        <v>94</v>
      </c>
      <c r="U5" s="29">
        <v>535343</v>
      </c>
      <c r="V5" s="30">
        <f>SUM(U5)</f>
        <v>535343</v>
      </c>
      <c r="W5" s="27">
        <v>365</v>
      </c>
      <c r="X5" s="31">
        <f t="shared" ref="X5:X35" si="7">IF(ISERROR(U5/W5),"",(U5/W5))</f>
        <v>1466.6931506849314</v>
      </c>
      <c r="Y5" s="29">
        <v>162504</v>
      </c>
      <c r="Z5" s="32">
        <f>SUM(Y5)</f>
        <v>162504</v>
      </c>
      <c r="AA5" s="33">
        <f t="shared" ref="AA5:AA35" si="8">IF(ISERROR(V5/Z5),"",(V5/Z5))</f>
        <v>3.2943373701570424</v>
      </c>
      <c r="AB5" s="158">
        <v>680000</v>
      </c>
      <c r="AC5" s="34">
        <f>AB5</f>
        <v>680000</v>
      </c>
      <c r="AD5" s="158"/>
      <c r="AE5" s="25"/>
      <c r="AF5" s="25"/>
      <c r="AG5" s="25"/>
      <c r="AH5" s="25"/>
      <c r="AI5" s="25"/>
      <c r="AJ5" s="25"/>
      <c r="AK5" s="25"/>
      <c r="AL5" s="158"/>
      <c r="AM5" s="25"/>
      <c r="AN5" s="158"/>
      <c r="AO5" s="25"/>
      <c r="AP5" s="25"/>
      <c r="AQ5" s="158"/>
      <c r="AR5" s="35">
        <f t="shared" ref="AR5:AR35" si="9">SUM(AD5:AQ5)</f>
        <v>0</v>
      </c>
      <c r="AS5" s="172" t="str">
        <f t="shared" ref="AS5:AS35" si="10">IF(ISERROR((AR5/F5)),"",AR5/F5)</f>
        <v/>
      </c>
      <c r="AT5" s="36">
        <f t="shared" ref="AT5:AT35" si="11">F5-AR5+DW5</f>
        <v>0</v>
      </c>
      <c r="AU5" s="173"/>
      <c r="AV5" s="82">
        <f t="shared" ref="AV5:AV35" si="12">A5</f>
        <v>1</v>
      </c>
      <c r="AW5" s="37"/>
      <c r="AX5" s="174" t="str">
        <f t="shared" ref="AX5:AX35" si="13">IF(ISERROR((AW5/$F5)),"",AW5/$F5)</f>
        <v/>
      </c>
      <c r="AY5" s="37"/>
      <c r="AZ5" s="174" t="str">
        <f t="shared" ref="AZ5:AZ35" si="14">IF(ISERROR((AY5/$F5)),"",AY5/$F5)</f>
        <v/>
      </c>
      <c r="BA5" s="37"/>
      <c r="BB5" s="174" t="str">
        <f t="shared" ref="BB5:BB35" si="15">IF(ISERROR((BA5/$F5)),"",BA5/$F5)</f>
        <v/>
      </c>
      <c r="BC5" s="37"/>
      <c r="BD5" s="174" t="str">
        <f t="shared" ref="BD5:BD35" si="16">IF(ISERROR((BC5/$F5)),"",BC5/$F5)</f>
        <v/>
      </c>
      <c r="BE5" s="37"/>
      <c r="BF5" s="174" t="str">
        <f t="shared" ref="BF5:BF35" si="17">IF(ISERROR((BE5/$F5)),"",BE5/$F5)</f>
        <v/>
      </c>
      <c r="BG5" s="37"/>
      <c r="BH5" s="174" t="str">
        <f t="shared" ref="BH5:BH35" si="18">IF(ISERROR((BG5/$F5)),"",BG5/$F5)</f>
        <v/>
      </c>
      <c r="BI5" s="37"/>
      <c r="BJ5" s="174" t="str">
        <f t="shared" ref="BJ5:BJ35" si="19">IF(ISERROR((BI5/$F5)),"",BI5/$F5)</f>
        <v/>
      </c>
      <c r="BK5" s="37"/>
      <c r="BL5" s="174" t="str">
        <f t="shared" ref="BL5:BL35" si="20">IF(ISERROR((BK5/$F5)),"",BK5/$F5)</f>
        <v/>
      </c>
      <c r="BM5" s="37"/>
      <c r="BN5" s="174" t="str">
        <f t="shared" ref="BN5:BN35" si="21">IF(ISERROR((BM5/$F5)),"",BM5/$F5)</f>
        <v/>
      </c>
      <c r="BO5" s="37"/>
      <c r="BP5" s="174" t="str">
        <f t="shared" ref="BP5:BP35" si="22">IF(ISERROR((BO5/$F5)),"",BO5/$F5)</f>
        <v/>
      </c>
      <c r="BQ5" s="37"/>
      <c r="BR5" s="174" t="str">
        <f t="shared" ref="BR5:BR35" si="23">IF(ISERROR((BQ5/$F5)),"",BQ5/$F5)</f>
        <v/>
      </c>
      <c r="BS5" s="37"/>
      <c r="BT5" s="174" t="str">
        <f t="shared" ref="BT5:BT35" si="24">IF(ISERROR((BS5/$F5)),"",BS5/$F5)</f>
        <v/>
      </c>
      <c r="BU5" s="37"/>
      <c r="BV5" s="174" t="str">
        <f t="shared" ref="BV5:BV35" si="25">IF(ISERROR((BU5/$F5)),"",BU5/$F5)</f>
        <v/>
      </c>
      <c r="BW5" s="37"/>
      <c r="BX5" s="174" t="str">
        <f t="shared" ref="BX5:BX35" si="26">IF(ISERROR((BW5/$F5)),"",BW5/$F5)</f>
        <v/>
      </c>
      <c r="BY5" s="37"/>
      <c r="BZ5" s="174" t="str">
        <f t="shared" ref="BZ5:BZ35" si="27">IF(ISERROR((BY5/$F5)),"",BY5/$F5)</f>
        <v/>
      </c>
      <c r="CA5" s="37"/>
      <c r="CB5" s="174" t="str">
        <f t="shared" ref="CB5:CB35" si="28">IF(ISERROR((CA5/$F5)),"",CA5/$F5)</f>
        <v/>
      </c>
      <c r="CC5" s="37"/>
      <c r="CD5" s="174" t="str">
        <f t="shared" ref="CD5:CD35" si="29">IF(ISERROR((CC5/$F5)),"",CC5/$F5)</f>
        <v/>
      </c>
      <c r="CE5" s="37"/>
      <c r="CF5" s="174" t="str">
        <f t="shared" ref="CF5:CF35" si="30">IF(ISERROR((CE5/$F5)),"",CE5/$F5)</f>
        <v/>
      </c>
      <c r="CG5" s="37"/>
      <c r="CH5" s="174" t="str">
        <f t="shared" ref="CH5:CH35" si="31">IF(ISERROR((CG5/$F5)),"",CG5/$F5)</f>
        <v/>
      </c>
      <c r="CI5" s="37"/>
      <c r="CJ5" s="174" t="str">
        <f t="shared" ref="CJ5:CJ35" si="32">IF(ISERROR((CI5/$F5)),"",CI5/$F5)</f>
        <v/>
      </c>
      <c r="CK5" s="37"/>
      <c r="CL5" s="174" t="str">
        <f t="shared" ref="CL5:CL35" si="33">IF(ISERROR((CK5/$F5)),"",CK5/$F5)</f>
        <v/>
      </c>
      <c r="CM5" s="37"/>
      <c r="CN5" s="174" t="str">
        <f t="shared" ref="CN5:CN35" si="34">IF(ISERROR((CM5/$F5)),"",CM5/$F5)</f>
        <v/>
      </c>
      <c r="CO5" s="37"/>
      <c r="CP5" s="174" t="str">
        <f t="shared" ref="CP5:CP35" si="35">IF(ISERROR((CO5/$F5)),"",CO5/$F5)</f>
        <v/>
      </c>
      <c r="CQ5" s="37"/>
      <c r="CR5" s="174" t="str">
        <f t="shared" ref="CR5:CR35" si="36">IF(ISERROR((CQ5/$F5)),"",CQ5/$F5)</f>
        <v/>
      </c>
      <c r="CS5" s="37"/>
      <c r="CT5" s="174" t="str">
        <f t="shared" ref="CT5:CT35" si="37">IF(ISERROR((CS5/$F5)),"",CS5/$F5)</f>
        <v/>
      </c>
      <c r="CU5" s="38"/>
      <c r="CV5" s="87"/>
      <c r="CW5" s="90"/>
      <c r="CX5" s="38"/>
      <c r="CY5" s="39"/>
      <c r="CZ5" s="37"/>
      <c r="DA5" s="39"/>
      <c r="DB5" s="24">
        <v>1</v>
      </c>
      <c r="DC5" s="96" t="str">
        <f t="shared" ref="DC5:DC35" si="38">B5</f>
        <v>日</v>
      </c>
      <c r="DF5" s="125"/>
      <c r="DG5" s="40"/>
      <c r="DH5" s="40"/>
      <c r="DI5" s="40"/>
      <c r="DJ5" s="40"/>
      <c r="DK5" s="40"/>
      <c r="DL5" s="40"/>
      <c r="DM5" s="40"/>
      <c r="DN5" s="40"/>
      <c r="DO5" s="40"/>
      <c r="DP5" s="40">
        <f t="shared" ref="DP5:DP35" si="39">SUM(DF5:DO5)</f>
        <v>0</v>
      </c>
      <c r="DQ5" s="172" t="str">
        <f t="shared" ref="DQ5:DQ35" si="40">IF(ISERROR((DP5/F5)),"",DP5/F5)</f>
        <v/>
      </c>
      <c r="DS5" s="189"/>
      <c r="DT5" s="190"/>
      <c r="DU5" s="190"/>
      <c r="DV5" s="191"/>
      <c r="DW5" s="41"/>
      <c r="DX5" s="42"/>
      <c r="DY5" s="22"/>
      <c r="DZ5" s="22"/>
      <c r="EA5" s="22"/>
    </row>
    <row r="6" spans="1:132" ht="13.5" customHeight="1" x14ac:dyDescent="0.4">
      <c r="A6" s="104">
        <v>2</v>
      </c>
      <c r="B6" s="23" t="s">
        <v>90</v>
      </c>
      <c r="C6" s="164"/>
      <c r="D6" s="164"/>
      <c r="E6" s="24"/>
      <c r="F6" s="29"/>
      <c r="G6" s="25" t="str">
        <f>IF(SUM($F$5:F6)=0,"",SUM($F$5:F6))</f>
        <v/>
      </c>
      <c r="H6" s="43" t="str">
        <f t="shared" si="0"/>
        <v/>
      </c>
      <c r="I6" s="148" t="e">
        <f t="array" aca="1" ref="I6" ca="1">IF($A7="",$G6/($V6-$U$5+INDIRECT(IF(_xlfn.SHEET()&lt;6,"令和8年"&amp;_xlfn.SHEET()+7&amp;"月","令和9年"&amp;_xlfn.SHEET()-5&amp;"月")&amp;"!$U$5")),$G6/($V7-$U$5))</f>
        <v>#VALUE!</v>
      </c>
      <c r="J6" s="26" t="str">
        <f t="shared" si="1"/>
        <v/>
      </c>
      <c r="K6" s="27"/>
      <c r="L6" s="165">
        <f t="shared" si="2"/>
        <v>0</v>
      </c>
      <c r="M6" s="28" t="str">
        <f t="shared" si="3"/>
        <v/>
      </c>
      <c r="N6" s="166" t="str">
        <f t="shared" si="4"/>
        <v/>
      </c>
      <c r="O6" s="167" t="str">
        <f t="shared" si="5"/>
        <v/>
      </c>
      <c r="P6" s="168"/>
      <c r="Q6" s="169" t="str">
        <f t="shared" si="6"/>
        <v/>
      </c>
      <c r="R6" s="170">
        <v>20</v>
      </c>
      <c r="S6" s="171">
        <v>13</v>
      </c>
      <c r="T6" s="24" t="s">
        <v>94</v>
      </c>
      <c r="U6" s="29">
        <v>739343</v>
      </c>
      <c r="V6" s="30">
        <f t="shared" ref="V6:V35" si="41">SUM(V5+U6)</f>
        <v>1274686</v>
      </c>
      <c r="W6" s="27">
        <v>429</v>
      </c>
      <c r="X6" s="31">
        <f t="shared" si="7"/>
        <v>1723.4102564102564</v>
      </c>
      <c r="Y6" s="29">
        <v>488536</v>
      </c>
      <c r="Z6" s="32">
        <f t="shared" ref="Z6:Z35" si="42">SUM(Z5+Y6)</f>
        <v>651040</v>
      </c>
      <c r="AA6" s="33">
        <f t="shared" si="8"/>
        <v>1.9579227082821331</v>
      </c>
      <c r="AB6" s="158">
        <v>220000</v>
      </c>
      <c r="AC6" s="34">
        <f t="shared" ref="AC6:AC35" si="43">AB6+AC5</f>
        <v>900000</v>
      </c>
      <c r="AD6" s="158"/>
      <c r="AE6" s="25"/>
      <c r="AF6" s="25"/>
      <c r="AG6" s="25"/>
      <c r="AH6" s="25"/>
      <c r="AI6" s="25"/>
      <c r="AJ6" s="25"/>
      <c r="AK6" s="25"/>
      <c r="AL6" s="158"/>
      <c r="AM6" s="25"/>
      <c r="AN6" s="158"/>
      <c r="AO6" s="25"/>
      <c r="AP6" s="25"/>
      <c r="AQ6" s="158"/>
      <c r="AR6" s="35">
        <f t="shared" si="9"/>
        <v>0</v>
      </c>
      <c r="AS6" s="172" t="str">
        <f t="shared" si="10"/>
        <v/>
      </c>
      <c r="AT6" s="36">
        <f t="shared" si="11"/>
        <v>0</v>
      </c>
      <c r="AU6" s="173"/>
      <c r="AV6" s="82">
        <f t="shared" si="12"/>
        <v>2</v>
      </c>
      <c r="AW6" s="37"/>
      <c r="AX6" s="174" t="str">
        <f t="shared" si="13"/>
        <v/>
      </c>
      <c r="AY6" s="37"/>
      <c r="AZ6" s="174" t="str">
        <f t="shared" si="14"/>
        <v/>
      </c>
      <c r="BA6" s="37"/>
      <c r="BB6" s="174" t="str">
        <f t="shared" si="15"/>
        <v/>
      </c>
      <c r="BC6" s="37"/>
      <c r="BD6" s="174" t="str">
        <f t="shared" si="16"/>
        <v/>
      </c>
      <c r="BE6" s="37"/>
      <c r="BF6" s="174" t="str">
        <f t="shared" si="17"/>
        <v/>
      </c>
      <c r="BG6" s="37"/>
      <c r="BH6" s="174" t="str">
        <f t="shared" si="18"/>
        <v/>
      </c>
      <c r="BI6" s="37"/>
      <c r="BJ6" s="174" t="str">
        <f t="shared" si="19"/>
        <v/>
      </c>
      <c r="BK6" s="37"/>
      <c r="BL6" s="174" t="str">
        <f t="shared" si="20"/>
        <v/>
      </c>
      <c r="BM6" s="37"/>
      <c r="BN6" s="174" t="str">
        <f t="shared" si="21"/>
        <v/>
      </c>
      <c r="BO6" s="37"/>
      <c r="BP6" s="174" t="str">
        <f t="shared" si="22"/>
        <v/>
      </c>
      <c r="BQ6" s="37"/>
      <c r="BR6" s="174" t="str">
        <f t="shared" si="23"/>
        <v/>
      </c>
      <c r="BS6" s="37"/>
      <c r="BT6" s="174" t="str">
        <f t="shared" si="24"/>
        <v/>
      </c>
      <c r="BU6" s="37"/>
      <c r="BV6" s="174" t="str">
        <f t="shared" si="25"/>
        <v/>
      </c>
      <c r="BW6" s="37"/>
      <c r="BX6" s="174" t="str">
        <f t="shared" si="26"/>
        <v/>
      </c>
      <c r="BY6" s="37"/>
      <c r="BZ6" s="174" t="str">
        <f t="shared" si="27"/>
        <v/>
      </c>
      <c r="CA6" s="37"/>
      <c r="CB6" s="174" t="str">
        <f t="shared" si="28"/>
        <v/>
      </c>
      <c r="CC6" s="37"/>
      <c r="CD6" s="174" t="str">
        <f t="shared" si="29"/>
        <v/>
      </c>
      <c r="CE6" s="37"/>
      <c r="CF6" s="174" t="str">
        <f t="shared" si="30"/>
        <v/>
      </c>
      <c r="CG6" s="37"/>
      <c r="CH6" s="174" t="str">
        <f t="shared" si="31"/>
        <v/>
      </c>
      <c r="CI6" s="37"/>
      <c r="CJ6" s="174" t="str">
        <f t="shared" si="32"/>
        <v/>
      </c>
      <c r="CK6" s="37"/>
      <c r="CL6" s="174" t="str">
        <f t="shared" si="33"/>
        <v/>
      </c>
      <c r="CM6" s="37"/>
      <c r="CN6" s="174" t="str">
        <f t="shared" si="34"/>
        <v/>
      </c>
      <c r="CO6" s="37"/>
      <c r="CP6" s="174" t="str">
        <f t="shared" si="35"/>
        <v/>
      </c>
      <c r="CQ6" s="37"/>
      <c r="CR6" s="174" t="str">
        <f t="shared" si="36"/>
        <v/>
      </c>
      <c r="CS6" s="37"/>
      <c r="CT6" s="174" t="str">
        <f t="shared" si="37"/>
        <v/>
      </c>
      <c r="CU6" s="38"/>
      <c r="CV6" s="87"/>
      <c r="CW6" s="90"/>
      <c r="CX6" s="38"/>
      <c r="CY6" s="39"/>
      <c r="CZ6" s="37"/>
      <c r="DA6" s="39"/>
      <c r="DB6" s="24">
        <v>2</v>
      </c>
      <c r="DC6" s="96" t="str">
        <f t="shared" si="38"/>
        <v>月</v>
      </c>
      <c r="DF6" s="125"/>
      <c r="DG6" s="40"/>
      <c r="DH6" s="40"/>
      <c r="DI6" s="40"/>
      <c r="DJ6" s="40"/>
      <c r="DK6" s="40"/>
      <c r="DL6" s="40"/>
      <c r="DM6" s="40"/>
      <c r="DN6" s="40"/>
      <c r="DO6" s="40"/>
      <c r="DP6" s="40">
        <f t="shared" si="39"/>
        <v>0</v>
      </c>
      <c r="DQ6" s="172" t="str">
        <f t="shared" si="40"/>
        <v/>
      </c>
      <c r="DS6" s="189"/>
      <c r="DT6" s="190"/>
      <c r="DU6" s="190"/>
      <c r="DV6" s="191"/>
      <c r="DW6" s="41"/>
      <c r="DX6" s="42"/>
      <c r="DY6" s="22"/>
      <c r="DZ6" s="22"/>
      <c r="EA6" s="22"/>
    </row>
    <row r="7" spans="1:132" ht="13.5" customHeight="1" x14ac:dyDescent="0.4">
      <c r="A7" s="104">
        <v>3</v>
      </c>
      <c r="B7" s="140" t="s">
        <v>91</v>
      </c>
      <c r="C7" s="164"/>
      <c r="D7" s="164"/>
      <c r="E7" s="24"/>
      <c r="F7" s="29"/>
      <c r="G7" s="25" t="str">
        <f>IF(SUM($F$5:F7)=0,"",SUM($F$5:F7))</f>
        <v/>
      </c>
      <c r="H7" s="43" t="str">
        <f t="shared" si="0"/>
        <v/>
      </c>
      <c r="I7" s="148" t="e">
        <f t="array" aca="1" ref="I7" ca="1">IF($A8="",$G7/($V7-$U$5+INDIRECT(IF(_xlfn.SHEET()&lt;6,"令和8年"&amp;_xlfn.SHEET()+7&amp;"月","令和9年"&amp;_xlfn.SHEET()-5&amp;"月")&amp;"!$U$5")),$G7/($V8-$U$5))</f>
        <v>#VALUE!</v>
      </c>
      <c r="J7" s="26" t="str">
        <f t="shared" si="1"/>
        <v/>
      </c>
      <c r="K7" s="27"/>
      <c r="L7" s="165">
        <f t="shared" si="2"/>
        <v>0</v>
      </c>
      <c r="M7" s="28" t="str">
        <f t="shared" si="3"/>
        <v/>
      </c>
      <c r="N7" s="166" t="str">
        <f t="shared" si="4"/>
        <v/>
      </c>
      <c r="O7" s="167" t="str">
        <f t="shared" si="5"/>
        <v/>
      </c>
      <c r="P7" s="168"/>
      <c r="Q7" s="169" t="str">
        <f t="shared" si="6"/>
        <v/>
      </c>
      <c r="R7" s="170">
        <v>16</v>
      </c>
      <c r="S7" s="171">
        <v>8</v>
      </c>
      <c r="T7" s="24" t="s">
        <v>114</v>
      </c>
      <c r="U7" s="29">
        <v>493192</v>
      </c>
      <c r="V7" s="30">
        <f t="shared" si="41"/>
        <v>1767878</v>
      </c>
      <c r="W7" s="27">
        <v>343</v>
      </c>
      <c r="X7" s="31">
        <f t="shared" si="7"/>
        <v>1437.8775510204082</v>
      </c>
      <c r="Y7" s="29">
        <v>751462</v>
      </c>
      <c r="Z7" s="32">
        <f t="shared" si="42"/>
        <v>1402502</v>
      </c>
      <c r="AA7" s="33">
        <f t="shared" si="8"/>
        <v>1.2605172755546872</v>
      </c>
      <c r="AB7" s="158">
        <v>680000</v>
      </c>
      <c r="AC7" s="34">
        <f t="shared" si="43"/>
        <v>1580000</v>
      </c>
      <c r="AD7" s="158"/>
      <c r="AE7" s="25"/>
      <c r="AF7" s="25"/>
      <c r="AG7" s="25"/>
      <c r="AH7" s="25"/>
      <c r="AI7" s="25"/>
      <c r="AJ7" s="25"/>
      <c r="AK7" s="25"/>
      <c r="AL7" s="158"/>
      <c r="AM7" s="25"/>
      <c r="AN7" s="158"/>
      <c r="AO7" s="25"/>
      <c r="AP7" s="25"/>
      <c r="AQ7" s="158"/>
      <c r="AR7" s="35">
        <f t="shared" si="9"/>
        <v>0</v>
      </c>
      <c r="AS7" s="172" t="str">
        <f t="shared" si="10"/>
        <v/>
      </c>
      <c r="AT7" s="36">
        <f t="shared" si="11"/>
        <v>0</v>
      </c>
      <c r="AU7" s="173"/>
      <c r="AV7" s="82">
        <f t="shared" si="12"/>
        <v>3</v>
      </c>
      <c r="AW7" s="37"/>
      <c r="AX7" s="174" t="str">
        <f t="shared" si="13"/>
        <v/>
      </c>
      <c r="AY7" s="37"/>
      <c r="AZ7" s="174" t="str">
        <f t="shared" si="14"/>
        <v/>
      </c>
      <c r="BA7" s="37"/>
      <c r="BB7" s="174" t="str">
        <f t="shared" si="15"/>
        <v/>
      </c>
      <c r="BC7" s="37"/>
      <c r="BD7" s="174" t="str">
        <f t="shared" si="16"/>
        <v/>
      </c>
      <c r="BE7" s="37"/>
      <c r="BF7" s="174" t="str">
        <f t="shared" si="17"/>
        <v/>
      </c>
      <c r="BG7" s="37"/>
      <c r="BH7" s="174" t="str">
        <f t="shared" si="18"/>
        <v/>
      </c>
      <c r="BI7" s="37"/>
      <c r="BJ7" s="174" t="str">
        <f t="shared" si="19"/>
        <v/>
      </c>
      <c r="BK7" s="37"/>
      <c r="BL7" s="174" t="str">
        <f t="shared" si="20"/>
        <v/>
      </c>
      <c r="BM7" s="37"/>
      <c r="BN7" s="174" t="str">
        <f t="shared" si="21"/>
        <v/>
      </c>
      <c r="BO7" s="37"/>
      <c r="BP7" s="174" t="str">
        <f t="shared" si="22"/>
        <v/>
      </c>
      <c r="BQ7" s="37"/>
      <c r="BR7" s="174" t="str">
        <f t="shared" si="23"/>
        <v/>
      </c>
      <c r="BS7" s="37"/>
      <c r="BT7" s="174" t="str">
        <f t="shared" si="24"/>
        <v/>
      </c>
      <c r="BU7" s="37"/>
      <c r="BV7" s="174" t="str">
        <f t="shared" si="25"/>
        <v/>
      </c>
      <c r="BW7" s="37"/>
      <c r="BX7" s="174" t="str">
        <f t="shared" si="26"/>
        <v/>
      </c>
      <c r="BY7" s="37"/>
      <c r="BZ7" s="174" t="str">
        <f t="shared" si="27"/>
        <v/>
      </c>
      <c r="CA7" s="37"/>
      <c r="CB7" s="174" t="str">
        <f t="shared" si="28"/>
        <v/>
      </c>
      <c r="CC7" s="37"/>
      <c r="CD7" s="174" t="str">
        <f t="shared" si="29"/>
        <v/>
      </c>
      <c r="CE7" s="37"/>
      <c r="CF7" s="174" t="str">
        <f t="shared" si="30"/>
        <v/>
      </c>
      <c r="CG7" s="37"/>
      <c r="CH7" s="174" t="str">
        <f t="shared" si="31"/>
        <v/>
      </c>
      <c r="CI7" s="37"/>
      <c r="CJ7" s="174" t="str">
        <f t="shared" si="32"/>
        <v/>
      </c>
      <c r="CK7" s="37"/>
      <c r="CL7" s="174" t="str">
        <f t="shared" si="33"/>
        <v/>
      </c>
      <c r="CM7" s="37"/>
      <c r="CN7" s="174" t="str">
        <f t="shared" si="34"/>
        <v/>
      </c>
      <c r="CO7" s="37"/>
      <c r="CP7" s="174" t="str">
        <f t="shared" si="35"/>
        <v/>
      </c>
      <c r="CQ7" s="37"/>
      <c r="CR7" s="174" t="str">
        <f t="shared" si="36"/>
        <v/>
      </c>
      <c r="CS7" s="37"/>
      <c r="CT7" s="174" t="str">
        <f t="shared" si="37"/>
        <v/>
      </c>
      <c r="CU7" s="38"/>
      <c r="CV7" s="87"/>
      <c r="CW7" s="90"/>
      <c r="CX7" s="38"/>
      <c r="CY7" s="39"/>
      <c r="CZ7" s="37"/>
      <c r="DA7" s="39"/>
      <c r="DB7" s="24">
        <v>3</v>
      </c>
      <c r="DC7" s="96" t="str">
        <f t="shared" si="38"/>
        <v>火</v>
      </c>
      <c r="DF7" s="125"/>
      <c r="DG7" s="40"/>
      <c r="DH7" s="40"/>
      <c r="DI7" s="40"/>
      <c r="DJ7" s="40"/>
      <c r="DK7" s="40"/>
      <c r="DL7" s="40"/>
      <c r="DM7" s="40"/>
      <c r="DN7" s="40"/>
      <c r="DO7" s="40"/>
      <c r="DP7" s="40">
        <f t="shared" si="39"/>
        <v>0</v>
      </c>
      <c r="DQ7" s="172" t="str">
        <f t="shared" si="40"/>
        <v/>
      </c>
      <c r="DS7" s="189"/>
      <c r="DT7" s="190"/>
      <c r="DU7" s="190"/>
      <c r="DV7" s="191"/>
      <c r="DW7" s="138"/>
      <c r="DX7" s="42"/>
      <c r="DY7" s="139"/>
      <c r="DZ7" s="139"/>
      <c r="EA7" s="139"/>
      <c r="EB7" s="139"/>
    </row>
    <row r="8" spans="1:132" ht="13.5" customHeight="1" x14ac:dyDescent="0.4">
      <c r="A8" s="104">
        <v>4</v>
      </c>
      <c r="B8" s="23" t="s">
        <v>83</v>
      </c>
      <c r="C8" s="164"/>
      <c r="D8" s="164"/>
      <c r="E8" s="24"/>
      <c r="F8" s="29"/>
      <c r="G8" s="25" t="str">
        <f>IF(SUM($F$5:F8)=0,"",SUM($F$5:F8))</f>
        <v/>
      </c>
      <c r="H8" s="43" t="str">
        <f t="shared" si="0"/>
        <v/>
      </c>
      <c r="I8" s="148" t="e">
        <f t="array" aca="1" ref="I8" ca="1">IF($A9="",$G8/($V8-$U$5+INDIRECT(IF(_xlfn.SHEET()&lt;6,"令和8年"&amp;_xlfn.SHEET()+7&amp;"月","令和9年"&amp;_xlfn.SHEET()-5&amp;"月")&amp;"!$U$5")),$G8/($V9-$U$5))</f>
        <v>#VALUE!</v>
      </c>
      <c r="J8" s="26" t="str">
        <f t="shared" si="1"/>
        <v/>
      </c>
      <c r="K8" s="27"/>
      <c r="L8" s="165">
        <f t="shared" si="2"/>
        <v>0</v>
      </c>
      <c r="M8" s="28" t="str">
        <f t="shared" si="3"/>
        <v/>
      </c>
      <c r="N8" s="166" t="str">
        <f t="shared" si="4"/>
        <v/>
      </c>
      <c r="O8" s="167" t="str">
        <f t="shared" si="5"/>
        <v/>
      </c>
      <c r="P8" s="168"/>
      <c r="Q8" s="169" t="str">
        <f t="shared" si="6"/>
        <v/>
      </c>
      <c r="R8" s="170">
        <v>17</v>
      </c>
      <c r="S8" s="171">
        <v>12</v>
      </c>
      <c r="T8" s="24" t="s">
        <v>114</v>
      </c>
      <c r="U8" s="29">
        <v>152847</v>
      </c>
      <c r="V8" s="30">
        <f t="shared" si="41"/>
        <v>1920725</v>
      </c>
      <c r="W8" s="27">
        <v>128</v>
      </c>
      <c r="X8" s="31">
        <f t="shared" si="7"/>
        <v>1194.1171875</v>
      </c>
      <c r="Y8" s="29">
        <v>600369</v>
      </c>
      <c r="Z8" s="32">
        <f t="shared" si="42"/>
        <v>2002871</v>
      </c>
      <c r="AA8" s="33">
        <f t="shared" si="8"/>
        <v>0.95898587577532457</v>
      </c>
      <c r="AB8" s="158">
        <v>220000</v>
      </c>
      <c r="AC8" s="34">
        <f t="shared" si="43"/>
        <v>1800000</v>
      </c>
      <c r="AD8" s="158"/>
      <c r="AE8" s="25"/>
      <c r="AF8" s="25"/>
      <c r="AG8" s="25"/>
      <c r="AH8" s="25"/>
      <c r="AI8" s="25"/>
      <c r="AJ8" s="25"/>
      <c r="AK8" s="79"/>
      <c r="AL8" s="120"/>
      <c r="AM8" s="79"/>
      <c r="AN8" s="120"/>
      <c r="AO8" s="79"/>
      <c r="AP8" s="79"/>
      <c r="AQ8" s="158"/>
      <c r="AR8" s="35">
        <f t="shared" si="9"/>
        <v>0</v>
      </c>
      <c r="AS8" s="172" t="str">
        <f t="shared" si="10"/>
        <v/>
      </c>
      <c r="AT8" s="36">
        <f t="shared" si="11"/>
        <v>0</v>
      </c>
      <c r="AU8" s="173"/>
      <c r="AV8" s="82">
        <f t="shared" si="12"/>
        <v>4</v>
      </c>
      <c r="AW8" s="37"/>
      <c r="AX8" s="174" t="str">
        <f t="shared" si="13"/>
        <v/>
      </c>
      <c r="AY8" s="37"/>
      <c r="AZ8" s="174" t="str">
        <f t="shared" si="14"/>
        <v/>
      </c>
      <c r="BA8" s="37"/>
      <c r="BB8" s="174" t="str">
        <f t="shared" si="15"/>
        <v/>
      </c>
      <c r="BC8" s="37"/>
      <c r="BD8" s="174" t="str">
        <f t="shared" si="16"/>
        <v/>
      </c>
      <c r="BE8" s="37"/>
      <c r="BF8" s="174" t="str">
        <f t="shared" si="17"/>
        <v/>
      </c>
      <c r="BG8" s="37"/>
      <c r="BH8" s="174" t="str">
        <f t="shared" si="18"/>
        <v/>
      </c>
      <c r="BI8" s="37"/>
      <c r="BJ8" s="174" t="str">
        <f t="shared" si="19"/>
        <v/>
      </c>
      <c r="BK8" s="37"/>
      <c r="BL8" s="174" t="str">
        <f t="shared" si="20"/>
        <v/>
      </c>
      <c r="BM8" s="37"/>
      <c r="BN8" s="174" t="str">
        <f t="shared" si="21"/>
        <v/>
      </c>
      <c r="BO8" s="37"/>
      <c r="BP8" s="174" t="str">
        <f t="shared" si="22"/>
        <v/>
      </c>
      <c r="BQ8" s="37"/>
      <c r="BR8" s="174" t="str">
        <f t="shared" si="23"/>
        <v/>
      </c>
      <c r="BS8" s="37"/>
      <c r="BT8" s="174" t="str">
        <f t="shared" si="24"/>
        <v/>
      </c>
      <c r="BU8" s="37"/>
      <c r="BV8" s="174" t="str">
        <f t="shared" si="25"/>
        <v/>
      </c>
      <c r="BW8" s="37"/>
      <c r="BX8" s="174" t="str">
        <f t="shared" si="26"/>
        <v/>
      </c>
      <c r="BY8" s="37"/>
      <c r="BZ8" s="174" t="str">
        <f t="shared" si="27"/>
        <v/>
      </c>
      <c r="CA8" s="37"/>
      <c r="CB8" s="174" t="str">
        <f t="shared" si="28"/>
        <v/>
      </c>
      <c r="CC8" s="37"/>
      <c r="CD8" s="174" t="str">
        <f t="shared" si="29"/>
        <v/>
      </c>
      <c r="CE8" s="37"/>
      <c r="CF8" s="174" t="str">
        <f t="shared" si="30"/>
        <v/>
      </c>
      <c r="CG8" s="37"/>
      <c r="CH8" s="174" t="str">
        <f t="shared" si="31"/>
        <v/>
      </c>
      <c r="CI8" s="37"/>
      <c r="CJ8" s="174" t="str">
        <f t="shared" si="32"/>
        <v/>
      </c>
      <c r="CK8" s="37"/>
      <c r="CL8" s="174" t="str">
        <f t="shared" si="33"/>
        <v/>
      </c>
      <c r="CM8" s="37"/>
      <c r="CN8" s="174" t="str">
        <f t="shared" si="34"/>
        <v/>
      </c>
      <c r="CO8" s="37"/>
      <c r="CP8" s="174" t="str">
        <f t="shared" si="35"/>
        <v/>
      </c>
      <c r="CQ8" s="37"/>
      <c r="CR8" s="174" t="str">
        <f t="shared" si="36"/>
        <v/>
      </c>
      <c r="CS8" s="37"/>
      <c r="CT8" s="174" t="str">
        <f t="shared" si="37"/>
        <v/>
      </c>
      <c r="CU8" s="38"/>
      <c r="CV8" s="87"/>
      <c r="CW8" s="90"/>
      <c r="CX8" s="38"/>
      <c r="CY8" s="39"/>
      <c r="CZ8" s="37"/>
      <c r="DA8" s="39"/>
      <c r="DB8" s="24">
        <v>4</v>
      </c>
      <c r="DC8" s="96" t="str">
        <f t="shared" si="38"/>
        <v>水</v>
      </c>
      <c r="DF8" s="125"/>
      <c r="DG8" s="40"/>
      <c r="DH8" s="40"/>
      <c r="DI8" s="40"/>
      <c r="DJ8" s="40"/>
      <c r="DK8" s="40"/>
      <c r="DL8" s="40"/>
      <c r="DM8" s="40"/>
      <c r="DN8" s="40"/>
      <c r="DO8" s="40"/>
      <c r="DP8" s="40">
        <f t="shared" si="39"/>
        <v>0</v>
      </c>
      <c r="DQ8" s="172" t="str">
        <f t="shared" si="40"/>
        <v/>
      </c>
      <c r="DS8" s="189"/>
      <c r="DT8" s="190"/>
      <c r="DU8" s="190"/>
      <c r="DV8" s="191"/>
      <c r="DW8" s="41"/>
      <c r="DX8" s="42"/>
      <c r="DY8" s="139"/>
      <c r="DZ8" s="139"/>
      <c r="EA8" s="139"/>
      <c r="EB8" s="139"/>
    </row>
    <row r="9" spans="1:132" ht="13.5" customHeight="1" x14ac:dyDescent="0.4">
      <c r="A9" s="104">
        <v>5</v>
      </c>
      <c r="B9" s="23" t="s">
        <v>85</v>
      </c>
      <c r="C9" s="164"/>
      <c r="D9" s="164"/>
      <c r="E9" s="24"/>
      <c r="F9" s="29"/>
      <c r="G9" s="25" t="str">
        <f>IF(SUM($F$5:F9)=0,"",SUM($F$5:F9))</f>
        <v/>
      </c>
      <c r="H9" s="43" t="str">
        <f t="shared" si="0"/>
        <v/>
      </c>
      <c r="I9" s="148" t="e">
        <f t="array" aca="1" ref="I9" ca="1">IF($A10="",$G9/($V9-$U$5+INDIRECT(IF(_xlfn.SHEET()&lt;6,"令和8年"&amp;_xlfn.SHEET()+7&amp;"月","令和9年"&amp;_xlfn.SHEET()-5&amp;"月")&amp;"!$U$5")),$G9/($V10-$U$5))</f>
        <v>#VALUE!</v>
      </c>
      <c r="J9" s="26" t="str">
        <f t="shared" si="1"/>
        <v/>
      </c>
      <c r="K9" s="27"/>
      <c r="L9" s="165">
        <f t="shared" si="2"/>
        <v>0</v>
      </c>
      <c r="M9" s="28" t="str">
        <f t="shared" si="3"/>
        <v/>
      </c>
      <c r="N9" s="166" t="str">
        <f t="shared" si="4"/>
        <v/>
      </c>
      <c r="O9" s="167" t="str">
        <f t="shared" si="5"/>
        <v/>
      </c>
      <c r="P9" s="168"/>
      <c r="Q9" s="169" t="str">
        <f t="shared" si="6"/>
        <v/>
      </c>
      <c r="R9" s="170">
        <v>15</v>
      </c>
      <c r="S9" s="171">
        <v>11</v>
      </c>
      <c r="T9" s="24" t="s">
        <v>93</v>
      </c>
      <c r="U9" s="29">
        <v>370776</v>
      </c>
      <c r="V9" s="30">
        <f t="shared" si="41"/>
        <v>2291501</v>
      </c>
      <c r="W9" s="27">
        <v>240</v>
      </c>
      <c r="X9" s="31">
        <f t="shared" si="7"/>
        <v>1544.9</v>
      </c>
      <c r="Y9" s="29">
        <v>258613</v>
      </c>
      <c r="Z9" s="32">
        <f t="shared" si="42"/>
        <v>2261484</v>
      </c>
      <c r="AA9" s="33">
        <f t="shared" si="8"/>
        <v>1.0132731427682</v>
      </c>
      <c r="AB9" s="158">
        <v>220000</v>
      </c>
      <c r="AC9" s="34">
        <f t="shared" si="43"/>
        <v>2020000</v>
      </c>
      <c r="AD9" s="158"/>
      <c r="AE9" s="25"/>
      <c r="AF9" s="25"/>
      <c r="AG9" s="25"/>
      <c r="AH9" s="25"/>
      <c r="AI9" s="25"/>
      <c r="AJ9" s="25"/>
      <c r="AK9" s="25"/>
      <c r="AL9" s="158"/>
      <c r="AM9" s="25"/>
      <c r="AN9" s="158"/>
      <c r="AO9" s="25"/>
      <c r="AP9" s="25"/>
      <c r="AQ9" s="158"/>
      <c r="AR9" s="35">
        <f t="shared" si="9"/>
        <v>0</v>
      </c>
      <c r="AS9" s="172" t="str">
        <f t="shared" si="10"/>
        <v/>
      </c>
      <c r="AT9" s="36">
        <f t="shared" si="11"/>
        <v>0</v>
      </c>
      <c r="AU9" s="173"/>
      <c r="AV9" s="82">
        <f t="shared" si="12"/>
        <v>5</v>
      </c>
      <c r="AW9" s="37"/>
      <c r="AX9" s="174" t="str">
        <f t="shared" si="13"/>
        <v/>
      </c>
      <c r="AY9" s="37"/>
      <c r="AZ9" s="174" t="str">
        <f t="shared" si="14"/>
        <v/>
      </c>
      <c r="BA9" s="37"/>
      <c r="BB9" s="174" t="str">
        <f t="shared" si="15"/>
        <v/>
      </c>
      <c r="BC9" s="37"/>
      <c r="BD9" s="174" t="str">
        <f t="shared" si="16"/>
        <v/>
      </c>
      <c r="BE9" s="37"/>
      <c r="BF9" s="174" t="str">
        <f t="shared" si="17"/>
        <v/>
      </c>
      <c r="BG9" s="37"/>
      <c r="BH9" s="174" t="str">
        <f t="shared" si="18"/>
        <v/>
      </c>
      <c r="BI9" s="37"/>
      <c r="BJ9" s="174" t="str">
        <f t="shared" si="19"/>
        <v/>
      </c>
      <c r="BK9" s="37"/>
      <c r="BL9" s="174" t="str">
        <f t="shared" si="20"/>
        <v/>
      </c>
      <c r="BM9" s="37"/>
      <c r="BN9" s="174" t="str">
        <f t="shared" si="21"/>
        <v/>
      </c>
      <c r="BO9" s="37"/>
      <c r="BP9" s="174" t="str">
        <f t="shared" si="22"/>
        <v/>
      </c>
      <c r="BQ9" s="37"/>
      <c r="BR9" s="174" t="str">
        <f t="shared" si="23"/>
        <v/>
      </c>
      <c r="BS9" s="37"/>
      <c r="BT9" s="174" t="str">
        <f t="shared" si="24"/>
        <v/>
      </c>
      <c r="BU9" s="37"/>
      <c r="BV9" s="174" t="str">
        <f t="shared" si="25"/>
        <v/>
      </c>
      <c r="BW9" s="37"/>
      <c r="BX9" s="174" t="str">
        <f t="shared" si="26"/>
        <v/>
      </c>
      <c r="BY9" s="37"/>
      <c r="BZ9" s="174" t="str">
        <f t="shared" si="27"/>
        <v/>
      </c>
      <c r="CA9" s="37"/>
      <c r="CB9" s="174" t="str">
        <f t="shared" si="28"/>
        <v/>
      </c>
      <c r="CC9" s="37"/>
      <c r="CD9" s="174" t="str">
        <f t="shared" si="29"/>
        <v/>
      </c>
      <c r="CE9" s="37"/>
      <c r="CF9" s="174" t="str">
        <f t="shared" si="30"/>
        <v/>
      </c>
      <c r="CG9" s="37"/>
      <c r="CH9" s="174" t="str">
        <f t="shared" si="31"/>
        <v/>
      </c>
      <c r="CI9" s="37"/>
      <c r="CJ9" s="174" t="str">
        <f t="shared" si="32"/>
        <v/>
      </c>
      <c r="CK9" s="37"/>
      <c r="CL9" s="174" t="str">
        <f t="shared" si="33"/>
        <v/>
      </c>
      <c r="CM9" s="37"/>
      <c r="CN9" s="174" t="str">
        <f t="shared" si="34"/>
        <v/>
      </c>
      <c r="CO9" s="37"/>
      <c r="CP9" s="174" t="str">
        <f t="shared" si="35"/>
        <v/>
      </c>
      <c r="CQ9" s="37"/>
      <c r="CR9" s="174" t="str">
        <f t="shared" si="36"/>
        <v/>
      </c>
      <c r="CS9" s="37"/>
      <c r="CT9" s="174" t="str">
        <f t="shared" si="37"/>
        <v/>
      </c>
      <c r="CU9" s="38"/>
      <c r="CV9" s="87"/>
      <c r="CW9" s="90"/>
      <c r="CX9" s="38"/>
      <c r="CY9" s="39"/>
      <c r="CZ9" s="37"/>
      <c r="DA9" s="39"/>
      <c r="DB9" s="24">
        <v>5</v>
      </c>
      <c r="DC9" s="96" t="str">
        <f t="shared" si="38"/>
        <v>木</v>
      </c>
      <c r="DF9" s="125"/>
      <c r="DG9" s="40"/>
      <c r="DH9" s="40"/>
      <c r="DI9" s="40"/>
      <c r="DJ9" s="40"/>
      <c r="DK9" s="40"/>
      <c r="DL9" s="40"/>
      <c r="DM9" s="40"/>
      <c r="DN9" s="40"/>
      <c r="DO9" s="40"/>
      <c r="DP9" s="40">
        <f t="shared" si="39"/>
        <v>0</v>
      </c>
      <c r="DQ9" s="172" t="str">
        <f t="shared" si="40"/>
        <v/>
      </c>
      <c r="DS9" s="189"/>
      <c r="DT9" s="190"/>
      <c r="DU9" s="190"/>
      <c r="DV9" s="191"/>
      <c r="DW9" s="41"/>
      <c r="DX9" s="42"/>
      <c r="DY9" s="139"/>
      <c r="DZ9" s="139"/>
      <c r="EA9" s="139"/>
      <c r="EB9" s="139"/>
    </row>
    <row r="10" spans="1:132" ht="13.5" customHeight="1" x14ac:dyDescent="0.4">
      <c r="A10" s="104">
        <v>6</v>
      </c>
      <c r="B10" s="23" t="s">
        <v>86</v>
      </c>
      <c r="C10" s="164"/>
      <c r="D10" s="164"/>
      <c r="E10" s="24"/>
      <c r="F10" s="29"/>
      <c r="G10" s="25" t="str">
        <f>IF(SUM($F$5:F10)=0,"",SUM($F$5:F10))</f>
        <v/>
      </c>
      <c r="H10" s="43" t="str">
        <f t="shared" si="0"/>
        <v/>
      </c>
      <c r="I10" s="148" t="e">
        <f t="array" aca="1" ref="I10" ca="1">IF($A11="",$G10/($V10-$U$5+INDIRECT(IF(_xlfn.SHEET()&lt;6,"令和8年"&amp;_xlfn.SHEET()+7&amp;"月","令和9年"&amp;_xlfn.SHEET()-5&amp;"月")&amp;"!$U$5")),$G10/($V11-$U$5))</f>
        <v>#VALUE!</v>
      </c>
      <c r="J10" s="26" t="str">
        <f t="shared" si="1"/>
        <v/>
      </c>
      <c r="K10" s="27"/>
      <c r="L10" s="165">
        <f t="shared" si="2"/>
        <v>0</v>
      </c>
      <c r="M10" s="28" t="str">
        <f t="shared" si="3"/>
        <v/>
      </c>
      <c r="N10" s="166" t="str">
        <f t="shared" si="4"/>
        <v/>
      </c>
      <c r="O10" s="167" t="str">
        <f t="shared" si="5"/>
        <v/>
      </c>
      <c r="P10" s="168"/>
      <c r="Q10" s="169" t="str">
        <f t="shared" si="6"/>
        <v/>
      </c>
      <c r="R10" s="170">
        <v>21</v>
      </c>
      <c r="S10" s="171">
        <v>11</v>
      </c>
      <c r="T10" s="24" t="s">
        <v>84</v>
      </c>
      <c r="U10" s="29">
        <v>273386</v>
      </c>
      <c r="V10" s="30">
        <f t="shared" si="41"/>
        <v>2564887</v>
      </c>
      <c r="W10" s="27">
        <v>198</v>
      </c>
      <c r="X10" s="31">
        <f t="shared" si="7"/>
        <v>1380.7373737373737</v>
      </c>
      <c r="Y10" s="29">
        <v>173297</v>
      </c>
      <c r="Z10" s="32">
        <f t="shared" si="42"/>
        <v>2434781</v>
      </c>
      <c r="AA10" s="33">
        <f t="shared" si="8"/>
        <v>1.0534364281633544</v>
      </c>
      <c r="AB10" s="158">
        <v>220000</v>
      </c>
      <c r="AC10" s="34">
        <f t="shared" si="43"/>
        <v>2240000</v>
      </c>
      <c r="AD10" s="158"/>
      <c r="AE10" s="25"/>
      <c r="AF10" s="25"/>
      <c r="AG10" s="25"/>
      <c r="AH10" s="25"/>
      <c r="AI10" s="25"/>
      <c r="AJ10" s="25"/>
      <c r="AK10" s="25"/>
      <c r="AL10" s="158"/>
      <c r="AM10" s="25"/>
      <c r="AN10" s="158"/>
      <c r="AO10" s="25"/>
      <c r="AP10" s="25"/>
      <c r="AQ10" s="158"/>
      <c r="AR10" s="35">
        <f t="shared" si="9"/>
        <v>0</v>
      </c>
      <c r="AS10" s="172" t="str">
        <f t="shared" si="10"/>
        <v/>
      </c>
      <c r="AT10" s="36">
        <f t="shared" si="11"/>
        <v>0</v>
      </c>
      <c r="AU10" s="173"/>
      <c r="AV10" s="82">
        <f t="shared" si="12"/>
        <v>6</v>
      </c>
      <c r="AW10" s="37"/>
      <c r="AX10" s="174" t="str">
        <f t="shared" si="13"/>
        <v/>
      </c>
      <c r="AY10" s="37"/>
      <c r="AZ10" s="174" t="str">
        <f t="shared" si="14"/>
        <v/>
      </c>
      <c r="BA10" s="37"/>
      <c r="BB10" s="174" t="str">
        <f t="shared" si="15"/>
        <v/>
      </c>
      <c r="BC10" s="37"/>
      <c r="BD10" s="174" t="str">
        <f t="shared" si="16"/>
        <v/>
      </c>
      <c r="BE10" s="37"/>
      <c r="BF10" s="174" t="str">
        <f t="shared" si="17"/>
        <v/>
      </c>
      <c r="BG10" s="37"/>
      <c r="BH10" s="174" t="str">
        <f t="shared" si="18"/>
        <v/>
      </c>
      <c r="BI10" s="37"/>
      <c r="BJ10" s="174" t="str">
        <f t="shared" si="19"/>
        <v/>
      </c>
      <c r="BK10" s="37"/>
      <c r="BL10" s="174" t="str">
        <f t="shared" si="20"/>
        <v/>
      </c>
      <c r="BM10" s="37"/>
      <c r="BN10" s="174" t="str">
        <f t="shared" si="21"/>
        <v/>
      </c>
      <c r="BO10" s="37"/>
      <c r="BP10" s="174" t="str">
        <f t="shared" si="22"/>
        <v/>
      </c>
      <c r="BQ10" s="37"/>
      <c r="BR10" s="174" t="str">
        <f t="shared" si="23"/>
        <v/>
      </c>
      <c r="BS10" s="37"/>
      <c r="BT10" s="174" t="str">
        <f t="shared" si="24"/>
        <v/>
      </c>
      <c r="BU10" s="37"/>
      <c r="BV10" s="174" t="str">
        <f t="shared" si="25"/>
        <v/>
      </c>
      <c r="BW10" s="37"/>
      <c r="BX10" s="174" t="str">
        <f t="shared" si="26"/>
        <v/>
      </c>
      <c r="BY10" s="37"/>
      <c r="BZ10" s="174" t="str">
        <f t="shared" si="27"/>
        <v/>
      </c>
      <c r="CA10" s="37"/>
      <c r="CB10" s="174" t="str">
        <f t="shared" si="28"/>
        <v/>
      </c>
      <c r="CC10" s="37"/>
      <c r="CD10" s="174" t="str">
        <f t="shared" si="29"/>
        <v/>
      </c>
      <c r="CE10" s="37"/>
      <c r="CF10" s="174" t="str">
        <f t="shared" si="30"/>
        <v/>
      </c>
      <c r="CG10" s="37"/>
      <c r="CH10" s="174" t="str">
        <f t="shared" si="31"/>
        <v/>
      </c>
      <c r="CI10" s="37"/>
      <c r="CJ10" s="174" t="str">
        <f t="shared" si="32"/>
        <v/>
      </c>
      <c r="CK10" s="37"/>
      <c r="CL10" s="174" t="str">
        <f t="shared" si="33"/>
        <v/>
      </c>
      <c r="CM10" s="37"/>
      <c r="CN10" s="174" t="str">
        <f t="shared" si="34"/>
        <v/>
      </c>
      <c r="CO10" s="37"/>
      <c r="CP10" s="174" t="str">
        <f t="shared" si="35"/>
        <v/>
      </c>
      <c r="CQ10" s="37"/>
      <c r="CR10" s="174" t="str">
        <f t="shared" si="36"/>
        <v/>
      </c>
      <c r="CS10" s="37"/>
      <c r="CT10" s="174" t="str">
        <f t="shared" si="37"/>
        <v/>
      </c>
      <c r="CU10" s="38"/>
      <c r="CV10" s="87"/>
      <c r="CW10" s="90"/>
      <c r="CX10" s="38"/>
      <c r="CY10" s="39"/>
      <c r="CZ10" s="37"/>
      <c r="DA10" s="39"/>
      <c r="DB10" s="24">
        <v>6</v>
      </c>
      <c r="DC10" s="96" t="str">
        <f t="shared" si="38"/>
        <v>金</v>
      </c>
      <c r="DF10" s="125"/>
      <c r="DG10" s="40"/>
      <c r="DH10" s="40"/>
      <c r="DI10" s="40"/>
      <c r="DJ10" s="40"/>
      <c r="DK10" s="40"/>
      <c r="DL10" s="40"/>
      <c r="DM10" s="40"/>
      <c r="DN10" s="40"/>
      <c r="DO10" s="40"/>
      <c r="DP10" s="40">
        <f t="shared" si="39"/>
        <v>0</v>
      </c>
      <c r="DQ10" s="172" t="str">
        <f t="shared" si="40"/>
        <v/>
      </c>
      <c r="DS10" s="189"/>
      <c r="DT10" s="190"/>
      <c r="DU10" s="190"/>
      <c r="DV10" s="191"/>
      <c r="DW10" s="138"/>
      <c r="DX10" s="42"/>
      <c r="DY10" s="139"/>
      <c r="DZ10" s="139"/>
      <c r="EA10" s="139"/>
      <c r="EB10" s="139"/>
    </row>
    <row r="11" spans="1:132" ht="13.5" customHeight="1" x14ac:dyDescent="0.4">
      <c r="A11" s="104">
        <v>7</v>
      </c>
      <c r="B11" s="23" t="s">
        <v>88</v>
      </c>
      <c r="C11" s="164"/>
      <c r="D11" s="164"/>
      <c r="E11" s="24"/>
      <c r="F11" s="29"/>
      <c r="G11" s="25" t="str">
        <f>IF(SUM($F$5:F11)=0,"",SUM($F$5:F11))</f>
        <v/>
      </c>
      <c r="H11" s="43" t="str">
        <f t="shared" si="0"/>
        <v/>
      </c>
      <c r="I11" s="148" t="e">
        <f t="array" aca="1" ref="I11" ca="1">IF($A12="",$G11/($V11-$U$5+INDIRECT(IF(_xlfn.SHEET()&lt;6,"令和8年"&amp;_xlfn.SHEET()+7&amp;"月","令和9年"&amp;_xlfn.SHEET()-5&amp;"月")&amp;"!$U$5")),$G11/($V12-$U$5))</f>
        <v>#VALUE!</v>
      </c>
      <c r="J11" s="26" t="str">
        <f t="shared" si="1"/>
        <v/>
      </c>
      <c r="K11" s="27"/>
      <c r="L11" s="165">
        <f t="shared" si="2"/>
        <v>0</v>
      </c>
      <c r="M11" s="28" t="str">
        <f t="shared" si="3"/>
        <v/>
      </c>
      <c r="N11" s="166" t="str">
        <f t="shared" si="4"/>
        <v/>
      </c>
      <c r="O11" s="167" t="str">
        <f t="shared" si="5"/>
        <v/>
      </c>
      <c r="P11" s="168"/>
      <c r="Q11" s="169" t="str">
        <f t="shared" si="6"/>
        <v/>
      </c>
      <c r="R11" s="170">
        <v>21</v>
      </c>
      <c r="S11" s="171">
        <v>9</v>
      </c>
      <c r="T11" s="24" t="s">
        <v>84</v>
      </c>
      <c r="U11" s="29">
        <v>208830</v>
      </c>
      <c r="V11" s="30">
        <f t="shared" si="41"/>
        <v>2773717</v>
      </c>
      <c r="W11" s="27">
        <v>132</v>
      </c>
      <c r="X11" s="31">
        <f t="shared" si="7"/>
        <v>1582.0454545454545</v>
      </c>
      <c r="Y11" s="29">
        <v>176258</v>
      </c>
      <c r="Z11" s="32">
        <f t="shared" si="42"/>
        <v>2611039</v>
      </c>
      <c r="AA11" s="33">
        <f t="shared" si="8"/>
        <v>1.0623039334150122</v>
      </c>
      <c r="AB11" s="158">
        <v>680000</v>
      </c>
      <c r="AC11" s="34">
        <f t="shared" si="43"/>
        <v>2920000</v>
      </c>
      <c r="AD11" s="158"/>
      <c r="AE11" s="25"/>
      <c r="AF11" s="25"/>
      <c r="AG11" s="25"/>
      <c r="AH11" s="25"/>
      <c r="AI11" s="25"/>
      <c r="AJ11" s="25"/>
      <c r="AK11" s="25"/>
      <c r="AL11" s="158"/>
      <c r="AM11" s="25"/>
      <c r="AN11" s="158"/>
      <c r="AO11" s="25"/>
      <c r="AP11" s="25"/>
      <c r="AQ11" s="158"/>
      <c r="AR11" s="35">
        <f t="shared" si="9"/>
        <v>0</v>
      </c>
      <c r="AS11" s="172" t="str">
        <f t="shared" si="10"/>
        <v/>
      </c>
      <c r="AT11" s="36">
        <f t="shared" si="11"/>
        <v>0</v>
      </c>
      <c r="AU11" s="173"/>
      <c r="AV11" s="82">
        <f t="shared" si="12"/>
        <v>7</v>
      </c>
      <c r="AW11" s="37"/>
      <c r="AX11" s="174" t="str">
        <f t="shared" si="13"/>
        <v/>
      </c>
      <c r="AY11" s="37"/>
      <c r="AZ11" s="174" t="str">
        <f t="shared" si="14"/>
        <v/>
      </c>
      <c r="BA11" s="37"/>
      <c r="BB11" s="174" t="str">
        <f t="shared" si="15"/>
        <v/>
      </c>
      <c r="BC11" s="37"/>
      <c r="BD11" s="174" t="str">
        <f t="shared" si="16"/>
        <v/>
      </c>
      <c r="BE11" s="37"/>
      <c r="BF11" s="174" t="str">
        <f t="shared" si="17"/>
        <v/>
      </c>
      <c r="BG11" s="37"/>
      <c r="BH11" s="174" t="str">
        <f t="shared" si="18"/>
        <v/>
      </c>
      <c r="BI11" s="37"/>
      <c r="BJ11" s="174" t="str">
        <f t="shared" si="19"/>
        <v/>
      </c>
      <c r="BK11" s="37"/>
      <c r="BL11" s="174" t="str">
        <f t="shared" si="20"/>
        <v/>
      </c>
      <c r="BM11" s="37"/>
      <c r="BN11" s="174" t="str">
        <f t="shared" si="21"/>
        <v/>
      </c>
      <c r="BO11" s="37"/>
      <c r="BP11" s="174" t="str">
        <f t="shared" si="22"/>
        <v/>
      </c>
      <c r="BQ11" s="37"/>
      <c r="BR11" s="174" t="str">
        <f t="shared" si="23"/>
        <v/>
      </c>
      <c r="BS11" s="37"/>
      <c r="BT11" s="174" t="str">
        <f t="shared" si="24"/>
        <v/>
      </c>
      <c r="BU11" s="37"/>
      <c r="BV11" s="174" t="str">
        <f t="shared" si="25"/>
        <v/>
      </c>
      <c r="BW11" s="37"/>
      <c r="BX11" s="174" t="str">
        <f t="shared" si="26"/>
        <v/>
      </c>
      <c r="BY11" s="37"/>
      <c r="BZ11" s="174" t="str">
        <f t="shared" si="27"/>
        <v/>
      </c>
      <c r="CA11" s="37"/>
      <c r="CB11" s="174" t="str">
        <f t="shared" si="28"/>
        <v/>
      </c>
      <c r="CC11" s="37"/>
      <c r="CD11" s="174" t="str">
        <f t="shared" si="29"/>
        <v/>
      </c>
      <c r="CE11" s="37"/>
      <c r="CF11" s="174" t="str">
        <f t="shared" si="30"/>
        <v/>
      </c>
      <c r="CG11" s="37"/>
      <c r="CH11" s="174" t="str">
        <f t="shared" si="31"/>
        <v/>
      </c>
      <c r="CI11" s="37"/>
      <c r="CJ11" s="174" t="str">
        <f t="shared" si="32"/>
        <v/>
      </c>
      <c r="CK11" s="37"/>
      <c r="CL11" s="174" t="str">
        <f t="shared" si="33"/>
        <v/>
      </c>
      <c r="CM11" s="37"/>
      <c r="CN11" s="174" t="str">
        <f t="shared" si="34"/>
        <v/>
      </c>
      <c r="CO11" s="37"/>
      <c r="CP11" s="174" t="str">
        <f t="shared" si="35"/>
        <v/>
      </c>
      <c r="CQ11" s="37"/>
      <c r="CR11" s="174" t="str">
        <f t="shared" si="36"/>
        <v/>
      </c>
      <c r="CS11" s="37"/>
      <c r="CT11" s="174" t="str">
        <f t="shared" si="37"/>
        <v/>
      </c>
      <c r="CU11" s="38"/>
      <c r="CV11" s="87"/>
      <c r="CW11" s="90"/>
      <c r="CX11" s="38"/>
      <c r="CY11" s="39"/>
      <c r="CZ11" s="37"/>
      <c r="DA11" s="39"/>
      <c r="DB11" s="24">
        <v>7</v>
      </c>
      <c r="DC11" s="96" t="str">
        <f t="shared" si="38"/>
        <v>土</v>
      </c>
      <c r="DF11" s="125"/>
      <c r="DG11" s="40"/>
      <c r="DH11" s="40"/>
      <c r="DI11" s="40"/>
      <c r="DJ11" s="40"/>
      <c r="DK11" s="40"/>
      <c r="DL11" s="40"/>
      <c r="DM11" s="40"/>
      <c r="DN11" s="40"/>
      <c r="DO11" s="40"/>
      <c r="DP11" s="40">
        <f t="shared" si="39"/>
        <v>0</v>
      </c>
      <c r="DQ11" s="172" t="str">
        <f t="shared" si="40"/>
        <v/>
      </c>
      <c r="DS11" s="189"/>
      <c r="DT11" s="190"/>
      <c r="DU11" s="190"/>
      <c r="DV11" s="191"/>
      <c r="DW11" s="41"/>
      <c r="DX11" s="42"/>
    </row>
    <row r="12" spans="1:132" ht="13.5" customHeight="1" x14ac:dyDescent="0.4">
      <c r="A12" s="104">
        <v>8</v>
      </c>
      <c r="B12" s="23" t="s">
        <v>89</v>
      </c>
      <c r="C12" s="164"/>
      <c r="D12" s="164"/>
      <c r="E12" s="24"/>
      <c r="F12" s="29"/>
      <c r="G12" s="25" t="str">
        <f>IF(SUM($F$5:F12)=0,"",SUM($F$5:F12))</f>
        <v/>
      </c>
      <c r="H12" s="43" t="str">
        <f t="shared" si="0"/>
        <v/>
      </c>
      <c r="I12" s="148" t="e">
        <f t="array" aca="1" ref="I12" ca="1">IF($A13="",$G12/($V12-$U$5+INDIRECT(IF(_xlfn.SHEET()&lt;6,"令和8年"&amp;_xlfn.SHEET()+7&amp;"月","令和9年"&amp;_xlfn.SHEET()-5&amp;"月")&amp;"!$U$5")),$G12/($V13-$U$5))</f>
        <v>#VALUE!</v>
      </c>
      <c r="J12" s="26" t="str">
        <f t="shared" si="1"/>
        <v/>
      </c>
      <c r="K12" s="27"/>
      <c r="L12" s="165">
        <f t="shared" si="2"/>
        <v>0</v>
      </c>
      <c r="M12" s="28" t="str">
        <f t="shared" si="3"/>
        <v/>
      </c>
      <c r="N12" s="166" t="str">
        <f t="shared" si="4"/>
        <v/>
      </c>
      <c r="O12" s="167" t="str">
        <f t="shared" si="5"/>
        <v/>
      </c>
      <c r="P12" s="168"/>
      <c r="Q12" s="169" t="str">
        <f t="shared" si="6"/>
        <v/>
      </c>
      <c r="R12" s="170">
        <v>15</v>
      </c>
      <c r="S12" s="171">
        <v>12</v>
      </c>
      <c r="T12" s="24" t="s">
        <v>84</v>
      </c>
      <c r="U12" s="29">
        <v>491686</v>
      </c>
      <c r="V12" s="30">
        <f t="shared" si="41"/>
        <v>3265403</v>
      </c>
      <c r="W12" s="27">
        <v>346</v>
      </c>
      <c r="X12" s="31">
        <f t="shared" si="7"/>
        <v>1421.057803468208</v>
      </c>
      <c r="Y12" s="29">
        <v>217452</v>
      </c>
      <c r="Z12" s="32">
        <f t="shared" si="42"/>
        <v>2828491</v>
      </c>
      <c r="AA12" s="33">
        <f t="shared" si="8"/>
        <v>1.1544682305865566</v>
      </c>
      <c r="AB12" s="158">
        <v>680000</v>
      </c>
      <c r="AC12" s="34">
        <f t="shared" si="43"/>
        <v>3600000</v>
      </c>
      <c r="AD12" s="158"/>
      <c r="AE12" s="25"/>
      <c r="AF12" s="25"/>
      <c r="AG12" s="25"/>
      <c r="AH12" s="25"/>
      <c r="AI12" s="25"/>
      <c r="AJ12" s="25"/>
      <c r="AK12" s="25"/>
      <c r="AL12" s="158"/>
      <c r="AM12" s="25"/>
      <c r="AN12" s="158"/>
      <c r="AO12" s="25"/>
      <c r="AP12" s="25"/>
      <c r="AQ12" s="158"/>
      <c r="AR12" s="35">
        <f t="shared" si="9"/>
        <v>0</v>
      </c>
      <c r="AS12" s="172" t="str">
        <f t="shared" si="10"/>
        <v/>
      </c>
      <c r="AT12" s="36">
        <f t="shared" si="11"/>
        <v>0</v>
      </c>
      <c r="AU12" s="173"/>
      <c r="AV12" s="82">
        <f t="shared" si="12"/>
        <v>8</v>
      </c>
      <c r="AW12" s="37"/>
      <c r="AX12" s="174" t="str">
        <f t="shared" si="13"/>
        <v/>
      </c>
      <c r="AY12" s="37"/>
      <c r="AZ12" s="174" t="str">
        <f t="shared" si="14"/>
        <v/>
      </c>
      <c r="BA12" s="37"/>
      <c r="BB12" s="174" t="str">
        <f t="shared" si="15"/>
        <v/>
      </c>
      <c r="BC12" s="37"/>
      <c r="BD12" s="174" t="str">
        <f t="shared" si="16"/>
        <v/>
      </c>
      <c r="BE12" s="37"/>
      <c r="BF12" s="174" t="str">
        <f t="shared" si="17"/>
        <v/>
      </c>
      <c r="BG12" s="37"/>
      <c r="BH12" s="174" t="str">
        <f t="shared" si="18"/>
        <v/>
      </c>
      <c r="BI12" s="37"/>
      <c r="BJ12" s="174" t="str">
        <f t="shared" si="19"/>
        <v/>
      </c>
      <c r="BK12" s="37"/>
      <c r="BL12" s="174" t="str">
        <f t="shared" si="20"/>
        <v/>
      </c>
      <c r="BM12" s="37"/>
      <c r="BN12" s="174" t="str">
        <f t="shared" si="21"/>
        <v/>
      </c>
      <c r="BO12" s="37"/>
      <c r="BP12" s="174" t="str">
        <f t="shared" si="22"/>
        <v/>
      </c>
      <c r="BQ12" s="37"/>
      <c r="BR12" s="174" t="str">
        <f t="shared" si="23"/>
        <v/>
      </c>
      <c r="BS12" s="37"/>
      <c r="BT12" s="174" t="str">
        <f t="shared" si="24"/>
        <v/>
      </c>
      <c r="BU12" s="37"/>
      <c r="BV12" s="174" t="str">
        <f t="shared" si="25"/>
        <v/>
      </c>
      <c r="BW12" s="37"/>
      <c r="BX12" s="174" t="str">
        <f t="shared" si="26"/>
        <v/>
      </c>
      <c r="BY12" s="37"/>
      <c r="BZ12" s="174" t="str">
        <f t="shared" si="27"/>
        <v/>
      </c>
      <c r="CA12" s="37"/>
      <c r="CB12" s="174" t="str">
        <f t="shared" si="28"/>
        <v/>
      </c>
      <c r="CC12" s="37"/>
      <c r="CD12" s="174" t="str">
        <f t="shared" si="29"/>
        <v/>
      </c>
      <c r="CE12" s="37"/>
      <c r="CF12" s="174" t="str">
        <f t="shared" si="30"/>
        <v/>
      </c>
      <c r="CG12" s="37"/>
      <c r="CH12" s="174" t="str">
        <f t="shared" si="31"/>
        <v/>
      </c>
      <c r="CI12" s="37"/>
      <c r="CJ12" s="174" t="str">
        <f t="shared" si="32"/>
        <v/>
      </c>
      <c r="CK12" s="37"/>
      <c r="CL12" s="174" t="str">
        <f t="shared" si="33"/>
        <v/>
      </c>
      <c r="CM12" s="37"/>
      <c r="CN12" s="174" t="str">
        <f t="shared" si="34"/>
        <v/>
      </c>
      <c r="CO12" s="37"/>
      <c r="CP12" s="174" t="str">
        <f t="shared" si="35"/>
        <v/>
      </c>
      <c r="CQ12" s="37"/>
      <c r="CR12" s="174" t="str">
        <f t="shared" si="36"/>
        <v/>
      </c>
      <c r="CS12" s="37"/>
      <c r="CT12" s="174" t="str">
        <f t="shared" si="37"/>
        <v/>
      </c>
      <c r="CU12" s="38"/>
      <c r="CV12" s="87"/>
      <c r="CW12" s="90"/>
      <c r="CX12" s="38"/>
      <c r="CY12" s="39"/>
      <c r="CZ12" s="37"/>
      <c r="DA12" s="39"/>
      <c r="DB12" s="24">
        <v>8</v>
      </c>
      <c r="DC12" s="96" t="str">
        <f t="shared" si="38"/>
        <v>日</v>
      </c>
      <c r="DF12" s="125"/>
      <c r="DG12" s="40"/>
      <c r="DH12" s="40"/>
      <c r="DI12" s="40"/>
      <c r="DJ12" s="40"/>
      <c r="DK12" s="40"/>
      <c r="DL12" s="40"/>
      <c r="DM12" s="40"/>
      <c r="DN12" s="40"/>
      <c r="DO12" s="40"/>
      <c r="DP12" s="40">
        <f t="shared" si="39"/>
        <v>0</v>
      </c>
      <c r="DQ12" s="172" t="str">
        <f t="shared" si="40"/>
        <v/>
      </c>
      <c r="DS12" s="189"/>
      <c r="DT12" s="190"/>
      <c r="DU12" s="190"/>
      <c r="DV12" s="191"/>
      <c r="DW12" s="41"/>
      <c r="DX12" s="42"/>
    </row>
    <row r="13" spans="1:132" ht="13.5" customHeight="1" x14ac:dyDescent="0.4">
      <c r="A13" s="104">
        <v>9</v>
      </c>
      <c r="B13" s="141" t="s">
        <v>90</v>
      </c>
      <c r="C13" s="164"/>
      <c r="D13" s="164"/>
      <c r="E13" s="24"/>
      <c r="F13" s="29"/>
      <c r="G13" s="25" t="str">
        <f>IF(SUM($F$5:F13)=0,"",SUM($F$5:F13))</f>
        <v/>
      </c>
      <c r="H13" s="43" t="str">
        <f t="shared" si="0"/>
        <v/>
      </c>
      <c r="I13" s="148" t="e">
        <f t="array" aca="1" ref="I13" ca="1">IF($A14="",$G13/($V13-$U$5+INDIRECT(IF(_xlfn.SHEET()&lt;6,"令和8年"&amp;_xlfn.SHEET()+7&amp;"月","令和9年"&amp;_xlfn.SHEET()-5&amp;"月")&amp;"!$U$5")),$G13/($V14-$U$5))</f>
        <v>#VALUE!</v>
      </c>
      <c r="J13" s="26" t="str">
        <f t="shared" si="1"/>
        <v/>
      </c>
      <c r="K13" s="27"/>
      <c r="L13" s="165">
        <f t="shared" si="2"/>
        <v>0</v>
      </c>
      <c r="M13" s="28" t="str">
        <f t="shared" si="3"/>
        <v/>
      </c>
      <c r="N13" s="166" t="str">
        <f t="shared" si="4"/>
        <v/>
      </c>
      <c r="O13" s="167" t="str">
        <f t="shared" si="5"/>
        <v/>
      </c>
      <c r="P13" s="168"/>
      <c r="Q13" s="169" t="str">
        <f t="shared" si="6"/>
        <v/>
      </c>
      <c r="R13" s="170">
        <v>16</v>
      </c>
      <c r="S13" s="171">
        <v>14</v>
      </c>
      <c r="T13" s="24" t="s">
        <v>93</v>
      </c>
      <c r="U13" s="29">
        <v>655510</v>
      </c>
      <c r="V13" s="30">
        <f t="shared" si="41"/>
        <v>3920913</v>
      </c>
      <c r="W13" s="27">
        <v>373</v>
      </c>
      <c r="X13" s="31">
        <f t="shared" si="7"/>
        <v>1757.3994638069705</v>
      </c>
      <c r="Y13" s="29">
        <v>520621</v>
      </c>
      <c r="Z13" s="32">
        <f t="shared" si="42"/>
        <v>3349112</v>
      </c>
      <c r="AA13" s="33">
        <f t="shared" si="8"/>
        <v>1.1707321224252876</v>
      </c>
      <c r="AB13" s="158">
        <v>220000</v>
      </c>
      <c r="AC13" s="34">
        <f t="shared" si="43"/>
        <v>3820000</v>
      </c>
      <c r="AD13" s="158"/>
      <c r="AE13" s="25"/>
      <c r="AF13" s="25"/>
      <c r="AG13" s="25"/>
      <c r="AH13" s="25"/>
      <c r="AI13" s="25"/>
      <c r="AJ13" s="25"/>
      <c r="AK13" s="25"/>
      <c r="AL13" s="158"/>
      <c r="AM13" s="25"/>
      <c r="AN13" s="158"/>
      <c r="AO13" s="25"/>
      <c r="AP13" s="25"/>
      <c r="AQ13" s="158"/>
      <c r="AR13" s="35">
        <f t="shared" si="9"/>
        <v>0</v>
      </c>
      <c r="AS13" s="172" t="str">
        <f t="shared" si="10"/>
        <v/>
      </c>
      <c r="AT13" s="36">
        <f t="shared" si="11"/>
        <v>0</v>
      </c>
      <c r="AU13" s="173"/>
      <c r="AV13" s="82">
        <f t="shared" si="12"/>
        <v>9</v>
      </c>
      <c r="AW13" s="37"/>
      <c r="AX13" s="174" t="str">
        <f t="shared" si="13"/>
        <v/>
      </c>
      <c r="AY13" s="37"/>
      <c r="AZ13" s="174" t="str">
        <f t="shared" si="14"/>
        <v/>
      </c>
      <c r="BA13" s="37"/>
      <c r="BB13" s="174" t="str">
        <f t="shared" si="15"/>
        <v/>
      </c>
      <c r="BC13" s="37"/>
      <c r="BD13" s="174" t="str">
        <f t="shared" si="16"/>
        <v/>
      </c>
      <c r="BE13" s="37"/>
      <c r="BF13" s="174" t="str">
        <f t="shared" si="17"/>
        <v/>
      </c>
      <c r="BG13" s="37"/>
      <c r="BH13" s="174" t="str">
        <f t="shared" si="18"/>
        <v/>
      </c>
      <c r="BI13" s="37"/>
      <c r="BJ13" s="174" t="str">
        <f t="shared" si="19"/>
        <v/>
      </c>
      <c r="BK13" s="37"/>
      <c r="BL13" s="174" t="str">
        <f t="shared" si="20"/>
        <v/>
      </c>
      <c r="BM13" s="37"/>
      <c r="BN13" s="174" t="str">
        <f t="shared" si="21"/>
        <v/>
      </c>
      <c r="BO13" s="37"/>
      <c r="BP13" s="174" t="str">
        <f t="shared" si="22"/>
        <v/>
      </c>
      <c r="BQ13" s="37"/>
      <c r="BR13" s="174" t="str">
        <f t="shared" si="23"/>
        <v/>
      </c>
      <c r="BS13" s="37"/>
      <c r="BT13" s="174" t="str">
        <f t="shared" si="24"/>
        <v/>
      </c>
      <c r="BU13" s="37"/>
      <c r="BV13" s="174" t="str">
        <f t="shared" si="25"/>
        <v/>
      </c>
      <c r="BW13" s="37"/>
      <c r="BX13" s="174" t="str">
        <f t="shared" si="26"/>
        <v/>
      </c>
      <c r="BY13" s="37"/>
      <c r="BZ13" s="174" t="str">
        <f t="shared" si="27"/>
        <v/>
      </c>
      <c r="CA13" s="37"/>
      <c r="CB13" s="174" t="str">
        <f t="shared" si="28"/>
        <v/>
      </c>
      <c r="CC13" s="37"/>
      <c r="CD13" s="174" t="str">
        <f t="shared" si="29"/>
        <v/>
      </c>
      <c r="CE13" s="37"/>
      <c r="CF13" s="174" t="str">
        <f t="shared" si="30"/>
        <v/>
      </c>
      <c r="CG13" s="37"/>
      <c r="CH13" s="174" t="str">
        <f t="shared" si="31"/>
        <v/>
      </c>
      <c r="CI13" s="37"/>
      <c r="CJ13" s="174" t="str">
        <f t="shared" si="32"/>
        <v/>
      </c>
      <c r="CK13" s="37"/>
      <c r="CL13" s="174" t="str">
        <f t="shared" si="33"/>
        <v/>
      </c>
      <c r="CM13" s="37"/>
      <c r="CN13" s="174" t="str">
        <f t="shared" si="34"/>
        <v/>
      </c>
      <c r="CO13" s="37"/>
      <c r="CP13" s="174" t="str">
        <f t="shared" si="35"/>
        <v/>
      </c>
      <c r="CQ13" s="37"/>
      <c r="CR13" s="174" t="str">
        <f t="shared" si="36"/>
        <v/>
      </c>
      <c r="CS13" s="37"/>
      <c r="CT13" s="174" t="str">
        <f t="shared" si="37"/>
        <v/>
      </c>
      <c r="CU13" s="38"/>
      <c r="CV13" s="87"/>
      <c r="CW13" s="90"/>
      <c r="CX13" s="38"/>
      <c r="CY13" s="39"/>
      <c r="CZ13" s="37"/>
      <c r="DA13" s="39"/>
      <c r="DB13" s="24">
        <v>9</v>
      </c>
      <c r="DC13" s="96" t="str">
        <f t="shared" si="38"/>
        <v>月</v>
      </c>
      <c r="DF13" s="125"/>
      <c r="DG13" s="40"/>
      <c r="DH13" s="40"/>
      <c r="DI13" s="40"/>
      <c r="DJ13" s="40"/>
      <c r="DK13" s="40"/>
      <c r="DL13" s="40"/>
      <c r="DM13" s="40"/>
      <c r="DN13" s="40"/>
      <c r="DO13" s="40"/>
      <c r="DP13" s="40">
        <f t="shared" si="39"/>
        <v>0</v>
      </c>
      <c r="DQ13" s="172" t="str">
        <f t="shared" si="40"/>
        <v/>
      </c>
      <c r="DS13" s="189"/>
      <c r="DT13" s="190"/>
      <c r="DU13" s="190"/>
      <c r="DV13" s="191"/>
      <c r="DW13" s="138"/>
      <c r="DX13" s="42"/>
    </row>
    <row r="14" spans="1:132" ht="13.5" customHeight="1" x14ac:dyDescent="0.4">
      <c r="A14" s="104">
        <v>10</v>
      </c>
      <c r="B14" s="23" t="s">
        <v>91</v>
      </c>
      <c r="C14" s="164"/>
      <c r="D14" s="164"/>
      <c r="E14" s="24"/>
      <c r="F14" s="29"/>
      <c r="G14" s="25" t="str">
        <f>IF(SUM($F$5:F14)=0,"",SUM($F$5:F14))</f>
        <v/>
      </c>
      <c r="H14" s="43" t="str">
        <f t="shared" si="0"/>
        <v/>
      </c>
      <c r="I14" s="148" t="e">
        <f t="array" aca="1" ref="I14" ca="1">IF($A15="",$G14/($V14-$U$5+INDIRECT(IF(_xlfn.SHEET()&lt;6,"令和8年"&amp;_xlfn.SHEET()+7&amp;"月","令和9年"&amp;_xlfn.SHEET()-5&amp;"月")&amp;"!$U$5")),$G14/($V15-$U$5))</f>
        <v>#VALUE!</v>
      </c>
      <c r="J14" s="26" t="str">
        <f t="shared" si="1"/>
        <v/>
      </c>
      <c r="K14" s="27"/>
      <c r="L14" s="165">
        <f t="shared" si="2"/>
        <v>0</v>
      </c>
      <c r="M14" s="28" t="str">
        <f t="shared" si="3"/>
        <v/>
      </c>
      <c r="N14" s="166" t="str">
        <f t="shared" si="4"/>
        <v/>
      </c>
      <c r="O14" s="167" t="str">
        <f t="shared" si="5"/>
        <v/>
      </c>
      <c r="P14" s="168"/>
      <c r="Q14" s="169" t="str">
        <f t="shared" si="6"/>
        <v/>
      </c>
      <c r="R14" s="170">
        <v>18</v>
      </c>
      <c r="S14" s="171">
        <v>8</v>
      </c>
      <c r="T14" s="24" t="s">
        <v>84</v>
      </c>
      <c r="U14" s="29">
        <v>170630</v>
      </c>
      <c r="V14" s="30">
        <f t="shared" si="41"/>
        <v>4091543</v>
      </c>
      <c r="W14" s="27">
        <v>162</v>
      </c>
      <c r="X14" s="31">
        <f t="shared" si="7"/>
        <v>1053.2716049382716</v>
      </c>
      <c r="Y14" s="29">
        <v>617194</v>
      </c>
      <c r="Z14" s="32">
        <f t="shared" si="42"/>
        <v>3966306</v>
      </c>
      <c r="AA14" s="33">
        <f t="shared" si="8"/>
        <v>1.0315752238985092</v>
      </c>
      <c r="AB14" s="158">
        <v>220000</v>
      </c>
      <c r="AC14" s="34">
        <f t="shared" si="43"/>
        <v>4040000</v>
      </c>
      <c r="AD14" s="158"/>
      <c r="AE14" s="25"/>
      <c r="AF14" s="25"/>
      <c r="AG14" s="25"/>
      <c r="AH14" s="25"/>
      <c r="AI14" s="25"/>
      <c r="AJ14" s="25"/>
      <c r="AK14" s="25"/>
      <c r="AL14" s="158"/>
      <c r="AM14" s="25"/>
      <c r="AN14" s="158"/>
      <c r="AO14" s="25"/>
      <c r="AP14" s="25"/>
      <c r="AQ14" s="158"/>
      <c r="AR14" s="35">
        <f t="shared" si="9"/>
        <v>0</v>
      </c>
      <c r="AS14" s="172" t="str">
        <f t="shared" si="10"/>
        <v/>
      </c>
      <c r="AT14" s="36">
        <f t="shared" si="11"/>
        <v>0</v>
      </c>
      <c r="AU14" s="173"/>
      <c r="AV14" s="82">
        <f t="shared" si="12"/>
        <v>10</v>
      </c>
      <c r="AW14" s="37"/>
      <c r="AX14" s="174" t="str">
        <f t="shared" si="13"/>
        <v/>
      </c>
      <c r="AY14" s="37"/>
      <c r="AZ14" s="174" t="str">
        <f t="shared" si="14"/>
        <v/>
      </c>
      <c r="BA14" s="37"/>
      <c r="BB14" s="174" t="str">
        <f t="shared" si="15"/>
        <v/>
      </c>
      <c r="BC14" s="37"/>
      <c r="BD14" s="174" t="str">
        <f t="shared" si="16"/>
        <v/>
      </c>
      <c r="BE14" s="37"/>
      <c r="BF14" s="174" t="str">
        <f t="shared" si="17"/>
        <v/>
      </c>
      <c r="BG14" s="37"/>
      <c r="BH14" s="174" t="str">
        <f t="shared" si="18"/>
        <v/>
      </c>
      <c r="BI14" s="37"/>
      <c r="BJ14" s="174" t="str">
        <f t="shared" si="19"/>
        <v/>
      </c>
      <c r="BK14" s="37"/>
      <c r="BL14" s="174" t="str">
        <f t="shared" si="20"/>
        <v/>
      </c>
      <c r="BM14" s="37"/>
      <c r="BN14" s="174" t="str">
        <f t="shared" si="21"/>
        <v/>
      </c>
      <c r="BO14" s="37"/>
      <c r="BP14" s="174" t="str">
        <f t="shared" si="22"/>
        <v/>
      </c>
      <c r="BQ14" s="37"/>
      <c r="BR14" s="174" t="str">
        <f t="shared" si="23"/>
        <v/>
      </c>
      <c r="BS14" s="37"/>
      <c r="BT14" s="174" t="str">
        <f t="shared" si="24"/>
        <v/>
      </c>
      <c r="BU14" s="37"/>
      <c r="BV14" s="174" t="str">
        <f t="shared" si="25"/>
        <v/>
      </c>
      <c r="BW14" s="37"/>
      <c r="BX14" s="174" t="str">
        <f t="shared" si="26"/>
        <v/>
      </c>
      <c r="BY14" s="37"/>
      <c r="BZ14" s="174" t="str">
        <f t="shared" si="27"/>
        <v/>
      </c>
      <c r="CA14" s="37"/>
      <c r="CB14" s="174" t="str">
        <f t="shared" si="28"/>
        <v/>
      </c>
      <c r="CC14" s="37"/>
      <c r="CD14" s="174" t="str">
        <f t="shared" si="29"/>
        <v/>
      </c>
      <c r="CE14" s="37"/>
      <c r="CF14" s="174" t="str">
        <f t="shared" si="30"/>
        <v/>
      </c>
      <c r="CG14" s="37"/>
      <c r="CH14" s="174" t="str">
        <f t="shared" si="31"/>
        <v/>
      </c>
      <c r="CI14" s="37"/>
      <c r="CJ14" s="174" t="str">
        <f t="shared" si="32"/>
        <v/>
      </c>
      <c r="CK14" s="37"/>
      <c r="CL14" s="174" t="str">
        <f t="shared" si="33"/>
        <v/>
      </c>
      <c r="CM14" s="37"/>
      <c r="CN14" s="174" t="str">
        <f t="shared" si="34"/>
        <v/>
      </c>
      <c r="CO14" s="37"/>
      <c r="CP14" s="174" t="str">
        <f t="shared" si="35"/>
        <v/>
      </c>
      <c r="CQ14" s="37"/>
      <c r="CR14" s="174" t="str">
        <f t="shared" si="36"/>
        <v/>
      </c>
      <c r="CS14" s="37"/>
      <c r="CT14" s="174" t="str">
        <f t="shared" si="37"/>
        <v/>
      </c>
      <c r="CU14" s="38"/>
      <c r="CV14" s="87"/>
      <c r="CW14" s="90"/>
      <c r="CX14" s="38"/>
      <c r="CY14" s="39"/>
      <c r="CZ14" s="37"/>
      <c r="DA14" s="39"/>
      <c r="DB14" s="24">
        <v>10</v>
      </c>
      <c r="DC14" s="96" t="str">
        <f t="shared" si="38"/>
        <v>火</v>
      </c>
      <c r="DF14" s="125"/>
      <c r="DG14" s="40"/>
      <c r="DH14" s="40"/>
      <c r="DI14" s="40"/>
      <c r="DJ14" s="40"/>
      <c r="DK14" s="40"/>
      <c r="DL14" s="40"/>
      <c r="DM14" s="40"/>
      <c r="DN14" s="40"/>
      <c r="DO14" s="40"/>
      <c r="DP14" s="40">
        <f t="shared" si="39"/>
        <v>0</v>
      </c>
      <c r="DQ14" s="172" t="str">
        <f t="shared" si="40"/>
        <v/>
      </c>
      <c r="DS14" s="189"/>
      <c r="DT14" s="190"/>
      <c r="DU14" s="190"/>
      <c r="DV14" s="191"/>
      <c r="DW14" s="41"/>
      <c r="DX14" s="42"/>
    </row>
    <row r="15" spans="1:132" ht="13.5" customHeight="1" x14ac:dyDescent="0.4">
      <c r="A15" s="104">
        <v>11</v>
      </c>
      <c r="B15" s="23" t="s">
        <v>83</v>
      </c>
      <c r="C15" s="164"/>
      <c r="D15" s="164"/>
      <c r="E15" s="24"/>
      <c r="F15" s="29"/>
      <c r="G15" s="25" t="str">
        <f>IF(SUM($F$5:F15)=0,"",SUM($F$5:F15))</f>
        <v/>
      </c>
      <c r="H15" s="43" t="str">
        <f t="shared" si="0"/>
        <v/>
      </c>
      <c r="I15" s="148" t="e">
        <f t="array" aca="1" ref="I15" ca="1">IF($A16="",$G15/($V15-$U$5+INDIRECT(IF(_xlfn.SHEET()&lt;6,"令和8年"&amp;_xlfn.SHEET()+7&amp;"月","令和9年"&amp;_xlfn.SHEET()-5&amp;"月")&amp;"!$U$5")),$G15/($V16-$U$5))</f>
        <v>#VALUE!</v>
      </c>
      <c r="J15" s="26" t="str">
        <f t="shared" si="1"/>
        <v/>
      </c>
      <c r="K15" s="27"/>
      <c r="L15" s="165">
        <f t="shared" si="2"/>
        <v>0</v>
      </c>
      <c r="M15" s="28" t="str">
        <f t="shared" si="3"/>
        <v/>
      </c>
      <c r="N15" s="166" t="str">
        <f t="shared" si="4"/>
        <v/>
      </c>
      <c r="O15" s="167" t="str">
        <f t="shared" si="5"/>
        <v/>
      </c>
      <c r="P15" s="168"/>
      <c r="Q15" s="169" t="str">
        <f t="shared" si="6"/>
        <v/>
      </c>
      <c r="R15" s="170">
        <v>17</v>
      </c>
      <c r="S15" s="171">
        <v>7</v>
      </c>
      <c r="T15" s="24" t="s">
        <v>84</v>
      </c>
      <c r="U15" s="29">
        <v>420110</v>
      </c>
      <c r="V15" s="30">
        <f t="shared" si="41"/>
        <v>4511653</v>
      </c>
      <c r="W15" s="27">
        <v>140</v>
      </c>
      <c r="X15" s="31">
        <f t="shared" si="7"/>
        <v>3000.7857142857142</v>
      </c>
      <c r="Y15" s="29">
        <v>277887</v>
      </c>
      <c r="Z15" s="32">
        <f t="shared" si="42"/>
        <v>4244193</v>
      </c>
      <c r="AA15" s="33">
        <f t="shared" si="8"/>
        <v>1.0630178693570249</v>
      </c>
      <c r="AB15" s="158">
        <v>220000</v>
      </c>
      <c r="AC15" s="34">
        <f t="shared" si="43"/>
        <v>4260000</v>
      </c>
      <c r="AD15" s="158"/>
      <c r="AE15" s="25"/>
      <c r="AF15" s="25"/>
      <c r="AG15" s="25"/>
      <c r="AH15" s="25"/>
      <c r="AI15" s="25"/>
      <c r="AJ15" s="25"/>
      <c r="AK15" s="25"/>
      <c r="AL15" s="158"/>
      <c r="AM15" s="25"/>
      <c r="AN15" s="158"/>
      <c r="AO15" s="25"/>
      <c r="AP15" s="25"/>
      <c r="AQ15" s="158"/>
      <c r="AR15" s="35">
        <f t="shared" si="9"/>
        <v>0</v>
      </c>
      <c r="AS15" s="172" t="str">
        <f t="shared" si="10"/>
        <v/>
      </c>
      <c r="AT15" s="36">
        <f t="shared" si="11"/>
        <v>0</v>
      </c>
      <c r="AU15" s="173"/>
      <c r="AV15" s="82">
        <f t="shared" si="12"/>
        <v>11</v>
      </c>
      <c r="AW15" s="37"/>
      <c r="AX15" s="174" t="str">
        <f t="shared" si="13"/>
        <v/>
      </c>
      <c r="AY15" s="37"/>
      <c r="AZ15" s="174" t="str">
        <f t="shared" si="14"/>
        <v/>
      </c>
      <c r="BA15" s="37"/>
      <c r="BB15" s="174" t="str">
        <f t="shared" si="15"/>
        <v/>
      </c>
      <c r="BC15" s="37"/>
      <c r="BD15" s="174" t="str">
        <f t="shared" si="16"/>
        <v/>
      </c>
      <c r="BE15" s="37"/>
      <c r="BF15" s="174" t="str">
        <f t="shared" si="17"/>
        <v/>
      </c>
      <c r="BG15" s="37"/>
      <c r="BH15" s="174" t="str">
        <f t="shared" si="18"/>
        <v/>
      </c>
      <c r="BI15" s="37"/>
      <c r="BJ15" s="174" t="str">
        <f t="shared" si="19"/>
        <v/>
      </c>
      <c r="BK15" s="37"/>
      <c r="BL15" s="174" t="str">
        <f t="shared" si="20"/>
        <v/>
      </c>
      <c r="BM15" s="37"/>
      <c r="BN15" s="174" t="str">
        <f t="shared" si="21"/>
        <v/>
      </c>
      <c r="BO15" s="37"/>
      <c r="BP15" s="174" t="str">
        <f t="shared" si="22"/>
        <v/>
      </c>
      <c r="BQ15" s="37"/>
      <c r="BR15" s="174" t="str">
        <f t="shared" si="23"/>
        <v/>
      </c>
      <c r="BS15" s="37"/>
      <c r="BT15" s="174" t="str">
        <f t="shared" si="24"/>
        <v/>
      </c>
      <c r="BU15" s="37"/>
      <c r="BV15" s="174" t="str">
        <f t="shared" si="25"/>
        <v/>
      </c>
      <c r="BW15" s="37"/>
      <c r="BX15" s="174" t="str">
        <f t="shared" si="26"/>
        <v/>
      </c>
      <c r="BY15" s="37"/>
      <c r="BZ15" s="174" t="str">
        <f t="shared" si="27"/>
        <v/>
      </c>
      <c r="CA15" s="37"/>
      <c r="CB15" s="174" t="str">
        <f t="shared" si="28"/>
        <v/>
      </c>
      <c r="CC15" s="37"/>
      <c r="CD15" s="174" t="str">
        <f t="shared" si="29"/>
        <v/>
      </c>
      <c r="CE15" s="37"/>
      <c r="CF15" s="174" t="str">
        <f t="shared" si="30"/>
        <v/>
      </c>
      <c r="CG15" s="37"/>
      <c r="CH15" s="174" t="str">
        <f t="shared" si="31"/>
        <v/>
      </c>
      <c r="CI15" s="37"/>
      <c r="CJ15" s="174" t="str">
        <f t="shared" si="32"/>
        <v/>
      </c>
      <c r="CK15" s="37"/>
      <c r="CL15" s="174" t="str">
        <f t="shared" si="33"/>
        <v/>
      </c>
      <c r="CM15" s="37"/>
      <c r="CN15" s="174" t="str">
        <f t="shared" si="34"/>
        <v/>
      </c>
      <c r="CO15" s="37"/>
      <c r="CP15" s="174" t="str">
        <f t="shared" si="35"/>
        <v/>
      </c>
      <c r="CQ15" s="37"/>
      <c r="CR15" s="174" t="str">
        <f t="shared" si="36"/>
        <v/>
      </c>
      <c r="CS15" s="37"/>
      <c r="CT15" s="174" t="str">
        <f t="shared" si="37"/>
        <v/>
      </c>
      <c r="CU15" s="38"/>
      <c r="CV15" s="87"/>
      <c r="CW15" s="90"/>
      <c r="CX15" s="38"/>
      <c r="CY15" s="39"/>
      <c r="CZ15" s="37"/>
      <c r="DA15" s="39"/>
      <c r="DB15" s="24">
        <v>11</v>
      </c>
      <c r="DC15" s="96" t="str">
        <f t="shared" si="38"/>
        <v>水</v>
      </c>
      <c r="DF15" s="125"/>
      <c r="DG15" s="40"/>
      <c r="DH15" s="40"/>
      <c r="DI15" s="40"/>
      <c r="DJ15" s="40"/>
      <c r="DK15" s="40"/>
      <c r="DL15" s="40"/>
      <c r="DM15" s="40"/>
      <c r="DN15" s="40"/>
      <c r="DO15" s="40"/>
      <c r="DP15" s="40">
        <f t="shared" si="39"/>
        <v>0</v>
      </c>
      <c r="DQ15" s="172" t="str">
        <f t="shared" si="40"/>
        <v/>
      </c>
      <c r="DS15" s="189"/>
      <c r="DT15" s="190"/>
      <c r="DU15" s="190"/>
      <c r="DV15" s="191"/>
      <c r="DW15" s="41"/>
      <c r="DX15" s="42"/>
    </row>
    <row r="16" spans="1:132" ht="13.5" customHeight="1" x14ac:dyDescent="0.4">
      <c r="A16" s="104">
        <v>12</v>
      </c>
      <c r="B16" s="23" t="s">
        <v>85</v>
      </c>
      <c r="C16" s="164"/>
      <c r="D16" s="164"/>
      <c r="E16" s="24"/>
      <c r="F16" s="29"/>
      <c r="G16" s="25" t="str">
        <f>IF(SUM($F$5:F16)=0,"",SUM($F$5:F16))</f>
        <v/>
      </c>
      <c r="H16" s="43" t="str">
        <f t="shared" si="0"/>
        <v/>
      </c>
      <c r="I16" s="148" t="e">
        <f t="array" aca="1" ref="I16" ca="1">IF($A17="",$G16/($V16-$U$5+INDIRECT(IF(_xlfn.SHEET()&lt;6,"令和8年"&amp;_xlfn.SHEET()+7&amp;"月","令和9年"&amp;_xlfn.SHEET()-5&amp;"月")&amp;"!$U$5")),$G16/($V17-$U$5))</f>
        <v>#VALUE!</v>
      </c>
      <c r="J16" s="26" t="str">
        <f t="shared" si="1"/>
        <v/>
      </c>
      <c r="K16" s="27"/>
      <c r="L16" s="165">
        <f t="shared" si="2"/>
        <v>0</v>
      </c>
      <c r="M16" s="28" t="str">
        <f t="shared" si="3"/>
        <v/>
      </c>
      <c r="N16" s="166" t="str">
        <f t="shared" si="4"/>
        <v/>
      </c>
      <c r="O16" s="167" t="str">
        <f t="shared" si="5"/>
        <v/>
      </c>
      <c r="P16" s="168"/>
      <c r="Q16" s="169" t="str">
        <f t="shared" si="6"/>
        <v/>
      </c>
      <c r="R16" s="170">
        <v>17</v>
      </c>
      <c r="S16" s="171">
        <v>10</v>
      </c>
      <c r="T16" s="24" t="s">
        <v>84</v>
      </c>
      <c r="U16" s="29">
        <v>181103</v>
      </c>
      <c r="V16" s="30">
        <f t="shared" si="41"/>
        <v>4692756</v>
      </c>
      <c r="W16" s="27">
        <v>157</v>
      </c>
      <c r="X16" s="31">
        <f t="shared" si="7"/>
        <v>1153.5222929936306</v>
      </c>
      <c r="Y16" s="29">
        <v>176285</v>
      </c>
      <c r="Z16" s="32">
        <f t="shared" si="42"/>
        <v>4420478</v>
      </c>
      <c r="AA16" s="33">
        <f t="shared" si="8"/>
        <v>1.0615946963201717</v>
      </c>
      <c r="AB16" s="158">
        <v>220000</v>
      </c>
      <c r="AC16" s="34">
        <f t="shared" si="43"/>
        <v>4480000</v>
      </c>
      <c r="AD16" s="158"/>
      <c r="AE16" s="25"/>
      <c r="AF16" s="25"/>
      <c r="AG16" s="25"/>
      <c r="AH16" s="25"/>
      <c r="AI16" s="25"/>
      <c r="AJ16" s="25"/>
      <c r="AK16" s="25"/>
      <c r="AL16" s="158"/>
      <c r="AM16" s="25"/>
      <c r="AN16" s="158"/>
      <c r="AO16" s="25"/>
      <c r="AP16" s="25"/>
      <c r="AQ16" s="158"/>
      <c r="AR16" s="35">
        <f t="shared" si="9"/>
        <v>0</v>
      </c>
      <c r="AS16" s="172" t="str">
        <f t="shared" si="10"/>
        <v/>
      </c>
      <c r="AT16" s="36">
        <f t="shared" si="11"/>
        <v>0</v>
      </c>
      <c r="AU16" s="173"/>
      <c r="AV16" s="82">
        <f t="shared" si="12"/>
        <v>12</v>
      </c>
      <c r="AW16" s="37"/>
      <c r="AX16" s="174" t="str">
        <f t="shared" si="13"/>
        <v/>
      </c>
      <c r="AY16" s="37"/>
      <c r="AZ16" s="174" t="str">
        <f t="shared" si="14"/>
        <v/>
      </c>
      <c r="BA16" s="37"/>
      <c r="BB16" s="174" t="str">
        <f t="shared" si="15"/>
        <v/>
      </c>
      <c r="BC16" s="37"/>
      <c r="BD16" s="174" t="str">
        <f t="shared" si="16"/>
        <v/>
      </c>
      <c r="BE16" s="37"/>
      <c r="BF16" s="174" t="str">
        <f t="shared" si="17"/>
        <v/>
      </c>
      <c r="BG16" s="37"/>
      <c r="BH16" s="174" t="str">
        <f t="shared" si="18"/>
        <v/>
      </c>
      <c r="BI16" s="37"/>
      <c r="BJ16" s="174" t="str">
        <f t="shared" si="19"/>
        <v/>
      </c>
      <c r="BK16" s="37"/>
      <c r="BL16" s="174" t="str">
        <f t="shared" si="20"/>
        <v/>
      </c>
      <c r="BM16" s="37"/>
      <c r="BN16" s="174" t="str">
        <f t="shared" si="21"/>
        <v/>
      </c>
      <c r="BO16" s="37"/>
      <c r="BP16" s="174" t="str">
        <f t="shared" si="22"/>
        <v/>
      </c>
      <c r="BQ16" s="37"/>
      <c r="BR16" s="174" t="str">
        <f t="shared" si="23"/>
        <v/>
      </c>
      <c r="BS16" s="37"/>
      <c r="BT16" s="174" t="str">
        <f t="shared" si="24"/>
        <v/>
      </c>
      <c r="BU16" s="37"/>
      <c r="BV16" s="174" t="str">
        <f t="shared" si="25"/>
        <v/>
      </c>
      <c r="BW16" s="37"/>
      <c r="BX16" s="174" t="str">
        <f t="shared" si="26"/>
        <v/>
      </c>
      <c r="BY16" s="37"/>
      <c r="BZ16" s="174" t="str">
        <f t="shared" si="27"/>
        <v/>
      </c>
      <c r="CA16" s="37"/>
      <c r="CB16" s="174" t="str">
        <f t="shared" si="28"/>
        <v/>
      </c>
      <c r="CC16" s="37"/>
      <c r="CD16" s="174" t="str">
        <f t="shared" si="29"/>
        <v/>
      </c>
      <c r="CE16" s="37"/>
      <c r="CF16" s="174" t="str">
        <f t="shared" si="30"/>
        <v/>
      </c>
      <c r="CG16" s="37"/>
      <c r="CH16" s="174" t="str">
        <f t="shared" si="31"/>
        <v/>
      </c>
      <c r="CI16" s="37"/>
      <c r="CJ16" s="174" t="str">
        <f t="shared" si="32"/>
        <v/>
      </c>
      <c r="CK16" s="37"/>
      <c r="CL16" s="174" t="str">
        <f t="shared" si="33"/>
        <v/>
      </c>
      <c r="CM16" s="37"/>
      <c r="CN16" s="174" t="str">
        <f t="shared" si="34"/>
        <v/>
      </c>
      <c r="CO16" s="37"/>
      <c r="CP16" s="174" t="str">
        <f t="shared" si="35"/>
        <v/>
      </c>
      <c r="CQ16" s="37"/>
      <c r="CR16" s="174" t="str">
        <f t="shared" si="36"/>
        <v/>
      </c>
      <c r="CS16" s="37"/>
      <c r="CT16" s="174" t="str">
        <f t="shared" si="37"/>
        <v/>
      </c>
      <c r="CU16" s="38"/>
      <c r="CV16" s="87"/>
      <c r="CW16" s="90"/>
      <c r="CX16" s="38"/>
      <c r="CY16" s="39"/>
      <c r="CZ16" s="37"/>
      <c r="DA16" s="39"/>
      <c r="DB16" s="24">
        <v>12</v>
      </c>
      <c r="DC16" s="96" t="str">
        <f t="shared" si="38"/>
        <v>木</v>
      </c>
      <c r="DF16" s="125"/>
      <c r="DG16" s="40"/>
      <c r="DH16" s="40"/>
      <c r="DI16" s="40"/>
      <c r="DJ16" s="40"/>
      <c r="DK16" s="40"/>
      <c r="DL16" s="40"/>
      <c r="DM16" s="40"/>
      <c r="DN16" s="40"/>
      <c r="DO16" s="40"/>
      <c r="DP16" s="40">
        <f t="shared" si="39"/>
        <v>0</v>
      </c>
      <c r="DQ16" s="172" t="str">
        <f t="shared" si="40"/>
        <v/>
      </c>
      <c r="DS16" s="189"/>
      <c r="DT16" s="190"/>
      <c r="DU16" s="190"/>
      <c r="DV16" s="191"/>
      <c r="DW16" s="138"/>
      <c r="DX16" s="42"/>
    </row>
    <row r="17" spans="1:128" ht="13.5" customHeight="1" x14ac:dyDescent="0.4">
      <c r="A17" s="104">
        <v>13</v>
      </c>
      <c r="B17" s="23" t="s">
        <v>86</v>
      </c>
      <c r="C17" s="164"/>
      <c r="D17" s="164"/>
      <c r="E17" s="24"/>
      <c r="F17" s="29"/>
      <c r="G17" s="25" t="str">
        <f>IF(SUM($F$5:F17)=0,"",SUM($F$5:F17))</f>
        <v/>
      </c>
      <c r="H17" s="43" t="str">
        <f t="shared" si="0"/>
        <v/>
      </c>
      <c r="I17" s="148" t="e">
        <f t="array" aca="1" ref="I17" ca="1">IF($A18="",$G17/($V17-$U$5+INDIRECT(IF(_xlfn.SHEET()&lt;6,"令和8年"&amp;_xlfn.SHEET()+7&amp;"月","令和9年"&amp;_xlfn.SHEET()-5&amp;"月")&amp;"!$U$5")),$G17/($V18-$U$5))</f>
        <v>#VALUE!</v>
      </c>
      <c r="J17" s="26" t="str">
        <f t="shared" si="1"/>
        <v/>
      </c>
      <c r="K17" s="27"/>
      <c r="L17" s="165">
        <f t="shared" si="2"/>
        <v>0</v>
      </c>
      <c r="M17" s="28" t="str">
        <f t="shared" si="3"/>
        <v/>
      </c>
      <c r="N17" s="166" t="str">
        <f t="shared" si="4"/>
        <v/>
      </c>
      <c r="O17" s="167" t="str">
        <f t="shared" si="5"/>
        <v/>
      </c>
      <c r="P17" s="168"/>
      <c r="Q17" s="169" t="str">
        <f t="shared" si="6"/>
        <v/>
      </c>
      <c r="R17" s="170">
        <v>16</v>
      </c>
      <c r="S17" s="171">
        <v>11</v>
      </c>
      <c r="T17" s="24" t="s">
        <v>114</v>
      </c>
      <c r="U17" s="29">
        <v>269878</v>
      </c>
      <c r="V17" s="30">
        <f t="shared" si="41"/>
        <v>4962634</v>
      </c>
      <c r="W17" s="27">
        <v>181</v>
      </c>
      <c r="X17" s="31">
        <f t="shared" si="7"/>
        <v>1491.0386740331492</v>
      </c>
      <c r="Y17" s="29">
        <v>230577</v>
      </c>
      <c r="Z17" s="32">
        <f t="shared" si="42"/>
        <v>4651055</v>
      </c>
      <c r="AA17" s="33">
        <f t="shared" si="8"/>
        <v>1.0669910375172944</v>
      </c>
      <c r="AB17" s="158">
        <v>220000</v>
      </c>
      <c r="AC17" s="34">
        <f t="shared" si="43"/>
        <v>4700000</v>
      </c>
      <c r="AD17" s="158"/>
      <c r="AE17" s="25"/>
      <c r="AF17" s="25"/>
      <c r="AG17" s="25"/>
      <c r="AH17" s="25"/>
      <c r="AI17" s="25"/>
      <c r="AJ17" s="25"/>
      <c r="AK17" s="25"/>
      <c r="AL17" s="158"/>
      <c r="AM17" s="25"/>
      <c r="AN17" s="158"/>
      <c r="AO17" s="25"/>
      <c r="AP17" s="25"/>
      <c r="AQ17" s="158"/>
      <c r="AR17" s="35">
        <f t="shared" si="9"/>
        <v>0</v>
      </c>
      <c r="AS17" s="172" t="str">
        <f t="shared" si="10"/>
        <v/>
      </c>
      <c r="AT17" s="36">
        <f t="shared" si="11"/>
        <v>0</v>
      </c>
      <c r="AU17" s="173"/>
      <c r="AV17" s="82">
        <f t="shared" si="12"/>
        <v>13</v>
      </c>
      <c r="AW17" s="37"/>
      <c r="AX17" s="174" t="str">
        <f t="shared" si="13"/>
        <v/>
      </c>
      <c r="AY17" s="37"/>
      <c r="AZ17" s="174" t="str">
        <f t="shared" si="14"/>
        <v/>
      </c>
      <c r="BA17" s="37"/>
      <c r="BB17" s="174" t="str">
        <f t="shared" si="15"/>
        <v/>
      </c>
      <c r="BC17" s="37"/>
      <c r="BD17" s="174" t="str">
        <f t="shared" si="16"/>
        <v/>
      </c>
      <c r="BE17" s="37"/>
      <c r="BF17" s="174" t="str">
        <f t="shared" si="17"/>
        <v/>
      </c>
      <c r="BG17" s="37"/>
      <c r="BH17" s="174" t="str">
        <f t="shared" si="18"/>
        <v/>
      </c>
      <c r="BI17" s="37"/>
      <c r="BJ17" s="174" t="str">
        <f t="shared" si="19"/>
        <v/>
      </c>
      <c r="BK17" s="37"/>
      <c r="BL17" s="174" t="str">
        <f t="shared" si="20"/>
        <v/>
      </c>
      <c r="BM17" s="37"/>
      <c r="BN17" s="174" t="str">
        <f t="shared" si="21"/>
        <v/>
      </c>
      <c r="BO17" s="37"/>
      <c r="BP17" s="174" t="str">
        <f t="shared" si="22"/>
        <v/>
      </c>
      <c r="BQ17" s="37"/>
      <c r="BR17" s="174" t="str">
        <f t="shared" si="23"/>
        <v/>
      </c>
      <c r="BS17" s="37"/>
      <c r="BT17" s="174" t="str">
        <f t="shared" si="24"/>
        <v/>
      </c>
      <c r="BU17" s="37"/>
      <c r="BV17" s="174" t="str">
        <f t="shared" si="25"/>
        <v/>
      </c>
      <c r="BW17" s="37"/>
      <c r="BX17" s="174" t="str">
        <f t="shared" si="26"/>
        <v/>
      </c>
      <c r="BY17" s="37"/>
      <c r="BZ17" s="174" t="str">
        <f t="shared" si="27"/>
        <v/>
      </c>
      <c r="CA17" s="37"/>
      <c r="CB17" s="174" t="str">
        <f t="shared" si="28"/>
        <v/>
      </c>
      <c r="CC17" s="37"/>
      <c r="CD17" s="174" t="str">
        <f t="shared" si="29"/>
        <v/>
      </c>
      <c r="CE17" s="37"/>
      <c r="CF17" s="174" t="str">
        <f t="shared" si="30"/>
        <v/>
      </c>
      <c r="CG17" s="37"/>
      <c r="CH17" s="174" t="str">
        <f t="shared" si="31"/>
        <v/>
      </c>
      <c r="CI17" s="37"/>
      <c r="CJ17" s="174" t="str">
        <f t="shared" si="32"/>
        <v/>
      </c>
      <c r="CK17" s="37"/>
      <c r="CL17" s="174" t="str">
        <f t="shared" si="33"/>
        <v/>
      </c>
      <c r="CM17" s="37"/>
      <c r="CN17" s="174" t="str">
        <f t="shared" si="34"/>
        <v/>
      </c>
      <c r="CO17" s="37"/>
      <c r="CP17" s="174" t="str">
        <f t="shared" si="35"/>
        <v/>
      </c>
      <c r="CQ17" s="37"/>
      <c r="CR17" s="174" t="str">
        <f t="shared" si="36"/>
        <v/>
      </c>
      <c r="CS17" s="37"/>
      <c r="CT17" s="174" t="str">
        <f t="shared" si="37"/>
        <v/>
      </c>
      <c r="CU17" s="38"/>
      <c r="CV17" s="87"/>
      <c r="CW17" s="90"/>
      <c r="CX17" s="38"/>
      <c r="CY17" s="39"/>
      <c r="CZ17" s="37"/>
      <c r="DA17" s="39"/>
      <c r="DB17" s="24">
        <v>13</v>
      </c>
      <c r="DC17" s="96" t="str">
        <f t="shared" si="38"/>
        <v>金</v>
      </c>
      <c r="DF17" s="125"/>
      <c r="DG17" s="40"/>
      <c r="DH17" s="40"/>
      <c r="DI17" s="40"/>
      <c r="DJ17" s="40"/>
      <c r="DK17" s="40"/>
      <c r="DL17" s="40"/>
      <c r="DM17" s="40"/>
      <c r="DN17" s="40"/>
      <c r="DO17" s="40"/>
      <c r="DP17" s="40">
        <f t="shared" si="39"/>
        <v>0</v>
      </c>
      <c r="DQ17" s="172" t="str">
        <f t="shared" si="40"/>
        <v/>
      </c>
      <c r="DS17" s="189"/>
      <c r="DT17" s="190"/>
      <c r="DU17" s="190"/>
      <c r="DV17" s="191"/>
      <c r="DW17" s="41"/>
      <c r="DX17" s="42"/>
    </row>
    <row r="18" spans="1:128" ht="13.5" customHeight="1" x14ac:dyDescent="0.4">
      <c r="A18" s="104">
        <v>14</v>
      </c>
      <c r="B18" s="140" t="s">
        <v>88</v>
      </c>
      <c r="C18" s="164"/>
      <c r="D18" s="164"/>
      <c r="E18" s="24"/>
      <c r="F18" s="29"/>
      <c r="G18" s="25" t="str">
        <f>IF(SUM($F$5:F18)=0,"",SUM($F$5:F18))</f>
        <v/>
      </c>
      <c r="H18" s="43" t="str">
        <f t="shared" si="0"/>
        <v/>
      </c>
      <c r="I18" s="148" t="e">
        <f t="array" aca="1" ref="I18" ca="1">IF($A19="",$G18/($V18-$U$5+INDIRECT(IF(_xlfn.SHEET()&lt;6,"令和8年"&amp;_xlfn.SHEET()+7&amp;"月","令和9年"&amp;_xlfn.SHEET()-5&amp;"月")&amp;"!$U$5")),$G18/($V19-$U$5))</f>
        <v>#VALUE!</v>
      </c>
      <c r="J18" s="26" t="str">
        <f t="shared" si="1"/>
        <v/>
      </c>
      <c r="K18" s="27"/>
      <c r="L18" s="165">
        <f t="shared" si="2"/>
        <v>0</v>
      </c>
      <c r="M18" s="28" t="str">
        <f t="shared" si="3"/>
        <v/>
      </c>
      <c r="N18" s="166" t="str">
        <f t="shared" si="4"/>
        <v/>
      </c>
      <c r="O18" s="167" t="str">
        <f t="shared" si="5"/>
        <v/>
      </c>
      <c r="P18" s="168"/>
      <c r="Q18" s="169" t="str">
        <f t="shared" si="6"/>
        <v/>
      </c>
      <c r="R18" s="170">
        <v>18</v>
      </c>
      <c r="S18" s="171">
        <v>9</v>
      </c>
      <c r="T18" s="24" t="s">
        <v>84</v>
      </c>
      <c r="U18" s="29">
        <v>183228</v>
      </c>
      <c r="V18" s="30">
        <f t="shared" si="41"/>
        <v>5145862</v>
      </c>
      <c r="W18" s="27">
        <v>132</v>
      </c>
      <c r="X18" s="31">
        <f t="shared" si="7"/>
        <v>1388.090909090909</v>
      </c>
      <c r="Y18" s="29">
        <v>232314</v>
      </c>
      <c r="Z18" s="32">
        <f t="shared" si="42"/>
        <v>4883369</v>
      </c>
      <c r="AA18" s="33">
        <f t="shared" si="8"/>
        <v>1.053752440169891</v>
      </c>
      <c r="AB18" s="158">
        <v>680000</v>
      </c>
      <c r="AC18" s="34">
        <f t="shared" si="43"/>
        <v>5380000</v>
      </c>
      <c r="AD18" s="158"/>
      <c r="AE18" s="25"/>
      <c r="AF18" s="25"/>
      <c r="AG18" s="25"/>
      <c r="AH18" s="25"/>
      <c r="AI18" s="25"/>
      <c r="AJ18" s="25"/>
      <c r="AK18" s="25"/>
      <c r="AL18" s="158"/>
      <c r="AM18" s="25"/>
      <c r="AN18" s="158"/>
      <c r="AO18" s="25"/>
      <c r="AP18" s="25"/>
      <c r="AQ18" s="158"/>
      <c r="AR18" s="35">
        <f t="shared" si="9"/>
        <v>0</v>
      </c>
      <c r="AS18" s="172" t="str">
        <f t="shared" si="10"/>
        <v/>
      </c>
      <c r="AT18" s="36">
        <f t="shared" si="11"/>
        <v>0</v>
      </c>
      <c r="AU18" s="173"/>
      <c r="AV18" s="82">
        <f t="shared" si="12"/>
        <v>14</v>
      </c>
      <c r="AW18" s="37"/>
      <c r="AX18" s="174" t="str">
        <f t="shared" si="13"/>
        <v/>
      </c>
      <c r="AY18" s="37"/>
      <c r="AZ18" s="174" t="str">
        <f t="shared" si="14"/>
        <v/>
      </c>
      <c r="BA18" s="37"/>
      <c r="BB18" s="174" t="str">
        <f t="shared" si="15"/>
        <v/>
      </c>
      <c r="BC18" s="37"/>
      <c r="BD18" s="174" t="str">
        <f t="shared" si="16"/>
        <v/>
      </c>
      <c r="BE18" s="37"/>
      <c r="BF18" s="174" t="str">
        <f t="shared" si="17"/>
        <v/>
      </c>
      <c r="BG18" s="37"/>
      <c r="BH18" s="174" t="str">
        <f t="shared" si="18"/>
        <v/>
      </c>
      <c r="BI18" s="37"/>
      <c r="BJ18" s="174" t="str">
        <f t="shared" si="19"/>
        <v/>
      </c>
      <c r="BK18" s="37"/>
      <c r="BL18" s="174" t="str">
        <f t="shared" si="20"/>
        <v/>
      </c>
      <c r="BM18" s="37"/>
      <c r="BN18" s="174" t="str">
        <f t="shared" si="21"/>
        <v/>
      </c>
      <c r="BO18" s="37"/>
      <c r="BP18" s="174" t="str">
        <f t="shared" si="22"/>
        <v/>
      </c>
      <c r="BQ18" s="37"/>
      <c r="BR18" s="174" t="str">
        <f t="shared" si="23"/>
        <v/>
      </c>
      <c r="BS18" s="37"/>
      <c r="BT18" s="174" t="str">
        <f t="shared" si="24"/>
        <v/>
      </c>
      <c r="BU18" s="37"/>
      <c r="BV18" s="174" t="str">
        <f t="shared" si="25"/>
        <v/>
      </c>
      <c r="BW18" s="37"/>
      <c r="BX18" s="174" t="str">
        <f t="shared" si="26"/>
        <v/>
      </c>
      <c r="BY18" s="37"/>
      <c r="BZ18" s="174" t="str">
        <f t="shared" si="27"/>
        <v/>
      </c>
      <c r="CA18" s="37"/>
      <c r="CB18" s="174" t="str">
        <f t="shared" si="28"/>
        <v/>
      </c>
      <c r="CC18" s="37"/>
      <c r="CD18" s="174" t="str">
        <f t="shared" si="29"/>
        <v/>
      </c>
      <c r="CE18" s="37"/>
      <c r="CF18" s="174" t="str">
        <f t="shared" si="30"/>
        <v/>
      </c>
      <c r="CG18" s="37"/>
      <c r="CH18" s="174" t="str">
        <f t="shared" si="31"/>
        <v/>
      </c>
      <c r="CI18" s="37"/>
      <c r="CJ18" s="174" t="str">
        <f t="shared" si="32"/>
        <v/>
      </c>
      <c r="CK18" s="37"/>
      <c r="CL18" s="174" t="str">
        <f t="shared" si="33"/>
        <v/>
      </c>
      <c r="CM18" s="37"/>
      <c r="CN18" s="174" t="str">
        <f t="shared" si="34"/>
        <v/>
      </c>
      <c r="CO18" s="37"/>
      <c r="CP18" s="174" t="str">
        <f t="shared" si="35"/>
        <v/>
      </c>
      <c r="CQ18" s="37"/>
      <c r="CR18" s="174" t="str">
        <f t="shared" si="36"/>
        <v/>
      </c>
      <c r="CS18" s="37"/>
      <c r="CT18" s="174" t="str">
        <f t="shared" si="37"/>
        <v/>
      </c>
      <c r="CU18" s="38"/>
      <c r="CV18" s="87"/>
      <c r="CW18" s="90"/>
      <c r="CX18" s="38"/>
      <c r="CY18" s="39"/>
      <c r="CZ18" s="37"/>
      <c r="DA18" s="39"/>
      <c r="DB18" s="24">
        <v>14</v>
      </c>
      <c r="DC18" s="96" t="str">
        <f t="shared" si="38"/>
        <v>土</v>
      </c>
      <c r="DF18" s="125"/>
      <c r="DG18" s="40"/>
      <c r="DH18" s="40"/>
      <c r="DI18" s="40"/>
      <c r="DJ18" s="40"/>
      <c r="DK18" s="40"/>
      <c r="DL18" s="40"/>
      <c r="DM18" s="40"/>
      <c r="DN18" s="40"/>
      <c r="DO18" s="40"/>
      <c r="DP18" s="40">
        <f t="shared" si="39"/>
        <v>0</v>
      </c>
      <c r="DQ18" s="172" t="str">
        <f t="shared" si="40"/>
        <v/>
      </c>
      <c r="DS18" s="189"/>
      <c r="DT18" s="190"/>
      <c r="DU18" s="190"/>
      <c r="DV18" s="191"/>
      <c r="DW18" s="41"/>
      <c r="DX18" s="42"/>
    </row>
    <row r="19" spans="1:128" ht="13.5" customHeight="1" x14ac:dyDescent="0.4">
      <c r="A19" s="104">
        <v>15</v>
      </c>
      <c r="B19" s="23" t="s">
        <v>89</v>
      </c>
      <c r="C19" s="164"/>
      <c r="D19" s="164"/>
      <c r="E19" s="24"/>
      <c r="F19" s="29"/>
      <c r="G19" s="25" t="str">
        <f>IF(SUM($F$5:F19)=0,"",SUM($F$5:F19))</f>
        <v/>
      </c>
      <c r="H19" s="43" t="str">
        <f t="shared" si="0"/>
        <v/>
      </c>
      <c r="I19" s="148" t="e">
        <f t="array" aca="1" ref="I19" ca="1">IF($A20="",$G19/($V19-$U$5+INDIRECT(IF(_xlfn.SHEET()&lt;6,"令和8年"&amp;_xlfn.SHEET()+7&amp;"月","令和9年"&amp;_xlfn.SHEET()-5&amp;"月")&amp;"!$U$5")),$G19/($V20-$U$5))</f>
        <v>#VALUE!</v>
      </c>
      <c r="J19" s="26" t="str">
        <f t="shared" si="1"/>
        <v/>
      </c>
      <c r="K19" s="27"/>
      <c r="L19" s="165">
        <f t="shared" si="2"/>
        <v>0</v>
      </c>
      <c r="M19" s="28" t="str">
        <f t="shared" si="3"/>
        <v/>
      </c>
      <c r="N19" s="166" t="str">
        <f t="shared" si="4"/>
        <v/>
      </c>
      <c r="O19" s="167" t="str">
        <f t="shared" si="5"/>
        <v/>
      </c>
      <c r="P19" s="168"/>
      <c r="Q19" s="169" t="str">
        <f t="shared" si="6"/>
        <v/>
      </c>
      <c r="R19" s="170">
        <v>17</v>
      </c>
      <c r="S19" s="171">
        <v>9</v>
      </c>
      <c r="T19" s="24" t="s">
        <v>84</v>
      </c>
      <c r="U19" s="29">
        <v>508562</v>
      </c>
      <c r="V19" s="30">
        <f t="shared" si="41"/>
        <v>5654424</v>
      </c>
      <c r="W19" s="27">
        <v>338</v>
      </c>
      <c r="X19" s="31">
        <f t="shared" si="7"/>
        <v>1504.6213017751479</v>
      </c>
      <c r="Y19" s="29">
        <v>148223</v>
      </c>
      <c r="Z19" s="32">
        <f t="shared" si="42"/>
        <v>5031592</v>
      </c>
      <c r="AA19" s="33">
        <f t="shared" si="8"/>
        <v>1.1237842813964247</v>
      </c>
      <c r="AB19" s="158">
        <v>680000</v>
      </c>
      <c r="AC19" s="34">
        <f t="shared" si="43"/>
        <v>6060000</v>
      </c>
      <c r="AD19" s="158"/>
      <c r="AE19" s="25"/>
      <c r="AF19" s="25"/>
      <c r="AG19" s="25"/>
      <c r="AH19" s="25"/>
      <c r="AI19" s="25"/>
      <c r="AJ19" s="25"/>
      <c r="AK19" s="25"/>
      <c r="AL19" s="158"/>
      <c r="AM19" s="25"/>
      <c r="AN19" s="158"/>
      <c r="AO19" s="25"/>
      <c r="AP19" s="25"/>
      <c r="AQ19" s="158"/>
      <c r="AR19" s="35">
        <f t="shared" si="9"/>
        <v>0</v>
      </c>
      <c r="AS19" s="172" t="str">
        <f t="shared" si="10"/>
        <v/>
      </c>
      <c r="AT19" s="36">
        <f t="shared" si="11"/>
        <v>0</v>
      </c>
      <c r="AU19" s="173"/>
      <c r="AV19" s="82">
        <f t="shared" si="12"/>
        <v>15</v>
      </c>
      <c r="AW19" s="37"/>
      <c r="AX19" s="174" t="str">
        <f t="shared" si="13"/>
        <v/>
      </c>
      <c r="AY19" s="37"/>
      <c r="AZ19" s="174" t="str">
        <f t="shared" si="14"/>
        <v/>
      </c>
      <c r="BA19" s="37"/>
      <c r="BB19" s="174" t="str">
        <f t="shared" si="15"/>
        <v/>
      </c>
      <c r="BC19" s="37"/>
      <c r="BD19" s="174" t="str">
        <f t="shared" si="16"/>
        <v/>
      </c>
      <c r="BE19" s="37"/>
      <c r="BF19" s="174" t="str">
        <f t="shared" si="17"/>
        <v/>
      </c>
      <c r="BG19" s="37"/>
      <c r="BH19" s="174" t="str">
        <f t="shared" si="18"/>
        <v/>
      </c>
      <c r="BI19" s="37"/>
      <c r="BJ19" s="174" t="str">
        <f t="shared" si="19"/>
        <v/>
      </c>
      <c r="BK19" s="37"/>
      <c r="BL19" s="174" t="str">
        <f t="shared" si="20"/>
        <v/>
      </c>
      <c r="BM19" s="37"/>
      <c r="BN19" s="174" t="str">
        <f t="shared" si="21"/>
        <v/>
      </c>
      <c r="BO19" s="37"/>
      <c r="BP19" s="174" t="str">
        <f t="shared" si="22"/>
        <v/>
      </c>
      <c r="BQ19" s="37"/>
      <c r="BR19" s="174" t="str">
        <f t="shared" si="23"/>
        <v/>
      </c>
      <c r="BS19" s="37"/>
      <c r="BT19" s="174" t="str">
        <f t="shared" si="24"/>
        <v/>
      </c>
      <c r="BU19" s="37"/>
      <c r="BV19" s="174" t="str">
        <f t="shared" si="25"/>
        <v/>
      </c>
      <c r="BW19" s="37"/>
      <c r="BX19" s="174" t="str">
        <f t="shared" si="26"/>
        <v/>
      </c>
      <c r="BY19" s="37"/>
      <c r="BZ19" s="174" t="str">
        <f t="shared" si="27"/>
        <v/>
      </c>
      <c r="CA19" s="37"/>
      <c r="CB19" s="174" t="str">
        <f t="shared" si="28"/>
        <v/>
      </c>
      <c r="CC19" s="37"/>
      <c r="CD19" s="174" t="str">
        <f t="shared" si="29"/>
        <v/>
      </c>
      <c r="CE19" s="37"/>
      <c r="CF19" s="174" t="str">
        <f t="shared" si="30"/>
        <v/>
      </c>
      <c r="CG19" s="37"/>
      <c r="CH19" s="174" t="str">
        <f t="shared" si="31"/>
        <v/>
      </c>
      <c r="CI19" s="37"/>
      <c r="CJ19" s="174" t="str">
        <f t="shared" si="32"/>
        <v/>
      </c>
      <c r="CK19" s="37"/>
      <c r="CL19" s="174" t="str">
        <f t="shared" si="33"/>
        <v/>
      </c>
      <c r="CM19" s="37"/>
      <c r="CN19" s="174" t="str">
        <f t="shared" si="34"/>
        <v/>
      </c>
      <c r="CO19" s="37"/>
      <c r="CP19" s="174" t="str">
        <f t="shared" si="35"/>
        <v/>
      </c>
      <c r="CQ19" s="37"/>
      <c r="CR19" s="174" t="str">
        <f t="shared" si="36"/>
        <v/>
      </c>
      <c r="CS19" s="37"/>
      <c r="CT19" s="174" t="str">
        <f t="shared" si="37"/>
        <v/>
      </c>
      <c r="CU19" s="38"/>
      <c r="CV19" s="87"/>
      <c r="CW19" s="90"/>
      <c r="CX19" s="38"/>
      <c r="CY19" s="39"/>
      <c r="CZ19" s="37"/>
      <c r="DA19" s="39"/>
      <c r="DB19" s="24">
        <v>15</v>
      </c>
      <c r="DC19" s="96" t="str">
        <f t="shared" si="38"/>
        <v>日</v>
      </c>
      <c r="DF19" s="125"/>
      <c r="DG19" s="40"/>
      <c r="DH19" s="40"/>
      <c r="DI19" s="40"/>
      <c r="DJ19" s="40"/>
      <c r="DK19" s="40"/>
      <c r="DL19" s="40"/>
      <c r="DM19" s="40"/>
      <c r="DN19" s="40"/>
      <c r="DO19" s="40"/>
      <c r="DP19" s="40">
        <f t="shared" si="39"/>
        <v>0</v>
      </c>
      <c r="DQ19" s="172" t="str">
        <f t="shared" si="40"/>
        <v/>
      </c>
      <c r="DS19" s="189"/>
      <c r="DT19" s="190"/>
      <c r="DU19" s="190"/>
      <c r="DV19" s="191"/>
      <c r="DW19" s="138"/>
      <c r="DX19" s="42"/>
    </row>
    <row r="20" spans="1:128" ht="13.5" customHeight="1" x14ac:dyDescent="0.4">
      <c r="A20" s="104">
        <v>16</v>
      </c>
      <c r="B20" s="141" t="s">
        <v>90</v>
      </c>
      <c r="C20" s="164"/>
      <c r="D20" s="164"/>
      <c r="E20" s="24"/>
      <c r="F20" s="29"/>
      <c r="G20" s="25" t="str">
        <f>IF(SUM($F$5:F20)=0,"",SUM($F$5:F20))</f>
        <v/>
      </c>
      <c r="H20" s="43" t="str">
        <f t="shared" si="0"/>
        <v/>
      </c>
      <c r="I20" s="148" t="e">
        <f t="array" aca="1" ref="I20" ca="1">IF($A21="",$G20/($V20-$U$5+INDIRECT(IF(_xlfn.SHEET()&lt;6,"令和8年"&amp;_xlfn.SHEET()+7&amp;"月","令和9年"&amp;_xlfn.SHEET()-5&amp;"月")&amp;"!$U$5")),$G20/($V21-$U$5))</f>
        <v>#VALUE!</v>
      </c>
      <c r="J20" s="26" t="str">
        <f t="shared" si="1"/>
        <v/>
      </c>
      <c r="K20" s="27"/>
      <c r="L20" s="165">
        <f t="shared" si="2"/>
        <v>0</v>
      </c>
      <c r="M20" s="28" t="str">
        <f t="shared" si="3"/>
        <v/>
      </c>
      <c r="N20" s="166" t="str">
        <f t="shared" si="4"/>
        <v/>
      </c>
      <c r="O20" s="167" t="str">
        <f t="shared" si="5"/>
        <v/>
      </c>
      <c r="P20" s="168"/>
      <c r="Q20" s="169" t="str">
        <f t="shared" si="6"/>
        <v/>
      </c>
      <c r="R20" s="170">
        <v>20</v>
      </c>
      <c r="S20" s="171">
        <v>6</v>
      </c>
      <c r="T20" s="24" t="s">
        <v>84</v>
      </c>
      <c r="U20" s="29">
        <v>543902</v>
      </c>
      <c r="V20" s="30">
        <f t="shared" si="41"/>
        <v>6198326</v>
      </c>
      <c r="W20" s="27">
        <v>387</v>
      </c>
      <c r="X20" s="31">
        <f t="shared" si="7"/>
        <v>1405.4315245478035</v>
      </c>
      <c r="Y20" s="29">
        <v>542252</v>
      </c>
      <c r="Z20" s="32">
        <f t="shared" si="42"/>
        <v>5573844</v>
      </c>
      <c r="AA20" s="33">
        <f t="shared" si="8"/>
        <v>1.1120379400643434</v>
      </c>
      <c r="AB20" s="158">
        <v>220000</v>
      </c>
      <c r="AC20" s="34">
        <f t="shared" si="43"/>
        <v>6280000</v>
      </c>
      <c r="AD20" s="158"/>
      <c r="AE20" s="25"/>
      <c r="AF20" s="25"/>
      <c r="AG20" s="25"/>
      <c r="AH20" s="25"/>
      <c r="AI20" s="25"/>
      <c r="AJ20" s="25"/>
      <c r="AK20" s="25"/>
      <c r="AL20" s="158"/>
      <c r="AM20" s="25"/>
      <c r="AN20" s="158"/>
      <c r="AO20" s="25"/>
      <c r="AP20" s="25"/>
      <c r="AQ20" s="158"/>
      <c r="AR20" s="35">
        <f t="shared" si="9"/>
        <v>0</v>
      </c>
      <c r="AS20" s="172" t="str">
        <f t="shared" si="10"/>
        <v/>
      </c>
      <c r="AT20" s="36">
        <f t="shared" si="11"/>
        <v>0</v>
      </c>
      <c r="AU20" s="173"/>
      <c r="AV20" s="82">
        <f t="shared" si="12"/>
        <v>16</v>
      </c>
      <c r="AW20" s="37"/>
      <c r="AX20" s="174" t="str">
        <f t="shared" si="13"/>
        <v/>
      </c>
      <c r="AY20" s="37"/>
      <c r="AZ20" s="174" t="str">
        <f t="shared" si="14"/>
        <v/>
      </c>
      <c r="BA20" s="37"/>
      <c r="BB20" s="174" t="str">
        <f t="shared" si="15"/>
        <v/>
      </c>
      <c r="BC20" s="37"/>
      <c r="BD20" s="174" t="str">
        <f t="shared" si="16"/>
        <v/>
      </c>
      <c r="BE20" s="37"/>
      <c r="BF20" s="174" t="str">
        <f t="shared" si="17"/>
        <v/>
      </c>
      <c r="BG20" s="37"/>
      <c r="BH20" s="174" t="str">
        <f t="shared" si="18"/>
        <v/>
      </c>
      <c r="BI20" s="37"/>
      <c r="BJ20" s="174" t="str">
        <f t="shared" si="19"/>
        <v/>
      </c>
      <c r="BK20" s="37"/>
      <c r="BL20" s="174" t="str">
        <f t="shared" si="20"/>
        <v/>
      </c>
      <c r="BM20" s="37"/>
      <c r="BN20" s="174" t="str">
        <f t="shared" si="21"/>
        <v/>
      </c>
      <c r="BO20" s="37"/>
      <c r="BP20" s="174" t="str">
        <f t="shared" si="22"/>
        <v/>
      </c>
      <c r="BQ20" s="37"/>
      <c r="BR20" s="174" t="str">
        <f t="shared" si="23"/>
        <v/>
      </c>
      <c r="BS20" s="37"/>
      <c r="BT20" s="174" t="str">
        <f t="shared" si="24"/>
        <v/>
      </c>
      <c r="BU20" s="37"/>
      <c r="BV20" s="174" t="str">
        <f t="shared" si="25"/>
        <v/>
      </c>
      <c r="BW20" s="37"/>
      <c r="BX20" s="174" t="str">
        <f t="shared" si="26"/>
        <v/>
      </c>
      <c r="BY20" s="37"/>
      <c r="BZ20" s="174" t="str">
        <f t="shared" si="27"/>
        <v/>
      </c>
      <c r="CA20" s="37"/>
      <c r="CB20" s="174" t="str">
        <f t="shared" si="28"/>
        <v/>
      </c>
      <c r="CC20" s="37"/>
      <c r="CD20" s="174" t="str">
        <f t="shared" si="29"/>
        <v/>
      </c>
      <c r="CE20" s="37"/>
      <c r="CF20" s="174" t="str">
        <f t="shared" si="30"/>
        <v/>
      </c>
      <c r="CG20" s="37"/>
      <c r="CH20" s="174" t="str">
        <f t="shared" si="31"/>
        <v/>
      </c>
      <c r="CI20" s="37"/>
      <c r="CJ20" s="174" t="str">
        <f t="shared" si="32"/>
        <v/>
      </c>
      <c r="CK20" s="37"/>
      <c r="CL20" s="174" t="str">
        <f t="shared" si="33"/>
        <v/>
      </c>
      <c r="CM20" s="37"/>
      <c r="CN20" s="174" t="str">
        <f t="shared" si="34"/>
        <v/>
      </c>
      <c r="CO20" s="37"/>
      <c r="CP20" s="174" t="str">
        <f t="shared" si="35"/>
        <v/>
      </c>
      <c r="CQ20" s="37"/>
      <c r="CR20" s="174" t="str">
        <f t="shared" si="36"/>
        <v/>
      </c>
      <c r="CS20" s="37"/>
      <c r="CT20" s="174" t="str">
        <f t="shared" si="37"/>
        <v/>
      </c>
      <c r="CU20" s="38"/>
      <c r="CV20" s="87"/>
      <c r="CW20" s="90"/>
      <c r="CX20" s="38"/>
      <c r="CY20" s="39"/>
      <c r="CZ20" s="37"/>
      <c r="DA20" s="39"/>
      <c r="DB20" s="24">
        <v>16</v>
      </c>
      <c r="DC20" s="96" t="str">
        <f t="shared" si="38"/>
        <v>月</v>
      </c>
      <c r="DF20" s="125"/>
      <c r="DG20" s="40"/>
      <c r="DH20" s="40"/>
      <c r="DI20" s="40"/>
      <c r="DJ20" s="40"/>
      <c r="DK20" s="40"/>
      <c r="DL20" s="40"/>
      <c r="DM20" s="40"/>
      <c r="DN20" s="40"/>
      <c r="DO20" s="40"/>
      <c r="DP20" s="40">
        <f t="shared" si="39"/>
        <v>0</v>
      </c>
      <c r="DQ20" s="172" t="str">
        <f t="shared" si="40"/>
        <v/>
      </c>
      <c r="DS20" s="189"/>
      <c r="DT20" s="190"/>
      <c r="DU20" s="190"/>
      <c r="DV20" s="191"/>
      <c r="DW20" s="41"/>
      <c r="DX20" s="42"/>
    </row>
    <row r="21" spans="1:128" ht="13.5" customHeight="1" x14ac:dyDescent="0.4">
      <c r="A21" s="104">
        <v>17</v>
      </c>
      <c r="B21" s="23" t="s">
        <v>91</v>
      </c>
      <c r="C21" s="164"/>
      <c r="D21" s="164"/>
      <c r="E21" s="24"/>
      <c r="F21" s="29"/>
      <c r="G21" s="25" t="str">
        <f>IF(SUM($F$5:F21)=0,"",SUM($F$5:F21))</f>
        <v/>
      </c>
      <c r="H21" s="43" t="str">
        <f t="shared" si="0"/>
        <v/>
      </c>
      <c r="I21" s="148" t="e">
        <f t="array" aca="1" ref="I21" ca="1">IF($A22="",$G21/($V21-$U$5+INDIRECT(IF(_xlfn.SHEET()&lt;6,"令和8年"&amp;_xlfn.SHEET()+7&amp;"月","令和9年"&amp;_xlfn.SHEET()-5&amp;"月")&amp;"!$U$5")),$G21/($V22-$U$5))</f>
        <v>#VALUE!</v>
      </c>
      <c r="J21" s="26" t="str">
        <f t="shared" si="1"/>
        <v/>
      </c>
      <c r="K21" s="27"/>
      <c r="L21" s="165">
        <f t="shared" si="2"/>
        <v>0</v>
      </c>
      <c r="M21" s="28" t="str">
        <f t="shared" si="3"/>
        <v/>
      </c>
      <c r="N21" s="166" t="str">
        <f t="shared" si="4"/>
        <v/>
      </c>
      <c r="O21" s="167" t="str">
        <f t="shared" si="5"/>
        <v/>
      </c>
      <c r="P21" s="168"/>
      <c r="Q21" s="169" t="str">
        <f t="shared" si="6"/>
        <v/>
      </c>
      <c r="R21" s="170">
        <v>21</v>
      </c>
      <c r="S21" s="171">
        <v>9</v>
      </c>
      <c r="T21" s="24" t="s">
        <v>84</v>
      </c>
      <c r="U21" s="29">
        <v>243045</v>
      </c>
      <c r="V21" s="30">
        <f t="shared" si="41"/>
        <v>6441371</v>
      </c>
      <c r="W21" s="27">
        <v>141</v>
      </c>
      <c r="X21" s="31">
        <f t="shared" si="7"/>
        <v>1723.7234042553191</v>
      </c>
      <c r="Y21" s="29">
        <v>616183</v>
      </c>
      <c r="Z21" s="32">
        <f t="shared" si="42"/>
        <v>6190027</v>
      </c>
      <c r="AA21" s="33">
        <f t="shared" si="8"/>
        <v>1.0406046694142046</v>
      </c>
      <c r="AB21" s="158">
        <v>220000</v>
      </c>
      <c r="AC21" s="34">
        <f t="shared" si="43"/>
        <v>6500000</v>
      </c>
      <c r="AD21" s="158"/>
      <c r="AE21" s="25"/>
      <c r="AF21" s="25"/>
      <c r="AG21" s="25"/>
      <c r="AH21" s="25"/>
      <c r="AI21" s="25"/>
      <c r="AJ21" s="25"/>
      <c r="AK21" s="25"/>
      <c r="AL21" s="158"/>
      <c r="AM21" s="25"/>
      <c r="AN21" s="158"/>
      <c r="AO21" s="25"/>
      <c r="AP21" s="25"/>
      <c r="AQ21" s="158"/>
      <c r="AR21" s="35">
        <f t="shared" si="9"/>
        <v>0</v>
      </c>
      <c r="AS21" s="172" t="str">
        <f t="shared" si="10"/>
        <v/>
      </c>
      <c r="AT21" s="36">
        <f t="shared" si="11"/>
        <v>0</v>
      </c>
      <c r="AU21" s="173"/>
      <c r="AV21" s="82">
        <f t="shared" si="12"/>
        <v>17</v>
      </c>
      <c r="AW21" s="37"/>
      <c r="AX21" s="174" t="str">
        <f t="shared" si="13"/>
        <v/>
      </c>
      <c r="AY21" s="37"/>
      <c r="AZ21" s="174" t="str">
        <f t="shared" si="14"/>
        <v/>
      </c>
      <c r="BA21" s="37"/>
      <c r="BB21" s="174" t="str">
        <f t="shared" si="15"/>
        <v/>
      </c>
      <c r="BC21" s="37"/>
      <c r="BD21" s="174" t="str">
        <f t="shared" si="16"/>
        <v/>
      </c>
      <c r="BE21" s="37"/>
      <c r="BF21" s="174" t="str">
        <f t="shared" si="17"/>
        <v/>
      </c>
      <c r="BG21" s="37"/>
      <c r="BH21" s="174" t="str">
        <f t="shared" si="18"/>
        <v/>
      </c>
      <c r="BI21" s="37"/>
      <c r="BJ21" s="174" t="str">
        <f t="shared" si="19"/>
        <v/>
      </c>
      <c r="BK21" s="37"/>
      <c r="BL21" s="174" t="str">
        <f t="shared" si="20"/>
        <v/>
      </c>
      <c r="BM21" s="37"/>
      <c r="BN21" s="174" t="str">
        <f t="shared" si="21"/>
        <v/>
      </c>
      <c r="BO21" s="37"/>
      <c r="BP21" s="174" t="str">
        <f t="shared" si="22"/>
        <v/>
      </c>
      <c r="BQ21" s="37"/>
      <c r="BR21" s="174" t="str">
        <f t="shared" si="23"/>
        <v/>
      </c>
      <c r="BS21" s="37"/>
      <c r="BT21" s="174" t="str">
        <f t="shared" si="24"/>
        <v/>
      </c>
      <c r="BU21" s="37"/>
      <c r="BV21" s="174" t="str">
        <f t="shared" si="25"/>
        <v/>
      </c>
      <c r="BW21" s="37"/>
      <c r="BX21" s="174" t="str">
        <f t="shared" si="26"/>
        <v/>
      </c>
      <c r="BY21" s="37"/>
      <c r="BZ21" s="174" t="str">
        <f t="shared" si="27"/>
        <v/>
      </c>
      <c r="CA21" s="37"/>
      <c r="CB21" s="174" t="str">
        <f t="shared" si="28"/>
        <v/>
      </c>
      <c r="CC21" s="37"/>
      <c r="CD21" s="174" t="str">
        <f t="shared" si="29"/>
        <v/>
      </c>
      <c r="CE21" s="37"/>
      <c r="CF21" s="174" t="str">
        <f t="shared" si="30"/>
        <v/>
      </c>
      <c r="CG21" s="37"/>
      <c r="CH21" s="174" t="str">
        <f t="shared" si="31"/>
        <v/>
      </c>
      <c r="CI21" s="37"/>
      <c r="CJ21" s="174" t="str">
        <f t="shared" si="32"/>
        <v/>
      </c>
      <c r="CK21" s="37"/>
      <c r="CL21" s="174" t="str">
        <f t="shared" si="33"/>
        <v/>
      </c>
      <c r="CM21" s="37"/>
      <c r="CN21" s="174" t="str">
        <f t="shared" si="34"/>
        <v/>
      </c>
      <c r="CO21" s="37"/>
      <c r="CP21" s="174" t="str">
        <f t="shared" si="35"/>
        <v/>
      </c>
      <c r="CQ21" s="37"/>
      <c r="CR21" s="174" t="str">
        <f t="shared" si="36"/>
        <v/>
      </c>
      <c r="CS21" s="37"/>
      <c r="CT21" s="174" t="str">
        <f t="shared" si="37"/>
        <v/>
      </c>
      <c r="CU21" s="38"/>
      <c r="CV21" s="87"/>
      <c r="CW21" s="90"/>
      <c r="CX21" s="38"/>
      <c r="CY21" s="39"/>
      <c r="CZ21" s="37"/>
      <c r="DA21" s="39"/>
      <c r="DB21" s="24">
        <v>17</v>
      </c>
      <c r="DC21" s="96" t="str">
        <f t="shared" si="38"/>
        <v>火</v>
      </c>
      <c r="DF21" s="125"/>
      <c r="DG21" s="40"/>
      <c r="DH21" s="40"/>
      <c r="DI21" s="40"/>
      <c r="DJ21" s="40"/>
      <c r="DK21" s="40"/>
      <c r="DL21" s="40"/>
      <c r="DM21" s="40"/>
      <c r="DN21" s="40"/>
      <c r="DO21" s="40"/>
      <c r="DP21" s="40">
        <f t="shared" si="39"/>
        <v>0</v>
      </c>
      <c r="DQ21" s="172" t="str">
        <f t="shared" si="40"/>
        <v/>
      </c>
      <c r="DS21" s="189"/>
      <c r="DT21" s="190"/>
      <c r="DU21" s="190"/>
      <c r="DV21" s="191"/>
      <c r="DW21" s="41"/>
      <c r="DX21" s="42"/>
    </row>
    <row r="22" spans="1:128" ht="13.5" customHeight="1" x14ac:dyDescent="0.4">
      <c r="A22" s="104">
        <v>18</v>
      </c>
      <c r="B22" s="23" t="s">
        <v>83</v>
      </c>
      <c r="C22" s="164"/>
      <c r="D22" s="164"/>
      <c r="E22" s="24"/>
      <c r="F22" s="29"/>
      <c r="G22" s="25" t="str">
        <f>IF(SUM($F$5:F22)=0,"",SUM($F$5:F22))</f>
        <v/>
      </c>
      <c r="H22" s="43" t="str">
        <f t="shared" si="0"/>
        <v/>
      </c>
      <c r="I22" s="148" t="e">
        <f t="array" aca="1" ref="I22" ca="1">IF($A23="",$G22/($V22-$U$5+INDIRECT(IF(_xlfn.SHEET()&lt;6,"令和8年"&amp;_xlfn.SHEET()+7&amp;"月","令和9年"&amp;_xlfn.SHEET()-5&amp;"月")&amp;"!$U$5")),$G22/($V23-$U$5))</f>
        <v>#VALUE!</v>
      </c>
      <c r="J22" s="26" t="str">
        <f t="shared" si="1"/>
        <v/>
      </c>
      <c r="K22" s="27"/>
      <c r="L22" s="165">
        <f t="shared" si="2"/>
        <v>0</v>
      </c>
      <c r="M22" s="28" t="str">
        <f t="shared" si="3"/>
        <v/>
      </c>
      <c r="N22" s="166" t="str">
        <f t="shared" si="4"/>
        <v/>
      </c>
      <c r="O22" s="167" t="str">
        <f t="shared" si="5"/>
        <v/>
      </c>
      <c r="P22" s="168"/>
      <c r="Q22" s="169" t="str">
        <f t="shared" si="6"/>
        <v/>
      </c>
      <c r="R22" s="170">
        <v>15</v>
      </c>
      <c r="S22" s="171">
        <v>6</v>
      </c>
      <c r="T22" s="24" t="s">
        <v>84</v>
      </c>
      <c r="U22" s="29">
        <v>214285</v>
      </c>
      <c r="V22" s="30">
        <f t="shared" si="41"/>
        <v>6655656</v>
      </c>
      <c r="W22" s="27">
        <v>150</v>
      </c>
      <c r="X22" s="31">
        <f t="shared" si="7"/>
        <v>1428.5666666666666</v>
      </c>
      <c r="Y22" s="29">
        <v>177126</v>
      </c>
      <c r="Z22" s="32">
        <f t="shared" si="42"/>
        <v>6367153</v>
      </c>
      <c r="AA22" s="33">
        <f t="shared" si="8"/>
        <v>1.0453111461276334</v>
      </c>
      <c r="AB22" s="158">
        <v>220000</v>
      </c>
      <c r="AC22" s="34">
        <f t="shared" si="43"/>
        <v>6720000</v>
      </c>
      <c r="AD22" s="158"/>
      <c r="AE22" s="25"/>
      <c r="AF22" s="25"/>
      <c r="AG22" s="25"/>
      <c r="AH22" s="25"/>
      <c r="AI22" s="25"/>
      <c r="AJ22" s="25"/>
      <c r="AK22" s="25"/>
      <c r="AL22" s="158"/>
      <c r="AM22" s="25"/>
      <c r="AN22" s="158"/>
      <c r="AO22" s="25"/>
      <c r="AP22" s="25"/>
      <c r="AQ22" s="158"/>
      <c r="AR22" s="35">
        <f t="shared" si="9"/>
        <v>0</v>
      </c>
      <c r="AS22" s="172" t="str">
        <f t="shared" si="10"/>
        <v/>
      </c>
      <c r="AT22" s="36">
        <f t="shared" si="11"/>
        <v>0</v>
      </c>
      <c r="AU22" s="173"/>
      <c r="AV22" s="82">
        <f t="shared" si="12"/>
        <v>18</v>
      </c>
      <c r="AW22" s="37"/>
      <c r="AX22" s="174" t="str">
        <f t="shared" si="13"/>
        <v/>
      </c>
      <c r="AY22" s="37"/>
      <c r="AZ22" s="174" t="str">
        <f t="shared" si="14"/>
        <v/>
      </c>
      <c r="BA22" s="37"/>
      <c r="BB22" s="174" t="str">
        <f t="shared" si="15"/>
        <v/>
      </c>
      <c r="BC22" s="37"/>
      <c r="BD22" s="174" t="str">
        <f t="shared" si="16"/>
        <v/>
      </c>
      <c r="BE22" s="37"/>
      <c r="BF22" s="174" t="str">
        <f t="shared" si="17"/>
        <v/>
      </c>
      <c r="BG22" s="37"/>
      <c r="BH22" s="174" t="str">
        <f t="shared" si="18"/>
        <v/>
      </c>
      <c r="BI22" s="37"/>
      <c r="BJ22" s="174" t="str">
        <f t="shared" si="19"/>
        <v/>
      </c>
      <c r="BK22" s="37"/>
      <c r="BL22" s="174" t="str">
        <f t="shared" si="20"/>
        <v/>
      </c>
      <c r="BM22" s="37"/>
      <c r="BN22" s="174" t="str">
        <f t="shared" si="21"/>
        <v/>
      </c>
      <c r="BO22" s="37"/>
      <c r="BP22" s="174" t="str">
        <f t="shared" si="22"/>
        <v/>
      </c>
      <c r="BQ22" s="37"/>
      <c r="BR22" s="174" t="str">
        <f t="shared" si="23"/>
        <v/>
      </c>
      <c r="BS22" s="37"/>
      <c r="BT22" s="174" t="str">
        <f t="shared" si="24"/>
        <v/>
      </c>
      <c r="BU22" s="37"/>
      <c r="BV22" s="174" t="str">
        <f t="shared" si="25"/>
        <v/>
      </c>
      <c r="BW22" s="37"/>
      <c r="BX22" s="174" t="str">
        <f t="shared" si="26"/>
        <v/>
      </c>
      <c r="BY22" s="37"/>
      <c r="BZ22" s="174" t="str">
        <f t="shared" si="27"/>
        <v/>
      </c>
      <c r="CA22" s="37"/>
      <c r="CB22" s="174" t="str">
        <f t="shared" si="28"/>
        <v/>
      </c>
      <c r="CC22" s="37"/>
      <c r="CD22" s="174" t="str">
        <f t="shared" si="29"/>
        <v/>
      </c>
      <c r="CE22" s="37"/>
      <c r="CF22" s="174" t="str">
        <f t="shared" si="30"/>
        <v/>
      </c>
      <c r="CG22" s="37"/>
      <c r="CH22" s="174" t="str">
        <f t="shared" si="31"/>
        <v/>
      </c>
      <c r="CI22" s="37"/>
      <c r="CJ22" s="174" t="str">
        <f t="shared" si="32"/>
        <v/>
      </c>
      <c r="CK22" s="37"/>
      <c r="CL22" s="174" t="str">
        <f t="shared" si="33"/>
        <v/>
      </c>
      <c r="CM22" s="37"/>
      <c r="CN22" s="174" t="str">
        <f t="shared" si="34"/>
        <v/>
      </c>
      <c r="CO22" s="37"/>
      <c r="CP22" s="174" t="str">
        <f t="shared" si="35"/>
        <v/>
      </c>
      <c r="CQ22" s="37"/>
      <c r="CR22" s="174" t="str">
        <f t="shared" si="36"/>
        <v/>
      </c>
      <c r="CS22" s="37"/>
      <c r="CT22" s="174" t="str">
        <f t="shared" si="37"/>
        <v/>
      </c>
      <c r="CU22" s="38"/>
      <c r="CV22" s="87"/>
      <c r="CW22" s="90"/>
      <c r="CX22" s="38"/>
      <c r="CY22" s="39"/>
      <c r="CZ22" s="37"/>
      <c r="DA22" s="39"/>
      <c r="DB22" s="24">
        <v>18</v>
      </c>
      <c r="DC22" s="96" t="str">
        <f t="shared" si="38"/>
        <v>水</v>
      </c>
      <c r="DF22" s="125"/>
      <c r="DG22" s="40"/>
      <c r="DH22" s="40"/>
      <c r="DI22" s="40"/>
      <c r="DJ22" s="40"/>
      <c r="DK22" s="40"/>
      <c r="DL22" s="40"/>
      <c r="DM22" s="40"/>
      <c r="DN22" s="40"/>
      <c r="DO22" s="40"/>
      <c r="DP22" s="40">
        <f t="shared" si="39"/>
        <v>0</v>
      </c>
      <c r="DQ22" s="172" t="str">
        <f t="shared" si="40"/>
        <v/>
      </c>
      <c r="DS22" s="189"/>
      <c r="DT22" s="190"/>
      <c r="DU22" s="190"/>
      <c r="DV22" s="191"/>
      <c r="DW22" s="138"/>
      <c r="DX22" s="42"/>
    </row>
    <row r="23" spans="1:128" ht="13.5" customHeight="1" x14ac:dyDescent="0.4">
      <c r="A23" s="104">
        <v>19</v>
      </c>
      <c r="B23" s="23" t="s">
        <v>85</v>
      </c>
      <c r="C23" s="164"/>
      <c r="D23" s="164"/>
      <c r="E23" s="24"/>
      <c r="F23" s="29"/>
      <c r="G23" s="25" t="str">
        <f>IF(SUM($F$5:F23)=0,"",SUM($F$5:F23))</f>
        <v/>
      </c>
      <c r="H23" s="43" t="str">
        <f t="shared" si="0"/>
        <v/>
      </c>
      <c r="I23" s="148" t="e">
        <f t="array" aca="1" ref="I23" ca="1">IF($A24="",$G23/($V23-$U$5+INDIRECT(IF(_xlfn.SHEET()&lt;6,"令和8年"&amp;_xlfn.SHEET()+7&amp;"月","令和9年"&amp;_xlfn.SHEET()-5&amp;"月")&amp;"!$U$5")),$G23/($V24-$U$5))</f>
        <v>#VALUE!</v>
      </c>
      <c r="J23" s="26" t="str">
        <f t="shared" si="1"/>
        <v/>
      </c>
      <c r="K23" s="27"/>
      <c r="L23" s="165">
        <f t="shared" si="2"/>
        <v>0</v>
      </c>
      <c r="M23" s="28" t="str">
        <f t="shared" si="3"/>
        <v/>
      </c>
      <c r="N23" s="166" t="str">
        <f t="shared" si="4"/>
        <v/>
      </c>
      <c r="O23" s="167" t="str">
        <f t="shared" si="5"/>
        <v/>
      </c>
      <c r="P23" s="168"/>
      <c r="Q23" s="169" t="str">
        <f t="shared" si="6"/>
        <v/>
      </c>
      <c r="R23" s="170">
        <v>13</v>
      </c>
      <c r="S23" s="171">
        <v>5</v>
      </c>
      <c r="T23" s="24" t="s">
        <v>84</v>
      </c>
      <c r="U23" s="29">
        <v>250864</v>
      </c>
      <c r="V23" s="30">
        <f t="shared" si="41"/>
        <v>6906520</v>
      </c>
      <c r="W23" s="27">
        <v>153</v>
      </c>
      <c r="X23" s="31">
        <f t="shared" si="7"/>
        <v>1639.6339869281046</v>
      </c>
      <c r="Y23" s="29">
        <v>211362</v>
      </c>
      <c r="Z23" s="32">
        <f t="shared" si="42"/>
        <v>6578515</v>
      </c>
      <c r="AA23" s="33">
        <f t="shared" si="8"/>
        <v>1.0498600368016187</v>
      </c>
      <c r="AB23" s="158">
        <v>220000</v>
      </c>
      <c r="AC23" s="34">
        <f t="shared" si="43"/>
        <v>6940000</v>
      </c>
      <c r="AD23" s="158"/>
      <c r="AE23" s="25"/>
      <c r="AF23" s="25"/>
      <c r="AG23" s="25"/>
      <c r="AH23" s="25"/>
      <c r="AI23" s="25"/>
      <c r="AJ23" s="25"/>
      <c r="AK23" s="25"/>
      <c r="AL23" s="158"/>
      <c r="AM23" s="25"/>
      <c r="AN23" s="158"/>
      <c r="AO23" s="25"/>
      <c r="AP23" s="25"/>
      <c r="AQ23" s="158"/>
      <c r="AR23" s="35">
        <f t="shared" si="9"/>
        <v>0</v>
      </c>
      <c r="AS23" s="172" t="str">
        <f t="shared" si="10"/>
        <v/>
      </c>
      <c r="AT23" s="36">
        <f t="shared" si="11"/>
        <v>0</v>
      </c>
      <c r="AU23" s="173"/>
      <c r="AV23" s="82">
        <f t="shared" si="12"/>
        <v>19</v>
      </c>
      <c r="AW23" s="37"/>
      <c r="AX23" s="174" t="str">
        <f t="shared" si="13"/>
        <v/>
      </c>
      <c r="AY23" s="37"/>
      <c r="AZ23" s="174" t="str">
        <f t="shared" si="14"/>
        <v/>
      </c>
      <c r="BA23" s="37"/>
      <c r="BB23" s="174" t="str">
        <f t="shared" si="15"/>
        <v/>
      </c>
      <c r="BC23" s="37"/>
      <c r="BD23" s="174" t="str">
        <f t="shared" si="16"/>
        <v/>
      </c>
      <c r="BE23" s="37"/>
      <c r="BF23" s="174" t="str">
        <f t="shared" si="17"/>
        <v/>
      </c>
      <c r="BG23" s="37"/>
      <c r="BH23" s="174" t="str">
        <f t="shared" si="18"/>
        <v/>
      </c>
      <c r="BI23" s="37"/>
      <c r="BJ23" s="174" t="str">
        <f t="shared" si="19"/>
        <v/>
      </c>
      <c r="BK23" s="37"/>
      <c r="BL23" s="174" t="str">
        <f t="shared" si="20"/>
        <v/>
      </c>
      <c r="BM23" s="37"/>
      <c r="BN23" s="174" t="str">
        <f t="shared" si="21"/>
        <v/>
      </c>
      <c r="BO23" s="37"/>
      <c r="BP23" s="174" t="str">
        <f t="shared" si="22"/>
        <v/>
      </c>
      <c r="BQ23" s="37"/>
      <c r="BR23" s="174" t="str">
        <f t="shared" si="23"/>
        <v/>
      </c>
      <c r="BS23" s="37"/>
      <c r="BT23" s="174" t="str">
        <f t="shared" si="24"/>
        <v/>
      </c>
      <c r="BU23" s="37"/>
      <c r="BV23" s="174" t="str">
        <f t="shared" si="25"/>
        <v/>
      </c>
      <c r="BW23" s="37"/>
      <c r="BX23" s="174" t="str">
        <f t="shared" si="26"/>
        <v/>
      </c>
      <c r="BY23" s="37"/>
      <c r="BZ23" s="174" t="str">
        <f t="shared" si="27"/>
        <v/>
      </c>
      <c r="CA23" s="37"/>
      <c r="CB23" s="174" t="str">
        <f t="shared" si="28"/>
        <v/>
      </c>
      <c r="CC23" s="37"/>
      <c r="CD23" s="174" t="str">
        <f t="shared" si="29"/>
        <v/>
      </c>
      <c r="CE23" s="37"/>
      <c r="CF23" s="174" t="str">
        <f t="shared" si="30"/>
        <v/>
      </c>
      <c r="CG23" s="37"/>
      <c r="CH23" s="174" t="str">
        <f t="shared" si="31"/>
        <v/>
      </c>
      <c r="CI23" s="37"/>
      <c r="CJ23" s="174" t="str">
        <f t="shared" si="32"/>
        <v/>
      </c>
      <c r="CK23" s="37"/>
      <c r="CL23" s="174" t="str">
        <f t="shared" si="33"/>
        <v/>
      </c>
      <c r="CM23" s="37"/>
      <c r="CN23" s="174" t="str">
        <f t="shared" si="34"/>
        <v/>
      </c>
      <c r="CO23" s="37"/>
      <c r="CP23" s="174" t="str">
        <f t="shared" si="35"/>
        <v/>
      </c>
      <c r="CQ23" s="37"/>
      <c r="CR23" s="174" t="str">
        <f t="shared" si="36"/>
        <v/>
      </c>
      <c r="CS23" s="37"/>
      <c r="CT23" s="174" t="str">
        <f t="shared" si="37"/>
        <v/>
      </c>
      <c r="CU23" s="38"/>
      <c r="CV23" s="87"/>
      <c r="CW23" s="90"/>
      <c r="CX23" s="38"/>
      <c r="CY23" s="39"/>
      <c r="CZ23" s="37"/>
      <c r="DA23" s="39"/>
      <c r="DB23" s="24">
        <v>19</v>
      </c>
      <c r="DC23" s="96" t="str">
        <f t="shared" si="38"/>
        <v>木</v>
      </c>
      <c r="DF23" s="125"/>
      <c r="DG23" s="40"/>
      <c r="DH23" s="40"/>
      <c r="DI23" s="40"/>
      <c r="DJ23" s="40"/>
      <c r="DK23" s="40"/>
      <c r="DL23" s="40"/>
      <c r="DM23" s="40"/>
      <c r="DN23" s="40"/>
      <c r="DO23" s="40"/>
      <c r="DP23" s="40">
        <f t="shared" si="39"/>
        <v>0</v>
      </c>
      <c r="DQ23" s="172" t="str">
        <f t="shared" si="40"/>
        <v/>
      </c>
      <c r="DS23" s="189"/>
      <c r="DT23" s="190"/>
      <c r="DU23" s="190"/>
      <c r="DV23" s="191"/>
      <c r="DW23" s="41"/>
      <c r="DX23" s="42"/>
    </row>
    <row r="24" spans="1:128" ht="13.5" customHeight="1" x14ac:dyDescent="0.4">
      <c r="A24" s="104">
        <v>20</v>
      </c>
      <c r="B24" s="23" t="s">
        <v>86</v>
      </c>
      <c r="C24" s="164"/>
      <c r="D24" s="164"/>
      <c r="E24" s="24"/>
      <c r="F24" s="29"/>
      <c r="G24" s="25" t="str">
        <f>IF(SUM($F$5:F24)=0,"",SUM($F$5:F24))</f>
        <v/>
      </c>
      <c r="H24" s="43" t="str">
        <f t="shared" si="0"/>
        <v/>
      </c>
      <c r="I24" s="148" t="e">
        <f t="array" aca="1" ref="I24" ca="1">IF($A25="",$G24/($V24-$U$5+INDIRECT(IF(_xlfn.SHEET()&lt;6,"令和8年"&amp;_xlfn.SHEET()+7&amp;"月","令和9年"&amp;_xlfn.SHEET()-5&amp;"月")&amp;"!$U$5")),$G24/($V25-$U$5))</f>
        <v>#VALUE!</v>
      </c>
      <c r="J24" s="26" t="str">
        <f t="shared" si="1"/>
        <v/>
      </c>
      <c r="K24" s="27"/>
      <c r="L24" s="165">
        <f t="shared" si="2"/>
        <v>0</v>
      </c>
      <c r="M24" s="28" t="str">
        <f t="shared" si="3"/>
        <v/>
      </c>
      <c r="N24" s="166" t="str">
        <f t="shared" si="4"/>
        <v/>
      </c>
      <c r="O24" s="167" t="str">
        <f t="shared" si="5"/>
        <v/>
      </c>
      <c r="P24" s="168"/>
      <c r="Q24" s="169" t="str">
        <f t="shared" si="6"/>
        <v/>
      </c>
      <c r="R24" s="170">
        <v>14</v>
      </c>
      <c r="S24" s="171">
        <v>5</v>
      </c>
      <c r="T24" s="24" t="s">
        <v>84</v>
      </c>
      <c r="U24" s="29">
        <v>236711</v>
      </c>
      <c r="V24" s="30">
        <f t="shared" si="41"/>
        <v>7143231</v>
      </c>
      <c r="W24" s="27">
        <v>116</v>
      </c>
      <c r="X24" s="31">
        <f t="shared" si="7"/>
        <v>2040.6120689655172</v>
      </c>
      <c r="Y24" s="29">
        <v>135606</v>
      </c>
      <c r="Z24" s="32">
        <f t="shared" si="42"/>
        <v>6714121</v>
      </c>
      <c r="AA24" s="33">
        <f t="shared" si="8"/>
        <v>1.0639115678731437</v>
      </c>
      <c r="AB24" s="158">
        <v>220000</v>
      </c>
      <c r="AC24" s="34">
        <f t="shared" si="43"/>
        <v>7160000</v>
      </c>
      <c r="AD24" s="158"/>
      <c r="AE24" s="25"/>
      <c r="AF24" s="25"/>
      <c r="AG24" s="25"/>
      <c r="AH24" s="25"/>
      <c r="AI24" s="25"/>
      <c r="AJ24" s="25"/>
      <c r="AK24" s="25"/>
      <c r="AL24" s="158"/>
      <c r="AM24" s="25"/>
      <c r="AN24" s="158"/>
      <c r="AO24" s="25"/>
      <c r="AP24" s="25"/>
      <c r="AQ24" s="158"/>
      <c r="AR24" s="35">
        <f t="shared" si="9"/>
        <v>0</v>
      </c>
      <c r="AS24" s="172" t="str">
        <f t="shared" si="10"/>
        <v/>
      </c>
      <c r="AT24" s="36">
        <f t="shared" si="11"/>
        <v>0</v>
      </c>
      <c r="AU24" s="173"/>
      <c r="AV24" s="82">
        <f t="shared" si="12"/>
        <v>20</v>
      </c>
      <c r="AW24" s="37"/>
      <c r="AX24" s="174" t="str">
        <f t="shared" si="13"/>
        <v/>
      </c>
      <c r="AY24" s="37"/>
      <c r="AZ24" s="174" t="str">
        <f t="shared" si="14"/>
        <v/>
      </c>
      <c r="BA24" s="37"/>
      <c r="BB24" s="174" t="str">
        <f t="shared" si="15"/>
        <v/>
      </c>
      <c r="BC24" s="37"/>
      <c r="BD24" s="174" t="str">
        <f t="shared" si="16"/>
        <v/>
      </c>
      <c r="BE24" s="37"/>
      <c r="BF24" s="174" t="str">
        <f t="shared" si="17"/>
        <v/>
      </c>
      <c r="BG24" s="37"/>
      <c r="BH24" s="174" t="str">
        <f t="shared" si="18"/>
        <v/>
      </c>
      <c r="BI24" s="37"/>
      <c r="BJ24" s="174" t="str">
        <f t="shared" si="19"/>
        <v/>
      </c>
      <c r="BK24" s="37"/>
      <c r="BL24" s="174" t="str">
        <f t="shared" si="20"/>
        <v/>
      </c>
      <c r="BM24" s="37"/>
      <c r="BN24" s="174" t="str">
        <f t="shared" si="21"/>
        <v/>
      </c>
      <c r="BO24" s="37"/>
      <c r="BP24" s="174" t="str">
        <f t="shared" si="22"/>
        <v/>
      </c>
      <c r="BQ24" s="37"/>
      <c r="BR24" s="174" t="str">
        <f t="shared" si="23"/>
        <v/>
      </c>
      <c r="BS24" s="37"/>
      <c r="BT24" s="174" t="str">
        <f t="shared" si="24"/>
        <v/>
      </c>
      <c r="BU24" s="37"/>
      <c r="BV24" s="174" t="str">
        <f t="shared" si="25"/>
        <v/>
      </c>
      <c r="BW24" s="37"/>
      <c r="BX24" s="174" t="str">
        <f t="shared" si="26"/>
        <v/>
      </c>
      <c r="BY24" s="37"/>
      <c r="BZ24" s="174" t="str">
        <f t="shared" si="27"/>
        <v/>
      </c>
      <c r="CA24" s="37"/>
      <c r="CB24" s="174" t="str">
        <f t="shared" si="28"/>
        <v/>
      </c>
      <c r="CC24" s="37"/>
      <c r="CD24" s="174" t="str">
        <f t="shared" si="29"/>
        <v/>
      </c>
      <c r="CE24" s="37"/>
      <c r="CF24" s="174" t="str">
        <f t="shared" si="30"/>
        <v/>
      </c>
      <c r="CG24" s="37"/>
      <c r="CH24" s="174" t="str">
        <f t="shared" si="31"/>
        <v/>
      </c>
      <c r="CI24" s="37"/>
      <c r="CJ24" s="174" t="str">
        <f t="shared" si="32"/>
        <v/>
      </c>
      <c r="CK24" s="37"/>
      <c r="CL24" s="174" t="str">
        <f t="shared" si="33"/>
        <v/>
      </c>
      <c r="CM24" s="37"/>
      <c r="CN24" s="174" t="str">
        <f t="shared" si="34"/>
        <v/>
      </c>
      <c r="CO24" s="37"/>
      <c r="CP24" s="174" t="str">
        <f t="shared" si="35"/>
        <v/>
      </c>
      <c r="CQ24" s="37"/>
      <c r="CR24" s="174" t="str">
        <f t="shared" si="36"/>
        <v/>
      </c>
      <c r="CS24" s="37"/>
      <c r="CT24" s="174" t="str">
        <f t="shared" si="37"/>
        <v/>
      </c>
      <c r="CU24" s="38"/>
      <c r="CV24" s="87"/>
      <c r="CW24" s="90"/>
      <c r="CX24" s="38"/>
      <c r="CY24" s="39"/>
      <c r="CZ24" s="37"/>
      <c r="DA24" s="39"/>
      <c r="DB24" s="24">
        <v>20</v>
      </c>
      <c r="DC24" s="96" t="str">
        <f t="shared" si="38"/>
        <v>金</v>
      </c>
      <c r="DF24" s="125"/>
      <c r="DG24" s="40"/>
      <c r="DH24" s="40"/>
      <c r="DI24" s="40"/>
      <c r="DJ24" s="40"/>
      <c r="DK24" s="40"/>
      <c r="DL24" s="40"/>
      <c r="DM24" s="40"/>
      <c r="DN24" s="40"/>
      <c r="DO24" s="40"/>
      <c r="DP24" s="40">
        <f t="shared" si="39"/>
        <v>0</v>
      </c>
      <c r="DQ24" s="172" t="str">
        <f t="shared" si="40"/>
        <v/>
      </c>
      <c r="DS24" s="189"/>
      <c r="DT24" s="190"/>
      <c r="DU24" s="190"/>
      <c r="DV24" s="191"/>
      <c r="DW24" s="41"/>
      <c r="DX24" s="42"/>
    </row>
    <row r="25" spans="1:128" ht="13.5" customHeight="1" x14ac:dyDescent="0.4">
      <c r="A25" s="104">
        <v>21</v>
      </c>
      <c r="B25" s="164" t="s">
        <v>88</v>
      </c>
      <c r="C25" s="164"/>
      <c r="D25" s="164"/>
      <c r="E25" s="24"/>
      <c r="F25" s="29"/>
      <c r="G25" s="25" t="str">
        <f>IF(SUM($F$5:F25)=0,"",SUM($F$5:F25))</f>
        <v/>
      </c>
      <c r="H25" s="43" t="str">
        <f t="shared" si="0"/>
        <v/>
      </c>
      <c r="I25" s="148" t="e">
        <f t="array" aca="1" ref="I25" ca="1">IF($A26="",$G25/($V25-$U$5+INDIRECT(IF(_xlfn.SHEET()&lt;6,"令和8年"&amp;_xlfn.SHEET()+7&amp;"月","令和9年"&amp;_xlfn.SHEET()-5&amp;"月")&amp;"!$U$5")),$G25/($V26-$U$5))</f>
        <v>#VALUE!</v>
      </c>
      <c r="J25" s="26" t="str">
        <f t="shared" si="1"/>
        <v/>
      </c>
      <c r="K25" s="27"/>
      <c r="L25" s="165">
        <f t="shared" si="2"/>
        <v>0</v>
      </c>
      <c r="M25" s="28" t="str">
        <f t="shared" si="3"/>
        <v/>
      </c>
      <c r="N25" s="166" t="str">
        <f t="shared" si="4"/>
        <v/>
      </c>
      <c r="O25" s="167" t="str">
        <f t="shared" si="5"/>
        <v/>
      </c>
      <c r="P25" s="168"/>
      <c r="Q25" s="169" t="str">
        <f t="shared" si="6"/>
        <v/>
      </c>
      <c r="R25" s="170">
        <v>17</v>
      </c>
      <c r="S25" s="171">
        <v>7</v>
      </c>
      <c r="T25" s="24" t="s">
        <v>84</v>
      </c>
      <c r="U25" s="29">
        <v>186994</v>
      </c>
      <c r="V25" s="30">
        <f t="shared" si="41"/>
        <v>7330225</v>
      </c>
      <c r="W25" s="27">
        <v>117</v>
      </c>
      <c r="X25" s="31">
        <f t="shared" si="7"/>
        <v>1598.2393162393162</v>
      </c>
      <c r="Y25" s="29">
        <v>224479</v>
      </c>
      <c r="Z25" s="32">
        <f t="shared" si="42"/>
        <v>6938600</v>
      </c>
      <c r="AA25" s="33">
        <f t="shared" si="8"/>
        <v>1.0564415011673824</v>
      </c>
      <c r="AB25" s="158">
        <v>680000</v>
      </c>
      <c r="AC25" s="34">
        <f t="shared" si="43"/>
        <v>7840000</v>
      </c>
      <c r="AD25" s="158"/>
      <c r="AE25" s="25"/>
      <c r="AF25" s="25"/>
      <c r="AG25" s="25"/>
      <c r="AH25" s="25"/>
      <c r="AI25" s="25"/>
      <c r="AJ25" s="25"/>
      <c r="AK25" s="25"/>
      <c r="AL25" s="158"/>
      <c r="AM25" s="25"/>
      <c r="AN25" s="158"/>
      <c r="AO25" s="25"/>
      <c r="AP25" s="25"/>
      <c r="AQ25" s="158"/>
      <c r="AR25" s="35">
        <f t="shared" si="9"/>
        <v>0</v>
      </c>
      <c r="AS25" s="172" t="str">
        <f t="shared" si="10"/>
        <v/>
      </c>
      <c r="AT25" s="36">
        <f t="shared" si="11"/>
        <v>0</v>
      </c>
      <c r="AU25" s="173"/>
      <c r="AV25" s="82">
        <f t="shared" si="12"/>
        <v>21</v>
      </c>
      <c r="AW25" s="37"/>
      <c r="AX25" s="174" t="str">
        <f t="shared" si="13"/>
        <v/>
      </c>
      <c r="AY25" s="37"/>
      <c r="AZ25" s="174" t="str">
        <f t="shared" si="14"/>
        <v/>
      </c>
      <c r="BA25" s="37"/>
      <c r="BB25" s="174" t="str">
        <f t="shared" si="15"/>
        <v/>
      </c>
      <c r="BC25" s="37"/>
      <c r="BD25" s="174" t="str">
        <f t="shared" si="16"/>
        <v/>
      </c>
      <c r="BE25" s="37"/>
      <c r="BF25" s="174" t="str">
        <f t="shared" si="17"/>
        <v/>
      </c>
      <c r="BG25" s="37"/>
      <c r="BH25" s="174" t="str">
        <f t="shared" si="18"/>
        <v/>
      </c>
      <c r="BI25" s="37"/>
      <c r="BJ25" s="174" t="str">
        <f t="shared" si="19"/>
        <v/>
      </c>
      <c r="BK25" s="37"/>
      <c r="BL25" s="174" t="str">
        <f t="shared" si="20"/>
        <v/>
      </c>
      <c r="BM25" s="37"/>
      <c r="BN25" s="174" t="str">
        <f t="shared" si="21"/>
        <v/>
      </c>
      <c r="BO25" s="37"/>
      <c r="BP25" s="174" t="str">
        <f t="shared" si="22"/>
        <v/>
      </c>
      <c r="BQ25" s="37"/>
      <c r="BR25" s="174" t="str">
        <f t="shared" si="23"/>
        <v/>
      </c>
      <c r="BS25" s="37"/>
      <c r="BT25" s="174" t="str">
        <f t="shared" si="24"/>
        <v/>
      </c>
      <c r="BU25" s="37"/>
      <c r="BV25" s="174" t="str">
        <f t="shared" si="25"/>
        <v/>
      </c>
      <c r="BW25" s="37"/>
      <c r="BX25" s="174" t="str">
        <f t="shared" si="26"/>
        <v/>
      </c>
      <c r="BY25" s="37"/>
      <c r="BZ25" s="174" t="str">
        <f t="shared" si="27"/>
        <v/>
      </c>
      <c r="CA25" s="37"/>
      <c r="CB25" s="174" t="str">
        <f t="shared" si="28"/>
        <v/>
      </c>
      <c r="CC25" s="37"/>
      <c r="CD25" s="174" t="str">
        <f t="shared" si="29"/>
        <v/>
      </c>
      <c r="CE25" s="37"/>
      <c r="CF25" s="174" t="str">
        <f t="shared" si="30"/>
        <v/>
      </c>
      <c r="CG25" s="37"/>
      <c r="CH25" s="174" t="str">
        <f t="shared" si="31"/>
        <v/>
      </c>
      <c r="CI25" s="37"/>
      <c r="CJ25" s="174" t="str">
        <f t="shared" si="32"/>
        <v/>
      </c>
      <c r="CK25" s="37"/>
      <c r="CL25" s="174" t="str">
        <f t="shared" si="33"/>
        <v/>
      </c>
      <c r="CM25" s="37"/>
      <c r="CN25" s="174" t="str">
        <f t="shared" si="34"/>
        <v/>
      </c>
      <c r="CO25" s="37"/>
      <c r="CP25" s="174" t="str">
        <f t="shared" si="35"/>
        <v/>
      </c>
      <c r="CQ25" s="37"/>
      <c r="CR25" s="174" t="str">
        <f t="shared" si="36"/>
        <v/>
      </c>
      <c r="CS25" s="37"/>
      <c r="CT25" s="174" t="str">
        <f t="shared" si="37"/>
        <v/>
      </c>
      <c r="CU25" s="38"/>
      <c r="CV25" s="87"/>
      <c r="CW25" s="90"/>
      <c r="CX25" s="38"/>
      <c r="CY25" s="39"/>
      <c r="CZ25" s="37"/>
      <c r="DA25" s="39"/>
      <c r="DB25" s="24">
        <v>21</v>
      </c>
      <c r="DC25" s="96" t="str">
        <f t="shared" si="38"/>
        <v>土</v>
      </c>
      <c r="DF25" s="125"/>
      <c r="DG25" s="40"/>
      <c r="DH25" s="40"/>
      <c r="DI25" s="40"/>
      <c r="DJ25" s="40"/>
      <c r="DK25" s="40"/>
      <c r="DL25" s="40"/>
      <c r="DM25" s="40"/>
      <c r="DN25" s="40"/>
      <c r="DO25" s="40"/>
      <c r="DP25" s="40">
        <f t="shared" si="39"/>
        <v>0</v>
      </c>
      <c r="DQ25" s="172" t="str">
        <f t="shared" si="40"/>
        <v/>
      </c>
      <c r="DS25" s="189"/>
      <c r="DT25" s="190"/>
      <c r="DU25" s="190"/>
      <c r="DV25" s="191"/>
      <c r="DW25" s="138"/>
      <c r="DX25" s="42"/>
    </row>
    <row r="26" spans="1:128" ht="13.5" customHeight="1" x14ac:dyDescent="0.4">
      <c r="A26" s="104">
        <v>22</v>
      </c>
      <c r="B26" s="23" t="s">
        <v>89</v>
      </c>
      <c r="C26" s="164"/>
      <c r="D26" s="164"/>
      <c r="E26" s="24"/>
      <c r="F26" s="29"/>
      <c r="G26" s="25" t="str">
        <f>IF(SUM($F$5:F26)=0,"",SUM($F$5:F26))</f>
        <v/>
      </c>
      <c r="H26" s="43" t="str">
        <f t="shared" si="0"/>
        <v/>
      </c>
      <c r="I26" s="148" t="e">
        <f t="array" aca="1" ref="I26" ca="1">IF($A27="",$G26/($V26-$U$5+INDIRECT(IF(_xlfn.SHEET()&lt;6,"令和8年"&amp;_xlfn.SHEET()+7&amp;"月","令和9年"&amp;_xlfn.SHEET()-5&amp;"月")&amp;"!$U$5")),$G26/($V27-$U$5))</f>
        <v>#VALUE!</v>
      </c>
      <c r="J26" s="26" t="str">
        <f t="shared" si="1"/>
        <v/>
      </c>
      <c r="K26" s="27"/>
      <c r="L26" s="165">
        <f t="shared" si="2"/>
        <v>0</v>
      </c>
      <c r="M26" s="28" t="str">
        <f t="shared" si="3"/>
        <v/>
      </c>
      <c r="N26" s="166" t="str">
        <f t="shared" si="4"/>
        <v/>
      </c>
      <c r="O26" s="167" t="str">
        <f t="shared" si="5"/>
        <v/>
      </c>
      <c r="P26" s="168"/>
      <c r="Q26" s="169" t="str">
        <f t="shared" si="6"/>
        <v/>
      </c>
      <c r="R26" s="170">
        <v>16</v>
      </c>
      <c r="S26" s="171">
        <v>6</v>
      </c>
      <c r="T26" s="24" t="s">
        <v>84</v>
      </c>
      <c r="U26" s="29">
        <v>492681</v>
      </c>
      <c r="V26" s="30">
        <f t="shared" si="41"/>
        <v>7822906</v>
      </c>
      <c r="W26" s="27">
        <v>339</v>
      </c>
      <c r="X26" s="31">
        <f t="shared" si="7"/>
        <v>1453.3362831858408</v>
      </c>
      <c r="Y26" s="29">
        <v>200342</v>
      </c>
      <c r="Z26" s="32">
        <f t="shared" si="42"/>
        <v>7138942</v>
      </c>
      <c r="AA26" s="33">
        <f t="shared" si="8"/>
        <v>1.0958074739926449</v>
      </c>
      <c r="AB26" s="158">
        <v>680000</v>
      </c>
      <c r="AC26" s="34">
        <f t="shared" si="43"/>
        <v>8520000</v>
      </c>
      <c r="AD26" s="158"/>
      <c r="AE26" s="25"/>
      <c r="AF26" s="25"/>
      <c r="AG26" s="25"/>
      <c r="AH26" s="25"/>
      <c r="AI26" s="25"/>
      <c r="AJ26" s="25"/>
      <c r="AK26" s="25"/>
      <c r="AL26" s="158"/>
      <c r="AM26" s="25"/>
      <c r="AN26" s="158"/>
      <c r="AO26" s="25"/>
      <c r="AP26" s="25"/>
      <c r="AQ26" s="158"/>
      <c r="AR26" s="35">
        <f t="shared" si="9"/>
        <v>0</v>
      </c>
      <c r="AS26" s="172" t="str">
        <f t="shared" si="10"/>
        <v/>
      </c>
      <c r="AT26" s="36">
        <f t="shared" si="11"/>
        <v>0</v>
      </c>
      <c r="AU26" s="173"/>
      <c r="AV26" s="82">
        <f t="shared" si="12"/>
        <v>22</v>
      </c>
      <c r="AW26" s="37"/>
      <c r="AX26" s="174" t="str">
        <f t="shared" si="13"/>
        <v/>
      </c>
      <c r="AY26" s="37"/>
      <c r="AZ26" s="174" t="str">
        <f t="shared" si="14"/>
        <v/>
      </c>
      <c r="BA26" s="37"/>
      <c r="BB26" s="174" t="str">
        <f t="shared" si="15"/>
        <v/>
      </c>
      <c r="BC26" s="37"/>
      <c r="BD26" s="174" t="str">
        <f t="shared" si="16"/>
        <v/>
      </c>
      <c r="BE26" s="37"/>
      <c r="BF26" s="174" t="str">
        <f t="shared" si="17"/>
        <v/>
      </c>
      <c r="BG26" s="37"/>
      <c r="BH26" s="174" t="str">
        <f t="shared" si="18"/>
        <v/>
      </c>
      <c r="BI26" s="37"/>
      <c r="BJ26" s="174" t="str">
        <f t="shared" si="19"/>
        <v/>
      </c>
      <c r="BK26" s="37"/>
      <c r="BL26" s="174" t="str">
        <f t="shared" si="20"/>
        <v/>
      </c>
      <c r="BM26" s="37"/>
      <c r="BN26" s="174" t="str">
        <f t="shared" si="21"/>
        <v/>
      </c>
      <c r="BO26" s="37"/>
      <c r="BP26" s="174" t="str">
        <f t="shared" si="22"/>
        <v/>
      </c>
      <c r="BQ26" s="37"/>
      <c r="BR26" s="174" t="str">
        <f t="shared" si="23"/>
        <v/>
      </c>
      <c r="BS26" s="37"/>
      <c r="BT26" s="174" t="str">
        <f t="shared" si="24"/>
        <v/>
      </c>
      <c r="BU26" s="37"/>
      <c r="BV26" s="174" t="str">
        <f t="shared" si="25"/>
        <v/>
      </c>
      <c r="BW26" s="37"/>
      <c r="BX26" s="174" t="str">
        <f t="shared" si="26"/>
        <v/>
      </c>
      <c r="BY26" s="37"/>
      <c r="BZ26" s="174" t="str">
        <f t="shared" si="27"/>
        <v/>
      </c>
      <c r="CA26" s="37"/>
      <c r="CB26" s="174" t="str">
        <f t="shared" si="28"/>
        <v/>
      </c>
      <c r="CC26" s="37"/>
      <c r="CD26" s="174" t="str">
        <f t="shared" si="29"/>
        <v/>
      </c>
      <c r="CE26" s="37"/>
      <c r="CF26" s="174" t="str">
        <f t="shared" si="30"/>
        <v/>
      </c>
      <c r="CG26" s="37"/>
      <c r="CH26" s="174" t="str">
        <f t="shared" si="31"/>
        <v/>
      </c>
      <c r="CI26" s="37"/>
      <c r="CJ26" s="174" t="str">
        <f t="shared" si="32"/>
        <v/>
      </c>
      <c r="CK26" s="37"/>
      <c r="CL26" s="174" t="str">
        <f t="shared" si="33"/>
        <v/>
      </c>
      <c r="CM26" s="37"/>
      <c r="CN26" s="174" t="str">
        <f t="shared" si="34"/>
        <v/>
      </c>
      <c r="CO26" s="37"/>
      <c r="CP26" s="174" t="str">
        <f t="shared" si="35"/>
        <v/>
      </c>
      <c r="CQ26" s="37"/>
      <c r="CR26" s="174" t="str">
        <f t="shared" si="36"/>
        <v/>
      </c>
      <c r="CS26" s="37"/>
      <c r="CT26" s="174" t="str">
        <f t="shared" si="37"/>
        <v/>
      </c>
      <c r="CU26" s="38"/>
      <c r="CV26" s="87"/>
      <c r="CW26" s="90"/>
      <c r="CX26" s="38"/>
      <c r="CY26" s="39"/>
      <c r="CZ26" s="37"/>
      <c r="DA26" s="39"/>
      <c r="DB26" s="24">
        <v>22</v>
      </c>
      <c r="DC26" s="96" t="str">
        <f t="shared" si="38"/>
        <v>日</v>
      </c>
      <c r="DF26" s="125"/>
      <c r="DG26" s="40"/>
      <c r="DH26" s="40"/>
      <c r="DI26" s="40"/>
      <c r="DJ26" s="40"/>
      <c r="DK26" s="40"/>
      <c r="DL26" s="40"/>
      <c r="DM26" s="40"/>
      <c r="DN26" s="40"/>
      <c r="DO26" s="40"/>
      <c r="DP26" s="40">
        <f t="shared" si="39"/>
        <v>0</v>
      </c>
      <c r="DQ26" s="172" t="str">
        <f t="shared" si="40"/>
        <v/>
      </c>
      <c r="DS26" s="189"/>
      <c r="DT26" s="190"/>
      <c r="DU26" s="190"/>
      <c r="DV26" s="191"/>
      <c r="DW26" s="41"/>
      <c r="DX26" s="42"/>
    </row>
    <row r="27" spans="1:128" ht="13.5" customHeight="1" x14ac:dyDescent="0.4">
      <c r="A27" s="104">
        <v>23</v>
      </c>
      <c r="B27" s="140" t="s">
        <v>90</v>
      </c>
      <c r="C27" s="164"/>
      <c r="D27" s="164"/>
      <c r="E27" s="24"/>
      <c r="F27" s="29"/>
      <c r="G27" s="25" t="str">
        <f>IF(SUM($F$5:F27)=0,"",SUM($F$5:F27))</f>
        <v/>
      </c>
      <c r="H27" s="43" t="str">
        <f t="shared" si="0"/>
        <v/>
      </c>
      <c r="I27" s="148" t="e">
        <f t="array" aca="1" ref="I27" ca="1">IF($A28="",$G27/($V27-$U$5+INDIRECT(IF(_xlfn.SHEET()&lt;6,"令和8年"&amp;_xlfn.SHEET()+7&amp;"月","令和9年"&amp;_xlfn.SHEET()-5&amp;"月")&amp;"!$U$5")),$G27/($V28-$U$5))</f>
        <v>#VALUE!</v>
      </c>
      <c r="J27" s="26" t="str">
        <f t="shared" si="1"/>
        <v/>
      </c>
      <c r="K27" s="27"/>
      <c r="L27" s="165">
        <f t="shared" si="2"/>
        <v>0</v>
      </c>
      <c r="M27" s="28" t="str">
        <f t="shared" si="3"/>
        <v/>
      </c>
      <c r="N27" s="166" t="str">
        <f t="shared" si="4"/>
        <v/>
      </c>
      <c r="O27" s="167" t="str">
        <f t="shared" si="5"/>
        <v/>
      </c>
      <c r="P27" s="168"/>
      <c r="Q27" s="169" t="str">
        <f t="shared" si="6"/>
        <v/>
      </c>
      <c r="R27" s="170">
        <v>15</v>
      </c>
      <c r="S27" s="171">
        <v>5</v>
      </c>
      <c r="T27" s="24" t="s">
        <v>84</v>
      </c>
      <c r="U27" s="29">
        <v>732146</v>
      </c>
      <c r="V27" s="30">
        <f t="shared" si="41"/>
        <v>8555052</v>
      </c>
      <c r="W27" s="27">
        <v>419</v>
      </c>
      <c r="X27" s="31">
        <f t="shared" si="7"/>
        <v>1747.3651551312648</v>
      </c>
      <c r="Y27" s="29">
        <v>584575</v>
      </c>
      <c r="Z27" s="32">
        <f t="shared" si="42"/>
        <v>7723517</v>
      </c>
      <c r="AA27" s="33">
        <f t="shared" si="8"/>
        <v>1.1076627396560401</v>
      </c>
      <c r="AB27" s="158">
        <v>680000</v>
      </c>
      <c r="AC27" s="34">
        <f t="shared" si="43"/>
        <v>9200000</v>
      </c>
      <c r="AD27" s="158"/>
      <c r="AE27" s="25"/>
      <c r="AF27" s="25"/>
      <c r="AG27" s="25"/>
      <c r="AH27" s="25"/>
      <c r="AI27" s="25"/>
      <c r="AJ27" s="25"/>
      <c r="AK27" s="25"/>
      <c r="AL27" s="158"/>
      <c r="AM27" s="25"/>
      <c r="AN27" s="158"/>
      <c r="AO27" s="25"/>
      <c r="AP27" s="25"/>
      <c r="AQ27" s="158"/>
      <c r="AR27" s="35">
        <f t="shared" si="9"/>
        <v>0</v>
      </c>
      <c r="AS27" s="172" t="str">
        <f t="shared" si="10"/>
        <v/>
      </c>
      <c r="AT27" s="36">
        <f t="shared" si="11"/>
        <v>0</v>
      </c>
      <c r="AU27" s="173"/>
      <c r="AV27" s="82">
        <f t="shared" si="12"/>
        <v>23</v>
      </c>
      <c r="AW27" s="37"/>
      <c r="AX27" s="174" t="str">
        <f t="shared" si="13"/>
        <v/>
      </c>
      <c r="AY27" s="37"/>
      <c r="AZ27" s="174" t="str">
        <f t="shared" si="14"/>
        <v/>
      </c>
      <c r="BA27" s="37"/>
      <c r="BB27" s="174" t="str">
        <f t="shared" si="15"/>
        <v/>
      </c>
      <c r="BC27" s="37"/>
      <c r="BD27" s="174" t="str">
        <f t="shared" si="16"/>
        <v/>
      </c>
      <c r="BE27" s="37"/>
      <c r="BF27" s="174" t="str">
        <f t="shared" si="17"/>
        <v/>
      </c>
      <c r="BG27" s="37"/>
      <c r="BH27" s="174" t="str">
        <f t="shared" si="18"/>
        <v/>
      </c>
      <c r="BI27" s="37"/>
      <c r="BJ27" s="174" t="str">
        <f t="shared" si="19"/>
        <v/>
      </c>
      <c r="BK27" s="37"/>
      <c r="BL27" s="174" t="str">
        <f t="shared" si="20"/>
        <v/>
      </c>
      <c r="BM27" s="37"/>
      <c r="BN27" s="174" t="str">
        <f t="shared" si="21"/>
        <v/>
      </c>
      <c r="BO27" s="37"/>
      <c r="BP27" s="174" t="str">
        <f t="shared" si="22"/>
        <v/>
      </c>
      <c r="BQ27" s="37"/>
      <c r="BR27" s="174" t="str">
        <f t="shared" si="23"/>
        <v/>
      </c>
      <c r="BS27" s="37"/>
      <c r="BT27" s="174" t="str">
        <f t="shared" si="24"/>
        <v/>
      </c>
      <c r="BU27" s="37"/>
      <c r="BV27" s="174" t="str">
        <f t="shared" si="25"/>
        <v/>
      </c>
      <c r="BW27" s="37"/>
      <c r="BX27" s="174" t="str">
        <f t="shared" si="26"/>
        <v/>
      </c>
      <c r="BY27" s="37"/>
      <c r="BZ27" s="174" t="str">
        <f t="shared" si="27"/>
        <v/>
      </c>
      <c r="CA27" s="37"/>
      <c r="CB27" s="174" t="str">
        <f t="shared" si="28"/>
        <v/>
      </c>
      <c r="CC27" s="37"/>
      <c r="CD27" s="174" t="str">
        <f t="shared" si="29"/>
        <v/>
      </c>
      <c r="CE27" s="37"/>
      <c r="CF27" s="174" t="str">
        <f t="shared" si="30"/>
        <v/>
      </c>
      <c r="CG27" s="37"/>
      <c r="CH27" s="174" t="str">
        <f t="shared" si="31"/>
        <v/>
      </c>
      <c r="CI27" s="37"/>
      <c r="CJ27" s="174" t="str">
        <f t="shared" si="32"/>
        <v/>
      </c>
      <c r="CK27" s="37"/>
      <c r="CL27" s="174" t="str">
        <f t="shared" si="33"/>
        <v/>
      </c>
      <c r="CM27" s="37"/>
      <c r="CN27" s="174" t="str">
        <f t="shared" si="34"/>
        <v/>
      </c>
      <c r="CO27" s="37"/>
      <c r="CP27" s="174" t="str">
        <f t="shared" si="35"/>
        <v/>
      </c>
      <c r="CQ27" s="37"/>
      <c r="CR27" s="174" t="str">
        <f t="shared" si="36"/>
        <v/>
      </c>
      <c r="CS27" s="37"/>
      <c r="CT27" s="174" t="str">
        <f t="shared" si="37"/>
        <v/>
      </c>
      <c r="CU27" s="38"/>
      <c r="CV27" s="87"/>
      <c r="CW27" s="90"/>
      <c r="CX27" s="38"/>
      <c r="CY27" s="39"/>
      <c r="CZ27" s="37"/>
      <c r="DA27" s="39"/>
      <c r="DB27" s="24">
        <v>23</v>
      </c>
      <c r="DC27" s="96" t="str">
        <f t="shared" si="38"/>
        <v>月</v>
      </c>
      <c r="DF27" s="125"/>
      <c r="DG27" s="40"/>
      <c r="DH27" s="40"/>
      <c r="DI27" s="40"/>
      <c r="DJ27" s="40"/>
      <c r="DK27" s="40"/>
      <c r="DL27" s="40"/>
      <c r="DM27" s="40"/>
      <c r="DN27" s="40"/>
      <c r="DO27" s="40"/>
      <c r="DP27" s="40">
        <f t="shared" si="39"/>
        <v>0</v>
      </c>
      <c r="DQ27" s="172" t="str">
        <f t="shared" si="40"/>
        <v/>
      </c>
      <c r="DS27" s="189"/>
      <c r="DT27" s="190"/>
      <c r="DU27" s="190"/>
      <c r="DV27" s="191"/>
      <c r="DW27" s="41"/>
      <c r="DX27" s="42"/>
    </row>
    <row r="28" spans="1:128" ht="13.5" customHeight="1" x14ac:dyDescent="0.4">
      <c r="A28" s="104">
        <v>24</v>
      </c>
      <c r="B28" s="23" t="s">
        <v>91</v>
      </c>
      <c r="C28" s="164"/>
      <c r="D28" s="164"/>
      <c r="E28" s="24"/>
      <c r="F28" s="29"/>
      <c r="G28" s="25" t="str">
        <f>IF(SUM($F$5:F28)=0,"",SUM($F$5:F28))</f>
        <v/>
      </c>
      <c r="H28" s="43" t="str">
        <f t="shared" si="0"/>
        <v/>
      </c>
      <c r="I28" s="148" t="e">
        <f t="array" aca="1" ref="I28" ca="1">IF($A29="",$G28/($V28-$U$5+INDIRECT(IF(_xlfn.SHEET()&lt;6,"令和8年"&amp;_xlfn.SHEET()+7&amp;"月","令和9年"&amp;_xlfn.SHEET()-5&amp;"月")&amp;"!$U$5")),$G28/($V29-$U$5))</f>
        <v>#VALUE!</v>
      </c>
      <c r="J28" s="26" t="str">
        <f t="shared" si="1"/>
        <v/>
      </c>
      <c r="K28" s="27"/>
      <c r="L28" s="165">
        <f t="shared" si="2"/>
        <v>0</v>
      </c>
      <c r="M28" s="28" t="str">
        <f t="shared" si="3"/>
        <v/>
      </c>
      <c r="N28" s="166" t="str">
        <f t="shared" si="4"/>
        <v/>
      </c>
      <c r="O28" s="167" t="str">
        <f t="shared" si="5"/>
        <v/>
      </c>
      <c r="P28" s="168"/>
      <c r="Q28" s="169" t="str">
        <f t="shared" si="6"/>
        <v/>
      </c>
      <c r="R28" s="170">
        <v>18</v>
      </c>
      <c r="S28" s="171">
        <v>6</v>
      </c>
      <c r="T28" s="24" t="s">
        <v>84</v>
      </c>
      <c r="U28" s="29">
        <v>424386</v>
      </c>
      <c r="V28" s="30">
        <f t="shared" si="41"/>
        <v>8979438</v>
      </c>
      <c r="W28" s="27">
        <v>268</v>
      </c>
      <c r="X28" s="31">
        <f t="shared" si="7"/>
        <v>1583.5298507462687</v>
      </c>
      <c r="Y28" s="29">
        <v>613343</v>
      </c>
      <c r="Z28" s="32">
        <f t="shared" si="42"/>
        <v>8336860</v>
      </c>
      <c r="AA28" s="33">
        <f t="shared" si="8"/>
        <v>1.0770767411231568</v>
      </c>
      <c r="AB28" s="158">
        <v>220000</v>
      </c>
      <c r="AC28" s="34">
        <f t="shared" si="43"/>
        <v>9420000</v>
      </c>
      <c r="AD28" s="158"/>
      <c r="AE28" s="25"/>
      <c r="AF28" s="25"/>
      <c r="AG28" s="25"/>
      <c r="AH28" s="25"/>
      <c r="AI28" s="25"/>
      <c r="AJ28" s="25"/>
      <c r="AK28" s="25"/>
      <c r="AL28" s="158"/>
      <c r="AM28" s="25"/>
      <c r="AN28" s="158"/>
      <c r="AO28" s="25"/>
      <c r="AP28" s="25"/>
      <c r="AQ28" s="158"/>
      <c r="AR28" s="35">
        <f t="shared" si="9"/>
        <v>0</v>
      </c>
      <c r="AS28" s="172" t="str">
        <f t="shared" si="10"/>
        <v/>
      </c>
      <c r="AT28" s="36">
        <f t="shared" si="11"/>
        <v>0</v>
      </c>
      <c r="AU28" s="173"/>
      <c r="AV28" s="82">
        <f t="shared" si="12"/>
        <v>24</v>
      </c>
      <c r="AW28" s="37"/>
      <c r="AX28" s="174" t="str">
        <f t="shared" si="13"/>
        <v/>
      </c>
      <c r="AY28" s="37"/>
      <c r="AZ28" s="174" t="str">
        <f t="shared" si="14"/>
        <v/>
      </c>
      <c r="BA28" s="37"/>
      <c r="BB28" s="174" t="str">
        <f t="shared" si="15"/>
        <v/>
      </c>
      <c r="BC28" s="37"/>
      <c r="BD28" s="174" t="str">
        <f t="shared" si="16"/>
        <v/>
      </c>
      <c r="BE28" s="37"/>
      <c r="BF28" s="174" t="str">
        <f t="shared" si="17"/>
        <v/>
      </c>
      <c r="BG28" s="37"/>
      <c r="BH28" s="174" t="str">
        <f t="shared" si="18"/>
        <v/>
      </c>
      <c r="BI28" s="37"/>
      <c r="BJ28" s="174" t="str">
        <f t="shared" si="19"/>
        <v/>
      </c>
      <c r="BK28" s="37"/>
      <c r="BL28" s="174" t="str">
        <f t="shared" si="20"/>
        <v/>
      </c>
      <c r="BM28" s="37"/>
      <c r="BN28" s="174" t="str">
        <f t="shared" si="21"/>
        <v/>
      </c>
      <c r="BO28" s="37"/>
      <c r="BP28" s="174" t="str">
        <f t="shared" si="22"/>
        <v/>
      </c>
      <c r="BQ28" s="37"/>
      <c r="BR28" s="174" t="str">
        <f t="shared" si="23"/>
        <v/>
      </c>
      <c r="BS28" s="37"/>
      <c r="BT28" s="174" t="str">
        <f t="shared" si="24"/>
        <v/>
      </c>
      <c r="BU28" s="37"/>
      <c r="BV28" s="174" t="str">
        <f t="shared" si="25"/>
        <v/>
      </c>
      <c r="BW28" s="37"/>
      <c r="BX28" s="174" t="str">
        <f t="shared" si="26"/>
        <v/>
      </c>
      <c r="BY28" s="37"/>
      <c r="BZ28" s="174" t="str">
        <f t="shared" si="27"/>
        <v/>
      </c>
      <c r="CA28" s="37"/>
      <c r="CB28" s="174" t="str">
        <f t="shared" si="28"/>
        <v/>
      </c>
      <c r="CC28" s="37"/>
      <c r="CD28" s="174" t="str">
        <f t="shared" si="29"/>
        <v/>
      </c>
      <c r="CE28" s="37"/>
      <c r="CF28" s="174" t="str">
        <f t="shared" si="30"/>
        <v/>
      </c>
      <c r="CG28" s="37"/>
      <c r="CH28" s="174" t="str">
        <f t="shared" si="31"/>
        <v/>
      </c>
      <c r="CI28" s="37"/>
      <c r="CJ28" s="174" t="str">
        <f t="shared" si="32"/>
        <v/>
      </c>
      <c r="CK28" s="37"/>
      <c r="CL28" s="174" t="str">
        <f t="shared" si="33"/>
        <v/>
      </c>
      <c r="CM28" s="37"/>
      <c r="CN28" s="174" t="str">
        <f t="shared" si="34"/>
        <v/>
      </c>
      <c r="CO28" s="37"/>
      <c r="CP28" s="174" t="str">
        <f t="shared" si="35"/>
        <v/>
      </c>
      <c r="CQ28" s="37"/>
      <c r="CR28" s="174" t="str">
        <f t="shared" si="36"/>
        <v/>
      </c>
      <c r="CS28" s="37"/>
      <c r="CT28" s="174" t="str">
        <f t="shared" si="37"/>
        <v/>
      </c>
      <c r="CU28" s="38"/>
      <c r="CV28" s="87"/>
      <c r="CW28" s="90"/>
      <c r="CX28" s="38"/>
      <c r="CY28" s="39"/>
      <c r="CZ28" s="37"/>
      <c r="DA28" s="39"/>
      <c r="DB28" s="24">
        <v>24</v>
      </c>
      <c r="DC28" s="96" t="str">
        <f t="shared" si="38"/>
        <v>火</v>
      </c>
      <c r="DF28" s="125"/>
      <c r="DG28" s="40"/>
      <c r="DH28" s="40"/>
      <c r="DI28" s="40"/>
      <c r="DJ28" s="40"/>
      <c r="DK28" s="40"/>
      <c r="DL28" s="40"/>
      <c r="DM28" s="40"/>
      <c r="DN28" s="40"/>
      <c r="DO28" s="40"/>
      <c r="DP28" s="40">
        <f t="shared" si="39"/>
        <v>0</v>
      </c>
      <c r="DQ28" s="172" t="str">
        <f t="shared" si="40"/>
        <v/>
      </c>
      <c r="DS28" s="189"/>
      <c r="DT28" s="190"/>
      <c r="DU28" s="190"/>
      <c r="DV28" s="191"/>
      <c r="DW28" s="138"/>
      <c r="DX28" s="42"/>
    </row>
    <row r="29" spans="1:128" ht="13.5" customHeight="1" x14ac:dyDescent="0.4">
      <c r="A29" s="104">
        <v>25</v>
      </c>
      <c r="B29" s="23" t="s">
        <v>83</v>
      </c>
      <c r="C29" s="164"/>
      <c r="D29" s="164"/>
      <c r="E29" s="24"/>
      <c r="F29" s="29"/>
      <c r="G29" s="25" t="str">
        <f>IF(SUM($F$5:F29)=0,"",SUM($F$5:F29))</f>
        <v/>
      </c>
      <c r="H29" s="43" t="str">
        <f t="shared" si="0"/>
        <v/>
      </c>
      <c r="I29" s="148" t="e">
        <f t="array" aca="1" ref="I29" ca="1">IF($A30="",$G29/($V29-$U$5+INDIRECT(IF(_xlfn.SHEET()&lt;6,"令和8年"&amp;_xlfn.SHEET()+7&amp;"月","令和9年"&amp;_xlfn.SHEET()-5&amp;"月")&amp;"!$U$5")),$G29/($V30-$U$5))</f>
        <v>#VALUE!</v>
      </c>
      <c r="J29" s="26" t="str">
        <f t="shared" si="1"/>
        <v/>
      </c>
      <c r="K29" s="27"/>
      <c r="L29" s="165">
        <f t="shared" si="2"/>
        <v>0</v>
      </c>
      <c r="M29" s="28" t="str">
        <f t="shared" si="3"/>
        <v/>
      </c>
      <c r="N29" s="166" t="str">
        <f t="shared" si="4"/>
        <v/>
      </c>
      <c r="O29" s="167" t="str">
        <f t="shared" si="5"/>
        <v/>
      </c>
      <c r="P29" s="168"/>
      <c r="Q29" s="169" t="str">
        <f t="shared" si="6"/>
        <v/>
      </c>
      <c r="R29" s="170">
        <v>14</v>
      </c>
      <c r="S29" s="171">
        <v>10</v>
      </c>
      <c r="T29" s="24" t="s">
        <v>93</v>
      </c>
      <c r="U29" s="29">
        <v>178153</v>
      </c>
      <c r="V29" s="30">
        <f t="shared" si="41"/>
        <v>9157591</v>
      </c>
      <c r="W29" s="27">
        <v>119</v>
      </c>
      <c r="X29" s="31">
        <f t="shared" si="7"/>
        <v>1497.0840336134454</v>
      </c>
      <c r="Y29" s="29">
        <v>213832</v>
      </c>
      <c r="Z29" s="32">
        <f t="shared" si="42"/>
        <v>8550692</v>
      </c>
      <c r="AA29" s="33">
        <f t="shared" si="8"/>
        <v>1.0709765946428664</v>
      </c>
      <c r="AB29" s="158">
        <v>220000</v>
      </c>
      <c r="AC29" s="34">
        <f t="shared" si="43"/>
        <v>9640000</v>
      </c>
      <c r="AD29" s="158"/>
      <c r="AE29" s="25"/>
      <c r="AF29" s="25"/>
      <c r="AG29" s="25"/>
      <c r="AH29" s="25"/>
      <c r="AI29" s="25"/>
      <c r="AJ29" s="25"/>
      <c r="AK29" s="25"/>
      <c r="AL29" s="158"/>
      <c r="AM29" s="25"/>
      <c r="AN29" s="158"/>
      <c r="AO29" s="25"/>
      <c r="AP29" s="25"/>
      <c r="AQ29" s="158"/>
      <c r="AR29" s="35">
        <f t="shared" si="9"/>
        <v>0</v>
      </c>
      <c r="AS29" s="172" t="str">
        <f t="shared" si="10"/>
        <v/>
      </c>
      <c r="AT29" s="36">
        <f t="shared" si="11"/>
        <v>0</v>
      </c>
      <c r="AU29" s="173"/>
      <c r="AV29" s="82">
        <f t="shared" si="12"/>
        <v>25</v>
      </c>
      <c r="AW29" s="37"/>
      <c r="AX29" s="174" t="str">
        <f t="shared" si="13"/>
        <v/>
      </c>
      <c r="AY29" s="37"/>
      <c r="AZ29" s="174" t="str">
        <f t="shared" si="14"/>
        <v/>
      </c>
      <c r="BA29" s="37"/>
      <c r="BB29" s="174" t="str">
        <f t="shared" si="15"/>
        <v/>
      </c>
      <c r="BC29" s="37"/>
      <c r="BD29" s="174" t="str">
        <f t="shared" si="16"/>
        <v/>
      </c>
      <c r="BE29" s="37"/>
      <c r="BF29" s="174" t="str">
        <f t="shared" si="17"/>
        <v/>
      </c>
      <c r="BG29" s="37"/>
      <c r="BH29" s="174" t="str">
        <f t="shared" si="18"/>
        <v/>
      </c>
      <c r="BI29" s="37"/>
      <c r="BJ29" s="174" t="str">
        <f t="shared" si="19"/>
        <v/>
      </c>
      <c r="BK29" s="37"/>
      <c r="BL29" s="174" t="str">
        <f t="shared" si="20"/>
        <v/>
      </c>
      <c r="BM29" s="37"/>
      <c r="BN29" s="174" t="str">
        <f t="shared" si="21"/>
        <v/>
      </c>
      <c r="BO29" s="37"/>
      <c r="BP29" s="174" t="str">
        <f t="shared" si="22"/>
        <v/>
      </c>
      <c r="BQ29" s="37"/>
      <c r="BR29" s="174" t="str">
        <f t="shared" si="23"/>
        <v/>
      </c>
      <c r="BS29" s="37"/>
      <c r="BT29" s="174" t="str">
        <f t="shared" si="24"/>
        <v/>
      </c>
      <c r="BU29" s="37"/>
      <c r="BV29" s="174" t="str">
        <f t="shared" si="25"/>
        <v/>
      </c>
      <c r="BW29" s="37"/>
      <c r="BX29" s="174" t="str">
        <f t="shared" si="26"/>
        <v/>
      </c>
      <c r="BY29" s="37"/>
      <c r="BZ29" s="174" t="str">
        <f t="shared" si="27"/>
        <v/>
      </c>
      <c r="CA29" s="37"/>
      <c r="CB29" s="174" t="str">
        <f t="shared" si="28"/>
        <v/>
      </c>
      <c r="CC29" s="37"/>
      <c r="CD29" s="174" t="str">
        <f t="shared" si="29"/>
        <v/>
      </c>
      <c r="CE29" s="37"/>
      <c r="CF29" s="174" t="str">
        <f t="shared" si="30"/>
        <v/>
      </c>
      <c r="CG29" s="37"/>
      <c r="CH29" s="174" t="str">
        <f t="shared" si="31"/>
        <v/>
      </c>
      <c r="CI29" s="37"/>
      <c r="CJ29" s="174" t="str">
        <f t="shared" si="32"/>
        <v/>
      </c>
      <c r="CK29" s="37"/>
      <c r="CL29" s="174" t="str">
        <f t="shared" si="33"/>
        <v/>
      </c>
      <c r="CM29" s="37"/>
      <c r="CN29" s="174" t="str">
        <f t="shared" si="34"/>
        <v/>
      </c>
      <c r="CO29" s="37"/>
      <c r="CP29" s="174" t="str">
        <f t="shared" si="35"/>
        <v/>
      </c>
      <c r="CQ29" s="37"/>
      <c r="CR29" s="174" t="str">
        <f t="shared" si="36"/>
        <v/>
      </c>
      <c r="CS29" s="37"/>
      <c r="CT29" s="174" t="str">
        <f t="shared" si="37"/>
        <v/>
      </c>
      <c r="CU29" s="38"/>
      <c r="CV29" s="87"/>
      <c r="CW29" s="90"/>
      <c r="CX29" s="38"/>
      <c r="CY29" s="39"/>
      <c r="CZ29" s="37"/>
      <c r="DA29" s="39"/>
      <c r="DB29" s="24">
        <v>25</v>
      </c>
      <c r="DC29" s="96" t="str">
        <f t="shared" si="38"/>
        <v>水</v>
      </c>
      <c r="DF29" s="125"/>
      <c r="DG29" s="40"/>
      <c r="DH29" s="40"/>
      <c r="DI29" s="40"/>
      <c r="DJ29" s="40"/>
      <c r="DK29" s="40"/>
      <c r="DL29" s="40"/>
      <c r="DM29" s="40"/>
      <c r="DN29" s="40"/>
      <c r="DO29" s="40"/>
      <c r="DP29" s="40">
        <f t="shared" si="39"/>
        <v>0</v>
      </c>
      <c r="DQ29" s="172" t="str">
        <f t="shared" si="40"/>
        <v/>
      </c>
      <c r="DS29" s="189"/>
      <c r="DT29" s="190"/>
      <c r="DU29" s="190"/>
      <c r="DV29" s="191"/>
      <c r="DW29" s="41"/>
      <c r="DX29" s="42"/>
    </row>
    <row r="30" spans="1:128" ht="13.5" customHeight="1" x14ac:dyDescent="0.4">
      <c r="A30" s="104">
        <v>26</v>
      </c>
      <c r="B30" s="23" t="s">
        <v>85</v>
      </c>
      <c r="C30" s="164"/>
      <c r="D30" s="164"/>
      <c r="E30" s="24"/>
      <c r="F30" s="29"/>
      <c r="G30" s="25" t="str">
        <f>IF(SUM($F$5:F30)=0,"",SUM($F$5:F30))</f>
        <v/>
      </c>
      <c r="H30" s="43" t="str">
        <f t="shared" si="0"/>
        <v/>
      </c>
      <c r="I30" s="148" t="e">
        <f t="array" aca="1" ref="I30" ca="1">IF($A31="",$G30/($V30-$U$5+INDIRECT(IF(_xlfn.SHEET()&lt;6,"令和8年"&amp;_xlfn.SHEET()+7&amp;"月","令和9年"&amp;_xlfn.SHEET()-5&amp;"月")&amp;"!$U$5")),$G30/($V31-$U$5))</f>
        <v>#VALUE!</v>
      </c>
      <c r="J30" s="26" t="str">
        <f t="shared" si="1"/>
        <v/>
      </c>
      <c r="K30" s="27"/>
      <c r="L30" s="165">
        <f t="shared" si="2"/>
        <v>0</v>
      </c>
      <c r="M30" s="28" t="str">
        <f t="shared" si="3"/>
        <v/>
      </c>
      <c r="N30" s="166" t="str">
        <f t="shared" si="4"/>
        <v/>
      </c>
      <c r="O30" s="167" t="str">
        <f t="shared" si="5"/>
        <v/>
      </c>
      <c r="P30" s="168"/>
      <c r="Q30" s="169" t="str">
        <f t="shared" si="6"/>
        <v/>
      </c>
      <c r="R30" s="170">
        <v>15</v>
      </c>
      <c r="S30" s="171">
        <v>7</v>
      </c>
      <c r="T30" s="24" t="s">
        <v>84</v>
      </c>
      <c r="U30" s="29">
        <v>205016</v>
      </c>
      <c r="V30" s="30">
        <f t="shared" si="41"/>
        <v>9362607</v>
      </c>
      <c r="W30" s="27">
        <v>157</v>
      </c>
      <c r="X30" s="31">
        <f t="shared" si="7"/>
        <v>1305.8343949044586</v>
      </c>
      <c r="Y30" s="29">
        <v>175187</v>
      </c>
      <c r="Z30" s="32">
        <f t="shared" si="42"/>
        <v>8725879</v>
      </c>
      <c r="AA30" s="33">
        <f t="shared" si="8"/>
        <v>1.0729700698347984</v>
      </c>
      <c r="AB30" s="158">
        <v>220000</v>
      </c>
      <c r="AC30" s="34">
        <f t="shared" si="43"/>
        <v>9860000</v>
      </c>
      <c r="AD30" s="158"/>
      <c r="AE30" s="25"/>
      <c r="AF30" s="25"/>
      <c r="AG30" s="25"/>
      <c r="AH30" s="25"/>
      <c r="AI30" s="25"/>
      <c r="AJ30" s="25"/>
      <c r="AK30" s="25"/>
      <c r="AL30" s="158"/>
      <c r="AM30" s="25"/>
      <c r="AN30" s="158"/>
      <c r="AO30" s="25"/>
      <c r="AP30" s="25"/>
      <c r="AQ30" s="158"/>
      <c r="AR30" s="35">
        <f t="shared" si="9"/>
        <v>0</v>
      </c>
      <c r="AS30" s="172" t="str">
        <f t="shared" si="10"/>
        <v/>
      </c>
      <c r="AT30" s="36">
        <f t="shared" si="11"/>
        <v>0</v>
      </c>
      <c r="AU30" s="173"/>
      <c r="AV30" s="82">
        <f t="shared" si="12"/>
        <v>26</v>
      </c>
      <c r="AW30" s="37"/>
      <c r="AX30" s="174" t="str">
        <f t="shared" si="13"/>
        <v/>
      </c>
      <c r="AY30" s="37"/>
      <c r="AZ30" s="174" t="str">
        <f t="shared" si="14"/>
        <v/>
      </c>
      <c r="BA30" s="37"/>
      <c r="BB30" s="174" t="str">
        <f t="shared" si="15"/>
        <v/>
      </c>
      <c r="BC30" s="37"/>
      <c r="BD30" s="174" t="str">
        <f t="shared" si="16"/>
        <v/>
      </c>
      <c r="BE30" s="37"/>
      <c r="BF30" s="174" t="str">
        <f t="shared" si="17"/>
        <v/>
      </c>
      <c r="BG30" s="37"/>
      <c r="BH30" s="174" t="str">
        <f t="shared" si="18"/>
        <v/>
      </c>
      <c r="BI30" s="37"/>
      <c r="BJ30" s="174" t="str">
        <f t="shared" si="19"/>
        <v/>
      </c>
      <c r="BK30" s="37"/>
      <c r="BL30" s="174" t="str">
        <f t="shared" si="20"/>
        <v/>
      </c>
      <c r="BM30" s="37"/>
      <c r="BN30" s="174" t="str">
        <f t="shared" si="21"/>
        <v/>
      </c>
      <c r="BO30" s="37"/>
      <c r="BP30" s="174" t="str">
        <f t="shared" si="22"/>
        <v/>
      </c>
      <c r="BQ30" s="37"/>
      <c r="BR30" s="174" t="str">
        <f t="shared" si="23"/>
        <v/>
      </c>
      <c r="BS30" s="37"/>
      <c r="BT30" s="174" t="str">
        <f t="shared" si="24"/>
        <v/>
      </c>
      <c r="BU30" s="37"/>
      <c r="BV30" s="174" t="str">
        <f t="shared" si="25"/>
        <v/>
      </c>
      <c r="BW30" s="37"/>
      <c r="BX30" s="174" t="str">
        <f t="shared" si="26"/>
        <v/>
      </c>
      <c r="BY30" s="37"/>
      <c r="BZ30" s="174" t="str">
        <f t="shared" si="27"/>
        <v/>
      </c>
      <c r="CA30" s="37"/>
      <c r="CB30" s="174" t="str">
        <f t="shared" si="28"/>
        <v/>
      </c>
      <c r="CC30" s="37"/>
      <c r="CD30" s="174" t="str">
        <f t="shared" si="29"/>
        <v/>
      </c>
      <c r="CE30" s="37"/>
      <c r="CF30" s="174" t="str">
        <f t="shared" si="30"/>
        <v/>
      </c>
      <c r="CG30" s="37"/>
      <c r="CH30" s="174" t="str">
        <f t="shared" si="31"/>
        <v/>
      </c>
      <c r="CI30" s="37"/>
      <c r="CJ30" s="174" t="str">
        <f t="shared" si="32"/>
        <v/>
      </c>
      <c r="CK30" s="37"/>
      <c r="CL30" s="174" t="str">
        <f t="shared" si="33"/>
        <v/>
      </c>
      <c r="CM30" s="37"/>
      <c r="CN30" s="174" t="str">
        <f t="shared" si="34"/>
        <v/>
      </c>
      <c r="CO30" s="37"/>
      <c r="CP30" s="174" t="str">
        <f t="shared" si="35"/>
        <v/>
      </c>
      <c r="CQ30" s="37"/>
      <c r="CR30" s="174" t="str">
        <f t="shared" si="36"/>
        <v/>
      </c>
      <c r="CS30" s="37"/>
      <c r="CT30" s="174" t="str">
        <f t="shared" si="37"/>
        <v/>
      </c>
      <c r="CU30" s="38"/>
      <c r="CV30" s="87"/>
      <c r="CW30" s="90"/>
      <c r="CX30" s="38"/>
      <c r="CY30" s="39"/>
      <c r="CZ30" s="37"/>
      <c r="DA30" s="39"/>
      <c r="DB30" s="24">
        <v>26</v>
      </c>
      <c r="DC30" s="96" t="str">
        <f t="shared" si="38"/>
        <v>木</v>
      </c>
      <c r="DF30" s="125"/>
      <c r="DG30" s="40"/>
      <c r="DH30" s="40"/>
      <c r="DI30" s="40"/>
      <c r="DJ30" s="40"/>
      <c r="DK30" s="40"/>
      <c r="DL30" s="40"/>
      <c r="DM30" s="40"/>
      <c r="DN30" s="40"/>
      <c r="DO30" s="40"/>
      <c r="DP30" s="40">
        <f t="shared" si="39"/>
        <v>0</v>
      </c>
      <c r="DQ30" s="172" t="str">
        <f t="shared" si="40"/>
        <v/>
      </c>
      <c r="DS30" s="189"/>
      <c r="DT30" s="190"/>
      <c r="DU30" s="190"/>
      <c r="DV30" s="191"/>
      <c r="DW30" s="41"/>
      <c r="DX30" s="42"/>
    </row>
    <row r="31" spans="1:128" ht="13.5" customHeight="1" x14ac:dyDescent="0.4">
      <c r="A31" s="104">
        <v>27</v>
      </c>
      <c r="B31" s="23" t="s">
        <v>86</v>
      </c>
      <c r="C31" s="164"/>
      <c r="D31" s="164"/>
      <c r="E31" s="24"/>
      <c r="F31" s="29"/>
      <c r="G31" s="25" t="str">
        <f>IF(SUM($F$5:F31)=0,"",SUM($F$5:F31))</f>
        <v/>
      </c>
      <c r="H31" s="43" t="str">
        <f t="shared" si="0"/>
        <v/>
      </c>
      <c r="I31" s="148" t="e">
        <f t="array" aca="1" ref="I31" ca="1">IF($A32="",$G31/($V31-$U$5+INDIRECT(IF(_xlfn.SHEET()&lt;6,"令和8年"&amp;_xlfn.SHEET()+7&amp;"月","令和9年"&amp;_xlfn.SHEET()-5&amp;"月")&amp;"!$U$5")),$G31/($V32-$U$5))</f>
        <v>#VALUE!</v>
      </c>
      <c r="J31" s="26" t="str">
        <f t="shared" si="1"/>
        <v/>
      </c>
      <c r="K31" s="27"/>
      <c r="L31" s="165">
        <f t="shared" si="2"/>
        <v>0</v>
      </c>
      <c r="M31" s="28" t="str">
        <f t="shared" si="3"/>
        <v/>
      </c>
      <c r="N31" s="166" t="str">
        <f t="shared" si="4"/>
        <v/>
      </c>
      <c r="O31" s="167" t="str">
        <f t="shared" si="5"/>
        <v/>
      </c>
      <c r="P31" s="168"/>
      <c r="Q31" s="169" t="str">
        <f t="shared" si="6"/>
        <v/>
      </c>
      <c r="R31" s="170">
        <v>20</v>
      </c>
      <c r="S31" s="171">
        <v>5</v>
      </c>
      <c r="T31" s="24" t="s">
        <v>114</v>
      </c>
      <c r="U31" s="29">
        <v>197397</v>
      </c>
      <c r="V31" s="30">
        <f t="shared" si="41"/>
        <v>9560004</v>
      </c>
      <c r="W31" s="27">
        <v>104</v>
      </c>
      <c r="X31" s="31">
        <f t="shared" si="7"/>
        <v>1898.0480769230769</v>
      </c>
      <c r="Y31" s="29">
        <v>203129</v>
      </c>
      <c r="Z31" s="32">
        <f t="shared" si="42"/>
        <v>8929008</v>
      </c>
      <c r="AA31" s="33">
        <f t="shared" si="8"/>
        <v>1.070668096612748</v>
      </c>
      <c r="AB31" s="158">
        <v>220000</v>
      </c>
      <c r="AC31" s="34">
        <f t="shared" si="43"/>
        <v>10080000</v>
      </c>
      <c r="AD31" s="158"/>
      <c r="AE31" s="25"/>
      <c r="AF31" s="25"/>
      <c r="AG31" s="25"/>
      <c r="AH31" s="25"/>
      <c r="AI31" s="25"/>
      <c r="AJ31" s="25"/>
      <c r="AK31" s="25"/>
      <c r="AL31" s="158"/>
      <c r="AM31" s="25"/>
      <c r="AN31" s="158"/>
      <c r="AO31" s="25"/>
      <c r="AP31" s="25"/>
      <c r="AQ31" s="158"/>
      <c r="AR31" s="35">
        <f t="shared" si="9"/>
        <v>0</v>
      </c>
      <c r="AS31" s="172" t="str">
        <f t="shared" si="10"/>
        <v/>
      </c>
      <c r="AT31" s="36">
        <f t="shared" si="11"/>
        <v>0</v>
      </c>
      <c r="AU31" s="173"/>
      <c r="AV31" s="82">
        <f t="shared" si="12"/>
        <v>27</v>
      </c>
      <c r="AW31" s="37"/>
      <c r="AX31" s="174" t="str">
        <f t="shared" si="13"/>
        <v/>
      </c>
      <c r="AY31" s="37"/>
      <c r="AZ31" s="174" t="str">
        <f t="shared" si="14"/>
        <v/>
      </c>
      <c r="BA31" s="37"/>
      <c r="BB31" s="174" t="str">
        <f t="shared" si="15"/>
        <v/>
      </c>
      <c r="BC31" s="37"/>
      <c r="BD31" s="174" t="str">
        <f t="shared" si="16"/>
        <v/>
      </c>
      <c r="BE31" s="37"/>
      <c r="BF31" s="174" t="str">
        <f t="shared" si="17"/>
        <v/>
      </c>
      <c r="BG31" s="37"/>
      <c r="BH31" s="174" t="str">
        <f t="shared" si="18"/>
        <v/>
      </c>
      <c r="BI31" s="37"/>
      <c r="BJ31" s="174" t="str">
        <f t="shared" si="19"/>
        <v/>
      </c>
      <c r="BK31" s="37"/>
      <c r="BL31" s="174" t="str">
        <f t="shared" si="20"/>
        <v/>
      </c>
      <c r="BM31" s="37"/>
      <c r="BN31" s="174" t="str">
        <f t="shared" si="21"/>
        <v/>
      </c>
      <c r="BO31" s="37"/>
      <c r="BP31" s="174" t="str">
        <f t="shared" si="22"/>
        <v/>
      </c>
      <c r="BQ31" s="37"/>
      <c r="BR31" s="174" t="str">
        <f t="shared" si="23"/>
        <v/>
      </c>
      <c r="BS31" s="37"/>
      <c r="BT31" s="174" t="str">
        <f t="shared" si="24"/>
        <v/>
      </c>
      <c r="BU31" s="37"/>
      <c r="BV31" s="174" t="str">
        <f t="shared" si="25"/>
        <v/>
      </c>
      <c r="BW31" s="37"/>
      <c r="BX31" s="174" t="str">
        <f t="shared" si="26"/>
        <v/>
      </c>
      <c r="BY31" s="37"/>
      <c r="BZ31" s="174" t="str">
        <f t="shared" si="27"/>
        <v/>
      </c>
      <c r="CA31" s="37"/>
      <c r="CB31" s="174" t="str">
        <f t="shared" si="28"/>
        <v/>
      </c>
      <c r="CC31" s="37"/>
      <c r="CD31" s="174" t="str">
        <f t="shared" si="29"/>
        <v/>
      </c>
      <c r="CE31" s="37"/>
      <c r="CF31" s="174" t="str">
        <f t="shared" si="30"/>
        <v/>
      </c>
      <c r="CG31" s="37"/>
      <c r="CH31" s="174" t="str">
        <f t="shared" si="31"/>
        <v/>
      </c>
      <c r="CI31" s="37"/>
      <c r="CJ31" s="174" t="str">
        <f t="shared" si="32"/>
        <v/>
      </c>
      <c r="CK31" s="37"/>
      <c r="CL31" s="174" t="str">
        <f t="shared" si="33"/>
        <v/>
      </c>
      <c r="CM31" s="37"/>
      <c r="CN31" s="174" t="str">
        <f t="shared" si="34"/>
        <v/>
      </c>
      <c r="CO31" s="37"/>
      <c r="CP31" s="174" t="str">
        <f t="shared" si="35"/>
        <v/>
      </c>
      <c r="CQ31" s="37"/>
      <c r="CR31" s="174" t="str">
        <f t="shared" si="36"/>
        <v/>
      </c>
      <c r="CS31" s="37"/>
      <c r="CT31" s="174" t="str">
        <f t="shared" si="37"/>
        <v/>
      </c>
      <c r="CU31" s="38"/>
      <c r="CV31" s="87"/>
      <c r="CW31" s="90"/>
      <c r="CX31" s="38"/>
      <c r="CY31" s="39"/>
      <c r="CZ31" s="37"/>
      <c r="DA31" s="39"/>
      <c r="DB31" s="24">
        <v>27</v>
      </c>
      <c r="DC31" s="96" t="str">
        <f t="shared" si="38"/>
        <v>金</v>
      </c>
      <c r="DF31" s="125"/>
      <c r="DG31" s="40"/>
      <c r="DH31" s="40"/>
      <c r="DI31" s="40"/>
      <c r="DJ31" s="40"/>
      <c r="DK31" s="40"/>
      <c r="DL31" s="40"/>
      <c r="DM31" s="40"/>
      <c r="DN31" s="40"/>
      <c r="DO31" s="40"/>
      <c r="DP31" s="40">
        <f t="shared" si="39"/>
        <v>0</v>
      </c>
      <c r="DQ31" s="172" t="str">
        <f t="shared" si="40"/>
        <v/>
      </c>
      <c r="DS31" s="189"/>
      <c r="DT31" s="190"/>
      <c r="DU31" s="190"/>
      <c r="DV31" s="191"/>
      <c r="DW31" s="138"/>
      <c r="DX31" s="42"/>
    </row>
    <row r="32" spans="1:128" ht="13.5" customHeight="1" x14ac:dyDescent="0.4">
      <c r="A32" s="104">
        <v>28</v>
      </c>
      <c r="B32" s="23" t="s">
        <v>88</v>
      </c>
      <c r="C32" s="164"/>
      <c r="D32" s="164"/>
      <c r="E32" s="24"/>
      <c r="F32" s="29"/>
      <c r="G32" s="25" t="str">
        <f>IF(SUM($F$5:F32)=0,"",SUM($F$5:F32))</f>
        <v/>
      </c>
      <c r="H32" s="43" t="str">
        <f t="shared" si="0"/>
        <v/>
      </c>
      <c r="I32" s="148" t="e">
        <f t="array" aca="1" ref="I32" ca="1">IF($A33="",$G32/($V32-$U$5+INDIRECT(IF(_xlfn.SHEET()&lt;6,"令和8年"&amp;_xlfn.SHEET()+7&amp;"月","令和9年"&amp;_xlfn.SHEET()-5&amp;"月")&amp;"!$U$5")),$G32/($V33-$U$5))</f>
        <v>#VALUE!</v>
      </c>
      <c r="J32" s="26" t="str">
        <f t="shared" si="1"/>
        <v/>
      </c>
      <c r="K32" s="27"/>
      <c r="L32" s="165">
        <f t="shared" si="2"/>
        <v>0</v>
      </c>
      <c r="M32" s="28" t="str">
        <f t="shared" si="3"/>
        <v/>
      </c>
      <c r="N32" s="166" t="str">
        <f t="shared" si="4"/>
        <v/>
      </c>
      <c r="O32" s="167" t="str">
        <f t="shared" si="5"/>
        <v/>
      </c>
      <c r="P32" s="168"/>
      <c r="Q32" s="169" t="str">
        <f t="shared" si="6"/>
        <v/>
      </c>
      <c r="R32" s="170">
        <v>14</v>
      </c>
      <c r="S32" s="171">
        <v>5</v>
      </c>
      <c r="T32" s="24" t="s">
        <v>119</v>
      </c>
      <c r="U32" s="29">
        <v>172463</v>
      </c>
      <c r="V32" s="30">
        <f t="shared" si="41"/>
        <v>9732467</v>
      </c>
      <c r="W32" s="27">
        <v>118</v>
      </c>
      <c r="X32" s="31">
        <f t="shared" si="7"/>
        <v>1461.550847457627</v>
      </c>
      <c r="Y32" s="29">
        <v>181729</v>
      </c>
      <c r="Z32" s="32">
        <f t="shared" si="42"/>
        <v>9110737</v>
      </c>
      <c r="AA32" s="33">
        <f t="shared" si="8"/>
        <v>1.0682414605975346</v>
      </c>
      <c r="AB32" s="158">
        <v>680000</v>
      </c>
      <c r="AC32" s="34">
        <f t="shared" si="43"/>
        <v>10760000</v>
      </c>
      <c r="AD32" s="158"/>
      <c r="AE32" s="25"/>
      <c r="AF32" s="25"/>
      <c r="AG32" s="25"/>
      <c r="AH32" s="25"/>
      <c r="AI32" s="25"/>
      <c r="AJ32" s="25"/>
      <c r="AK32" s="25"/>
      <c r="AL32" s="158"/>
      <c r="AM32" s="25"/>
      <c r="AN32" s="158"/>
      <c r="AO32" s="25"/>
      <c r="AP32" s="25"/>
      <c r="AQ32" s="158"/>
      <c r="AR32" s="35">
        <f t="shared" si="9"/>
        <v>0</v>
      </c>
      <c r="AS32" s="172" t="str">
        <f t="shared" si="10"/>
        <v/>
      </c>
      <c r="AT32" s="36">
        <f t="shared" si="11"/>
        <v>0</v>
      </c>
      <c r="AU32" s="173"/>
      <c r="AV32" s="82">
        <f t="shared" si="12"/>
        <v>28</v>
      </c>
      <c r="AW32" s="37"/>
      <c r="AX32" s="174" t="str">
        <f t="shared" si="13"/>
        <v/>
      </c>
      <c r="AY32" s="37"/>
      <c r="AZ32" s="174" t="str">
        <f t="shared" si="14"/>
        <v/>
      </c>
      <c r="BA32" s="37"/>
      <c r="BB32" s="174" t="str">
        <f t="shared" si="15"/>
        <v/>
      </c>
      <c r="BC32" s="37"/>
      <c r="BD32" s="174" t="str">
        <f t="shared" si="16"/>
        <v/>
      </c>
      <c r="BE32" s="37"/>
      <c r="BF32" s="174" t="str">
        <f t="shared" si="17"/>
        <v/>
      </c>
      <c r="BG32" s="37"/>
      <c r="BH32" s="174" t="str">
        <f t="shared" si="18"/>
        <v/>
      </c>
      <c r="BI32" s="37"/>
      <c r="BJ32" s="174" t="str">
        <f t="shared" si="19"/>
        <v/>
      </c>
      <c r="BK32" s="37"/>
      <c r="BL32" s="174" t="str">
        <f t="shared" si="20"/>
        <v/>
      </c>
      <c r="BM32" s="37"/>
      <c r="BN32" s="174" t="str">
        <f t="shared" si="21"/>
        <v/>
      </c>
      <c r="BO32" s="37"/>
      <c r="BP32" s="174" t="str">
        <f t="shared" si="22"/>
        <v/>
      </c>
      <c r="BQ32" s="37"/>
      <c r="BR32" s="174" t="str">
        <f t="shared" si="23"/>
        <v/>
      </c>
      <c r="BS32" s="37"/>
      <c r="BT32" s="174" t="str">
        <f t="shared" si="24"/>
        <v/>
      </c>
      <c r="BU32" s="37"/>
      <c r="BV32" s="174" t="str">
        <f t="shared" si="25"/>
        <v/>
      </c>
      <c r="BW32" s="37"/>
      <c r="BX32" s="174" t="str">
        <f t="shared" si="26"/>
        <v/>
      </c>
      <c r="BY32" s="37"/>
      <c r="BZ32" s="174" t="str">
        <f t="shared" si="27"/>
        <v/>
      </c>
      <c r="CA32" s="37"/>
      <c r="CB32" s="174" t="str">
        <f t="shared" si="28"/>
        <v/>
      </c>
      <c r="CC32" s="37"/>
      <c r="CD32" s="174" t="str">
        <f t="shared" si="29"/>
        <v/>
      </c>
      <c r="CE32" s="37"/>
      <c r="CF32" s="174" t="str">
        <f t="shared" si="30"/>
        <v/>
      </c>
      <c r="CG32" s="37"/>
      <c r="CH32" s="174" t="str">
        <f t="shared" si="31"/>
        <v/>
      </c>
      <c r="CI32" s="37"/>
      <c r="CJ32" s="174" t="str">
        <f t="shared" si="32"/>
        <v/>
      </c>
      <c r="CK32" s="37"/>
      <c r="CL32" s="174" t="str">
        <f t="shared" si="33"/>
        <v/>
      </c>
      <c r="CM32" s="37"/>
      <c r="CN32" s="174" t="str">
        <f t="shared" si="34"/>
        <v/>
      </c>
      <c r="CO32" s="37"/>
      <c r="CP32" s="174" t="str">
        <f t="shared" si="35"/>
        <v/>
      </c>
      <c r="CQ32" s="37"/>
      <c r="CR32" s="174" t="str">
        <f t="shared" si="36"/>
        <v/>
      </c>
      <c r="CS32" s="37"/>
      <c r="CT32" s="174" t="str">
        <f t="shared" si="37"/>
        <v/>
      </c>
      <c r="CU32" s="38"/>
      <c r="CV32" s="87"/>
      <c r="CW32" s="90"/>
      <c r="CX32" s="38"/>
      <c r="CY32" s="39"/>
      <c r="CZ32" s="37"/>
      <c r="DA32" s="39"/>
      <c r="DB32" s="24">
        <v>28</v>
      </c>
      <c r="DC32" s="96" t="str">
        <f t="shared" si="38"/>
        <v>土</v>
      </c>
      <c r="DF32" s="125"/>
      <c r="DG32" s="40"/>
      <c r="DH32" s="40"/>
      <c r="DI32" s="40"/>
      <c r="DJ32" s="40"/>
      <c r="DK32" s="40"/>
      <c r="DL32" s="40"/>
      <c r="DM32" s="40"/>
      <c r="DN32" s="40"/>
      <c r="DO32" s="40"/>
      <c r="DP32" s="40">
        <f t="shared" si="39"/>
        <v>0</v>
      </c>
      <c r="DQ32" s="172" t="str">
        <f t="shared" si="40"/>
        <v/>
      </c>
      <c r="DS32" s="189"/>
      <c r="DT32" s="190"/>
      <c r="DU32" s="190"/>
      <c r="DV32" s="191"/>
      <c r="DW32" s="41"/>
      <c r="DX32" s="42"/>
    </row>
    <row r="33" spans="1:128" ht="13.5" customHeight="1" x14ac:dyDescent="0.4">
      <c r="A33" s="104">
        <v>29</v>
      </c>
      <c r="B33" s="23" t="s">
        <v>89</v>
      </c>
      <c r="C33" s="164"/>
      <c r="D33" s="164"/>
      <c r="E33" s="24"/>
      <c r="F33" s="29"/>
      <c r="G33" s="25" t="str">
        <f>IF(SUM($F$5:F33)=0,"",SUM($F$5:F33))</f>
        <v/>
      </c>
      <c r="H33" s="43" t="str">
        <f t="shared" si="0"/>
        <v/>
      </c>
      <c r="I33" s="148" t="e">
        <f t="array" aca="1" ref="I33" ca="1">IF($A34="",$G33/($V33-$U$5+INDIRECT(IF(_xlfn.SHEET()&lt;6,"令和8年"&amp;_xlfn.SHEET()+7&amp;"月","令和9年"&amp;_xlfn.SHEET()-5&amp;"月")&amp;"!$U$5")),$G33/($V34-$U$5))</f>
        <v>#VALUE!</v>
      </c>
      <c r="J33" s="26" t="str">
        <f t="shared" si="1"/>
        <v/>
      </c>
      <c r="K33" s="27"/>
      <c r="L33" s="165">
        <f t="shared" si="2"/>
        <v>0</v>
      </c>
      <c r="M33" s="28" t="str">
        <f t="shared" si="3"/>
        <v/>
      </c>
      <c r="N33" s="166" t="str">
        <f t="shared" si="4"/>
        <v/>
      </c>
      <c r="O33" s="167" t="str">
        <f t="shared" si="5"/>
        <v/>
      </c>
      <c r="P33" s="168"/>
      <c r="Q33" s="169" t="str">
        <f t="shared" si="6"/>
        <v/>
      </c>
      <c r="R33" s="170">
        <v>15</v>
      </c>
      <c r="S33" s="171">
        <v>5</v>
      </c>
      <c r="T33" s="24" t="s">
        <v>84</v>
      </c>
      <c r="U33" s="29">
        <v>487529</v>
      </c>
      <c r="V33" s="30">
        <f t="shared" si="41"/>
        <v>10219996</v>
      </c>
      <c r="W33" s="27">
        <v>282</v>
      </c>
      <c r="X33" s="31">
        <f t="shared" si="7"/>
        <v>1728.8262411347519</v>
      </c>
      <c r="Y33" s="29">
        <v>202815</v>
      </c>
      <c r="Z33" s="32">
        <f t="shared" si="42"/>
        <v>9313552</v>
      </c>
      <c r="AA33" s="33">
        <f t="shared" si="8"/>
        <v>1.0973252739663664</v>
      </c>
      <c r="AB33" s="158">
        <v>680000</v>
      </c>
      <c r="AC33" s="34">
        <f t="shared" si="43"/>
        <v>11440000</v>
      </c>
      <c r="AD33" s="158"/>
      <c r="AE33" s="25"/>
      <c r="AF33" s="25"/>
      <c r="AG33" s="25"/>
      <c r="AH33" s="25"/>
      <c r="AI33" s="25"/>
      <c r="AJ33" s="25"/>
      <c r="AK33" s="25"/>
      <c r="AL33" s="158"/>
      <c r="AM33" s="25"/>
      <c r="AN33" s="158"/>
      <c r="AO33" s="25"/>
      <c r="AP33" s="25"/>
      <c r="AQ33" s="158"/>
      <c r="AR33" s="35">
        <f t="shared" si="9"/>
        <v>0</v>
      </c>
      <c r="AS33" s="172" t="str">
        <f t="shared" si="10"/>
        <v/>
      </c>
      <c r="AT33" s="36">
        <f t="shared" si="11"/>
        <v>0</v>
      </c>
      <c r="AU33" s="173"/>
      <c r="AV33" s="82">
        <f t="shared" si="12"/>
        <v>29</v>
      </c>
      <c r="AW33" s="37"/>
      <c r="AX33" s="174" t="str">
        <f t="shared" si="13"/>
        <v/>
      </c>
      <c r="AY33" s="37"/>
      <c r="AZ33" s="174" t="str">
        <f t="shared" si="14"/>
        <v/>
      </c>
      <c r="BA33" s="37"/>
      <c r="BB33" s="174" t="str">
        <f t="shared" si="15"/>
        <v/>
      </c>
      <c r="BC33" s="37"/>
      <c r="BD33" s="174" t="str">
        <f t="shared" si="16"/>
        <v/>
      </c>
      <c r="BE33" s="37"/>
      <c r="BF33" s="174" t="str">
        <f t="shared" si="17"/>
        <v/>
      </c>
      <c r="BG33" s="37"/>
      <c r="BH33" s="174" t="str">
        <f t="shared" si="18"/>
        <v/>
      </c>
      <c r="BI33" s="37"/>
      <c r="BJ33" s="174" t="str">
        <f t="shared" si="19"/>
        <v/>
      </c>
      <c r="BK33" s="37"/>
      <c r="BL33" s="174" t="str">
        <f t="shared" si="20"/>
        <v/>
      </c>
      <c r="BM33" s="37"/>
      <c r="BN33" s="174" t="str">
        <f t="shared" si="21"/>
        <v/>
      </c>
      <c r="BO33" s="37"/>
      <c r="BP33" s="174" t="str">
        <f t="shared" si="22"/>
        <v/>
      </c>
      <c r="BQ33" s="37"/>
      <c r="BR33" s="174" t="str">
        <f t="shared" si="23"/>
        <v/>
      </c>
      <c r="BS33" s="37"/>
      <c r="BT33" s="174" t="str">
        <f t="shared" si="24"/>
        <v/>
      </c>
      <c r="BU33" s="37"/>
      <c r="BV33" s="174" t="str">
        <f t="shared" si="25"/>
        <v/>
      </c>
      <c r="BW33" s="37"/>
      <c r="BX33" s="174" t="str">
        <f t="shared" si="26"/>
        <v/>
      </c>
      <c r="BY33" s="37"/>
      <c r="BZ33" s="174" t="str">
        <f t="shared" si="27"/>
        <v/>
      </c>
      <c r="CA33" s="37"/>
      <c r="CB33" s="174" t="str">
        <f t="shared" si="28"/>
        <v/>
      </c>
      <c r="CC33" s="37"/>
      <c r="CD33" s="174" t="str">
        <f t="shared" si="29"/>
        <v/>
      </c>
      <c r="CE33" s="37"/>
      <c r="CF33" s="174" t="str">
        <f t="shared" si="30"/>
        <v/>
      </c>
      <c r="CG33" s="37"/>
      <c r="CH33" s="174" t="str">
        <f t="shared" si="31"/>
        <v/>
      </c>
      <c r="CI33" s="37"/>
      <c r="CJ33" s="174" t="str">
        <f t="shared" si="32"/>
        <v/>
      </c>
      <c r="CK33" s="37"/>
      <c r="CL33" s="174" t="str">
        <f t="shared" si="33"/>
        <v/>
      </c>
      <c r="CM33" s="37"/>
      <c r="CN33" s="174" t="str">
        <f t="shared" si="34"/>
        <v/>
      </c>
      <c r="CO33" s="37"/>
      <c r="CP33" s="174" t="str">
        <f t="shared" si="35"/>
        <v/>
      </c>
      <c r="CQ33" s="37"/>
      <c r="CR33" s="174" t="str">
        <f t="shared" si="36"/>
        <v/>
      </c>
      <c r="CS33" s="37"/>
      <c r="CT33" s="174" t="str">
        <f t="shared" si="37"/>
        <v/>
      </c>
      <c r="CU33" s="38"/>
      <c r="CV33" s="87"/>
      <c r="CW33" s="90"/>
      <c r="CX33" s="38"/>
      <c r="CY33" s="39"/>
      <c r="CZ33" s="37"/>
      <c r="DA33" s="39"/>
      <c r="DB33" s="24">
        <v>29</v>
      </c>
      <c r="DC33" s="96" t="str">
        <f t="shared" si="38"/>
        <v>日</v>
      </c>
      <c r="DF33" s="125"/>
      <c r="DG33" s="40"/>
      <c r="DH33" s="40"/>
      <c r="DI33" s="40"/>
      <c r="DJ33" s="40"/>
      <c r="DK33" s="40"/>
      <c r="DL33" s="40"/>
      <c r="DM33" s="40"/>
      <c r="DN33" s="40"/>
      <c r="DO33" s="40"/>
      <c r="DP33" s="40">
        <f t="shared" si="39"/>
        <v>0</v>
      </c>
      <c r="DQ33" s="172" t="str">
        <f t="shared" si="40"/>
        <v/>
      </c>
      <c r="DS33" s="189"/>
      <c r="DT33" s="190"/>
      <c r="DU33" s="190"/>
      <c r="DV33" s="191"/>
      <c r="DW33" s="41"/>
      <c r="DX33" s="42"/>
    </row>
    <row r="34" spans="1:128" ht="13.5" customHeight="1" thickBot="1" x14ac:dyDescent="0.45">
      <c r="A34" s="104">
        <v>30</v>
      </c>
      <c r="B34" s="23" t="s">
        <v>90</v>
      </c>
      <c r="C34" s="164"/>
      <c r="D34" s="164"/>
      <c r="E34" s="24"/>
      <c r="F34" s="29"/>
      <c r="G34" s="25" t="str">
        <f>IF(SUM($F$5:F34)=0,"",SUM($F$5:F34))</f>
        <v/>
      </c>
      <c r="H34" s="43" t="str">
        <f t="shared" si="0"/>
        <v/>
      </c>
      <c r="I34" s="148" t="e">
        <f t="array" aca="1" ref="I34" ca="1">IF($A35="",$G34/($V34-$U$5+INDIRECT(IF(_xlfn.SHEET()&lt;6,"令和8年"&amp;_xlfn.SHEET()+7&amp;"月","令和9年"&amp;_xlfn.SHEET()-5&amp;"月")&amp;"!$U$5")),$G34/($V35-$U$5))</f>
        <v>#VALUE!</v>
      </c>
      <c r="J34" s="26" t="str">
        <f t="shared" si="1"/>
        <v/>
      </c>
      <c r="K34" s="27"/>
      <c r="L34" s="165">
        <f t="shared" si="2"/>
        <v>0</v>
      </c>
      <c r="M34" s="28" t="str">
        <f t="shared" si="3"/>
        <v/>
      </c>
      <c r="N34" s="166" t="str">
        <f t="shared" si="4"/>
        <v/>
      </c>
      <c r="O34" s="167" t="str">
        <f t="shared" si="5"/>
        <v/>
      </c>
      <c r="P34" s="168"/>
      <c r="Q34" s="169" t="str">
        <f t="shared" si="6"/>
        <v/>
      </c>
      <c r="R34" s="170">
        <v>17</v>
      </c>
      <c r="S34" s="171">
        <v>5</v>
      </c>
      <c r="T34" s="24" t="s">
        <v>84</v>
      </c>
      <c r="U34" s="29">
        <v>695296</v>
      </c>
      <c r="V34" s="30">
        <f t="shared" si="41"/>
        <v>10915292</v>
      </c>
      <c r="W34" s="27">
        <v>370</v>
      </c>
      <c r="X34" s="31">
        <f t="shared" si="7"/>
        <v>1879.1783783783783</v>
      </c>
      <c r="Y34" s="29">
        <v>584235</v>
      </c>
      <c r="Z34" s="32">
        <f t="shared" si="42"/>
        <v>9897787</v>
      </c>
      <c r="AA34" s="33">
        <f t="shared" si="8"/>
        <v>1.1028012625448498</v>
      </c>
      <c r="AB34" s="158">
        <v>220000</v>
      </c>
      <c r="AC34" s="34">
        <f t="shared" si="43"/>
        <v>11660000</v>
      </c>
      <c r="AD34" s="158"/>
      <c r="AE34" s="25"/>
      <c r="AF34" s="25"/>
      <c r="AG34" s="25"/>
      <c r="AH34" s="25"/>
      <c r="AI34" s="25"/>
      <c r="AJ34" s="25"/>
      <c r="AK34" s="25"/>
      <c r="AL34" s="158"/>
      <c r="AM34" s="25"/>
      <c r="AN34" s="158"/>
      <c r="AO34" s="25"/>
      <c r="AP34" s="25"/>
      <c r="AQ34" s="158"/>
      <c r="AR34" s="35">
        <f t="shared" si="9"/>
        <v>0</v>
      </c>
      <c r="AS34" s="172" t="str">
        <f t="shared" si="10"/>
        <v/>
      </c>
      <c r="AT34" s="36">
        <f t="shared" si="11"/>
        <v>0</v>
      </c>
      <c r="AU34" s="173"/>
      <c r="AV34" s="82">
        <f t="shared" si="12"/>
        <v>30</v>
      </c>
      <c r="AW34" s="37"/>
      <c r="AX34" s="174" t="str">
        <f t="shared" si="13"/>
        <v/>
      </c>
      <c r="AY34" s="37"/>
      <c r="AZ34" s="174" t="str">
        <f t="shared" si="14"/>
        <v/>
      </c>
      <c r="BA34" s="37"/>
      <c r="BB34" s="174" t="str">
        <f t="shared" si="15"/>
        <v/>
      </c>
      <c r="BC34" s="37"/>
      <c r="BD34" s="174" t="str">
        <f t="shared" si="16"/>
        <v/>
      </c>
      <c r="BE34" s="37"/>
      <c r="BF34" s="174" t="str">
        <f t="shared" si="17"/>
        <v/>
      </c>
      <c r="BG34" s="37"/>
      <c r="BH34" s="174" t="str">
        <f t="shared" si="18"/>
        <v/>
      </c>
      <c r="BI34" s="37"/>
      <c r="BJ34" s="174" t="str">
        <f t="shared" si="19"/>
        <v/>
      </c>
      <c r="BK34" s="37"/>
      <c r="BL34" s="174" t="str">
        <f t="shared" si="20"/>
        <v/>
      </c>
      <c r="BM34" s="37"/>
      <c r="BN34" s="174" t="str">
        <f t="shared" si="21"/>
        <v/>
      </c>
      <c r="BO34" s="37"/>
      <c r="BP34" s="174" t="str">
        <f t="shared" si="22"/>
        <v/>
      </c>
      <c r="BQ34" s="37"/>
      <c r="BR34" s="174" t="str">
        <f t="shared" si="23"/>
        <v/>
      </c>
      <c r="BS34" s="37"/>
      <c r="BT34" s="174" t="str">
        <f t="shared" si="24"/>
        <v/>
      </c>
      <c r="BU34" s="37"/>
      <c r="BV34" s="174" t="str">
        <f t="shared" si="25"/>
        <v/>
      </c>
      <c r="BW34" s="37"/>
      <c r="BX34" s="174" t="str">
        <f t="shared" si="26"/>
        <v/>
      </c>
      <c r="BY34" s="37"/>
      <c r="BZ34" s="174" t="str">
        <f t="shared" si="27"/>
        <v/>
      </c>
      <c r="CA34" s="37"/>
      <c r="CB34" s="174" t="str">
        <f t="shared" si="28"/>
        <v/>
      </c>
      <c r="CC34" s="37"/>
      <c r="CD34" s="174" t="str">
        <f t="shared" si="29"/>
        <v/>
      </c>
      <c r="CE34" s="37"/>
      <c r="CF34" s="174" t="str">
        <f t="shared" si="30"/>
        <v/>
      </c>
      <c r="CG34" s="37"/>
      <c r="CH34" s="174" t="str">
        <f t="shared" si="31"/>
        <v/>
      </c>
      <c r="CI34" s="37"/>
      <c r="CJ34" s="174" t="str">
        <f t="shared" si="32"/>
        <v/>
      </c>
      <c r="CK34" s="37"/>
      <c r="CL34" s="174" t="str">
        <f t="shared" si="33"/>
        <v/>
      </c>
      <c r="CM34" s="37"/>
      <c r="CN34" s="174" t="str">
        <f t="shared" si="34"/>
        <v/>
      </c>
      <c r="CO34" s="37"/>
      <c r="CP34" s="174" t="str">
        <f t="shared" si="35"/>
        <v/>
      </c>
      <c r="CQ34" s="37"/>
      <c r="CR34" s="174" t="str">
        <f t="shared" si="36"/>
        <v/>
      </c>
      <c r="CS34" s="37"/>
      <c r="CT34" s="174" t="str">
        <f t="shared" si="37"/>
        <v/>
      </c>
      <c r="CU34" s="38"/>
      <c r="CV34" s="87"/>
      <c r="CW34" s="90"/>
      <c r="CX34" s="38"/>
      <c r="CY34" s="39"/>
      <c r="CZ34" s="37"/>
      <c r="DA34" s="39"/>
      <c r="DB34" s="24">
        <v>30</v>
      </c>
      <c r="DC34" s="96" t="str">
        <f t="shared" si="38"/>
        <v>月</v>
      </c>
      <c r="DF34" s="125"/>
      <c r="DG34" s="40"/>
      <c r="DH34" s="40"/>
      <c r="DI34" s="40"/>
      <c r="DJ34" s="40"/>
      <c r="DK34" s="40"/>
      <c r="DL34" s="40"/>
      <c r="DM34" s="40"/>
      <c r="DN34" s="40"/>
      <c r="DO34" s="40"/>
      <c r="DP34" s="40">
        <f t="shared" si="39"/>
        <v>0</v>
      </c>
      <c r="DQ34" s="172" t="str">
        <f t="shared" si="40"/>
        <v/>
      </c>
      <c r="DS34" s="189"/>
      <c r="DT34" s="190"/>
      <c r="DU34" s="190"/>
      <c r="DV34" s="191"/>
      <c r="DW34" s="41"/>
      <c r="DX34" s="42"/>
    </row>
    <row r="35" spans="1:128" ht="13.5" hidden="1" customHeight="1" thickBot="1" x14ac:dyDescent="0.45">
      <c r="A35" s="105">
        <v>31</v>
      </c>
      <c r="B35" s="23"/>
      <c r="C35" s="175"/>
      <c r="D35" s="175"/>
      <c r="E35" s="24"/>
      <c r="F35" s="29"/>
      <c r="G35" s="25" t="str">
        <f>IF(SUM($F$5:F35)=0,"",SUM($F$5:F35))</f>
        <v/>
      </c>
      <c r="H35" s="43" t="str">
        <f t="shared" si="0"/>
        <v/>
      </c>
      <c r="I35" s="148" t="e">
        <f t="array" aca="1" ref="I35" ca="1">IF($A36="",$G35/($V35-$U$5+INDIRECT(IF(_xlfn.SHEET()&lt;6,"令和8年"&amp;_xlfn.SHEET()+7&amp;"月","令和9年"&amp;_xlfn.SHEET()-5&amp;"月")&amp;"!$U$5")),$G35/($V36-$U$5))</f>
        <v>#VALUE!</v>
      </c>
      <c r="J35" s="26" t="str">
        <f t="shared" si="1"/>
        <v/>
      </c>
      <c r="K35" s="27"/>
      <c r="L35" s="165" t="str">
        <f t="shared" si="2"/>
        <v/>
      </c>
      <c r="M35" s="28" t="str">
        <f t="shared" si="3"/>
        <v/>
      </c>
      <c r="N35" s="166" t="str">
        <f t="shared" si="4"/>
        <v/>
      </c>
      <c r="O35" s="167" t="str">
        <f t="shared" si="5"/>
        <v/>
      </c>
      <c r="P35" s="168"/>
      <c r="Q35" s="169" t="str">
        <f t="shared" si="6"/>
        <v/>
      </c>
      <c r="R35" s="170"/>
      <c r="S35" s="176"/>
      <c r="T35" s="24"/>
      <c r="U35" s="29"/>
      <c r="V35" s="30">
        <f t="shared" si="41"/>
        <v>10915292</v>
      </c>
      <c r="W35" s="27"/>
      <c r="X35" s="31" t="str">
        <f t="shared" si="7"/>
        <v/>
      </c>
      <c r="Y35" s="29"/>
      <c r="Z35" s="32">
        <f t="shared" si="42"/>
        <v>9897787</v>
      </c>
      <c r="AA35" s="33">
        <f t="shared" si="8"/>
        <v>1.1028012625448498</v>
      </c>
      <c r="AB35" s="74">
        <f>AB36/31</f>
        <v>0</v>
      </c>
      <c r="AC35" s="34">
        <f t="shared" si="43"/>
        <v>11660000</v>
      </c>
      <c r="AD35" s="158"/>
      <c r="AE35" s="25"/>
      <c r="AF35" s="25"/>
      <c r="AG35" s="25"/>
      <c r="AH35" s="25"/>
      <c r="AI35" s="25"/>
      <c r="AJ35" s="25"/>
      <c r="AK35" s="25"/>
      <c r="AL35" s="158"/>
      <c r="AM35" s="25"/>
      <c r="AN35" s="158"/>
      <c r="AO35" s="25"/>
      <c r="AP35" s="25"/>
      <c r="AQ35" s="158"/>
      <c r="AR35" s="35">
        <f t="shared" si="9"/>
        <v>0</v>
      </c>
      <c r="AS35" s="172" t="str">
        <f t="shared" si="10"/>
        <v/>
      </c>
      <c r="AT35" s="36">
        <f t="shared" si="11"/>
        <v>0</v>
      </c>
      <c r="AU35" s="173"/>
      <c r="AV35" s="82">
        <f t="shared" si="12"/>
        <v>31</v>
      </c>
      <c r="AW35" s="37"/>
      <c r="AX35" s="174" t="str">
        <f t="shared" si="13"/>
        <v/>
      </c>
      <c r="AY35" s="37"/>
      <c r="AZ35" s="174" t="str">
        <f t="shared" si="14"/>
        <v/>
      </c>
      <c r="BA35" s="37"/>
      <c r="BB35" s="174" t="str">
        <f t="shared" si="15"/>
        <v/>
      </c>
      <c r="BC35" s="37"/>
      <c r="BD35" s="174" t="str">
        <f t="shared" si="16"/>
        <v/>
      </c>
      <c r="BE35" s="37"/>
      <c r="BF35" s="174" t="str">
        <f t="shared" si="17"/>
        <v/>
      </c>
      <c r="BG35" s="37"/>
      <c r="BH35" s="174" t="str">
        <f t="shared" si="18"/>
        <v/>
      </c>
      <c r="BI35" s="37"/>
      <c r="BJ35" s="174" t="str">
        <f t="shared" si="19"/>
        <v/>
      </c>
      <c r="BK35" s="37"/>
      <c r="BL35" s="174" t="str">
        <f t="shared" si="20"/>
        <v/>
      </c>
      <c r="BM35" s="37"/>
      <c r="BN35" s="174" t="str">
        <f t="shared" si="21"/>
        <v/>
      </c>
      <c r="BO35" s="37"/>
      <c r="BP35" s="174" t="str">
        <f t="shared" si="22"/>
        <v/>
      </c>
      <c r="BQ35" s="37"/>
      <c r="BR35" s="174" t="str">
        <f t="shared" si="23"/>
        <v/>
      </c>
      <c r="BS35" s="37"/>
      <c r="BT35" s="174" t="str">
        <f t="shared" si="24"/>
        <v/>
      </c>
      <c r="BU35" s="37"/>
      <c r="BV35" s="174" t="str">
        <f t="shared" si="25"/>
        <v/>
      </c>
      <c r="BW35" s="37"/>
      <c r="BX35" s="174" t="str">
        <f t="shared" si="26"/>
        <v/>
      </c>
      <c r="BY35" s="37"/>
      <c r="BZ35" s="174" t="str">
        <f t="shared" si="27"/>
        <v/>
      </c>
      <c r="CA35" s="37"/>
      <c r="CB35" s="174" t="str">
        <f t="shared" si="28"/>
        <v/>
      </c>
      <c r="CC35" s="37"/>
      <c r="CD35" s="174" t="str">
        <f t="shared" si="29"/>
        <v/>
      </c>
      <c r="CE35" s="37"/>
      <c r="CF35" s="174" t="str">
        <f t="shared" si="30"/>
        <v/>
      </c>
      <c r="CG35" s="37"/>
      <c r="CH35" s="174" t="str">
        <f t="shared" si="31"/>
        <v/>
      </c>
      <c r="CI35" s="37"/>
      <c r="CJ35" s="174" t="str">
        <f t="shared" si="32"/>
        <v/>
      </c>
      <c r="CK35" s="37"/>
      <c r="CL35" s="174" t="str">
        <f t="shared" si="33"/>
        <v/>
      </c>
      <c r="CM35" s="37"/>
      <c r="CN35" s="174" t="str">
        <f t="shared" si="34"/>
        <v/>
      </c>
      <c r="CO35" s="37"/>
      <c r="CP35" s="174" t="str">
        <f t="shared" si="35"/>
        <v/>
      </c>
      <c r="CQ35" s="37"/>
      <c r="CR35" s="174" t="str">
        <f t="shared" si="36"/>
        <v/>
      </c>
      <c r="CS35" s="37"/>
      <c r="CT35" s="174" t="str">
        <f t="shared" si="37"/>
        <v/>
      </c>
      <c r="CU35" s="38"/>
      <c r="CV35" s="87"/>
      <c r="CW35" s="90"/>
      <c r="CX35" s="38"/>
      <c r="CY35" s="39"/>
      <c r="CZ35" s="37"/>
      <c r="DA35" s="39"/>
      <c r="DB35" s="24">
        <v>31</v>
      </c>
      <c r="DC35" s="96">
        <f t="shared" si="38"/>
        <v>0</v>
      </c>
      <c r="DF35" s="125"/>
      <c r="DG35" s="40"/>
      <c r="DH35" s="40"/>
      <c r="DI35" s="40"/>
      <c r="DJ35" s="40"/>
      <c r="DK35" s="40"/>
      <c r="DL35" s="40"/>
      <c r="DM35" s="40"/>
      <c r="DN35" s="40"/>
      <c r="DO35" s="40"/>
      <c r="DP35" s="40">
        <f t="shared" si="39"/>
        <v>0</v>
      </c>
      <c r="DQ35" s="172" t="str">
        <f t="shared" si="40"/>
        <v/>
      </c>
      <c r="DS35" s="189"/>
      <c r="DT35" s="190"/>
      <c r="DU35" s="190"/>
      <c r="DV35" s="191"/>
      <c r="DW35" s="41"/>
      <c r="DX35" s="42"/>
    </row>
    <row r="36" spans="1:128" ht="18.75" customHeight="1" thickTop="1" thickBot="1" x14ac:dyDescent="0.45">
      <c r="A36" s="62"/>
      <c r="B36" s="103"/>
      <c r="C36" s="103"/>
      <c r="D36" s="103"/>
      <c r="E36" s="44" t="s">
        <v>95</v>
      </c>
      <c r="F36" s="25">
        <f>SUM(F5:F35)</f>
        <v>0</v>
      </c>
      <c r="G36" s="25"/>
      <c r="H36" s="43"/>
      <c r="I36" s="148"/>
      <c r="J36" s="26"/>
      <c r="K36" s="45">
        <f>SUM(K4:K35)</f>
        <v>0</v>
      </c>
      <c r="L36" s="165">
        <f t="shared" si="2"/>
        <v>0</v>
      </c>
      <c r="M36" s="46"/>
      <c r="N36" s="47" t="str">
        <f t="shared" si="4"/>
        <v/>
      </c>
      <c r="O36" s="48"/>
      <c r="P36" s="177"/>
      <c r="Q36" s="178"/>
      <c r="R36" s="49"/>
      <c r="S36" s="128"/>
      <c r="T36" s="50" t="s">
        <v>95</v>
      </c>
      <c r="U36" s="51">
        <f>SUM(U5:U35)</f>
        <v>10915292</v>
      </c>
      <c r="V36" s="30"/>
      <c r="W36" s="52">
        <f>SUM(W5:W35)</f>
        <v>6904</v>
      </c>
      <c r="X36" s="53"/>
      <c r="Y36" s="25">
        <f>SUM(Y5:Y35)</f>
        <v>9897787</v>
      </c>
      <c r="Z36" s="32"/>
      <c r="AA36" s="54"/>
      <c r="AB36" s="55"/>
      <c r="AC36" s="54"/>
      <c r="AD36" s="158">
        <f t="shared" ref="AD36:AR36" si="44">SUM(AD5:AD35)</f>
        <v>0</v>
      </c>
      <c r="AE36" s="25">
        <f t="shared" si="44"/>
        <v>0</v>
      </c>
      <c r="AF36" s="25">
        <f t="shared" si="44"/>
        <v>0</v>
      </c>
      <c r="AG36" s="25">
        <f t="shared" si="44"/>
        <v>0</v>
      </c>
      <c r="AH36" s="25">
        <f t="shared" si="44"/>
        <v>0</v>
      </c>
      <c r="AI36" s="25">
        <f t="shared" si="44"/>
        <v>0</v>
      </c>
      <c r="AJ36" s="25">
        <f t="shared" si="44"/>
        <v>0</v>
      </c>
      <c r="AK36" s="25">
        <f t="shared" si="44"/>
        <v>0</v>
      </c>
      <c r="AL36" s="25">
        <f t="shared" si="44"/>
        <v>0</v>
      </c>
      <c r="AM36" s="25">
        <f t="shared" si="44"/>
        <v>0</v>
      </c>
      <c r="AN36" s="25">
        <f t="shared" si="44"/>
        <v>0</v>
      </c>
      <c r="AO36" s="25">
        <f t="shared" si="44"/>
        <v>0</v>
      </c>
      <c r="AP36" s="25">
        <f t="shared" si="44"/>
        <v>0</v>
      </c>
      <c r="AQ36" s="158">
        <f t="shared" si="44"/>
        <v>0</v>
      </c>
      <c r="AR36" s="56">
        <f t="shared" si="44"/>
        <v>0</v>
      </c>
      <c r="AS36" s="179" t="str">
        <f>IF(ISERROR((AR36/$F36)),"",AR36/$F36)</f>
        <v/>
      </c>
      <c r="AT36" s="77">
        <f>SUM(AT5:AT35)</f>
        <v>0</v>
      </c>
      <c r="AU36" s="173"/>
      <c r="AV36" s="83" t="s">
        <v>95</v>
      </c>
      <c r="AW36" s="57">
        <f>SUM(AW5:AW35)</f>
        <v>0</v>
      </c>
      <c r="AX36" s="57"/>
      <c r="AY36" s="57">
        <f>SUM(AY5:AY35)</f>
        <v>0</v>
      </c>
      <c r="AZ36" s="57"/>
      <c r="BA36" s="57">
        <f>SUM(BA5:BA35)</f>
        <v>0</v>
      </c>
      <c r="BB36" s="57"/>
      <c r="BC36" s="57">
        <f>SUM(BC5:BC35)</f>
        <v>0</v>
      </c>
      <c r="BD36" s="57"/>
      <c r="BE36" s="57">
        <f>SUM(BE5:BE35)</f>
        <v>0</v>
      </c>
      <c r="BF36" s="57"/>
      <c r="BG36" s="57">
        <f>SUM(BG5:BG35)</f>
        <v>0</v>
      </c>
      <c r="BH36" s="57"/>
      <c r="BI36" s="57">
        <f>SUM(BI5:BI35)</f>
        <v>0</v>
      </c>
      <c r="BJ36" s="57"/>
      <c r="BK36" s="57">
        <f>SUM(BK5:BK35)</f>
        <v>0</v>
      </c>
      <c r="BL36" s="57"/>
      <c r="BM36" s="57">
        <f>SUM(BM5:BM35)</f>
        <v>0</v>
      </c>
      <c r="BN36" s="57"/>
      <c r="BO36" s="57">
        <f>SUM(BO5:BO35)</f>
        <v>0</v>
      </c>
      <c r="BP36" s="57"/>
      <c r="BQ36" s="57">
        <f>SUM(BQ5:BQ35)</f>
        <v>0</v>
      </c>
      <c r="BR36" s="57"/>
      <c r="BS36" s="57">
        <f>SUM(BS5:BS35)</f>
        <v>0</v>
      </c>
      <c r="BT36" s="57"/>
      <c r="BU36" s="57">
        <f>SUM(BU5:BU35)</f>
        <v>0</v>
      </c>
      <c r="BV36" s="57"/>
      <c r="BW36" s="57">
        <f>SUM(BW5:BW35)</f>
        <v>0</v>
      </c>
      <c r="BX36" s="57"/>
      <c r="BY36" s="57">
        <f>SUM(BY5:BY35)</f>
        <v>0</v>
      </c>
      <c r="BZ36" s="57"/>
      <c r="CA36" s="57">
        <f>SUM(CA5:CA35)</f>
        <v>0</v>
      </c>
      <c r="CB36" s="57"/>
      <c r="CC36" s="57">
        <f>SUM(CC5:CC35)</f>
        <v>0</v>
      </c>
      <c r="CD36" s="58"/>
      <c r="CE36" s="57">
        <f>SUM(CE5:CE35)</f>
        <v>0</v>
      </c>
      <c r="CF36" s="58"/>
      <c r="CG36" s="57">
        <f>SUM(CG5:CG35)</f>
        <v>0</v>
      </c>
      <c r="CH36" s="57"/>
      <c r="CI36" s="57">
        <f>SUM(CI5:CI35)</f>
        <v>0</v>
      </c>
      <c r="CJ36" s="58"/>
      <c r="CK36" s="57">
        <f>SUM(CK5:CK35)</f>
        <v>0</v>
      </c>
      <c r="CL36" s="58"/>
      <c r="CM36" s="57">
        <f>SUM(CM5:CM35)</f>
        <v>0</v>
      </c>
      <c r="CN36" s="57"/>
      <c r="CO36" s="57">
        <f>SUM(CO5:CO35)</f>
        <v>0</v>
      </c>
      <c r="CP36" s="58"/>
      <c r="CQ36" s="57">
        <f>SUM(CQ5:CQ35)</f>
        <v>0</v>
      </c>
      <c r="CR36" s="58"/>
      <c r="CS36" s="57">
        <f>SUM(CS5:CS35)</f>
        <v>0</v>
      </c>
      <c r="CT36" s="60"/>
      <c r="CU36" s="59">
        <f>SUM(CU5:CU35)</f>
        <v>0</v>
      </c>
      <c r="CV36" s="60">
        <f>SUM(CV5:CV35)</f>
        <v>0</v>
      </c>
      <c r="CW36" s="91"/>
      <c r="CX36" s="59">
        <f>SUM(CX5:CX35)</f>
        <v>0</v>
      </c>
      <c r="CY36" s="39">
        <f>SUM(CY5:CY35)</f>
        <v>0</v>
      </c>
      <c r="CZ36" s="57">
        <f>SUM(CZ5:CZ35)</f>
        <v>0</v>
      </c>
      <c r="DA36" s="61">
        <f>SUM(DA5:DA35)</f>
        <v>0</v>
      </c>
      <c r="DB36" s="44"/>
      <c r="DC36" s="96"/>
      <c r="DF36" s="125">
        <f t="shared" ref="DF36:DP36" si="45">SUM(DF5:DF35)</f>
        <v>0</v>
      </c>
      <c r="DG36" s="40">
        <f t="shared" si="45"/>
        <v>0</v>
      </c>
      <c r="DH36" s="40">
        <f t="shared" si="45"/>
        <v>0</v>
      </c>
      <c r="DI36" s="40">
        <f t="shared" si="45"/>
        <v>0</v>
      </c>
      <c r="DJ36" s="40">
        <f t="shared" si="45"/>
        <v>0</v>
      </c>
      <c r="DK36" s="40">
        <f t="shared" si="45"/>
        <v>0</v>
      </c>
      <c r="DL36" s="40">
        <f t="shared" si="45"/>
        <v>0</v>
      </c>
      <c r="DM36" s="40">
        <f t="shared" si="45"/>
        <v>0</v>
      </c>
      <c r="DN36" s="40">
        <f t="shared" si="45"/>
        <v>0</v>
      </c>
      <c r="DO36" s="40">
        <f t="shared" si="45"/>
        <v>0</v>
      </c>
      <c r="DP36" s="40">
        <f t="shared" si="45"/>
        <v>0</v>
      </c>
      <c r="DQ36" s="179" t="str">
        <f>IF(ISERROR((DP36/$F36)),"",DP36/$F36)</f>
        <v/>
      </c>
      <c r="DS36" s="198" t="s">
        <v>96</v>
      </c>
      <c r="DT36" s="199"/>
      <c r="DU36" s="199"/>
      <c r="DV36" s="199"/>
      <c r="DW36" s="199"/>
      <c r="DX36" s="199"/>
    </row>
    <row r="37" spans="1:128" ht="19.149999999999999" customHeight="1" thickTop="1" thickBot="1" x14ac:dyDescent="0.45">
      <c r="E37" s="62" t="s">
        <v>97</v>
      </c>
      <c r="F37" s="66" t="str">
        <f>IF(ISERROR(AVERAGE(F5:F35)),"",AVERAGE(F5:F35))</f>
        <v/>
      </c>
      <c r="G37" s="66"/>
      <c r="H37" s="100" t="str">
        <f>IF(ISERROR(F37/U37),"",(F37/U37))</f>
        <v/>
      </c>
      <c r="I37" s="149"/>
      <c r="J37" s="101" t="str">
        <f>IF(ISERROR(F37/AC5),"",(F37/AC5))</f>
        <v/>
      </c>
      <c r="K37" s="102" t="str">
        <f>IF(ISERROR(AVERAGE(K4:K35)),"",AVERAGE(K4:K35))</f>
        <v/>
      </c>
      <c r="L37" s="180" t="str">
        <f t="shared" si="2"/>
        <v/>
      </c>
      <c r="M37" s="102" t="str">
        <f>IF(ISERROR(AVERAGE(M4:M35)),"",AVERAGE(M4:M35))</f>
        <v/>
      </c>
      <c r="N37" s="181" t="str">
        <f t="shared" si="4"/>
        <v/>
      </c>
      <c r="O37" s="182" t="e">
        <f>AVERAGE(O4:O35)</f>
        <v>#DIV/0!</v>
      </c>
      <c r="P37" s="183"/>
      <c r="Q37" s="184" t="e">
        <f>AVERAGE(Q4:Q35)</f>
        <v>#DIV/0!</v>
      </c>
      <c r="T37" s="62" t="s">
        <v>97</v>
      </c>
      <c r="U37" s="63">
        <f>IF(ISERROR(AVERAGE(U5:U35)),"",AVERAGE(U5:U35))</f>
        <v>363843.06666666665</v>
      </c>
      <c r="V37" s="64"/>
      <c r="W37" s="65">
        <f>IF(ISERROR(AVERAGE(W5:W35)),"",AVERAGE(W5:W35))</f>
        <v>230.13333333333333</v>
      </c>
      <c r="X37" s="65">
        <f>IF(ISERROR(AVERAGE(X5:X35)),"",AVERAGE(X5:X35))</f>
        <v>1583.0176322456086</v>
      </c>
      <c r="Y37" s="66">
        <f>IF(ISERROR(AVERAGE(Y5:Y35)),"",AVERAGE(Y5:Y35))</f>
        <v>329926.23333333334</v>
      </c>
      <c r="Z37" s="66"/>
      <c r="AA37" s="67"/>
      <c r="AB37" s="201" t="s">
        <v>98</v>
      </c>
      <c r="AC37" s="202"/>
      <c r="AD37" s="68" t="str">
        <f t="shared" ref="AD37:AQ37" si="46">IF(ISERROR(AVERAGE(AD5:AD35)),"",AVERAGE(AD5:AD35))</f>
        <v/>
      </c>
      <c r="AE37" s="66" t="str">
        <f t="shared" si="46"/>
        <v/>
      </c>
      <c r="AF37" s="66" t="str">
        <f t="shared" si="46"/>
        <v/>
      </c>
      <c r="AG37" s="66" t="str">
        <f t="shared" si="46"/>
        <v/>
      </c>
      <c r="AH37" s="66" t="str">
        <f t="shared" si="46"/>
        <v/>
      </c>
      <c r="AI37" s="66" t="str">
        <f t="shared" si="46"/>
        <v/>
      </c>
      <c r="AJ37" s="66" t="str">
        <f t="shared" si="46"/>
        <v/>
      </c>
      <c r="AK37" s="66" t="str">
        <f t="shared" si="46"/>
        <v/>
      </c>
      <c r="AL37" s="66" t="str">
        <f t="shared" si="46"/>
        <v/>
      </c>
      <c r="AM37" s="66" t="str">
        <f t="shared" si="46"/>
        <v/>
      </c>
      <c r="AN37" s="66" t="str">
        <f t="shared" si="46"/>
        <v/>
      </c>
      <c r="AO37" s="66" t="str">
        <f t="shared" si="46"/>
        <v/>
      </c>
      <c r="AP37" s="66" t="str">
        <f t="shared" si="46"/>
        <v/>
      </c>
      <c r="AQ37" s="69" t="str">
        <f t="shared" si="46"/>
        <v/>
      </c>
      <c r="AR37" s="70"/>
      <c r="AS37" s="185"/>
      <c r="AT37" s="185"/>
      <c r="AU37" s="186"/>
      <c r="AV37" s="84" t="s">
        <v>97</v>
      </c>
      <c r="AW37" s="72" t="str">
        <f>IF(ISERROR(AVERAGE(AW5:AW35)),"",AVERAGE(AW5:AW35))</f>
        <v/>
      </c>
      <c r="AX37" s="187" t="e">
        <f>AVERAGE(AX5:AX35)</f>
        <v>#DIV/0!</v>
      </c>
      <c r="AY37" s="72" t="str">
        <f>IF(ISERROR(AVERAGE(AY5:AY35)),"",AVERAGE(AY5:AY35))</f>
        <v/>
      </c>
      <c r="AZ37" s="187" t="e">
        <f>AVERAGE(AZ5:AZ35)</f>
        <v>#DIV/0!</v>
      </c>
      <c r="BA37" s="72" t="str">
        <f>IF(ISERROR(AVERAGE(BA5:BA35)),"",AVERAGE(BA5:BA35))</f>
        <v/>
      </c>
      <c r="BB37" s="187" t="e">
        <f>AVERAGE(BB5:BB35)</f>
        <v>#DIV/0!</v>
      </c>
      <c r="BC37" s="72" t="str">
        <f>IF(ISERROR(AVERAGE(BC5:BC35)),"",AVERAGE(BC5:BC35))</f>
        <v/>
      </c>
      <c r="BD37" s="187" t="e">
        <f>AVERAGE(BD5:BD35)</f>
        <v>#DIV/0!</v>
      </c>
      <c r="BE37" s="72" t="str">
        <f>IF(ISERROR(AVERAGE(BE5:BE35)),"",AVERAGE(BE5:BE35))</f>
        <v/>
      </c>
      <c r="BF37" s="187" t="e">
        <f>AVERAGE(BF5:BF35)</f>
        <v>#DIV/0!</v>
      </c>
      <c r="BG37" s="72" t="str">
        <f>IF(ISERROR(AVERAGE(BG5:BG35)),"",AVERAGE(BG5:BG35))</f>
        <v/>
      </c>
      <c r="BH37" s="187" t="e">
        <f>AVERAGE(BH5:BH35)</f>
        <v>#DIV/0!</v>
      </c>
      <c r="BI37" s="72" t="str">
        <f>IF(ISERROR(AVERAGE(BI5:BI35)),"",AVERAGE(BI5:BI35))</f>
        <v/>
      </c>
      <c r="BJ37" s="187" t="e">
        <f>AVERAGE(BJ5:BJ35)</f>
        <v>#DIV/0!</v>
      </c>
      <c r="BK37" s="72" t="str">
        <f>IF(ISERROR(AVERAGE(BK5:BK35)),"",AVERAGE(BK5:BK35))</f>
        <v/>
      </c>
      <c r="BL37" s="187" t="e">
        <f>AVERAGE(BL5:BL35)</f>
        <v>#DIV/0!</v>
      </c>
      <c r="BM37" s="72" t="str">
        <f>IF(ISERROR(AVERAGE(BM5:BM35)),"",AVERAGE(BM5:BM35))</f>
        <v/>
      </c>
      <c r="BN37" s="187" t="e">
        <f>AVERAGE(BN5:BN35)</f>
        <v>#DIV/0!</v>
      </c>
      <c r="BO37" s="72" t="str">
        <f>IF(ISERROR(AVERAGE(BO5:BO35)),"",AVERAGE(BO5:BO35))</f>
        <v/>
      </c>
      <c r="BP37" s="187" t="e">
        <f>AVERAGE(BP5:BP35)</f>
        <v>#DIV/0!</v>
      </c>
      <c r="BQ37" s="72" t="str">
        <f>IF(ISERROR(AVERAGE(BQ5:BQ35)),"",AVERAGE(BQ5:BQ35))</f>
        <v/>
      </c>
      <c r="BR37" s="187" t="e">
        <f>AVERAGE(BR5:BR35)</f>
        <v>#DIV/0!</v>
      </c>
      <c r="BS37" s="72" t="str">
        <f>IF(ISERROR(AVERAGE(BS5:BS35)),"",AVERAGE(BS5:BS35))</f>
        <v/>
      </c>
      <c r="BT37" s="187" t="e">
        <f>AVERAGE(BT5:BT35)</f>
        <v>#DIV/0!</v>
      </c>
      <c r="BU37" s="72" t="str">
        <f>IF(ISERROR(AVERAGE(BU5:BU35)),"",AVERAGE(BU5:BU35))</f>
        <v/>
      </c>
      <c r="BV37" s="187" t="e">
        <f>AVERAGE(BV5:BV35)</f>
        <v>#DIV/0!</v>
      </c>
      <c r="BW37" s="72" t="str">
        <f>IF(ISERROR(AVERAGE(BW5:BW35)),"",AVERAGE(BW5:BW35))</f>
        <v/>
      </c>
      <c r="BX37" s="187" t="e">
        <f>AVERAGE(BX5:BX35)</f>
        <v>#DIV/0!</v>
      </c>
      <c r="BY37" s="72" t="str">
        <f>IF(ISERROR(AVERAGE(BY5:BY35)),"",AVERAGE(BY5:BY35))</f>
        <v/>
      </c>
      <c r="BZ37" s="187" t="e">
        <f>AVERAGE(BZ5:BZ35)</f>
        <v>#DIV/0!</v>
      </c>
      <c r="CA37" s="72" t="str">
        <f>IF(ISERROR(AVERAGE(CA5:CA35)),"",AVERAGE(CA5:CA35))</f>
        <v/>
      </c>
      <c r="CB37" s="187" t="e">
        <f>AVERAGE(CB5:CB35)</f>
        <v>#DIV/0!</v>
      </c>
      <c r="CC37" s="72" t="str">
        <f>IF(ISERROR(AVERAGE(CC5:CC35)),"",AVERAGE(CC5:CC35))</f>
        <v/>
      </c>
      <c r="CD37" s="187" t="e">
        <f>AVERAGE(CD5:CD35)</f>
        <v>#DIV/0!</v>
      </c>
      <c r="CE37" s="72" t="str">
        <f>IF(ISERROR(AVERAGE(CE5:CE35)),"",AVERAGE(CE5:CE35))</f>
        <v/>
      </c>
      <c r="CF37" s="187" t="e">
        <f>AVERAGE(CF5:CF35)</f>
        <v>#DIV/0!</v>
      </c>
      <c r="CG37" s="72" t="str">
        <f>IF(ISERROR(AVERAGE(CG5:CG35)),"",AVERAGE(CG5:CG35))</f>
        <v/>
      </c>
      <c r="CH37" s="187" t="e">
        <f>AVERAGE(CH5:CH35)</f>
        <v>#DIV/0!</v>
      </c>
      <c r="CI37" s="72" t="str">
        <f>IF(ISERROR(AVERAGE(CI5:CI35)),"",AVERAGE(CI5:CI35))</f>
        <v/>
      </c>
      <c r="CJ37" s="187" t="e">
        <f>AVERAGE(CJ5:CJ35)</f>
        <v>#DIV/0!</v>
      </c>
      <c r="CK37" s="72" t="str">
        <f>IF(ISERROR(AVERAGE(CK5:CK35)),"",AVERAGE(CK5:CK35))</f>
        <v/>
      </c>
      <c r="CL37" s="187" t="e">
        <f>AVERAGE(CL5:CL35)</f>
        <v>#DIV/0!</v>
      </c>
      <c r="CM37" s="72" t="str">
        <f>IF(ISERROR(AVERAGE(CM5:CM35)),"",AVERAGE(CM5:CM35))</f>
        <v/>
      </c>
      <c r="CN37" s="187" t="e">
        <f>AVERAGE(CN5:CN35)</f>
        <v>#DIV/0!</v>
      </c>
      <c r="CO37" s="72" t="str">
        <f>IF(ISERROR(AVERAGE(CO5:CO35)),"",AVERAGE(CO5:CO35))</f>
        <v/>
      </c>
      <c r="CP37" s="187" t="e">
        <f>AVERAGE(CP5:CP35)</f>
        <v>#DIV/0!</v>
      </c>
      <c r="CQ37" s="72" t="str">
        <f>IF(ISERROR(AVERAGE(CQ5:CQ35)),"",AVERAGE(CQ5:CQ35))</f>
        <v/>
      </c>
      <c r="CR37" s="187" t="e">
        <f>AVERAGE(CR5:CR35)</f>
        <v>#DIV/0!</v>
      </c>
      <c r="CS37" s="72" t="str">
        <f>IF(ISERROR(AVERAGE(CS5:CS35)),"",AVERAGE(CS5:CS35))</f>
        <v/>
      </c>
      <c r="CT37" s="188" t="e">
        <f>AVERAGE(CT5:CT35)</f>
        <v>#DIV/0!</v>
      </c>
      <c r="CU37" s="71" t="str">
        <f>IF(ISERROR(AVERAGE(CU5:CU35)),"",AVERAGE(CU5:CU35))</f>
        <v/>
      </c>
      <c r="CV37" s="88" t="str">
        <f>IF(ISERROR(AVERAGE(CV5:CV35)),"",AVERAGE(CV5:CV35))</f>
        <v/>
      </c>
      <c r="CW37" s="92"/>
      <c r="CX37" s="71" t="str">
        <f>IF(ISERROR(AVERAGE(CX5:CX35)),"",AVERAGE(CX5:CX35))</f>
        <v/>
      </c>
      <c r="CY37" s="154" t="str">
        <f>IF(ISERROR(AVERAGE(CY5:CY35)),"",AVERAGE(CY5:CY35))</f>
        <v/>
      </c>
      <c r="CZ37" s="72" t="str">
        <f>IF(ISERROR(AVERAGE(CZ5:CZ35)),"",AVERAGE(CZ5:CZ35))</f>
        <v/>
      </c>
      <c r="DA37" s="72" t="str">
        <f>IF(ISERROR(AVERAGE(DA5:DA35)),"",AVERAGE(DA5:DA35))</f>
        <v/>
      </c>
      <c r="DB37" s="98"/>
      <c r="DC37" s="99"/>
      <c r="DF37" s="126" t="e">
        <f t="shared" ref="DF37:DP37" si="47">AVERAGE(DF5:DF35)</f>
        <v>#DIV/0!</v>
      </c>
      <c r="DG37" s="127" t="e">
        <f t="shared" si="47"/>
        <v>#DIV/0!</v>
      </c>
      <c r="DH37" s="127" t="e">
        <f t="shared" si="47"/>
        <v>#DIV/0!</v>
      </c>
      <c r="DI37" s="127" t="e">
        <f t="shared" si="47"/>
        <v>#DIV/0!</v>
      </c>
      <c r="DJ37" s="127" t="e">
        <f t="shared" si="47"/>
        <v>#DIV/0!</v>
      </c>
      <c r="DK37" s="127" t="e">
        <f t="shared" si="47"/>
        <v>#DIV/0!</v>
      </c>
      <c r="DL37" s="127" t="e">
        <f t="shared" si="47"/>
        <v>#DIV/0!</v>
      </c>
      <c r="DM37" s="127" t="e">
        <f t="shared" si="47"/>
        <v>#DIV/0!</v>
      </c>
      <c r="DN37" s="127" t="e">
        <f t="shared" si="47"/>
        <v>#DIV/0!</v>
      </c>
      <c r="DO37" s="127" t="e">
        <f t="shared" si="47"/>
        <v>#DIV/0!</v>
      </c>
      <c r="DP37" s="127">
        <f t="shared" si="47"/>
        <v>0</v>
      </c>
      <c r="DQ37" s="188"/>
      <c r="DS37" s="198" t="s">
        <v>99</v>
      </c>
      <c r="DT37" s="199"/>
      <c r="DU37" s="199"/>
      <c r="DV37" s="199"/>
      <c r="DW37" s="199"/>
      <c r="DX37" s="199"/>
    </row>
    <row r="38" spans="1:128" ht="19.149999999999999" customHeight="1" thickTop="1" thickBot="1" x14ac:dyDescent="0.45">
      <c r="DS38" s="198" t="s">
        <v>100</v>
      </c>
      <c r="DT38" s="199"/>
      <c r="DU38" s="199"/>
      <c r="DV38" s="199"/>
      <c r="DW38" s="199"/>
      <c r="DX38" s="199"/>
    </row>
    <row r="39" spans="1:128" ht="18.75" customHeight="1" thickTop="1" x14ac:dyDescent="0.4">
      <c r="E39" s="196" t="s">
        <v>101</v>
      </c>
      <c r="F39" s="197"/>
      <c r="H39" s="137" t="s">
        <v>12</v>
      </c>
      <c r="T39" s="200" t="s">
        <v>102</v>
      </c>
      <c r="U39" s="197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 spans="1:128" ht="18.75" customHeight="1" thickBot="1" x14ac:dyDescent="0.45">
      <c r="E40" s="133" t="s">
        <v>95</v>
      </c>
      <c r="F40" s="135" t="e">
        <f>(令和8年10月!G35-令和8年10月!G19)+令和8年11月!G19</f>
        <v>#VALUE!</v>
      </c>
      <c r="H40" s="142" t="str">
        <f>IF(ISERROR(F40/U40),"",(F40/U40))</f>
        <v/>
      </c>
      <c r="I40" s="146"/>
      <c r="T40" s="133" t="s">
        <v>95</v>
      </c>
      <c r="U40" s="135">
        <f>(令和8年10月!V35-令和8年10月!V19)+令和8年11月!V19</f>
        <v>11598922</v>
      </c>
    </row>
    <row r="41" spans="1:128" ht="18.75" customHeight="1" thickTop="1" thickBot="1" x14ac:dyDescent="0.45">
      <c r="E41" s="134" t="s">
        <v>97</v>
      </c>
      <c r="F41" s="136" t="e">
        <f>F40/31</f>
        <v>#VALUE!</v>
      </c>
      <c r="T41" s="134" t="s">
        <v>97</v>
      </c>
      <c r="U41" s="136">
        <f>U40/31</f>
        <v>374158.77419354836</v>
      </c>
    </row>
    <row r="42" spans="1:128" ht="13.9" customHeight="1" thickTop="1" x14ac:dyDescent="0.4"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</row>
  </sheetData>
  <mergeCells count="44">
    <mergeCell ref="DS21:DV21"/>
    <mergeCell ref="DS31:DV31"/>
    <mergeCell ref="DS38:DX38"/>
    <mergeCell ref="DS35:DV35"/>
    <mergeCell ref="AB37:AC37"/>
    <mergeCell ref="DS37:DX37"/>
    <mergeCell ref="DS5:DV5"/>
    <mergeCell ref="G1:G2"/>
    <mergeCell ref="DS11:DV11"/>
    <mergeCell ref="AX1:BC2"/>
    <mergeCell ref="DS14:DV14"/>
    <mergeCell ref="DS12:DV12"/>
    <mergeCell ref="E39:F39"/>
    <mergeCell ref="DS8:DV8"/>
    <mergeCell ref="DS27:DV27"/>
    <mergeCell ref="DS29:DV29"/>
    <mergeCell ref="DS19:DV19"/>
    <mergeCell ref="DS10:DV10"/>
    <mergeCell ref="DS13:DV13"/>
    <mergeCell ref="DS9:DV9"/>
    <mergeCell ref="DS34:DV34"/>
    <mergeCell ref="DS28:DV28"/>
    <mergeCell ref="DS24:DV24"/>
    <mergeCell ref="DS15:DV15"/>
    <mergeCell ref="DS23:DV23"/>
    <mergeCell ref="DS17:DV17"/>
    <mergeCell ref="DS36:DX36"/>
    <mergeCell ref="T39:U39"/>
    <mergeCell ref="A1:E2"/>
    <mergeCell ref="DS30:DV30"/>
    <mergeCell ref="DS33:DV33"/>
    <mergeCell ref="DS4:DV4"/>
    <mergeCell ref="DS20:DV20"/>
    <mergeCell ref="DS16:DV16"/>
    <mergeCell ref="DS7:DV7"/>
    <mergeCell ref="DS25:DV25"/>
    <mergeCell ref="DS32:DV32"/>
    <mergeCell ref="DS26:DV26"/>
    <mergeCell ref="DS22:DV22"/>
    <mergeCell ref="F1:F2"/>
    <mergeCell ref="DS18:DV18"/>
    <mergeCell ref="H1:K2"/>
    <mergeCell ref="M1:M2"/>
    <mergeCell ref="DS6:DV6"/>
  </mergeCells>
  <phoneticPr fontId="3"/>
  <conditionalFormatting sqref="B5:D35">
    <cfRule type="expression" dxfId="253" priority="42" stopIfTrue="1">
      <formula>(B5)="土"</formula>
    </cfRule>
    <cfRule type="expression" dxfId="252" priority="43" stopIfTrue="1">
      <formula>(B5)="日"</formula>
    </cfRule>
  </conditionalFormatting>
  <conditionalFormatting sqref="R5:S35">
    <cfRule type="expression" dxfId="251" priority="1" stopIfTrue="1">
      <formula>(R5)="土"</formula>
    </cfRule>
    <cfRule type="expression" dxfId="250" priority="2" stopIfTrue="1">
      <formula>(R5)="日"</formula>
    </cfRule>
  </conditionalFormatting>
  <conditionalFormatting sqref="AX5:AX34">
    <cfRule type="cellIs" dxfId="249" priority="31" operator="equal">
      <formula>0</formula>
    </cfRule>
  </conditionalFormatting>
  <conditionalFormatting sqref="AZ5:AZ34">
    <cfRule type="cellIs" dxfId="248" priority="30" operator="equal">
      <formula>0</formula>
    </cfRule>
  </conditionalFormatting>
  <conditionalFormatting sqref="BB5:BB34">
    <cfRule type="cellIs" dxfId="247" priority="29" operator="equal">
      <formula>0</formula>
    </cfRule>
  </conditionalFormatting>
  <conditionalFormatting sqref="BD5:BD34">
    <cfRule type="cellIs" dxfId="246" priority="28" operator="equal">
      <formula>0</formula>
    </cfRule>
  </conditionalFormatting>
  <conditionalFormatting sqref="BF5:BF34">
    <cfRule type="cellIs" dxfId="245" priority="27" operator="equal">
      <formula>0</formula>
    </cfRule>
  </conditionalFormatting>
  <conditionalFormatting sqref="BH5:BH34">
    <cfRule type="cellIs" dxfId="244" priority="26" operator="equal">
      <formula>0</formula>
    </cfRule>
  </conditionalFormatting>
  <conditionalFormatting sqref="BJ5:BJ34">
    <cfRule type="cellIs" dxfId="243" priority="25" operator="equal">
      <formula>0</formula>
    </cfRule>
  </conditionalFormatting>
  <conditionalFormatting sqref="BL5:BL34">
    <cfRule type="cellIs" dxfId="242" priority="24" operator="equal">
      <formula>0</formula>
    </cfRule>
  </conditionalFormatting>
  <conditionalFormatting sqref="BN5:BN34">
    <cfRule type="cellIs" dxfId="241" priority="23" operator="equal">
      <formula>0</formula>
    </cfRule>
  </conditionalFormatting>
  <conditionalFormatting sqref="BP5:BP34">
    <cfRule type="cellIs" dxfId="240" priority="22" operator="equal">
      <formula>0</formula>
    </cfRule>
  </conditionalFormatting>
  <conditionalFormatting sqref="BR5:BR34">
    <cfRule type="cellIs" dxfId="239" priority="21" operator="equal">
      <formula>0</formula>
    </cfRule>
  </conditionalFormatting>
  <conditionalFormatting sqref="BT5:BT34">
    <cfRule type="cellIs" dxfId="238" priority="20" operator="equal">
      <formula>0</formula>
    </cfRule>
  </conditionalFormatting>
  <conditionalFormatting sqref="BV5:BV34">
    <cfRule type="cellIs" dxfId="237" priority="19" operator="equal">
      <formula>0</formula>
    </cfRule>
  </conditionalFormatting>
  <conditionalFormatting sqref="BX5:BX34">
    <cfRule type="cellIs" dxfId="236" priority="18" operator="equal">
      <formula>0</formula>
    </cfRule>
  </conditionalFormatting>
  <conditionalFormatting sqref="BZ5:BZ34">
    <cfRule type="cellIs" dxfId="235" priority="17" operator="equal">
      <formula>0</formula>
    </cfRule>
  </conditionalFormatting>
  <conditionalFormatting sqref="CB5:CB34">
    <cfRule type="cellIs" dxfId="234" priority="16" operator="equal">
      <formula>0</formula>
    </cfRule>
  </conditionalFormatting>
  <conditionalFormatting sqref="CD5:CD34">
    <cfRule type="cellIs" dxfId="233" priority="15" operator="equal">
      <formula>0</formula>
    </cfRule>
  </conditionalFormatting>
  <conditionalFormatting sqref="CF5:CF34">
    <cfRule type="cellIs" dxfId="232" priority="14" operator="equal">
      <formula>0</formula>
    </cfRule>
  </conditionalFormatting>
  <conditionalFormatting sqref="CH5:CH34">
    <cfRule type="cellIs" dxfId="231" priority="13" operator="equal">
      <formula>0</formula>
    </cfRule>
  </conditionalFormatting>
  <conditionalFormatting sqref="CJ5:CJ34">
    <cfRule type="cellIs" dxfId="230" priority="12" operator="equal">
      <formula>0</formula>
    </cfRule>
  </conditionalFormatting>
  <conditionalFormatting sqref="CL5:CL34">
    <cfRule type="cellIs" dxfId="229" priority="11" operator="equal">
      <formula>0</formula>
    </cfRule>
  </conditionalFormatting>
  <conditionalFormatting sqref="CN5:CN34">
    <cfRule type="cellIs" dxfId="228" priority="10" operator="equal">
      <formula>0</formula>
    </cfRule>
  </conditionalFormatting>
  <conditionalFormatting sqref="CP5:CP34">
    <cfRule type="cellIs" dxfId="227" priority="9" operator="equal">
      <formula>0</formula>
    </cfRule>
  </conditionalFormatting>
  <conditionalFormatting sqref="CR5:CR34">
    <cfRule type="cellIs" dxfId="226" priority="8" operator="equal">
      <formula>0</formula>
    </cfRule>
  </conditionalFormatting>
  <conditionalFormatting sqref="CT5:CT34">
    <cfRule type="cellIs" dxfId="225" priority="7" operator="equal">
      <formula>0</formula>
    </cfRule>
  </conditionalFormatting>
  <conditionalFormatting sqref="DC5:DC36">
    <cfRule type="expression" dxfId="224" priority="3" stopIfTrue="1">
      <formula>(DC5)="土"</formula>
    </cfRule>
    <cfRule type="expression" dxfId="223" priority="4" stopIfTrue="1">
      <formula>(DC5)="日"</formula>
    </cfRule>
  </conditionalFormatting>
  <pageMargins left="0.12" right="0.18" top="0.75" bottom="0.75" header="0.3" footer="0.3"/>
  <pageSetup paperSize="9" orientation="landscape" horizontalDpi="429496729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B42"/>
  <sheetViews>
    <sheetView topLeftCell="CZ1" zoomScale="78" zoomScaleNormal="100" workbookViewId="0">
      <pane ySplit="4" topLeftCell="A5" activePane="bottomLeft" state="frozen"/>
      <selection pane="bottomLeft" activeCell="DD4" sqref="DD4"/>
    </sheetView>
  </sheetViews>
  <sheetFormatPr defaultRowHeight="13.5" x14ac:dyDescent="0.4"/>
  <cols>
    <col min="1" max="4" width="3.125" style="5" customWidth="1"/>
    <col min="5" max="5" width="5.625" style="5" customWidth="1"/>
    <col min="6" max="6" width="10.625" style="73" customWidth="1"/>
    <col min="7" max="7" width="12.5" style="73" customWidth="1"/>
    <col min="8" max="10" width="8.625" style="2" customWidth="1"/>
    <col min="11" max="11" width="5.625" style="2" customWidth="1"/>
    <col min="12" max="12" width="4.625" style="2" customWidth="1"/>
    <col min="13" max="13" width="5.625" style="2" customWidth="1"/>
    <col min="14" max="17" width="4.625" style="2" customWidth="1"/>
    <col min="18" max="19" width="3.125" style="5" customWidth="1"/>
    <col min="20" max="20" width="5.625" style="5" customWidth="1"/>
    <col min="21" max="21" width="7.625" style="73" customWidth="1"/>
    <col min="22" max="22" width="8.625" style="73" customWidth="1"/>
    <col min="23" max="24" width="5.625" style="2" customWidth="1"/>
    <col min="25" max="25" width="6.625" style="2" customWidth="1"/>
    <col min="26" max="26" width="9.875" style="2" customWidth="1"/>
    <col min="27" max="38" width="8.625" style="73" customWidth="1"/>
    <col min="39" max="43" width="8.625" style="73" hidden="1" customWidth="1"/>
    <col min="44" max="44" width="12.5" style="2" customWidth="1"/>
    <col min="45" max="45" width="6.75" style="2" customWidth="1"/>
    <col min="46" max="46" width="12.625" style="2" customWidth="1"/>
    <col min="47" max="47" width="8.625" style="161" customWidth="1"/>
    <col min="48" max="48" width="5.5" style="2" bestFit="1" customWidth="1"/>
    <col min="49" max="98" width="6.75" style="2" customWidth="1"/>
    <col min="99" max="100" width="8.625" style="2" customWidth="1"/>
    <col min="101" max="101" width="2.875" style="2" customWidth="1"/>
    <col min="102" max="102" width="10.625" style="2" customWidth="1"/>
    <col min="103" max="103" width="6.625" style="2" customWidth="1"/>
    <col min="104" max="104" width="10.625" style="2" customWidth="1"/>
    <col min="105" max="105" width="6.625" style="2" customWidth="1"/>
    <col min="106" max="107" width="3.125" style="5" customWidth="1"/>
    <col min="108" max="108" width="1.125" style="2" customWidth="1"/>
    <col min="109" max="109" width="2.375" style="2" customWidth="1"/>
    <col min="110" max="120" width="7.625" style="6" hidden="1" customWidth="1"/>
    <col min="121" max="121" width="6.75" style="2" hidden="1" customWidth="1"/>
    <col min="122" max="122" width="8.75" style="2" customWidth="1"/>
    <col min="123" max="126" width="8.625" style="2" customWidth="1"/>
    <col min="127" max="127" width="12.625" style="2" customWidth="1"/>
    <col min="128" max="128" width="8.625" style="2" customWidth="1"/>
    <col min="129" max="303" width="9" style="2" customWidth="1"/>
    <col min="304" max="305" width="3.125" style="2" customWidth="1"/>
    <col min="306" max="306" width="5.875" style="2" bestFit="1" customWidth="1"/>
    <col min="307" max="307" width="5.625" style="2" customWidth="1"/>
    <col min="308" max="308" width="10.625" style="2" customWidth="1"/>
    <col min="309" max="309" width="12.625" style="2" customWidth="1"/>
    <col min="310" max="310" width="8.625" style="2" customWidth="1"/>
    <col min="311" max="311" width="5.625" style="2" customWidth="1"/>
    <col min="312" max="312" width="4.625" style="2" customWidth="1"/>
    <col min="313" max="313" width="5.625" style="2" customWidth="1"/>
    <col min="314" max="317" width="4.625" style="2" customWidth="1"/>
    <col min="318" max="318" width="7.625" style="2" customWidth="1"/>
    <col min="319" max="319" width="8.625" style="2" customWidth="1"/>
    <col min="320" max="321" width="5.625" style="2" customWidth="1"/>
    <col min="322" max="322" width="6.625" style="2" customWidth="1"/>
    <col min="323" max="323" width="9.875" style="2" customWidth="1"/>
    <col min="324" max="325" width="8.625" style="2" customWidth="1"/>
    <col min="326" max="326" width="5.5" style="2" bestFit="1" customWidth="1"/>
    <col min="327" max="368" width="6.75" style="2" customWidth="1"/>
    <col min="369" max="369" width="9" style="2" customWidth="1"/>
    <col min="370" max="370" width="9.875" style="2" customWidth="1"/>
    <col min="371" max="371" width="2.875" style="2" customWidth="1"/>
    <col min="372" max="372" width="12.25" style="2" customWidth="1"/>
    <col min="373" max="373" width="6.375" style="2" customWidth="1"/>
    <col min="374" max="375" width="3.125" style="2" customWidth="1"/>
    <col min="376" max="376" width="1.125" style="2" customWidth="1"/>
    <col min="377" max="377" width="9" style="2" customWidth="1"/>
    <col min="378" max="378" width="2.375" style="2" customWidth="1"/>
    <col min="379" max="396" width="7.625" style="2" customWidth="1"/>
    <col min="397" max="559" width="9" style="2" customWidth="1"/>
    <col min="560" max="561" width="3.125" style="2" customWidth="1"/>
    <col min="562" max="562" width="5.875" style="2" bestFit="1" customWidth="1"/>
    <col min="563" max="563" width="5.625" style="2" customWidth="1"/>
    <col min="564" max="564" width="10.625" style="2" customWidth="1"/>
    <col min="565" max="565" width="12.625" style="2" customWidth="1"/>
    <col min="566" max="566" width="8.625" style="2" customWidth="1"/>
    <col min="567" max="567" width="5.625" style="2" customWidth="1"/>
    <col min="568" max="568" width="4.625" style="2" customWidth="1"/>
    <col min="569" max="569" width="5.625" style="2" customWidth="1"/>
    <col min="570" max="573" width="4.625" style="2" customWidth="1"/>
    <col min="574" max="574" width="7.625" style="2" customWidth="1"/>
    <col min="575" max="575" width="8.625" style="2" customWidth="1"/>
    <col min="576" max="577" width="5.625" style="2" customWidth="1"/>
    <col min="578" max="578" width="6.625" style="2" customWidth="1"/>
    <col min="579" max="579" width="9.875" style="2" customWidth="1"/>
    <col min="580" max="581" width="8.625" style="2" customWidth="1"/>
    <col min="582" max="582" width="5.5" style="2" bestFit="1" customWidth="1"/>
    <col min="583" max="624" width="6.75" style="2" customWidth="1"/>
    <col min="625" max="625" width="9" style="2" customWidth="1"/>
    <col min="626" max="626" width="9.875" style="2" customWidth="1"/>
    <col min="627" max="627" width="2.875" style="2" customWidth="1"/>
    <col min="628" max="628" width="12.25" style="2" customWidth="1"/>
    <col min="629" max="629" width="6.375" style="2" customWidth="1"/>
    <col min="630" max="631" width="3.125" style="2" customWidth="1"/>
    <col min="632" max="632" width="1.125" style="2" customWidth="1"/>
    <col min="633" max="633" width="9" style="2" customWidth="1"/>
    <col min="634" max="634" width="2.375" style="2" customWidth="1"/>
    <col min="635" max="652" width="7.625" style="2" customWidth="1"/>
    <col min="653" max="815" width="9" style="2" customWidth="1"/>
    <col min="816" max="817" width="3.125" style="2" customWidth="1"/>
    <col min="818" max="818" width="5.875" style="2" bestFit="1" customWidth="1"/>
    <col min="819" max="819" width="5.625" style="2" customWidth="1"/>
    <col min="820" max="820" width="10.625" style="2" customWidth="1"/>
    <col min="821" max="821" width="12.625" style="2" customWidth="1"/>
    <col min="822" max="822" width="8.625" style="2" customWidth="1"/>
    <col min="823" max="823" width="5.625" style="2" customWidth="1"/>
    <col min="824" max="824" width="4.625" style="2" customWidth="1"/>
    <col min="825" max="825" width="5.625" style="2" customWidth="1"/>
    <col min="826" max="829" width="4.625" style="2" customWidth="1"/>
    <col min="830" max="830" width="7.625" style="2" customWidth="1"/>
    <col min="831" max="831" width="8.625" style="2" customWidth="1"/>
    <col min="832" max="833" width="5.625" style="2" customWidth="1"/>
    <col min="834" max="834" width="6.625" style="2" customWidth="1"/>
    <col min="835" max="835" width="9.875" style="2" customWidth="1"/>
    <col min="836" max="837" width="8.625" style="2" customWidth="1"/>
    <col min="838" max="838" width="5.5" style="2" bestFit="1" customWidth="1"/>
    <col min="839" max="880" width="6.75" style="2" customWidth="1"/>
    <col min="881" max="881" width="9" style="2" customWidth="1"/>
    <col min="882" max="882" width="9.875" style="2" customWidth="1"/>
    <col min="883" max="883" width="2.875" style="2" customWidth="1"/>
    <col min="884" max="884" width="12.25" style="2" customWidth="1"/>
    <col min="885" max="885" width="6.375" style="2" customWidth="1"/>
    <col min="886" max="887" width="3.125" style="2" customWidth="1"/>
    <col min="888" max="888" width="1.125" style="2" customWidth="1"/>
    <col min="889" max="889" width="9" style="2" customWidth="1"/>
    <col min="890" max="890" width="2.375" style="2" customWidth="1"/>
    <col min="891" max="908" width="7.625" style="2" customWidth="1"/>
    <col min="909" max="1071" width="9" style="2" customWidth="1"/>
    <col min="1072" max="1073" width="3.125" style="2" customWidth="1"/>
    <col min="1074" max="1074" width="5.875" style="2" bestFit="1" customWidth="1"/>
    <col min="1075" max="1075" width="5.625" style="2" customWidth="1"/>
    <col min="1076" max="1076" width="10.625" style="2" customWidth="1"/>
    <col min="1077" max="1077" width="12.625" style="2" customWidth="1"/>
    <col min="1078" max="1078" width="8.625" style="2" customWidth="1"/>
    <col min="1079" max="1079" width="5.625" style="2" customWidth="1"/>
    <col min="1080" max="1080" width="4.625" style="2" customWidth="1"/>
    <col min="1081" max="1081" width="5.625" style="2" customWidth="1"/>
    <col min="1082" max="1085" width="4.625" style="2" customWidth="1"/>
    <col min="1086" max="1086" width="7.625" style="2" customWidth="1"/>
    <col min="1087" max="1087" width="8.625" style="2" customWidth="1"/>
    <col min="1088" max="1089" width="5.625" style="2" customWidth="1"/>
    <col min="1090" max="1090" width="6.625" style="2" customWidth="1"/>
    <col min="1091" max="1091" width="9.875" style="2" customWidth="1"/>
    <col min="1092" max="1093" width="8.625" style="2" customWidth="1"/>
    <col min="1094" max="1094" width="5.5" style="2" bestFit="1" customWidth="1"/>
    <col min="1095" max="1136" width="6.75" style="2" customWidth="1"/>
    <col min="1137" max="1137" width="9" style="2" customWidth="1"/>
    <col min="1138" max="1138" width="9.875" style="2" customWidth="1"/>
    <col min="1139" max="1139" width="2.875" style="2" customWidth="1"/>
    <col min="1140" max="1140" width="12.25" style="2" customWidth="1"/>
    <col min="1141" max="1141" width="6.375" style="2" customWidth="1"/>
    <col min="1142" max="1143" width="3.125" style="2" customWidth="1"/>
    <col min="1144" max="1144" width="1.125" style="2" customWidth="1"/>
    <col min="1145" max="1145" width="9" style="2" customWidth="1"/>
    <col min="1146" max="1146" width="2.375" style="2" customWidth="1"/>
    <col min="1147" max="1164" width="7.625" style="2" customWidth="1"/>
    <col min="1165" max="1327" width="9" style="2" customWidth="1"/>
    <col min="1328" max="1329" width="3.125" style="2" customWidth="1"/>
    <col min="1330" max="1330" width="5.875" style="2" bestFit="1" customWidth="1"/>
    <col min="1331" max="1331" width="5.625" style="2" customWidth="1"/>
    <col min="1332" max="1332" width="10.625" style="2" customWidth="1"/>
    <col min="1333" max="1333" width="12.625" style="2" customWidth="1"/>
    <col min="1334" max="1334" width="8.625" style="2" customWidth="1"/>
    <col min="1335" max="1335" width="5.625" style="2" customWidth="1"/>
    <col min="1336" max="1336" width="4.625" style="2" customWidth="1"/>
    <col min="1337" max="1337" width="5.625" style="2" customWidth="1"/>
    <col min="1338" max="1341" width="4.625" style="2" customWidth="1"/>
    <col min="1342" max="1342" width="7.625" style="2" customWidth="1"/>
    <col min="1343" max="1343" width="8.625" style="2" customWidth="1"/>
    <col min="1344" max="1345" width="5.625" style="2" customWidth="1"/>
    <col min="1346" max="1346" width="6.625" style="2" customWidth="1"/>
    <col min="1347" max="1347" width="9.875" style="2" customWidth="1"/>
    <col min="1348" max="1349" width="8.625" style="2" customWidth="1"/>
    <col min="1350" max="1350" width="5.5" style="2" bestFit="1" customWidth="1"/>
    <col min="1351" max="1392" width="6.75" style="2" customWidth="1"/>
    <col min="1393" max="1393" width="9" style="2" customWidth="1"/>
    <col min="1394" max="1394" width="9.875" style="2" customWidth="1"/>
    <col min="1395" max="1395" width="2.875" style="2" customWidth="1"/>
    <col min="1396" max="1396" width="12.25" style="2" customWidth="1"/>
    <col min="1397" max="1397" width="6.375" style="2" customWidth="1"/>
    <col min="1398" max="1399" width="3.125" style="2" customWidth="1"/>
    <col min="1400" max="1400" width="1.125" style="2" customWidth="1"/>
    <col min="1401" max="1401" width="9" style="2" customWidth="1"/>
    <col min="1402" max="1402" width="2.375" style="2" customWidth="1"/>
    <col min="1403" max="1420" width="7.625" style="2" customWidth="1"/>
    <col min="1421" max="1583" width="9" style="2" customWidth="1"/>
    <col min="1584" max="1585" width="3.125" style="2" customWidth="1"/>
    <col min="1586" max="1586" width="5.875" style="2" bestFit="1" customWidth="1"/>
    <col min="1587" max="1587" width="5.625" style="2" customWidth="1"/>
    <col min="1588" max="1588" width="10.625" style="2" customWidth="1"/>
    <col min="1589" max="1589" width="12.625" style="2" customWidth="1"/>
    <col min="1590" max="1590" width="8.625" style="2" customWidth="1"/>
    <col min="1591" max="1591" width="5.625" style="2" customWidth="1"/>
    <col min="1592" max="1592" width="4.625" style="2" customWidth="1"/>
    <col min="1593" max="1593" width="5.625" style="2" customWidth="1"/>
    <col min="1594" max="1597" width="4.625" style="2" customWidth="1"/>
    <col min="1598" max="1598" width="7.625" style="2" customWidth="1"/>
    <col min="1599" max="1599" width="8.625" style="2" customWidth="1"/>
    <col min="1600" max="1601" width="5.625" style="2" customWidth="1"/>
    <col min="1602" max="1602" width="6.625" style="2" customWidth="1"/>
    <col min="1603" max="1603" width="9.875" style="2" customWidth="1"/>
    <col min="1604" max="1605" width="8.625" style="2" customWidth="1"/>
    <col min="1606" max="1606" width="5.5" style="2" bestFit="1" customWidth="1"/>
    <col min="1607" max="1648" width="6.75" style="2" customWidth="1"/>
    <col min="1649" max="1649" width="9" style="2" customWidth="1"/>
    <col min="1650" max="1650" width="9.875" style="2" customWidth="1"/>
    <col min="1651" max="1651" width="2.875" style="2" customWidth="1"/>
    <col min="1652" max="1652" width="12.25" style="2" customWidth="1"/>
    <col min="1653" max="1653" width="6.375" style="2" customWidth="1"/>
    <col min="1654" max="1655" width="3.125" style="2" customWidth="1"/>
    <col min="1656" max="1656" width="1.125" style="2" customWidth="1"/>
    <col min="1657" max="1657" width="9" style="2" customWidth="1"/>
    <col min="1658" max="1658" width="2.375" style="2" customWidth="1"/>
    <col min="1659" max="1676" width="7.625" style="2" customWidth="1"/>
    <col min="1677" max="1839" width="9" style="2" customWidth="1"/>
    <col min="1840" max="1841" width="3.125" style="2" customWidth="1"/>
    <col min="1842" max="1842" width="5.875" style="2" bestFit="1" customWidth="1"/>
    <col min="1843" max="1843" width="5.625" style="2" customWidth="1"/>
    <col min="1844" max="1844" width="10.625" style="2" customWidth="1"/>
    <col min="1845" max="1845" width="12.625" style="2" customWidth="1"/>
    <col min="1846" max="1846" width="8.625" style="2" customWidth="1"/>
    <col min="1847" max="1847" width="5.625" style="2" customWidth="1"/>
    <col min="1848" max="1848" width="4.625" style="2" customWidth="1"/>
    <col min="1849" max="1849" width="5.625" style="2" customWidth="1"/>
    <col min="1850" max="1853" width="4.625" style="2" customWidth="1"/>
    <col min="1854" max="1854" width="7.625" style="2" customWidth="1"/>
    <col min="1855" max="1855" width="8.625" style="2" customWidth="1"/>
    <col min="1856" max="1857" width="5.625" style="2" customWidth="1"/>
    <col min="1858" max="1858" width="6.625" style="2" customWidth="1"/>
    <col min="1859" max="1859" width="9.875" style="2" customWidth="1"/>
    <col min="1860" max="1861" width="8.625" style="2" customWidth="1"/>
    <col min="1862" max="1862" width="5.5" style="2" bestFit="1" customWidth="1"/>
    <col min="1863" max="1904" width="6.75" style="2" customWidth="1"/>
    <col min="1905" max="1905" width="9" style="2" customWidth="1"/>
    <col min="1906" max="1906" width="9.875" style="2" customWidth="1"/>
    <col min="1907" max="1907" width="2.875" style="2" customWidth="1"/>
    <col min="1908" max="1908" width="12.25" style="2" customWidth="1"/>
    <col min="1909" max="1909" width="6.375" style="2" customWidth="1"/>
    <col min="1910" max="1911" width="3.125" style="2" customWidth="1"/>
    <col min="1912" max="1912" width="1.125" style="2" customWidth="1"/>
    <col min="1913" max="1913" width="9" style="2" customWidth="1"/>
    <col min="1914" max="1914" width="2.375" style="2" customWidth="1"/>
    <col min="1915" max="1932" width="7.625" style="2" customWidth="1"/>
    <col min="1933" max="2095" width="9" style="2" customWidth="1"/>
    <col min="2096" max="2097" width="3.125" style="2" customWidth="1"/>
    <col min="2098" max="2098" width="5.875" style="2" bestFit="1" customWidth="1"/>
    <col min="2099" max="2099" width="5.625" style="2" customWidth="1"/>
    <col min="2100" max="2100" width="10.625" style="2" customWidth="1"/>
    <col min="2101" max="2101" width="12.625" style="2" customWidth="1"/>
    <col min="2102" max="2102" width="8.625" style="2" customWidth="1"/>
    <col min="2103" max="2103" width="5.625" style="2" customWidth="1"/>
    <col min="2104" max="2104" width="4.625" style="2" customWidth="1"/>
    <col min="2105" max="2105" width="5.625" style="2" customWidth="1"/>
    <col min="2106" max="2109" width="4.625" style="2" customWidth="1"/>
    <col min="2110" max="2110" width="7.625" style="2" customWidth="1"/>
    <col min="2111" max="2111" width="8.625" style="2" customWidth="1"/>
    <col min="2112" max="2113" width="5.625" style="2" customWidth="1"/>
    <col min="2114" max="2114" width="6.625" style="2" customWidth="1"/>
    <col min="2115" max="2115" width="9.875" style="2" customWidth="1"/>
    <col min="2116" max="2117" width="8.625" style="2" customWidth="1"/>
    <col min="2118" max="2118" width="5.5" style="2" bestFit="1" customWidth="1"/>
    <col min="2119" max="2160" width="6.75" style="2" customWidth="1"/>
    <col min="2161" max="2161" width="9" style="2" customWidth="1"/>
    <col min="2162" max="2162" width="9.875" style="2" customWidth="1"/>
    <col min="2163" max="2163" width="2.875" style="2" customWidth="1"/>
    <col min="2164" max="2164" width="12.25" style="2" customWidth="1"/>
    <col min="2165" max="2165" width="6.375" style="2" customWidth="1"/>
    <col min="2166" max="2167" width="3.125" style="2" customWidth="1"/>
    <col min="2168" max="2168" width="1.125" style="2" customWidth="1"/>
    <col min="2169" max="2169" width="9" style="2" customWidth="1"/>
    <col min="2170" max="2170" width="2.375" style="2" customWidth="1"/>
    <col min="2171" max="2188" width="7.625" style="2" customWidth="1"/>
    <col min="2189" max="2351" width="9" style="2" customWidth="1"/>
    <col min="2352" max="2353" width="3.125" style="2" customWidth="1"/>
    <col min="2354" max="2354" width="5.875" style="2" bestFit="1" customWidth="1"/>
    <col min="2355" max="2355" width="5.625" style="2" customWidth="1"/>
    <col min="2356" max="2356" width="10.625" style="2" customWidth="1"/>
    <col min="2357" max="2357" width="12.625" style="2" customWidth="1"/>
    <col min="2358" max="2358" width="8.625" style="2" customWidth="1"/>
    <col min="2359" max="2359" width="5.625" style="2" customWidth="1"/>
    <col min="2360" max="2360" width="4.625" style="2" customWidth="1"/>
    <col min="2361" max="2361" width="5.625" style="2" customWidth="1"/>
    <col min="2362" max="2365" width="4.625" style="2" customWidth="1"/>
    <col min="2366" max="2366" width="7.625" style="2" customWidth="1"/>
    <col min="2367" max="2367" width="8.625" style="2" customWidth="1"/>
    <col min="2368" max="2369" width="5.625" style="2" customWidth="1"/>
    <col min="2370" max="2370" width="6.625" style="2" customWidth="1"/>
    <col min="2371" max="2371" width="9.875" style="2" customWidth="1"/>
    <col min="2372" max="2373" width="8.625" style="2" customWidth="1"/>
    <col min="2374" max="2374" width="5.5" style="2" bestFit="1" customWidth="1"/>
    <col min="2375" max="2416" width="6.75" style="2" customWidth="1"/>
    <col min="2417" max="2417" width="9" style="2" customWidth="1"/>
    <col min="2418" max="2418" width="9.875" style="2" customWidth="1"/>
    <col min="2419" max="2419" width="2.875" style="2" customWidth="1"/>
    <col min="2420" max="2420" width="12.25" style="2" customWidth="1"/>
    <col min="2421" max="2421" width="6.375" style="2" customWidth="1"/>
    <col min="2422" max="2423" width="3.125" style="2" customWidth="1"/>
    <col min="2424" max="2424" width="1.125" style="2" customWidth="1"/>
    <col min="2425" max="2425" width="9" style="2" customWidth="1"/>
    <col min="2426" max="2426" width="2.375" style="2" customWidth="1"/>
    <col min="2427" max="2444" width="7.625" style="2" customWidth="1"/>
    <col min="2445" max="2607" width="9" style="2" customWidth="1"/>
    <col min="2608" max="2609" width="3.125" style="2" customWidth="1"/>
    <col min="2610" max="2610" width="5.875" style="2" bestFit="1" customWidth="1"/>
    <col min="2611" max="2611" width="5.625" style="2" customWidth="1"/>
    <col min="2612" max="2612" width="10.625" style="2" customWidth="1"/>
    <col min="2613" max="2613" width="12.625" style="2" customWidth="1"/>
    <col min="2614" max="2614" width="8.625" style="2" customWidth="1"/>
    <col min="2615" max="2615" width="5.625" style="2" customWidth="1"/>
    <col min="2616" max="2616" width="4.625" style="2" customWidth="1"/>
    <col min="2617" max="2617" width="5.625" style="2" customWidth="1"/>
    <col min="2618" max="2621" width="4.625" style="2" customWidth="1"/>
    <col min="2622" max="2622" width="7.625" style="2" customWidth="1"/>
    <col min="2623" max="2623" width="8.625" style="2" customWidth="1"/>
    <col min="2624" max="2625" width="5.625" style="2" customWidth="1"/>
    <col min="2626" max="2626" width="6.625" style="2" customWidth="1"/>
    <col min="2627" max="2627" width="9.875" style="2" customWidth="1"/>
    <col min="2628" max="2629" width="8.625" style="2" customWidth="1"/>
    <col min="2630" max="2630" width="5.5" style="2" bestFit="1" customWidth="1"/>
    <col min="2631" max="2672" width="6.75" style="2" customWidth="1"/>
    <col min="2673" max="2673" width="9" style="2" customWidth="1"/>
    <col min="2674" max="2674" width="9.875" style="2" customWidth="1"/>
    <col min="2675" max="2675" width="2.875" style="2" customWidth="1"/>
    <col min="2676" max="2676" width="12.25" style="2" customWidth="1"/>
    <col min="2677" max="2677" width="6.375" style="2" customWidth="1"/>
    <col min="2678" max="2679" width="3.125" style="2" customWidth="1"/>
    <col min="2680" max="2680" width="1.125" style="2" customWidth="1"/>
    <col min="2681" max="2681" width="9" style="2" customWidth="1"/>
    <col min="2682" max="2682" width="2.375" style="2" customWidth="1"/>
    <col min="2683" max="2700" width="7.625" style="2" customWidth="1"/>
    <col min="2701" max="2863" width="9" style="2" customWidth="1"/>
    <col min="2864" max="2865" width="3.125" style="2" customWidth="1"/>
    <col min="2866" max="2866" width="5.875" style="2" bestFit="1" customWidth="1"/>
    <col min="2867" max="2867" width="5.625" style="2" customWidth="1"/>
    <col min="2868" max="2868" width="10.625" style="2" customWidth="1"/>
    <col min="2869" max="2869" width="12.625" style="2" customWidth="1"/>
    <col min="2870" max="2870" width="8.625" style="2" customWidth="1"/>
    <col min="2871" max="2871" width="5.625" style="2" customWidth="1"/>
    <col min="2872" max="2872" width="4.625" style="2" customWidth="1"/>
    <col min="2873" max="2873" width="5.625" style="2" customWidth="1"/>
    <col min="2874" max="2877" width="4.625" style="2" customWidth="1"/>
    <col min="2878" max="2878" width="7.625" style="2" customWidth="1"/>
    <col min="2879" max="2879" width="8.625" style="2" customWidth="1"/>
    <col min="2880" max="2881" width="5.625" style="2" customWidth="1"/>
    <col min="2882" max="2882" width="6.625" style="2" customWidth="1"/>
    <col min="2883" max="2883" width="9.875" style="2" customWidth="1"/>
    <col min="2884" max="2885" width="8.625" style="2" customWidth="1"/>
    <col min="2886" max="2886" width="5.5" style="2" bestFit="1" customWidth="1"/>
    <col min="2887" max="2928" width="6.75" style="2" customWidth="1"/>
    <col min="2929" max="2929" width="9" style="2" customWidth="1"/>
    <col min="2930" max="2930" width="9.875" style="2" customWidth="1"/>
    <col min="2931" max="2931" width="2.875" style="2" customWidth="1"/>
    <col min="2932" max="2932" width="12.25" style="2" customWidth="1"/>
    <col min="2933" max="2933" width="6.375" style="2" customWidth="1"/>
    <col min="2934" max="2935" width="3.125" style="2" customWidth="1"/>
    <col min="2936" max="2936" width="1.125" style="2" customWidth="1"/>
    <col min="2937" max="2937" width="9" style="2" customWidth="1"/>
    <col min="2938" max="2938" width="2.375" style="2" customWidth="1"/>
    <col min="2939" max="2956" width="7.625" style="2" customWidth="1"/>
    <col min="2957" max="3119" width="9" style="2" customWidth="1"/>
    <col min="3120" max="3121" width="3.125" style="2" customWidth="1"/>
    <col min="3122" max="3122" width="5.875" style="2" bestFit="1" customWidth="1"/>
    <col min="3123" max="3123" width="5.625" style="2" customWidth="1"/>
    <col min="3124" max="3124" width="10.625" style="2" customWidth="1"/>
    <col min="3125" max="3125" width="12.625" style="2" customWidth="1"/>
    <col min="3126" max="3126" width="8.625" style="2" customWidth="1"/>
    <col min="3127" max="3127" width="5.625" style="2" customWidth="1"/>
    <col min="3128" max="3128" width="4.625" style="2" customWidth="1"/>
    <col min="3129" max="3129" width="5.625" style="2" customWidth="1"/>
    <col min="3130" max="3133" width="4.625" style="2" customWidth="1"/>
    <col min="3134" max="3134" width="7.625" style="2" customWidth="1"/>
    <col min="3135" max="3135" width="8.625" style="2" customWidth="1"/>
    <col min="3136" max="3137" width="5.625" style="2" customWidth="1"/>
    <col min="3138" max="3138" width="6.625" style="2" customWidth="1"/>
    <col min="3139" max="3139" width="9.875" style="2" customWidth="1"/>
    <col min="3140" max="3141" width="8.625" style="2" customWidth="1"/>
    <col min="3142" max="3142" width="5.5" style="2" bestFit="1" customWidth="1"/>
    <col min="3143" max="3184" width="6.75" style="2" customWidth="1"/>
    <col min="3185" max="3185" width="9" style="2" customWidth="1"/>
    <col min="3186" max="3186" width="9.875" style="2" customWidth="1"/>
    <col min="3187" max="3187" width="2.875" style="2" customWidth="1"/>
    <col min="3188" max="3188" width="12.25" style="2" customWidth="1"/>
    <col min="3189" max="3189" width="6.375" style="2" customWidth="1"/>
    <col min="3190" max="3191" width="3.125" style="2" customWidth="1"/>
    <col min="3192" max="3192" width="1.125" style="2" customWidth="1"/>
    <col min="3193" max="3193" width="9" style="2" customWidth="1"/>
    <col min="3194" max="3194" width="2.375" style="2" customWidth="1"/>
    <col min="3195" max="3212" width="7.625" style="2" customWidth="1"/>
    <col min="3213" max="3375" width="9" style="2" customWidth="1"/>
    <col min="3376" max="3377" width="3.125" style="2" customWidth="1"/>
    <col min="3378" max="3378" width="5.875" style="2" bestFit="1" customWidth="1"/>
    <col min="3379" max="3379" width="5.625" style="2" customWidth="1"/>
    <col min="3380" max="3380" width="10.625" style="2" customWidth="1"/>
    <col min="3381" max="3381" width="12.625" style="2" customWidth="1"/>
    <col min="3382" max="3382" width="8.625" style="2" customWidth="1"/>
    <col min="3383" max="3383" width="5.625" style="2" customWidth="1"/>
    <col min="3384" max="3384" width="4.625" style="2" customWidth="1"/>
    <col min="3385" max="3385" width="5.625" style="2" customWidth="1"/>
    <col min="3386" max="3389" width="4.625" style="2" customWidth="1"/>
    <col min="3390" max="3390" width="7.625" style="2" customWidth="1"/>
    <col min="3391" max="3391" width="8.625" style="2" customWidth="1"/>
    <col min="3392" max="3393" width="5.625" style="2" customWidth="1"/>
    <col min="3394" max="3394" width="6.625" style="2" customWidth="1"/>
    <col min="3395" max="3395" width="9.875" style="2" customWidth="1"/>
    <col min="3396" max="3397" width="8.625" style="2" customWidth="1"/>
    <col min="3398" max="3398" width="5.5" style="2" bestFit="1" customWidth="1"/>
    <col min="3399" max="3440" width="6.75" style="2" customWidth="1"/>
    <col min="3441" max="3441" width="9" style="2" customWidth="1"/>
    <col min="3442" max="3442" width="9.875" style="2" customWidth="1"/>
    <col min="3443" max="3443" width="2.875" style="2" customWidth="1"/>
    <col min="3444" max="3444" width="12.25" style="2" customWidth="1"/>
    <col min="3445" max="3445" width="6.375" style="2" customWidth="1"/>
    <col min="3446" max="3447" width="3.125" style="2" customWidth="1"/>
    <col min="3448" max="3448" width="1.125" style="2" customWidth="1"/>
    <col min="3449" max="3449" width="9" style="2" customWidth="1"/>
    <col min="3450" max="3450" width="2.375" style="2" customWidth="1"/>
    <col min="3451" max="3468" width="7.625" style="2" customWidth="1"/>
    <col min="3469" max="3631" width="9" style="2" customWidth="1"/>
    <col min="3632" max="3633" width="3.125" style="2" customWidth="1"/>
    <col min="3634" max="3634" width="5.875" style="2" bestFit="1" customWidth="1"/>
    <col min="3635" max="3635" width="5.625" style="2" customWidth="1"/>
    <col min="3636" max="3636" width="10.625" style="2" customWidth="1"/>
    <col min="3637" max="3637" width="12.625" style="2" customWidth="1"/>
    <col min="3638" max="3638" width="8.625" style="2" customWidth="1"/>
    <col min="3639" max="3639" width="5.625" style="2" customWidth="1"/>
    <col min="3640" max="3640" width="4.625" style="2" customWidth="1"/>
    <col min="3641" max="3641" width="5.625" style="2" customWidth="1"/>
    <col min="3642" max="3645" width="4.625" style="2" customWidth="1"/>
    <col min="3646" max="3646" width="7.625" style="2" customWidth="1"/>
    <col min="3647" max="3647" width="8.625" style="2" customWidth="1"/>
    <col min="3648" max="3649" width="5.625" style="2" customWidth="1"/>
    <col min="3650" max="3650" width="6.625" style="2" customWidth="1"/>
    <col min="3651" max="3651" width="9.875" style="2" customWidth="1"/>
    <col min="3652" max="3653" width="8.625" style="2" customWidth="1"/>
    <col min="3654" max="3654" width="5.5" style="2" bestFit="1" customWidth="1"/>
    <col min="3655" max="3696" width="6.75" style="2" customWidth="1"/>
    <col min="3697" max="3697" width="9" style="2" customWidth="1"/>
    <col min="3698" max="3698" width="9.875" style="2" customWidth="1"/>
    <col min="3699" max="3699" width="2.875" style="2" customWidth="1"/>
    <col min="3700" max="3700" width="12.25" style="2" customWidth="1"/>
    <col min="3701" max="3701" width="6.375" style="2" customWidth="1"/>
    <col min="3702" max="3703" width="3.125" style="2" customWidth="1"/>
    <col min="3704" max="3704" width="1.125" style="2" customWidth="1"/>
    <col min="3705" max="3705" width="9" style="2" customWidth="1"/>
    <col min="3706" max="3706" width="2.375" style="2" customWidth="1"/>
    <col min="3707" max="3724" width="7.625" style="2" customWidth="1"/>
    <col min="3725" max="3887" width="9" style="2" customWidth="1"/>
    <col min="3888" max="3889" width="3.125" style="2" customWidth="1"/>
    <col min="3890" max="3890" width="5.875" style="2" bestFit="1" customWidth="1"/>
    <col min="3891" max="3891" width="5.625" style="2" customWidth="1"/>
    <col min="3892" max="3892" width="10.625" style="2" customWidth="1"/>
    <col min="3893" max="3893" width="12.625" style="2" customWidth="1"/>
    <col min="3894" max="3894" width="8.625" style="2" customWidth="1"/>
    <col min="3895" max="3895" width="5.625" style="2" customWidth="1"/>
    <col min="3896" max="3896" width="4.625" style="2" customWidth="1"/>
    <col min="3897" max="3897" width="5.625" style="2" customWidth="1"/>
    <col min="3898" max="3901" width="4.625" style="2" customWidth="1"/>
    <col min="3902" max="3902" width="7.625" style="2" customWidth="1"/>
    <col min="3903" max="3903" width="8.625" style="2" customWidth="1"/>
    <col min="3904" max="3905" width="5.625" style="2" customWidth="1"/>
    <col min="3906" max="3906" width="6.625" style="2" customWidth="1"/>
    <col min="3907" max="3907" width="9.875" style="2" customWidth="1"/>
    <col min="3908" max="3909" width="8.625" style="2" customWidth="1"/>
    <col min="3910" max="3910" width="5.5" style="2" bestFit="1" customWidth="1"/>
    <col min="3911" max="3952" width="6.75" style="2" customWidth="1"/>
    <col min="3953" max="3953" width="9" style="2" customWidth="1"/>
    <col min="3954" max="3954" width="9.875" style="2" customWidth="1"/>
    <col min="3955" max="3955" width="2.875" style="2" customWidth="1"/>
    <col min="3956" max="3956" width="12.25" style="2" customWidth="1"/>
    <col min="3957" max="3957" width="6.375" style="2" customWidth="1"/>
    <col min="3958" max="3959" width="3.125" style="2" customWidth="1"/>
    <col min="3960" max="3960" width="1.125" style="2" customWidth="1"/>
    <col min="3961" max="3961" width="9" style="2" customWidth="1"/>
    <col min="3962" max="3962" width="2.375" style="2" customWidth="1"/>
    <col min="3963" max="3980" width="7.625" style="2" customWidth="1"/>
    <col min="3981" max="4143" width="9" style="2" customWidth="1"/>
    <col min="4144" max="4145" width="3.125" style="2" customWidth="1"/>
    <col min="4146" max="4146" width="5.875" style="2" bestFit="1" customWidth="1"/>
    <col min="4147" max="4147" width="5.625" style="2" customWidth="1"/>
    <col min="4148" max="4148" width="10.625" style="2" customWidth="1"/>
    <col min="4149" max="4149" width="12.625" style="2" customWidth="1"/>
    <col min="4150" max="4150" width="8.625" style="2" customWidth="1"/>
    <col min="4151" max="4151" width="5.625" style="2" customWidth="1"/>
    <col min="4152" max="4152" width="4.625" style="2" customWidth="1"/>
    <col min="4153" max="4153" width="5.625" style="2" customWidth="1"/>
    <col min="4154" max="4157" width="4.625" style="2" customWidth="1"/>
    <col min="4158" max="4158" width="7.625" style="2" customWidth="1"/>
    <col min="4159" max="4159" width="8.625" style="2" customWidth="1"/>
    <col min="4160" max="4161" width="5.625" style="2" customWidth="1"/>
    <col min="4162" max="4162" width="6.625" style="2" customWidth="1"/>
    <col min="4163" max="4163" width="9.875" style="2" customWidth="1"/>
    <col min="4164" max="4165" width="8.625" style="2" customWidth="1"/>
    <col min="4166" max="4166" width="5.5" style="2" bestFit="1" customWidth="1"/>
    <col min="4167" max="4208" width="6.75" style="2" customWidth="1"/>
    <col min="4209" max="4209" width="9" style="2" customWidth="1"/>
    <col min="4210" max="4210" width="9.875" style="2" customWidth="1"/>
    <col min="4211" max="4211" width="2.875" style="2" customWidth="1"/>
    <col min="4212" max="4212" width="12.25" style="2" customWidth="1"/>
    <col min="4213" max="4213" width="6.375" style="2" customWidth="1"/>
    <col min="4214" max="4215" width="3.125" style="2" customWidth="1"/>
    <col min="4216" max="4216" width="1.125" style="2" customWidth="1"/>
    <col min="4217" max="4217" width="9" style="2" customWidth="1"/>
    <col min="4218" max="4218" width="2.375" style="2" customWidth="1"/>
    <col min="4219" max="4236" width="7.625" style="2" customWidth="1"/>
    <col min="4237" max="4399" width="9" style="2" customWidth="1"/>
    <col min="4400" max="4401" width="3.125" style="2" customWidth="1"/>
    <col min="4402" max="4402" width="5.875" style="2" bestFit="1" customWidth="1"/>
    <col min="4403" max="4403" width="5.625" style="2" customWidth="1"/>
    <col min="4404" max="4404" width="10.625" style="2" customWidth="1"/>
    <col min="4405" max="4405" width="12.625" style="2" customWidth="1"/>
    <col min="4406" max="4406" width="8.625" style="2" customWidth="1"/>
    <col min="4407" max="4407" width="5.625" style="2" customWidth="1"/>
    <col min="4408" max="4408" width="4.625" style="2" customWidth="1"/>
    <col min="4409" max="4409" width="5.625" style="2" customWidth="1"/>
    <col min="4410" max="4413" width="4.625" style="2" customWidth="1"/>
    <col min="4414" max="4414" width="7.625" style="2" customWidth="1"/>
    <col min="4415" max="4415" width="8.625" style="2" customWidth="1"/>
    <col min="4416" max="4417" width="5.625" style="2" customWidth="1"/>
    <col min="4418" max="4418" width="6.625" style="2" customWidth="1"/>
    <col min="4419" max="4419" width="9.875" style="2" customWidth="1"/>
    <col min="4420" max="4421" width="8.625" style="2" customWidth="1"/>
    <col min="4422" max="4422" width="5.5" style="2" bestFit="1" customWidth="1"/>
    <col min="4423" max="4464" width="6.75" style="2" customWidth="1"/>
    <col min="4465" max="4465" width="9" style="2" customWidth="1"/>
    <col min="4466" max="4466" width="9.875" style="2" customWidth="1"/>
    <col min="4467" max="4467" width="2.875" style="2" customWidth="1"/>
    <col min="4468" max="4468" width="12.25" style="2" customWidth="1"/>
    <col min="4469" max="4469" width="6.375" style="2" customWidth="1"/>
    <col min="4470" max="4471" width="3.125" style="2" customWidth="1"/>
    <col min="4472" max="4472" width="1.125" style="2" customWidth="1"/>
    <col min="4473" max="4473" width="9" style="2" customWidth="1"/>
    <col min="4474" max="4474" width="2.375" style="2" customWidth="1"/>
    <col min="4475" max="4492" width="7.625" style="2" customWidth="1"/>
    <col min="4493" max="4655" width="9" style="2" customWidth="1"/>
    <col min="4656" max="4657" width="3.125" style="2" customWidth="1"/>
    <col min="4658" max="4658" width="5.875" style="2" bestFit="1" customWidth="1"/>
    <col min="4659" max="4659" width="5.625" style="2" customWidth="1"/>
    <col min="4660" max="4660" width="10.625" style="2" customWidth="1"/>
    <col min="4661" max="4661" width="12.625" style="2" customWidth="1"/>
    <col min="4662" max="4662" width="8.625" style="2" customWidth="1"/>
    <col min="4663" max="4663" width="5.625" style="2" customWidth="1"/>
    <col min="4664" max="4664" width="4.625" style="2" customWidth="1"/>
    <col min="4665" max="4665" width="5.625" style="2" customWidth="1"/>
    <col min="4666" max="4669" width="4.625" style="2" customWidth="1"/>
    <col min="4670" max="4670" width="7.625" style="2" customWidth="1"/>
    <col min="4671" max="4671" width="8.625" style="2" customWidth="1"/>
    <col min="4672" max="4673" width="5.625" style="2" customWidth="1"/>
    <col min="4674" max="4674" width="6.625" style="2" customWidth="1"/>
    <col min="4675" max="4675" width="9.875" style="2" customWidth="1"/>
    <col min="4676" max="4677" width="8.625" style="2" customWidth="1"/>
    <col min="4678" max="4678" width="5.5" style="2" bestFit="1" customWidth="1"/>
    <col min="4679" max="4720" width="6.75" style="2" customWidth="1"/>
    <col min="4721" max="4721" width="9" style="2" customWidth="1"/>
    <col min="4722" max="4722" width="9.875" style="2" customWidth="1"/>
    <col min="4723" max="4723" width="2.875" style="2" customWidth="1"/>
    <col min="4724" max="4724" width="12.25" style="2" customWidth="1"/>
    <col min="4725" max="4725" width="6.375" style="2" customWidth="1"/>
    <col min="4726" max="4727" width="3.125" style="2" customWidth="1"/>
    <col min="4728" max="4728" width="1.125" style="2" customWidth="1"/>
    <col min="4729" max="4729" width="9" style="2" customWidth="1"/>
    <col min="4730" max="4730" width="2.375" style="2" customWidth="1"/>
    <col min="4731" max="4748" width="7.625" style="2" customWidth="1"/>
    <col min="4749" max="4911" width="9" style="2" customWidth="1"/>
    <col min="4912" max="4913" width="3.125" style="2" customWidth="1"/>
    <col min="4914" max="4914" width="5.875" style="2" bestFit="1" customWidth="1"/>
    <col min="4915" max="4915" width="5.625" style="2" customWidth="1"/>
    <col min="4916" max="4916" width="10.625" style="2" customWidth="1"/>
    <col min="4917" max="4917" width="12.625" style="2" customWidth="1"/>
    <col min="4918" max="4918" width="8.625" style="2" customWidth="1"/>
    <col min="4919" max="4919" width="5.625" style="2" customWidth="1"/>
    <col min="4920" max="4920" width="4.625" style="2" customWidth="1"/>
    <col min="4921" max="4921" width="5.625" style="2" customWidth="1"/>
    <col min="4922" max="4925" width="4.625" style="2" customWidth="1"/>
    <col min="4926" max="4926" width="7.625" style="2" customWidth="1"/>
    <col min="4927" max="4927" width="8.625" style="2" customWidth="1"/>
    <col min="4928" max="4929" width="5.625" style="2" customWidth="1"/>
    <col min="4930" max="4930" width="6.625" style="2" customWidth="1"/>
    <col min="4931" max="4931" width="9.875" style="2" customWidth="1"/>
    <col min="4932" max="4933" width="8.625" style="2" customWidth="1"/>
    <col min="4934" max="4934" width="5.5" style="2" bestFit="1" customWidth="1"/>
    <col min="4935" max="4976" width="6.75" style="2" customWidth="1"/>
    <col min="4977" max="4977" width="9" style="2" customWidth="1"/>
    <col min="4978" max="4978" width="9.875" style="2" customWidth="1"/>
    <col min="4979" max="4979" width="2.875" style="2" customWidth="1"/>
    <col min="4980" max="4980" width="12.25" style="2" customWidth="1"/>
    <col min="4981" max="4981" width="6.375" style="2" customWidth="1"/>
    <col min="4982" max="4983" width="3.125" style="2" customWidth="1"/>
    <col min="4984" max="4984" width="1.125" style="2" customWidth="1"/>
    <col min="4985" max="4985" width="9" style="2" customWidth="1"/>
    <col min="4986" max="4986" width="2.375" style="2" customWidth="1"/>
    <col min="4987" max="5004" width="7.625" style="2" customWidth="1"/>
    <col min="5005" max="5167" width="9" style="2" customWidth="1"/>
    <col min="5168" max="5169" width="3.125" style="2" customWidth="1"/>
    <col min="5170" max="5170" width="5.875" style="2" bestFit="1" customWidth="1"/>
    <col min="5171" max="5171" width="5.625" style="2" customWidth="1"/>
    <col min="5172" max="5172" width="10.625" style="2" customWidth="1"/>
    <col min="5173" max="5173" width="12.625" style="2" customWidth="1"/>
    <col min="5174" max="5174" width="8.625" style="2" customWidth="1"/>
    <col min="5175" max="5175" width="5.625" style="2" customWidth="1"/>
    <col min="5176" max="5176" width="4.625" style="2" customWidth="1"/>
    <col min="5177" max="5177" width="5.625" style="2" customWidth="1"/>
    <col min="5178" max="5181" width="4.625" style="2" customWidth="1"/>
    <col min="5182" max="5182" width="7.625" style="2" customWidth="1"/>
    <col min="5183" max="5183" width="8.625" style="2" customWidth="1"/>
    <col min="5184" max="5185" width="5.625" style="2" customWidth="1"/>
    <col min="5186" max="5186" width="6.625" style="2" customWidth="1"/>
    <col min="5187" max="5187" width="9.875" style="2" customWidth="1"/>
    <col min="5188" max="5189" width="8.625" style="2" customWidth="1"/>
    <col min="5190" max="5190" width="5.5" style="2" bestFit="1" customWidth="1"/>
    <col min="5191" max="5232" width="6.75" style="2" customWidth="1"/>
    <col min="5233" max="5233" width="9" style="2" customWidth="1"/>
    <col min="5234" max="5234" width="9.875" style="2" customWidth="1"/>
    <col min="5235" max="5235" width="2.875" style="2" customWidth="1"/>
    <col min="5236" max="5236" width="12.25" style="2" customWidth="1"/>
    <col min="5237" max="5237" width="6.375" style="2" customWidth="1"/>
    <col min="5238" max="5239" width="3.125" style="2" customWidth="1"/>
    <col min="5240" max="5240" width="1.125" style="2" customWidth="1"/>
    <col min="5241" max="5241" width="9" style="2" customWidth="1"/>
    <col min="5242" max="5242" width="2.375" style="2" customWidth="1"/>
    <col min="5243" max="5260" width="7.625" style="2" customWidth="1"/>
    <col min="5261" max="5423" width="9" style="2" customWidth="1"/>
    <col min="5424" max="5425" width="3.125" style="2" customWidth="1"/>
    <col min="5426" max="5426" width="5.875" style="2" bestFit="1" customWidth="1"/>
    <col min="5427" max="5427" width="5.625" style="2" customWidth="1"/>
    <col min="5428" max="5428" width="10.625" style="2" customWidth="1"/>
    <col min="5429" max="5429" width="12.625" style="2" customWidth="1"/>
    <col min="5430" max="5430" width="8.625" style="2" customWidth="1"/>
    <col min="5431" max="5431" width="5.625" style="2" customWidth="1"/>
    <col min="5432" max="5432" width="4.625" style="2" customWidth="1"/>
    <col min="5433" max="5433" width="5.625" style="2" customWidth="1"/>
    <col min="5434" max="5437" width="4.625" style="2" customWidth="1"/>
    <col min="5438" max="5438" width="7.625" style="2" customWidth="1"/>
    <col min="5439" max="5439" width="8.625" style="2" customWidth="1"/>
    <col min="5440" max="5441" width="5.625" style="2" customWidth="1"/>
    <col min="5442" max="5442" width="6.625" style="2" customWidth="1"/>
    <col min="5443" max="5443" width="9.875" style="2" customWidth="1"/>
    <col min="5444" max="5445" width="8.625" style="2" customWidth="1"/>
    <col min="5446" max="5446" width="5.5" style="2" bestFit="1" customWidth="1"/>
    <col min="5447" max="5488" width="6.75" style="2" customWidth="1"/>
    <col min="5489" max="5489" width="9" style="2" customWidth="1"/>
    <col min="5490" max="5490" width="9.875" style="2" customWidth="1"/>
    <col min="5491" max="5491" width="2.875" style="2" customWidth="1"/>
    <col min="5492" max="5492" width="12.25" style="2" customWidth="1"/>
    <col min="5493" max="5493" width="6.375" style="2" customWidth="1"/>
    <col min="5494" max="5495" width="3.125" style="2" customWidth="1"/>
    <col min="5496" max="5496" width="1.125" style="2" customWidth="1"/>
    <col min="5497" max="5497" width="9" style="2" customWidth="1"/>
    <col min="5498" max="5498" width="2.375" style="2" customWidth="1"/>
    <col min="5499" max="5516" width="7.625" style="2" customWidth="1"/>
    <col min="5517" max="5679" width="9" style="2" customWidth="1"/>
    <col min="5680" max="5681" width="3.125" style="2" customWidth="1"/>
    <col min="5682" max="5682" width="5.875" style="2" bestFit="1" customWidth="1"/>
    <col min="5683" max="5683" width="5.625" style="2" customWidth="1"/>
    <col min="5684" max="5684" width="10.625" style="2" customWidth="1"/>
    <col min="5685" max="5685" width="12.625" style="2" customWidth="1"/>
    <col min="5686" max="5686" width="8.625" style="2" customWidth="1"/>
    <col min="5687" max="5687" width="5.625" style="2" customWidth="1"/>
    <col min="5688" max="5688" width="4.625" style="2" customWidth="1"/>
    <col min="5689" max="5689" width="5.625" style="2" customWidth="1"/>
    <col min="5690" max="5693" width="4.625" style="2" customWidth="1"/>
    <col min="5694" max="5694" width="7.625" style="2" customWidth="1"/>
    <col min="5695" max="5695" width="8.625" style="2" customWidth="1"/>
    <col min="5696" max="5697" width="5.625" style="2" customWidth="1"/>
    <col min="5698" max="5698" width="6.625" style="2" customWidth="1"/>
    <col min="5699" max="5699" width="9.875" style="2" customWidth="1"/>
    <col min="5700" max="5701" width="8.625" style="2" customWidth="1"/>
    <col min="5702" max="5702" width="5.5" style="2" bestFit="1" customWidth="1"/>
    <col min="5703" max="5744" width="6.75" style="2" customWidth="1"/>
    <col min="5745" max="5745" width="9" style="2" customWidth="1"/>
    <col min="5746" max="5746" width="9.875" style="2" customWidth="1"/>
    <col min="5747" max="5747" width="2.875" style="2" customWidth="1"/>
    <col min="5748" max="5748" width="12.25" style="2" customWidth="1"/>
    <col min="5749" max="5749" width="6.375" style="2" customWidth="1"/>
    <col min="5750" max="5751" width="3.125" style="2" customWidth="1"/>
    <col min="5752" max="5752" width="1.125" style="2" customWidth="1"/>
    <col min="5753" max="5753" width="9" style="2" customWidth="1"/>
    <col min="5754" max="5754" width="2.375" style="2" customWidth="1"/>
    <col min="5755" max="5772" width="7.625" style="2" customWidth="1"/>
    <col min="5773" max="5935" width="9" style="2" customWidth="1"/>
    <col min="5936" max="5937" width="3.125" style="2" customWidth="1"/>
    <col min="5938" max="5938" width="5.875" style="2" bestFit="1" customWidth="1"/>
    <col min="5939" max="5939" width="5.625" style="2" customWidth="1"/>
    <col min="5940" max="5940" width="10.625" style="2" customWidth="1"/>
    <col min="5941" max="5941" width="12.625" style="2" customWidth="1"/>
    <col min="5942" max="5942" width="8.625" style="2" customWidth="1"/>
    <col min="5943" max="5943" width="5.625" style="2" customWidth="1"/>
    <col min="5944" max="5944" width="4.625" style="2" customWidth="1"/>
    <col min="5945" max="5945" width="5.625" style="2" customWidth="1"/>
    <col min="5946" max="5949" width="4.625" style="2" customWidth="1"/>
    <col min="5950" max="5950" width="7.625" style="2" customWidth="1"/>
    <col min="5951" max="5951" width="8.625" style="2" customWidth="1"/>
    <col min="5952" max="5953" width="5.625" style="2" customWidth="1"/>
    <col min="5954" max="5954" width="6.625" style="2" customWidth="1"/>
    <col min="5955" max="5955" width="9.875" style="2" customWidth="1"/>
    <col min="5956" max="5957" width="8.625" style="2" customWidth="1"/>
    <col min="5958" max="5958" width="5.5" style="2" bestFit="1" customWidth="1"/>
    <col min="5959" max="6000" width="6.75" style="2" customWidth="1"/>
    <col min="6001" max="6001" width="9" style="2" customWidth="1"/>
    <col min="6002" max="6002" width="9.875" style="2" customWidth="1"/>
    <col min="6003" max="6003" width="2.875" style="2" customWidth="1"/>
    <col min="6004" max="6004" width="12.25" style="2" customWidth="1"/>
    <col min="6005" max="6005" width="6.375" style="2" customWidth="1"/>
    <col min="6006" max="6007" width="3.125" style="2" customWidth="1"/>
    <col min="6008" max="6008" width="1.125" style="2" customWidth="1"/>
    <col min="6009" max="6009" width="9" style="2" customWidth="1"/>
    <col min="6010" max="6010" width="2.375" style="2" customWidth="1"/>
    <col min="6011" max="6028" width="7.625" style="2" customWidth="1"/>
    <col min="6029" max="6191" width="9" style="2" customWidth="1"/>
    <col min="6192" max="6193" width="3.125" style="2" customWidth="1"/>
    <col min="6194" max="6194" width="5.875" style="2" bestFit="1" customWidth="1"/>
    <col min="6195" max="6195" width="5.625" style="2" customWidth="1"/>
    <col min="6196" max="6196" width="10.625" style="2" customWidth="1"/>
    <col min="6197" max="6197" width="12.625" style="2" customWidth="1"/>
    <col min="6198" max="6198" width="8.625" style="2" customWidth="1"/>
    <col min="6199" max="6199" width="5.625" style="2" customWidth="1"/>
    <col min="6200" max="6200" width="4.625" style="2" customWidth="1"/>
    <col min="6201" max="6201" width="5.625" style="2" customWidth="1"/>
    <col min="6202" max="6205" width="4.625" style="2" customWidth="1"/>
    <col min="6206" max="6206" width="7.625" style="2" customWidth="1"/>
    <col min="6207" max="6207" width="8.625" style="2" customWidth="1"/>
    <col min="6208" max="6209" width="5.625" style="2" customWidth="1"/>
    <col min="6210" max="6210" width="6.625" style="2" customWidth="1"/>
    <col min="6211" max="6211" width="9.875" style="2" customWidth="1"/>
    <col min="6212" max="6213" width="8.625" style="2" customWidth="1"/>
    <col min="6214" max="6214" width="5.5" style="2" bestFit="1" customWidth="1"/>
    <col min="6215" max="6256" width="6.75" style="2" customWidth="1"/>
    <col min="6257" max="6257" width="9" style="2" customWidth="1"/>
    <col min="6258" max="6258" width="9.875" style="2" customWidth="1"/>
    <col min="6259" max="6259" width="2.875" style="2" customWidth="1"/>
    <col min="6260" max="6260" width="12.25" style="2" customWidth="1"/>
    <col min="6261" max="6261" width="6.375" style="2" customWidth="1"/>
    <col min="6262" max="6263" width="3.125" style="2" customWidth="1"/>
    <col min="6264" max="6264" width="1.125" style="2" customWidth="1"/>
    <col min="6265" max="6265" width="9" style="2" customWidth="1"/>
    <col min="6266" max="6266" width="2.375" style="2" customWidth="1"/>
    <col min="6267" max="6284" width="7.625" style="2" customWidth="1"/>
    <col min="6285" max="6447" width="9" style="2" customWidth="1"/>
    <col min="6448" max="6449" width="3.125" style="2" customWidth="1"/>
    <col min="6450" max="6450" width="5.875" style="2" bestFit="1" customWidth="1"/>
    <col min="6451" max="6451" width="5.625" style="2" customWidth="1"/>
    <col min="6452" max="6452" width="10.625" style="2" customWidth="1"/>
    <col min="6453" max="6453" width="12.625" style="2" customWidth="1"/>
    <col min="6454" max="6454" width="8.625" style="2" customWidth="1"/>
    <col min="6455" max="6455" width="5.625" style="2" customWidth="1"/>
    <col min="6456" max="6456" width="4.625" style="2" customWidth="1"/>
    <col min="6457" max="6457" width="5.625" style="2" customWidth="1"/>
    <col min="6458" max="6461" width="4.625" style="2" customWidth="1"/>
    <col min="6462" max="6462" width="7.625" style="2" customWidth="1"/>
    <col min="6463" max="6463" width="8.625" style="2" customWidth="1"/>
    <col min="6464" max="6465" width="5.625" style="2" customWidth="1"/>
    <col min="6466" max="6466" width="6.625" style="2" customWidth="1"/>
    <col min="6467" max="6467" width="9.875" style="2" customWidth="1"/>
    <col min="6468" max="6469" width="8.625" style="2" customWidth="1"/>
    <col min="6470" max="6470" width="5.5" style="2" bestFit="1" customWidth="1"/>
    <col min="6471" max="6512" width="6.75" style="2" customWidth="1"/>
    <col min="6513" max="6513" width="9" style="2" customWidth="1"/>
    <col min="6514" max="6514" width="9.875" style="2" customWidth="1"/>
    <col min="6515" max="6515" width="2.875" style="2" customWidth="1"/>
    <col min="6516" max="6516" width="12.25" style="2" customWidth="1"/>
    <col min="6517" max="6517" width="6.375" style="2" customWidth="1"/>
    <col min="6518" max="6519" width="3.125" style="2" customWidth="1"/>
    <col min="6520" max="6520" width="1.125" style="2" customWidth="1"/>
    <col min="6521" max="6521" width="9" style="2" customWidth="1"/>
    <col min="6522" max="6522" width="2.375" style="2" customWidth="1"/>
    <col min="6523" max="6540" width="7.625" style="2" customWidth="1"/>
    <col min="6541" max="6703" width="9" style="2" customWidth="1"/>
    <col min="6704" max="6705" width="3.125" style="2" customWidth="1"/>
    <col min="6706" max="6706" width="5.875" style="2" bestFit="1" customWidth="1"/>
    <col min="6707" max="6707" width="5.625" style="2" customWidth="1"/>
    <col min="6708" max="6708" width="10.625" style="2" customWidth="1"/>
    <col min="6709" max="6709" width="12.625" style="2" customWidth="1"/>
    <col min="6710" max="6710" width="8.625" style="2" customWidth="1"/>
    <col min="6711" max="6711" width="5.625" style="2" customWidth="1"/>
    <col min="6712" max="6712" width="4.625" style="2" customWidth="1"/>
    <col min="6713" max="6713" width="5.625" style="2" customWidth="1"/>
    <col min="6714" max="6717" width="4.625" style="2" customWidth="1"/>
    <col min="6718" max="6718" width="7.625" style="2" customWidth="1"/>
    <col min="6719" max="6719" width="8.625" style="2" customWidth="1"/>
    <col min="6720" max="6721" width="5.625" style="2" customWidth="1"/>
    <col min="6722" max="6722" width="6.625" style="2" customWidth="1"/>
    <col min="6723" max="6723" width="9.875" style="2" customWidth="1"/>
    <col min="6724" max="6725" width="8.625" style="2" customWidth="1"/>
    <col min="6726" max="6726" width="5.5" style="2" bestFit="1" customWidth="1"/>
    <col min="6727" max="6768" width="6.75" style="2" customWidth="1"/>
    <col min="6769" max="6769" width="9" style="2" customWidth="1"/>
    <col min="6770" max="6770" width="9.875" style="2" customWidth="1"/>
    <col min="6771" max="6771" width="2.875" style="2" customWidth="1"/>
    <col min="6772" max="6772" width="12.25" style="2" customWidth="1"/>
    <col min="6773" max="6773" width="6.375" style="2" customWidth="1"/>
    <col min="6774" max="6775" width="3.125" style="2" customWidth="1"/>
    <col min="6776" max="6776" width="1.125" style="2" customWidth="1"/>
    <col min="6777" max="6777" width="9" style="2" customWidth="1"/>
    <col min="6778" max="6778" width="2.375" style="2" customWidth="1"/>
    <col min="6779" max="6796" width="7.625" style="2" customWidth="1"/>
    <col min="6797" max="6959" width="9" style="2" customWidth="1"/>
    <col min="6960" max="6961" width="3.125" style="2" customWidth="1"/>
    <col min="6962" max="6962" width="5.875" style="2" bestFit="1" customWidth="1"/>
    <col min="6963" max="6963" width="5.625" style="2" customWidth="1"/>
    <col min="6964" max="6964" width="10.625" style="2" customWidth="1"/>
    <col min="6965" max="6965" width="12.625" style="2" customWidth="1"/>
    <col min="6966" max="6966" width="8.625" style="2" customWidth="1"/>
    <col min="6967" max="6967" width="5.625" style="2" customWidth="1"/>
    <col min="6968" max="6968" width="4.625" style="2" customWidth="1"/>
    <col min="6969" max="6969" width="5.625" style="2" customWidth="1"/>
    <col min="6970" max="6973" width="4.625" style="2" customWidth="1"/>
    <col min="6974" max="6974" width="7.625" style="2" customWidth="1"/>
    <col min="6975" max="6975" width="8.625" style="2" customWidth="1"/>
    <col min="6976" max="6977" width="5.625" style="2" customWidth="1"/>
    <col min="6978" max="6978" width="6.625" style="2" customWidth="1"/>
    <col min="6979" max="6979" width="9.875" style="2" customWidth="1"/>
    <col min="6980" max="6981" width="8.625" style="2" customWidth="1"/>
    <col min="6982" max="6982" width="5.5" style="2" bestFit="1" customWidth="1"/>
    <col min="6983" max="7024" width="6.75" style="2" customWidth="1"/>
    <col min="7025" max="7025" width="9" style="2" customWidth="1"/>
    <col min="7026" max="7026" width="9.875" style="2" customWidth="1"/>
    <col min="7027" max="7027" width="2.875" style="2" customWidth="1"/>
    <col min="7028" max="7028" width="12.25" style="2" customWidth="1"/>
    <col min="7029" max="7029" width="6.375" style="2" customWidth="1"/>
    <col min="7030" max="7031" width="3.125" style="2" customWidth="1"/>
    <col min="7032" max="7032" width="1.125" style="2" customWidth="1"/>
    <col min="7033" max="7033" width="9" style="2" customWidth="1"/>
    <col min="7034" max="7034" width="2.375" style="2" customWidth="1"/>
    <col min="7035" max="7052" width="7.625" style="2" customWidth="1"/>
    <col min="7053" max="7215" width="9" style="2" customWidth="1"/>
    <col min="7216" max="7217" width="3.125" style="2" customWidth="1"/>
    <col min="7218" max="7218" width="5.875" style="2" bestFit="1" customWidth="1"/>
    <col min="7219" max="7219" width="5.625" style="2" customWidth="1"/>
    <col min="7220" max="7220" width="10.625" style="2" customWidth="1"/>
    <col min="7221" max="7221" width="12.625" style="2" customWidth="1"/>
    <col min="7222" max="7222" width="8.625" style="2" customWidth="1"/>
    <col min="7223" max="7223" width="5.625" style="2" customWidth="1"/>
    <col min="7224" max="7224" width="4.625" style="2" customWidth="1"/>
    <col min="7225" max="7225" width="5.625" style="2" customWidth="1"/>
    <col min="7226" max="7229" width="4.625" style="2" customWidth="1"/>
    <col min="7230" max="7230" width="7.625" style="2" customWidth="1"/>
    <col min="7231" max="7231" width="8.625" style="2" customWidth="1"/>
    <col min="7232" max="7233" width="5.625" style="2" customWidth="1"/>
    <col min="7234" max="7234" width="6.625" style="2" customWidth="1"/>
    <col min="7235" max="7235" width="9.875" style="2" customWidth="1"/>
    <col min="7236" max="7237" width="8.625" style="2" customWidth="1"/>
    <col min="7238" max="7238" width="5.5" style="2" bestFit="1" customWidth="1"/>
    <col min="7239" max="7280" width="6.75" style="2" customWidth="1"/>
    <col min="7281" max="7281" width="9" style="2" customWidth="1"/>
    <col min="7282" max="7282" width="9.875" style="2" customWidth="1"/>
    <col min="7283" max="7283" width="2.875" style="2" customWidth="1"/>
    <col min="7284" max="7284" width="12.25" style="2" customWidth="1"/>
    <col min="7285" max="7285" width="6.375" style="2" customWidth="1"/>
    <col min="7286" max="7287" width="3.125" style="2" customWidth="1"/>
    <col min="7288" max="7288" width="1.125" style="2" customWidth="1"/>
    <col min="7289" max="7289" width="9" style="2" customWidth="1"/>
    <col min="7290" max="7290" width="2.375" style="2" customWidth="1"/>
    <col min="7291" max="7308" width="7.625" style="2" customWidth="1"/>
    <col min="7309" max="7471" width="9" style="2" customWidth="1"/>
    <col min="7472" max="7473" width="3.125" style="2" customWidth="1"/>
    <col min="7474" max="7474" width="5.875" style="2" bestFit="1" customWidth="1"/>
    <col min="7475" max="7475" width="5.625" style="2" customWidth="1"/>
    <col min="7476" max="7476" width="10.625" style="2" customWidth="1"/>
    <col min="7477" max="7477" width="12.625" style="2" customWidth="1"/>
    <col min="7478" max="7478" width="8.625" style="2" customWidth="1"/>
    <col min="7479" max="7479" width="5.625" style="2" customWidth="1"/>
    <col min="7480" max="7480" width="4.625" style="2" customWidth="1"/>
    <col min="7481" max="7481" width="5.625" style="2" customWidth="1"/>
    <col min="7482" max="7485" width="4.625" style="2" customWidth="1"/>
    <col min="7486" max="7486" width="7.625" style="2" customWidth="1"/>
    <col min="7487" max="7487" width="8.625" style="2" customWidth="1"/>
    <col min="7488" max="7489" width="5.625" style="2" customWidth="1"/>
    <col min="7490" max="7490" width="6.625" style="2" customWidth="1"/>
    <col min="7491" max="7491" width="9.875" style="2" customWidth="1"/>
    <col min="7492" max="7493" width="8.625" style="2" customWidth="1"/>
    <col min="7494" max="7494" width="5.5" style="2" bestFit="1" customWidth="1"/>
    <col min="7495" max="7536" width="6.75" style="2" customWidth="1"/>
    <col min="7537" max="7537" width="9" style="2" customWidth="1"/>
    <col min="7538" max="7538" width="9.875" style="2" customWidth="1"/>
    <col min="7539" max="7539" width="2.875" style="2" customWidth="1"/>
    <col min="7540" max="7540" width="12.25" style="2" customWidth="1"/>
    <col min="7541" max="7541" width="6.375" style="2" customWidth="1"/>
    <col min="7542" max="7543" width="3.125" style="2" customWidth="1"/>
    <col min="7544" max="7544" width="1.125" style="2" customWidth="1"/>
    <col min="7545" max="7545" width="9" style="2" customWidth="1"/>
    <col min="7546" max="7546" width="2.375" style="2" customWidth="1"/>
    <col min="7547" max="7564" width="7.625" style="2" customWidth="1"/>
    <col min="7565" max="7727" width="9" style="2" customWidth="1"/>
    <col min="7728" max="7729" width="3.125" style="2" customWidth="1"/>
    <col min="7730" max="7730" width="5.875" style="2" bestFit="1" customWidth="1"/>
    <col min="7731" max="7731" width="5.625" style="2" customWidth="1"/>
    <col min="7732" max="7732" width="10.625" style="2" customWidth="1"/>
    <col min="7733" max="7733" width="12.625" style="2" customWidth="1"/>
    <col min="7734" max="7734" width="8.625" style="2" customWidth="1"/>
    <col min="7735" max="7735" width="5.625" style="2" customWidth="1"/>
    <col min="7736" max="7736" width="4.625" style="2" customWidth="1"/>
    <col min="7737" max="7737" width="5.625" style="2" customWidth="1"/>
    <col min="7738" max="7741" width="4.625" style="2" customWidth="1"/>
    <col min="7742" max="7742" width="7.625" style="2" customWidth="1"/>
    <col min="7743" max="7743" width="8.625" style="2" customWidth="1"/>
    <col min="7744" max="7745" width="5.625" style="2" customWidth="1"/>
    <col min="7746" max="7746" width="6.625" style="2" customWidth="1"/>
    <col min="7747" max="7747" width="9.875" style="2" customWidth="1"/>
    <col min="7748" max="7749" width="8.625" style="2" customWidth="1"/>
    <col min="7750" max="7750" width="5.5" style="2" bestFit="1" customWidth="1"/>
    <col min="7751" max="7792" width="6.75" style="2" customWidth="1"/>
    <col min="7793" max="7793" width="9" style="2" customWidth="1"/>
    <col min="7794" max="7794" width="9.875" style="2" customWidth="1"/>
    <col min="7795" max="7795" width="2.875" style="2" customWidth="1"/>
    <col min="7796" max="7796" width="12.25" style="2" customWidth="1"/>
    <col min="7797" max="7797" width="6.375" style="2" customWidth="1"/>
    <col min="7798" max="7799" width="3.125" style="2" customWidth="1"/>
    <col min="7800" max="7800" width="1.125" style="2" customWidth="1"/>
    <col min="7801" max="7801" width="9" style="2" customWidth="1"/>
    <col min="7802" max="7802" width="2.375" style="2" customWidth="1"/>
    <col min="7803" max="7820" width="7.625" style="2" customWidth="1"/>
    <col min="7821" max="7983" width="9" style="2" customWidth="1"/>
    <col min="7984" max="7985" width="3.125" style="2" customWidth="1"/>
    <col min="7986" max="7986" width="5.875" style="2" bestFit="1" customWidth="1"/>
    <col min="7987" max="7987" width="5.625" style="2" customWidth="1"/>
    <col min="7988" max="7988" width="10.625" style="2" customWidth="1"/>
    <col min="7989" max="7989" width="12.625" style="2" customWidth="1"/>
    <col min="7990" max="7990" width="8.625" style="2" customWidth="1"/>
    <col min="7991" max="7991" width="5.625" style="2" customWidth="1"/>
    <col min="7992" max="7992" width="4.625" style="2" customWidth="1"/>
    <col min="7993" max="7993" width="5.625" style="2" customWidth="1"/>
    <col min="7994" max="7997" width="4.625" style="2" customWidth="1"/>
    <col min="7998" max="7998" width="7.625" style="2" customWidth="1"/>
    <col min="7999" max="7999" width="8.625" style="2" customWidth="1"/>
    <col min="8000" max="8001" width="5.625" style="2" customWidth="1"/>
    <col min="8002" max="8002" width="6.625" style="2" customWidth="1"/>
    <col min="8003" max="8003" width="9.875" style="2" customWidth="1"/>
    <col min="8004" max="8005" width="8.625" style="2" customWidth="1"/>
    <col min="8006" max="8006" width="5.5" style="2" bestFit="1" customWidth="1"/>
    <col min="8007" max="8048" width="6.75" style="2" customWidth="1"/>
    <col min="8049" max="8049" width="9" style="2" customWidth="1"/>
    <col min="8050" max="8050" width="9.875" style="2" customWidth="1"/>
    <col min="8051" max="8051" width="2.875" style="2" customWidth="1"/>
    <col min="8052" max="8052" width="12.25" style="2" customWidth="1"/>
    <col min="8053" max="8053" width="6.375" style="2" customWidth="1"/>
    <col min="8054" max="8055" width="3.125" style="2" customWidth="1"/>
    <col min="8056" max="8056" width="1.125" style="2" customWidth="1"/>
    <col min="8057" max="8057" width="9" style="2" customWidth="1"/>
    <col min="8058" max="8058" width="2.375" style="2" customWidth="1"/>
    <col min="8059" max="8076" width="7.625" style="2" customWidth="1"/>
    <col min="8077" max="8239" width="9" style="2" customWidth="1"/>
    <col min="8240" max="8241" width="3.125" style="2" customWidth="1"/>
    <col min="8242" max="8242" width="5.875" style="2" bestFit="1" customWidth="1"/>
    <col min="8243" max="8243" width="5.625" style="2" customWidth="1"/>
    <col min="8244" max="8244" width="10.625" style="2" customWidth="1"/>
    <col min="8245" max="8245" width="12.625" style="2" customWidth="1"/>
    <col min="8246" max="8246" width="8.625" style="2" customWidth="1"/>
    <col min="8247" max="8247" width="5.625" style="2" customWidth="1"/>
    <col min="8248" max="8248" width="4.625" style="2" customWidth="1"/>
    <col min="8249" max="8249" width="5.625" style="2" customWidth="1"/>
    <col min="8250" max="8253" width="4.625" style="2" customWidth="1"/>
    <col min="8254" max="8254" width="7.625" style="2" customWidth="1"/>
    <col min="8255" max="8255" width="8.625" style="2" customWidth="1"/>
    <col min="8256" max="8257" width="5.625" style="2" customWidth="1"/>
    <col min="8258" max="8258" width="6.625" style="2" customWidth="1"/>
    <col min="8259" max="8259" width="9.875" style="2" customWidth="1"/>
    <col min="8260" max="8261" width="8.625" style="2" customWidth="1"/>
    <col min="8262" max="8262" width="5.5" style="2" bestFit="1" customWidth="1"/>
    <col min="8263" max="8304" width="6.75" style="2" customWidth="1"/>
    <col min="8305" max="8305" width="9" style="2" customWidth="1"/>
    <col min="8306" max="8306" width="9.875" style="2" customWidth="1"/>
    <col min="8307" max="8307" width="2.875" style="2" customWidth="1"/>
    <col min="8308" max="8308" width="12.25" style="2" customWidth="1"/>
    <col min="8309" max="8309" width="6.375" style="2" customWidth="1"/>
    <col min="8310" max="8311" width="3.125" style="2" customWidth="1"/>
    <col min="8312" max="8312" width="1.125" style="2" customWidth="1"/>
    <col min="8313" max="8313" width="9" style="2" customWidth="1"/>
    <col min="8314" max="8314" width="2.375" style="2" customWidth="1"/>
    <col min="8315" max="8332" width="7.625" style="2" customWidth="1"/>
    <col min="8333" max="8495" width="9" style="2" customWidth="1"/>
    <col min="8496" max="8497" width="3.125" style="2" customWidth="1"/>
    <col min="8498" max="8498" width="5.875" style="2" bestFit="1" customWidth="1"/>
    <col min="8499" max="8499" width="5.625" style="2" customWidth="1"/>
    <col min="8500" max="8500" width="10.625" style="2" customWidth="1"/>
    <col min="8501" max="8501" width="12.625" style="2" customWidth="1"/>
    <col min="8502" max="8502" width="8.625" style="2" customWidth="1"/>
    <col min="8503" max="8503" width="5.625" style="2" customWidth="1"/>
    <col min="8504" max="8504" width="4.625" style="2" customWidth="1"/>
    <col min="8505" max="8505" width="5.625" style="2" customWidth="1"/>
    <col min="8506" max="8509" width="4.625" style="2" customWidth="1"/>
    <col min="8510" max="8510" width="7.625" style="2" customWidth="1"/>
    <col min="8511" max="8511" width="8.625" style="2" customWidth="1"/>
    <col min="8512" max="8513" width="5.625" style="2" customWidth="1"/>
    <col min="8514" max="8514" width="6.625" style="2" customWidth="1"/>
    <col min="8515" max="8515" width="9.875" style="2" customWidth="1"/>
    <col min="8516" max="8517" width="8.625" style="2" customWidth="1"/>
    <col min="8518" max="8518" width="5.5" style="2" bestFit="1" customWidth="1"/>
    <col min="8519" max="8560" width="6.75" style="2" customWidth="1"/>
    <col min="8561" max="8561" width="9" style="2" customWidth="1"/>
    <col min="8562" max="8562" width="9.875" style="2" customWidth="1"/>
    <col min="8563" max="8563" width="2.875" style="2" customWidth="1"/>
    <col min="8564" max="8564" width="12.25" style="2" customWidth="1"/>
    <col min="8565" max="8565" width="6.375" style="2" customWidth="1"/>
    <col min="8566" max="8567" width="3.125" style="2" customWidth="1"/>
    <col min="8568" max="8568" width="1.125" style="2" customWidth="1"/>
    <col min="8569" max="8569" width="9" style="2" customWidth="1"/>
    <col min="8570" max="8570" width="2.375" style="2" customWidth="1"/>
    <col min="8571" max="8588" width="7.625" style="2" customWidth="1"/>
    <col min="8589" max="8751" width="9" style="2" customWidth="1"/>
    <col min="8752" max="8753" width="3.125" style="2" customWidth="1"/>
    <col min="8754" max="8754" width="5.875" style="2" bestFit="1" customWidth="1"/>
    <col min="8755" max="8755" width="5.625" style="2" customWidth="1"/>
    <col min="8756" max="8756" width="10.625" style="2" customWidth="1"/>
    <col min="8757" max="8757" width="12.625" style="2" customWidth="1"/>
    <col min="8758" max="8758" width="8.625" style="2" customWidth="1"/>
    <col min="8759" max="8759" width="5.625" style="2" customWidth="1"/>
    <col min="8760" max="8760" width="4.625" style="2" customWidth="1"/>
    <col min="8761" max="8761" width="5.625" style="2" customWidth="1"/>
    <col min="8762" max="8765" width="4.625" style="2" customWidth="1"/>
    <col min="8766" max="8766" width="7.625" style="2" customWidth="1"/>
    <col min="8767" max="8767" width="8.625" style="2" customWidth="1"/>
    <col min="8768" max="8769" width="5.625" style="2" customWidth="1"/>
    <col min="8770" max="8770" width="6.625" style="2" customWidth="1"/>
    <col min="8771" max="8771" width="9.875" style="2" customWidth="1"/>
    <col min="8772" max="8773" width="8.625" style="2" customWidth="1"/>
    <col min="8774" max="8774" width="5.5" style="2" bestFit="1" customWidth="1"/>
    <col min="8775" max="8816" width="6.75" style="2" customWidth="1"/>
    <col min="8817" max="8817" width="9" style="2" customWidth="1"/>
    <col min="8818" max="8818" width="9.875" style="2" customWidth="1"/>
    <col min="8819" max="8819" width="2.875" style="2" customWidth="1"/>
    <col min="8820" max="8820" width="12.25" style="2" customWidth="1"/>
    <col min="8821" max="8821" width="6.375" style="2" customWidth="1"/>
    <col min="8822" max="8823" width="3.125" style="2" customWidth="1"/>
    <col min="8824" max="8824" width="1.125" style="2" customWidth="1"/>
    <col min="8825" max="8825" width="9" style="2" customWidth="1"/>
    <col min="8826" max="8826" width="2.375" style="2" customWidth="1"/>
    <col min="8827" max="8844" width="7.625" style="2" customWidth="1"/>
    <col min="8845" max="9007" width="9" style="2" customWidth="1"/>
    <col min="9008" max="9009" width="3.125" style="2" customWidth="1"/>
    <col min="9010" max="9010" width="5.875" style="2" bestFit="1" customWidth="1"/>
    <col min="9011" max="9011" width="5.625" style="2" customWidth="1"/>
    <col min="9012" max="9012" width="10.625" style="2" customWidth="1"/>
    <col min="9013" max="9013" width="12.625" style="2" customWidth="1"/>
    <col min="9014" max="9014" width="8.625" style="2" customWidth="1"/>
    <col min="9015" max="9015" width="5.625" style="2" customWidth="1"/>
    <col min="9016" max="9016" width="4.625" style="2" customWidth="1"/>
    <col min="9017" max="9017" width="5.625" style="2" customWidth="1"/>
    <col min="9018" max="9021" width="4.625" style="2" customWidth="1"/>
    <col min="9022" max="9022" width="7.625" style="2" customWidth="1"/>
    <col min="9023" max="9023" width="8.625" style="2" customWidth="1"/>
    <col min="9024" max="9025" width="5.625" style="2" customWidth="1"/>
    <col min="9026" max="9026" width="6.625" style="2" customWidth="1"/>
    <col min="9027" max="9027" width="9.875" style="2" customWidth="1"/>
    <col min="9028" max="9029" width="8.625" style="2" customWidth="1"/>
    <col min="9030" max="9030" width="5.5" style="2" bestFit="1" customWidth="1"/>
    <col min="9031" max="9072" width="6.75" style="2" customWidth="1"/>
    <col min="9073" max="9073" width="9" style="2" customWidth="1"/>
    <col min="9074" max="9074" width="9.875" style="2" customWidth="1"/>
    <col min="9075" max="9075" width="2.875" style="2" customWidth="1"/>
    <col min="9076" max="9076" width="12.25" style="2" customWidth="1"/>
    <col min="9077" max="9077" width="6.375" style="2" customWidth="1"/>
    <col min="9078" max="9079" width="3.125" style="2" customWidth="1"/>
    <col min="9080" max="9080" width="1.125" style="2" customWidth="1"/>
    <col min="9081" max="9081" width="9" style="2" customWidth="1"/>
    <col min="9082" max="9082" width="2.375" style="2" customWidth="1"/>
    <col min="9083" max="9100" width="7.625" style="2" customWidth="1"/>
    <col min="9101" max="9263" width="9" style="2" customWidth="1"/>
    <col min="9264" max="9265" width="3.125" style="2" customWidth="1"/>
    <col min="9266" max="9266" width="5.875" style="2" bestFit="1" customWidth="1"/>
    <col min="9267" max="9267" width="5.625" style="2" customWidth="1"/>
    <col min="9268" max="9268" width="10.625" style="2" customWidth="1"/>
    <col min="9269" max="9269" width="12.625" style="2" customWidth="1"/>
    <col min="9270" max="9270" width="8.625" style="2" customWidth="1"/>
    <col min="9271" max="9271" width="5.625" style="2" customWidth="1"/>
    <col min="9272" max="9272" width="4.625" style="2" customWidth="1"/>
    <col min="9273" max="9273" width="5.625" style="2" customWidth="1"/>
    <col min="9274" max="9277" width="4.625" style="2" customWidth="1"/>
    <col min="9278" max="9278" width="7.625" style="2" customWidth="1"/>
    <col min="9279" max="9279" width="8.625" style="2" customWidth="1"/>
    <col min="9280" max="9281" width="5.625" style="2" customWidth="1"/>
    <col min="9282" max="9282" width="6.625" style="2" customWidth="1"/>
    <col min="9283" max="9283" width="9.875" style="2" customWidth="1"/>
    <col min="9284" max="9285" width="8.625" style="2" customWidth="1"/>
    <col min="9286" max="9286" width="5.5" style="2" bestFit="1" customWidth="1"/>
    <col min="9287" max="9328" width="6.75" style="2" customWidth="1"/>
    <col min="9329" max="9329" width="9" style="2" customWidth="1"/>
    <col min="9330" max="9330" width="9.875" style="2" customWidth="1"/>
    <col min="9331" max="9331" width="2.875" style="2" customWidth="1"/>
    <col min="9332" max="9332" width="12.25" style="2" customWidth="1"/>
    <col min="9333" max="9333" width="6.375" style="2" customWidth="1"/>
    <col min="9334" max="9335" width="3.125" style="2" customWidth="1"/>
    <col min="9336" max="9336" width="1.125" style="2" customWidth="1"/>
    <col min="9337" max="9337" width="9" style="2" customWidth="1"/>
    <col min="9338" max="9338" width="2.375" style="2" customWidth="1"/>
    <col min="9339" max="9356" width="7.625" style="2" customWidth="1"/>
    <col min="9357" max="9519" width="9" style="2" customWidth="1"/>
    <col min="9520" max="9521" width="3.125" style="2" customWidth="1"/>
    <col min="9522" max="9522" width="5.875" style="2" bestFit="1" customWidth="1"/>
    <col min="9523" max="9523" width="5.625" style="2" customWidth="1"/>
    <col min="9524" max="9524" width="10.625" style="2" customWidth="1"/>
    <col min="9525" max="9525" width="12.625" style="2" customWidth="1"/>
    <col min="9526" max="9526" width="8.625" style="2" customWidth="1"/>
    <col min="9527" max="9527" width="5.625" style="2" customWidth="1"/>
    <col min="9528" max="9528" width="4.625" style="2" customWidth="1"/>
    <col min="9529" max="9529" width="5.625" style="2" customWidth="1"/>
    <col min="9530" max="9533" width="4.625" style="2" customWidth="1"/>
    <col min="9534" max="9534" width="7.625" style="2" customWidth="1"/>
    <col min="9535" max="9535" width="8.625" style="2" customWidth="1"/>
    <col min="9536" max="9537" width="5.625" style="2" customWidth="1"/>
    <col min="9538" max="9538" width="6.625" style="2" customWidth="1"/>
    <col min="9539" max="9539" width="9.875" style="2" customWidth="1"/>
    <col min="9540" max="9541" width="8.625" style="2" customWidth="1"/>
    <col min="9542" max="9542" width="5.5" style="2" bestFit="1" customWidth="1"/>
    <col min="9543" max="9584" width="6.75" style="2" customWidth="1"/>
    <col min="9585" max="9585" width="9" style="2" customWidth="1"/>
    <col min="9586" max="9586" width="9.875" style="2" customWidth="1"/>
    <col min="9587" max="9587" width="2.875" style="2" customWidth="1"/>
    <col min="9588" max="9588" width="12.25" style="2" customWidth="1"/>
    <col min="9589" max="9589" width="6.375" style="2" customWidth="1"/>
    <col min="9590" max="9591" width="3.125" style="2" customWidth="1"/>
    <col min="9592" max="9592" width="1.125" style="2" customWidth="1"/>
    <col min="9593" max="9593" width="9" style="2" customWidth="1"/>
    <col min="9594" max="9594" width="2.375" style="2" customWidth="1"/>
    <col min="9595" max="9612" width="7.625" style="2" customWidth="1"/>
    <col min="9613" max="9775" width="9" style="2" customWidth="1"/>
    <col min="9776" max="9777" width="3.125" style="2" customWidth="1"/>
    <col min="9778" max="9778" width="5.875" style="2" bestFit="1" customWidth="1"/>
    <col min="9779" max="9779" width="5.625" style="2" customWidth="1"/>
    <col min="9780" max="9780" width="10.625" style="2" customWidth="1"/>
    <col min="9781" max="9781" width="12.625" style="2" customWidth="1"/>
    <col min="9782" max="9782" width="8.625" style="2" customWidth="1"/>
    <col min="9783" max="9783" width="5.625" style="2" customWidth="1"/>
    <col min="9784" max="9784" width="4.625" style="2" customWidth="1"/>
    <col min="9785" max="9785" width="5.625" style="2" customWidth="1"/>
    <col min="9786" max="9789" width="4.625" style="2" customWidth="1"/>
    <col min="9790" max="9790" width="7.625" style="2" customWidth="1"/>
    <col min="9791" max="9791" width="8.625" style="2" customWidth="1"/>
    <col min="9792" max="9793" width="5.625" style="2" customWidth="1"/>
    <col min="9794" max="9794" width="6.625" style="2" customWidth="1"/>
    <col min="9795" max="9795" width="9.875" style="2" customWidth="1"/>
    <col min="9796" max="9797" width="8.625" style="2" customWidth="1"/>
    <col min="9798" max="9798" width="5.5" style="2" bestFit="1" customWidth="1"/>
    <col min="9799" max="9840" width="6.75" style="2" customWidth="1"/>
    <col min="9841" max="9841" width="9" style="2" customWidth="1"/>
    <col min="9842" max="9842" width="9.875" style="2" customWidth="1"/>
    <col min="9843" max="9843" width="2.875" style="2" customWidth="1"/>
    <col min="9844" max="9844" width="12.25" style="2" customWidth="1"/>
    <col min="9845" max="9845" width="6.375" style="2" customWidth="1"/>
    <col min="9846" max="9847" width="3.125" style="2" customWidth="1"/>
    <col min="9848" max="9848" width="1.125" style="2" customWidth="1"/>
    <col min="9849" max="9849" width="9" style="2" customWidth="1"/>
    <col min="9850" max="9850" width="2.375" style="2" customWidth="1"/>
    <col min="9851" max="9868" width="7.625" style="2" customWidth="1"/>
    <col min="9869" max="10031" width="9" style="2" customWidth="1"/>
    <col min="10032" max="10033" width="3.125" style="2" customWidth="1"/>
    <col min="10034" max="10034" width="5.875" style="2" bestFit="1" customWidth="1"/>
    <col min="10035" max="10035" width="5.625" style="2" customWidth="1"/>
    <col min="10036" max="10036" width="10.625" style="2" customWidth="1"/>
    <col min="10037" max="10037" width="12.625" style="2" customWidth="1"/>
    <col min="10038" max="10038" width="8.625" style="2" customWidth="1"/>
    <col min="10039" max="10039" width="5.625" style="2" customWidth="1"/>
    <col min="10040" max="10040" width="4.625" style="2" customWidth="1"/>
    <col min="10041" max="10041" width="5.625" style="2" customWidth="1"/>
    <col min="10042" max="10045" width="4.625" style="2" customWidth="1"/>
    <col min="10046" max="10046" width="7.625" style="2" customWidth="1"/>
    <col min="10047" max="10047" width="8.625" style="2" customWidth="1"/>
    <col min="10048" max="10049" width="5.625" style="2" customWidth="1"/>
    <col min="10050" max="10050" width="6.625" style="2" customWidth="1"/>
    <col min="10051" max="10051" width="9.875" style="2" customWidth="1"/>
    <col min="10052" max="10053" width="8.625" style="2" customWidth="1"/>
    <col min="10054" max="10054" width="5.5" style="2" bestFit="1" customWidth="1"/>
    <col min="10055" max="10096" width="6.75" style="2" customWidth="1"/>
    <col min="10097" max="10097" width="9" style="2" customWidth="1"/>
    <col min="10098" max="10098" width="9.875" style="2" customWidth="1"/>
    <col min="10099" max="10099" width="2.875" style="2" customWidth="1"/>
    <col min="10100" max="10100" width="12.25" style="2" customWidth="1"/>
    <col min="10101" max="10101" width="6.375" style="2" customWidth="1"/>
    <col min="10102" max="10103" width="3.125" style="2" customWidth="1"/>
    <col min="10104" max="10104" width="1.125" style="2" customWidth="1"/>
    <col min="10105" max="10105" width="9" style="2" customWidth="1"/>
    <col min="10106" max="10106" width="2.375" style="2" customWidth="1"/>
    <col min="10107" max="10124" width="7.625" style="2" customWidth="1"/>
    <col min="10125" max="10287" width="9" style="2" customWidth="1"/>
    <col min="10288" max="10289" width="3.125" style="2" customWidth="1"/>
    <col min="10290" max="10290" width="5.875" style="2" bestFit="1" customWidth="1"/>
    <col min="10291" max="10291" width="5.625" style="2" customWidth="1"/>
    <col min="10292" max="10292" width="10.625" style="2" customWidth="1"/>
    <col min="10293" max="10293" width="12.625" style="2" customWidth="1"/>
    <col min="10294" max="10294" width="8.625" style="2" customWidth="1"/>
    <col min="10295" max="10295" width="5.625" style="2" customWidth="1"/>
    <col min="10296" max="10296" width="4.625" style="2" customWidth="1"/>
    <col min="10297" max="10297" width="5.625" style="2" customWidth="1"/>
    <col min="10298" max="10301" width="4.625" style="2" customWidth="1"/>
    <col min="10302" max="10302" width="7.625" style="2" customWidth="1"/>
    <col min="10303" max="10303" width="8.625" style="2" customWidth="1"/>
    <col min="10304" max="10305" width="5.625" style="2" customWidth="1"/>
    <col min="10306" max="10306" width="6.625" style="2" customWidth="1"/>
    <col min="10307" max="10307" width="9.875" style="2" customWidth="1"/>
    <col min="10308" max="10309" width="8.625" style="2" customWidth="1"/>
    <col min="10310" max="10310" width="5.5" style="2" bestFit="1" customWidth="1"/>
    <col min="10311" max="10352" width="6.75" style="2" customWidth="1"/>
    <col min="10353" max="10353" width="9" style="2" customWidth="1"/>
    <col min="10354" max="10354" width="9.875" style="2" customWidth="1"/>
    <col min="10355" max="10355" width="2.875" style="2" customWidth="1"/>
    <col min="10356" max="10356" width="12.25" style="2" customWidth="1"/>
    <col min="10357" max="10357" width="6.375" style="2" customWidth="1"/>
    <col min="10358" max="10359" width="3.125" style="2" customWidth="1"/>
    <col min="10360" max="10360" width="1.125" style="2" customWidth="1"/>
    <col min="10361" max="10361" width="9" style="2" customWidth="1"/>
    <col min="10362" max="10362" width="2.375" style="2" customWidth="1"/>
    <col min="10363" max="10380" width="7.625" style="2" customWidth="1"/>
    <col min="10381" max="10543" width="9" style="2" customWidth="1"/>
    <col min="10544" max="10545" width="3.125" style="2" customWidth="1"/>
    <col min="10546" max="10546" width="5.875" style="2" bestFit="1" customWidth="1"/>
    <col min="10547" max="10547" width="5.625" style="2" customWidth="1"/>
    <col min="10548" max="10548" width="10.625" style="2" customWidth="1"/>
    <col min="10549" max="10549" width="12.625" style="2" customWidth="1"/>
    <col min="10550" max="10550" width="8.625" style="2" customWidth="1"/>
    <col min="10551" max="10551" width="5.625" style="2" customWidth="1"/>
    <col min="10552" max="10552" width="4.625" style="2" customWidth="1"/>
    <col min="10553" max="10553" width="5.625" style="2" customWidth="1"/>
    <col min="10554" max="10557" width="4.625" style="2" customWidth="1"/>
    <col min="10558" max="10558" width="7.625" style="2" customWidth="1"/>
    <col min="10559" max="10559" width="8.625" style="2" customWidth="1"/>
    <col min="10560" max="10561" width="5.625" style="2" customWidth="1"/>
    <col min="10562" max="10562" width="6.625" style="2" customWidth="1"/>
    <col min="10563" max="10563" width="9.875" style="2" customWidth="1"/>
    <col min="10564" max="10565" width="8.625" style="2" customWidth="1"/>
    <col min="10566" max="10566" width="5.5" style="2" bestFit="1" customWidth="1"/>
    <col min="10567" max="10608" width="6.75" style="2" customWidth="1"/>
    <col min="10609" max="10609" width="9" style="2" customWidth="1"/>
    <col min="10610" max="10610" width="9.875" style="2" customWidth="1"/>
    <col min="10611" max="10611" width="2.875" style="2" customWidth="1"/>
    <col min="10612" max="10612" width="12.25" style="2" customWidth="1"/>
    <col min="10613" max="10613" width="6.375" style="2" customWidth="1"/>
    <col min="10614" max="10615" width="3.125" style="2" customWidth="1"/>
    <col min="10616" max="10616" width="1.125" style="2" customWidth="1"/>
    <col min="10617" max="10617" width="9" style="2" customWidth="1"/>
    <col min="10618" max="10618" width="2.375" style="2" customWidth="1"/>
    <col min="10619" max="10636" width="7.625" style="2" customWidth="1"/>
    <col min="10637" max="10799" width="9" style="2" customWidth="1"/>
    <col min="10800" max="10801" width="3.125" style="2" customWidth="1"/>
    <col min="10802" max="10802" width="5.875" style="2" bestFit="1" customWidth="1"/>
    <col min="10803" max="10803" width="5.625" style="2" customWidth="1"/>
    <col min="10804" max="10804" width="10.625" style="2" customWidth="1"/>
    <col min="10805" max="10805" width="12.625" style="2" customWidth="1"/>
    <col min="10806" max="10806" width="8.625" style="2" customWidth="1"/>
    <col min="10807" max="10807" width="5.625" style="2" customWidth="1"/>
    <col min="10808" max="10808" width="4.625" style="2" customWidth="1"/>
    <col min="10809" max="10809" width="5.625" style="2" customWidth="1"/>
    <col min="10810" max="10813" width="4.625" style="2" customWidth="1"/>
    <col min="10814" max="10814" width="7.625" style="2" customWidth="1"/>
    <col min="10815" max="10815" width="8.625" style="2" customWidth="1"/>
    <col min="10816" max="10817" width="5.625" style="2" customWidth="1"/>
    <col min="10818" max="10818" width="6.625" style="2" customWidth="1"/>
    <col min="10819" max="10819" width="9.875" style="2" customWidth="1"/>
    <col min="10820" max="10821" width="8.625" style="2" customWidth="1"/>
    <col min="10822" max="10822" width="5.5" style="2" bestFit="1" customWidth="1"/>
    <col min="10823" max="10864" width="6.75" style="2" customWidth="1"/>
    <col min="10865" max="10865" width="9" style="2" customWidth="1"/>
    <col min="10866" max="10866" width="9.875" style="2" customWidth="1"/>
    <col min="10867" max="10867" width="2.875" style="2" customWidth="1"/>
    <col min="10868" max="10868" width="12.25" style="2" customWidth="1"/>
    <col min="10869" max="10869" width="6.375" style="2" customWidth="1"/>
    <col min="10870" max="10871" width="3.125" style="2" customWidth="1"/>
    <col min="10872" max="10872" width="1.125" style="2" customWidth="1"/>
    <col min="10873" max="10873" width="9" style="2" customWidth="1"/>
    <col min="10874" max="10874" width="2.375" style="2" customWidth="1"/>
    <col min="10875" max="10892" width="7.625" style="2" customWidth="1"/>
    <col min="10893" max="11055" width="9" style="2" customWidth="1"/>
    <col min="11056" max="11057" width="3.125" style="2" customWidth="1"/>
    <col min="11058" max="11058" width="5.875" style="2" bestFit="1" customWidth="1"/>
    <col min="11059" max="11059" width="5.625" style="2" customWidth="1"/>
    <col min="11060" max="11060" width="10.625" style="2" customWidth="1"/>
    <col min="11061" max="11061" width="12.625" style="2" customWidth="1"/>
    <col min="11062" max="11062" width="8.625" style="2" customWidth="1"/>
    <col min="11063" max="11063" width="5.625" style="2" customWidth="1"/>
    <col min="11064" max="11064" width="4.625" style="2" customWidth="1"/>
    <col min="11065" max="11065" width="5.625" style="2" customWidth="1"/>
    <col min="11066" max="11069" width="4.625" style="2" customWidth="1"/>
    <col min="11070" max="11070" width="7.625" style="2" customWidth="1"/>
    <col min="11071" max="11071" width="8.625" style="2" customWidth="1"/>
    <col min="11072" max="11073" width="5.625" style="2" customWidth="1"/>
    <col min="11074" max="11074" width="6.625" style="2" customWidth="1"/>
    <col min="11075" max="11075" width="9.875" style="2" customWidth="1"/>
    <col min="11076" max="11077" width="8.625" style="2" customWidth="1"/>
    <col min="11078" max="11078" width="5.5" style="2" bestFit="1" customWidth="1"/>
    <col min="11079" max="11120" width="6.75" style="2" customWidth="1"/>
    <col min="11121" max="11121" width="9" style="2" customWidth="1"/>
    <col min="11122" max="11122" width="9.875" style="2" customWidth="1"/>
    <col min="11123" max="11123" width="2.875" style="2" customWidth="1"/>
    <col min="11124" max="11124" width="12.25" style="2" customWidth="1"/>
    <col min="11125" max="11125" width="6.375" style="2" customWidth="1"/>
    <col min="11126" max="11127" width="3.125" style="2" customWidth="1"/>
    <col min="11128" max="11128" width="1.125" style="2" customWidth="1"/>
    <col min="11129" max="11129" width="9" style="2" customWidth="1"/>
    <col min="11130" max="11130" width="2.375" style="2" customWidth="1"/>
    <col min="11131" max="11148" width="7.625" style="2" customWidth="1"/>
    <col min="11149" max="11311" width="9" style="2" customWidth="1"/>
    <col min="11312" max="11313" width="3.125" style="2" customWidth="1"/>
    <col min="11314" max="11314" width="5.875" style="2" bestFit="1" customWidth="1"/>
    <col min="11315" max="11315" width="5.625" style="2" customWidth="1"/>
    <col min="11316" max="11316" width="10.625" style="2" customWidth="1"/>
    <col min="11317" max="11317" width="12.625" style="2" customWidth="1"/>
    <col min="11318" max="11318" width="8.625" style="2" customWidth="1"/>
    <col min="11319" max="11319" width="5.625" style="2" customWidth="1"/>
    <col min="11320" max="11320" width="4.625" style="2" customWidth="1"/>
    <col min="11321" max="11321" width="5.625" style="2" customWidth="1"/>
    <col min="11322" max="11325" width="4.625" style="2" customWidth="1"/>
    <col min="11326" max="11326" width="7.625" style="2" customWidth="1"/>
    <col min="11327" max="11327" width="8.625" style="2" customWidth="1"/>
    <col min="11328" max="11329" width="5.625" style="2" customWidth="1"/>
    <col min="11330" max="11330" width="6.625" style="2" customWidth="1"/>
    <col min="11331" max="11331" width="9.875" style="2" customWidth="1"/>
    <col min="11332" max="11333" width="8.625" style="2" customWidth="1"/>
    <col min="11334" max="11334" width="5.5" style="2" bestFit="1" customWidth="1"/>
    <col min="11335" max="11376" width="6.75" style="2" customWidth="1"/>
    <col min="11377" max="11377" width="9" style="2" customWidth="1"/>
    <col min="11378" max="11378" width="9.875" style="2" customWidth="1"/>
    <col min="11379" max="11379" width="2.875" style="2" customWidth="1"/>
    <col min="11380" max="11380" width="12.25" style="2" customWidth="1"/>
    <col min="11381" max="11381" width="6.375" style="2" customWidth="1"/>
    <col min="11382" max="11383" width="3.125" style="2" customWidth="1"/>
    <col min="11384" max="11384" width="1.125" style="2" customWidth="1"/>
    <col min="11385" max="11385" width="9" style="2" customWidth="1"/>
    <col min="11386" max="11386" width="2.375" style="2" customWidth="1"/>
    <col min="11387" max="11404" width="7.625" style="2" customWidth="1"/>
    <col min="11405" max="11567" width="9" style="2" customWidth="1"/>
    <col min="11568" max="11569" width="3.125" style="2" customWidth="1"/>
    <col min="11570" max="11570" width="5.875" style="2" bestFit="1" customWidth="1"/>
    <col min="11571" max="11571" width="5.625" style="2" customWidth="1"/>
    <col min="11572" max="11572" width="10.625" style="2" customWidth="1"/>
    <col min="11573" max="11573" width="12.625" style="2" customWidth="1"/>
    <col min="11574" max="11574" width="8.625" style="2" customWidth="1"/>
    <col min="11575" max="11575" width="5.625" style="2" customWidth="1"/>
    <col min="11576" max="11576" width="4.625" style="2" customWidth="1"/>
    <col min="11577" max="11577" width="5.625" style="2" customWidth="1"/>
    <col min="11578" max="11581" width="4.625" style="2" customWidth="1"/>
    <col min="11582" max="11582" width="7.625" style="2" customWidth="1"/>
    <col min="11583" max="11583" width="8.625" style="2" customWidth="1"/>
    <col min="11584" max="11585" width="5.625" style="2" customWidth="1"/>
    <col min="11586" max="11586" width="6.625" style="2" customWidth="1"/>
    <col min="11587" max="11587" width="9.875" style="2" customWidth="1"/>
    <col min="11588" max="11589" width="8.625" style="2" customWidth="1"/>
    <col min="11590" max="11590" width="5.5" style="2" bestFit="1" customWidth="1"/>
    <col min="11591" max="11632" width="6.75" style="2" customWidth="1"/>
    <col min="11633" max="11633" width="9" style="2" customWidth="1"/>
    <col min="11634" max="11634" width="9.875" style="2" customWidth="1"/>
    <col min="11635" max="11635" width="2.875" style="2" customWidth="1"/>
    <col min="11636" max="11636" width="12.25" style="2" customWidth="1"/>
    <col min="11637" max="11637" width="6.375" style="2" customWidth="1"/>
    <col min="11638" max="11639" width="3.125" style="2" customWidth="1"/>
    <col min="11640" max="11640" width="1.125" style="2" customWidth="1"/>
    <col min="11641" max="11641" width="9" style="2" customWidth="1"/>
    <col min="11642" max="11642" width="2.375" style="2" customWidth="1"/>
    <col min="11643" max="11660" width="7.625" style="2" customWidth="1"/>
    <col min="11661" max="11823" width="9" style="2" customWidth="1"/>
    <col min="11824" max="11825" width="3.125" style="2" customWidth="1"/>
    <col min="11826" max="11826" width="5.875" style="2" bestFit="1" customWidth="1"/>
    <col min="11827" max="11827" width="5.625" style="2" customWidth="1"/>
    <col min="11828" max="11828" width="10.625" style="2" customWidth="1"/>
    <col min="11829" max="11829" width="12.625" style="2" customWidth="1"/>
    <col min="11830" max="11830" width="8.625" style="2" customWidth="1"/>
    <col min="11831" max="11831" width="5.625" style="2" customWidth="1"/>
    <col min="11832" max="11832" width="4.625" style="2" customWidth="1"/>
    <col min="11833" max="11833" width="5.625" style="2" customWidth="1"/>
    <col min="11834" max="11837" width="4.625" style="2" customWidth="1"/>
    <col min="11838" max="11838" width="7.625" style="2" customWidth="1"/>
    <col min="11839" max="11839" width="8.625" style="2" customWidth="1"/>
    <col min="11840" max="11841" width="5.625" style="2" customWidth="1"/>
    <col min="11842" max="11842" width="6.625" style="2" customWidth="1"/>
    <col min="11843" max="11843" width="9.875" style="2" customWidth="1"/>
    <col min="11844" max="11845" width="8.625" style="2" customWidth="1"/>
    <col min="11846" max="11846" width="5.5" style="2" bestFit="1" customWidth="1"/>
    <col min="11847" max="11888" width="6.75" style="2" customWidth="1"/>
    <col min="11889" max="11889" width="9" style="2" customWidth="1"/>
    <col min="11890" max="11890" width="9.875" style="2" customWidth="1"/>
    <col min="11891" max="11891" width="2.875" style="2" customWidth="1"/>
    <col min="11892" max="11892" width="12.25" style="2" customWidth="1"/>
    <col min="11893" max="11893" width="6.375" style="2" customWidth="1"/>
    <col min="11894" max="11895" width="3.125" style="2" customWidth="1"/>
    <col min="11896" max="11896" width="1.125" style="2" customWidth="1"/>
    <col min="11897" max="11897" width="9" style="2" customWidth="1"/>
    <col min="11898" max="11898" width="2.375" style="2" customWidth="1"/>
    <col min="11899" max="11916" width="7.625" style="2" customWidth="1"/>
    <col min="11917" max="12079" width="9" style="2" customWidth="1"/>
    <col min="12080" max="12081" width="3.125" style="2" customWidth="1"/>
    <col min="12082" max="12082" width="5.875" style="2" bestFit="1" customWidth="1"/>
    <col min="12083" max="12083" width="5.625" style="2" customWidth="1"/>
    <col min="12084" max="12084" width="10.625" style="2" customWidth="1"/>
    <col min="12085" max="12085" width="12.625" style="2" customWidth="1"/>
    <col min="12086" max="12086" width="8.625" style="2" customWidth="1"/>
    <col min="12087" max="12087" width="5.625" style="2" customWidth="1"/>
    <col min="12088" max="12088" width="4.625" style="2" customWidth="1"/>
    <col min="12089" max="12089" width="5.625" style="2" customWidth="1"/>
    <col min="12090" max="12093" width="4.625" style="2" customWidth="1"/>
    <col min="12094" max="12094" width="7.625" style="2" customWidth="1"/>
    <col min="12095" max="12095" width="8.625" style="2" customWidth="1"/>
    <col min="12096" max="12097" width="5.625" style="2" customWidth="1"/>
    <col min="12098" max="12098" width="6.625" style="2" customWidth="1"/>
    <col min="12099" max="12099" width="9.875" style="2" customWidth="1"/>
    <col min="12100" max="12101" width="8.625" style="2" customWidth="1"/>
    <col min="12102" max="12102" width="5.5" style="2" bestFit="1" customWidth="1"/>
    <col min="12103" max="12144" width="6.75" style="2" customWidth="1"/>
    <col min="12145" max="12145" width="9" style="2" customWidth="1"/>
    <col min="12146" max="12146" width="9.875" style="2" customWidth="1"/>
    <col min="12147" max="12147" width="2.875" style="2" customWidth="1"/>
    <col min="12148" max="12148" width="12.25" style="2" customWidth="1"/>
    <col min="12149" max="12149" width="6.375" style="2" customWidth="1"/>
    <col min="12150" max="12151" width="3.125" style="2" customWidth="1"/>
    <col min="12152" max="12152" width="1.125" style="2" customWidth="1"/>
    <col min="12153" max="12153" width="9" style="2" customWidth="1"/>
    <col min="12154" max="12154" width="2.375" style="2" customWidth="1"/>
    <col min="12155" max="12172" width="7.625" style="2" customWidth="1"/>
    <col min="12173" max="12335" width="9" style="2" customWidth="1"/>
    <col min="12336" max="12337" width="3.125" style="2" customWidth="1"/>
    <col min="12338" max="12338" width="5.875" style="2" bestFit="1" customWidth="1"/>
    <col min="12339" max="12339" width="5.625" style="2" customWidth="1"/>
    <col min="12340" max="12340" width="10.625" style="2" customWidth="1"/>
    <col min="12341" max="12341" width="12.625" style="2" customWidth="1"/>
    <col min="12342" max="12342" width="8.625" style="2" customWidth="1"/>
    <col min="12343" max="12343" width="5.625" style="2" customWidth="1"/>
    <col min="12344" max="12344" width="4.625" style="2" customWidth="1"/>
    <col min="12345" max="12345" width="5.625" style="2" customWidth="1"/>
    <col min="12346" max="12349" width="4.625" style="2" customWidth="1"/>
    <col min="12350" max="12350" width="7.625" style="2" customWidth="1"/>
    <col min="12351" max="12351" width="8.625" style="2" customWidth="1"/>
    <col min="12352" max="12353" width="5.625" style="2" customWidth="1"/>
    <col min="12354" max="12354" width="6.625" style="2" customWidth="1"/>
    <col min="12355" max="12355" width="9.875" style="2" customWidth="1"/>
    <col min="12356" max="12357" width="8.625" style="2" customWidth="1"/>
    <col min="12358" max="12358" width="5.5" style="2" bestFit="1" customWidth="1"/>
    <col min="12359" max="12400" width="6.75" style="2" customWidth="1"/>
    <col min="12401" max="12401" width="9" style="2" customWidth="1"/>
    <col min="12402" max="12402" width="9.875" style="2" customWidth="1"/>
    <col min="12403" max="12403" width="2.875" style="2" customWidth="1"/>
    <col min="12404" max="12404" width="12.25" style="2" customWidth="1"/>
    <col min="12405" max="12405" width="6.375" style="2" customWidth="1"/>
    <col min="12406" max="12407" width="3.125" style="2" customWidth="1"/>
    <col min="12408" max="12408" width="1.125" style="2" customWidth="1"/>
    <col min="12409" max="12409" width="9" style="2" customWidth="1"/>
    <col min="12410" max="12410" width="2.375" style="2" customWidth="1"/>
    <col min="12411" max="12428" width="7.625" style="2" customWidth="1"/>
    <col min="12429" max="12591" width="9" style="2" customWidth="1"/>
    <col min="12592" max="12593" width="3.125" style="2" customWidth="1"/>
    <col min="12594" max="12594" width="5.875" style="2" bestFit="1" customWidth="1"/>
    <col min="12595" max="12595" width="5.625" style="2" customWidth="1"/>
    <col min="12596" max="12596" width="10.625" style="2" customWidth="1"/>
    <col min="12597" max="12597" width="12.625" style="2" customWidth="1"/>
    <col min="12598" max="12598" width="8.625" style="2" customWidth="1"/>
    <col min="12599" max="12599" width="5.625" style="2" customWidth="1"/>
    <col min="12600" max="12600" width="4.625" style="2" customWidth="1"/>
    <col min="12601" max="12601" width="5.625" style="2" customWidth="1"/>
    <col min="12602" max="12605" width="4.625" style="2" customWidth="1"/>
    <col min="12606" max="12606" width="7.625" style="2" customWidth="1"/>
    <col min="12607" max="12607" width="8.625" style="2" customWidth="1"/>
    <col min="12608" max="12609" width="5.625" style="2" customWidth="1"/>
    <col min="12610" max="12610" width="6.625" style="2" customWidth="1"/>
    <col min="12611" max="12611" width="9.875" style="2" customWidth="1"/>
    <col min="12612" max="12613" width="8.625" style="2" customWidth="1"/>
    <col min="12614" max="12614" width="5.5" style="2" bestFit="1" customWidth="1"/>
    <col min="12615" max="12656" width="6.75" style="2" customWidth="1"/>
    <col min="12657" max="12657" width="9" style="2" customWidth="1"/>
    <col min="12658" max="12658" width="9.875" style="2" customWidth="1"/>
    <col min="12659" max="12659" width="2.875" style="2" customWidth="1"/>
    <col min="12660" max="12660" width="12.25" style="2" customWidth="1"/>
    <col min="12661" max="12661" width="6.375" style="2" customWidth="1"/>
    <col min="12662" max="12663" width="3.125" style="2" customWidth="1"/>
    <col min="12664" max="12664" width="1.125" style="2" customWidth="1"/>
    <col min="12665" max="12665" width="9" style="2" customWidth="1"/>
    <col min="12666" max="12666" width="2.375" style="2" customWidth="1"/>
    <col min="12667" max="12684" width="7.625" style="2" customWidth="1"/>
    <col min="12685" max="12847" width="9" style="2" customWidth="1"/>
    <col min="12848" max="12849" width="3.125" style="2" customWidth="1"/>
    <col min="12850" max="12850" width="5.875" style="2" bestFit="1" customWidth="1"/>
    <col min="12851" max="12851" width="5.625" style="2" customWidth="1"/>
    <col min="12852" max="12852" width="10.625" style="2" customWidth="1"/>
    <col min="12853" max="12853" width="12.625" style="2" customWidth="1"/>
    <col min="12854" max="12854" width="8.625" style="2" customWidth="1"/>
    <col min="12855" max="12855" width="5.625" style="2" customWidth="1"/>
    <col min="12856" max="12856" width="4.625" style="2" customWidth="1"/>
    <col min="12857" max="12857" width="5.625" style="2" customWidth="1"/>
    <col min="12858" max="12861" width="4.625" style="2" customWidth="1"/>
    <col min="12862" max="12862" width="7.625" style="2" customWidth="1"/>
    <col min="12863" max="12863" width="8.625" style="2" customWidth="1"/>
    <col min="12864" max="12865" width="5.625" style="2" customWidth="1"/>
    <col min="12866" max="12866" width="6.625" style="2" customWidth="1"/>
    <col min="12867" max="12867" width="9.875" style="2" customWidth="1"/>
    <col min="12868" max="12869" width="8.625" style="2" customWidth="1"/>
    <col min="12870" max="12870" width="5.5" style="2" bestFit="1" customWidth="1"/>
    <col min="12871" max="12912" width="6.75" style="2" customWidth="1"/>
    <col min="12913" max="12913" width="9" style="2" customWidth="1"/>
    <col min="12914" max="12914" width="9.875" style="2" customWidth="1"/>
    <col min="12915" max="12915" width="2.875" style="2" customWidth="1"/>
    <col min="12916" max="12916" width="12.25" style="2" customWidth="1"/>
    <col min="12917" max="12917" width="6.375" style="2" customWidth="1"/>
    <col min="12918" max="12919" width="3.125" style="2" customWidth="1"/>
    <col min="12920" max="12920" width="1.125" style="2" customWidth="1"/>
    <col min="12921" max="12921" width="9" style="2" customWidth="1"/>
    <col min="12922" max="12922" width="2.375" style="2" customWidth="1"/>
    <col min="12923" max="12940" width="7.625" style="2" customWidth="1"/>
    <col min="12941" max="13103" width="9" style="2" customWidth="1"/>
    <col min="13104" max="13105" width="3.125" style="2" customWidth="1"/>
    <col min="13106" max="13106" width="5.875" style="2" bestFit="1" customWidth="1"/>
    <col min="13107" max="13107" width="5.625" style="2" customWidth="1"/>
    <col min="13108" max="13108" width="10.625" style="2" customWidth="1"/>
    <col min="13109" max="13109" width="12.625" style="2" customWidth="1"/>
    <col min="13110" max="13110" width="8.625" style="2" customWidth="1"/>
    <col min="13111" max="13111" width="5.625" style="2" customWidth="1"/>
    <col min="13112" max="13112" width="4.625" style="2" customWidth="1"/>
    <col min="13113" max="13113" width="5.625" style="2" customWidth="1"/>
    <col min="13114" max="13117" width="4.625" style="2" customWidth="1"/>
    <col min="13118" max="13118" width="7.625" style="2" customWidth="1"/>
    <col min="13119" max="13119" width="8.625" style="2" customWidth="1"/>
    <col min="13120" max="13121" width="5.625" style="2" customWidth="1"/>
    <col min="13122" max="13122" width="6.625" style="2" customWidth="1"/>
    <col min="13123" max="13123" width="9.875" style="2" customWidth="1"/>
    <col min="13124" max="13125" width="8.625" style="2" customWidth="1"/>
    <col min="13126" max="13126" width="5.5" style="2" bestFit="1" customWidth="1"/>
    <col min="13127" max="13168" width="6.75" style="2" customWidth="1"/>
    <col min="13169" max="13169" width="9" style="2" customWidth="1"/>
    <col min="13170" max="13170" width="9.875" style="2" customWidth="1"/>
    <col min="13171" max="13171" width="2.875" style="2" customWidth="1"/>
    <col min="13172" max="13172" width="12.25" style="2" customWidth="1"/>
    <col min="13173" max="13173" width="6.375" style="2" customWidth="1"/>
    <col min="13174" max="13175" width="3.125" style="2" customWidth="1"/>
    <col min="13176" max="13176" width="1.125" style="2" customWidth="1"/>
    <col min="13177" max="13177" width="9" style="2" customWidth="1"/>
    <col min="13178" max="13178" width="2.375" style="2" customWidth="1"/>
    <col min="13179" max="13196" width="7.625" style="2" customWidth="1"/>
    <col min="13197" max="13359" width="9" style="2" customWidth="1"/>
    <col min="13360" max="13361" width="3.125" style="2" customWidth="1"/>
    <col min="13362" max="13362" width="5.875" style="2" bestFit="1" customWidth="1"/>
    <col min="13363" max="13363" width="5.625" style="2" customWidth="1"/>
    <col min="13364" max="13364" width="10.625" style="2" customWidth="1"/>
    <col min="13365" max="13365" width="12.625" style="2" customWidth="1"/>
    <col min="13366" max="13366" width="8.625" style="2" customWidth="1"/>
    <col min="13367" max="13367" width="5.625" style="2" customWidth="1"/>
    <col min="13368" max="13368" width="4.625" style="2" customWidth="1"/>
    <col min="13369" max="13369" width="5.625" style="2" customWidth="1"/>
    <col min="13370" max="13373" width="4.625" style="2" customWidth="1"/>
    <col min="13374" max="13374" width="7.625" style="2" customWidth="1"/>
    <col min="13375" max="13375" width="8.625" style="2" customWidth="1"/>
    <col min="13376" max="13377" width="5.625" style="2" customWidth="1"/>
    <col min="13378" max="13378" width="6.625" style="2" customWidth="1"/>
    <col min="13379" max="13379" width="9.875" style="2" customWidth="1"/>
    <col min="13380" max="13381" width="8.625" style="2" customWidth="1"/>
    <col min="13382" max="13382" width="5.5" style="2" bestFit="1" customWidth="1"/>
    <col min="13383" max="13424" width="6.75" style="2" customWidth="1"/>
    <col min="13425" max="13425" width="9" style="2" customWidth="1"/>
    <col min="13426" max="13426" width="9.875" style="2" customWidth="1"/>
    <col min="13427" max="13427" width="2.875" style="2" customWidth="1"/>
    <col min="13428" max="13428" width="12.25" style="2" customWidth="1"/>
    <col min="13429" max="13429" width="6.375" style="2" customWidth="1"/>
    <col min="13430" max="13431" width="3.125" style="2" customWidth="1"/>
    <col min="13432" max="13432" width="1.125" style="2" customWidth="1"/>
    <col min="13433" max="13433" width="9" style="2" customWidth="1"/>
    <col min="13434" max="13434" width="2.375" style="2" customWidth="1"/>
    <col min="13435" max="13452" width="7.625" style="2" customWidth="1"/>
    <col min="13453" max="13615" width="9" style="2" customWidth="1"/>
    <col min="13616" max="13617" width="3.125" style="2" customWidth="1"/>
    <col min="13618" max="13618" width="5.875" style="2" bestFit="1" customWidth="1"/>
    <col min="13619" max="13619" width="5.625" style="2" customWidth="1"/>
    <col min="13620" max="13620" width="10.625" style="2" customWidth="1"/>
    <col min="13621" max="13621" width="12.625" style="2" customWidth="1"/>
    <col min="13622" max="13622" width="8.625" style="2" customWidth="1"/>
    <col min="13623" max="13623" width="5.625" style="2" customWidth="1"/>
    <col min="13624" max="13624" width="4.625" style="2" customWidth="1"/>
    <col min="13625" max="13625" width="5.625" style="2" customWidth="1"/>
    <col min="13626" max="13629" width="4.625" style="2" customWidth="1"/>
    <col min="13630" max="13630" width="7.625" style="2" customWidth="1"/>
    <col min="13631" max="13631" width="8.625" style="2" customWidth="1"/>
    <col min="13632" max="13633" width="5.625" style="2" customWidth="1"/>
    <col min="13634" max="13634" width="6.625" style="2" customWidth="1"/>
    <col min="13635" max="13635" width="9.875" style="2" customWidth="1"/>
    <col min="13636" max="13637" width="8.625" style="2" customWidth="1"/>
    <col min="13638" max="13638" width="5.5" style="2" bestFit="1" customWidth="1"/>
    <col min="13639" max="13680" width="6.75" style="2" customWidth="1"/>
    <col min="13681" max="13681" width="9" style="2" customWidth="1"/>
    <col min="13682" max="13682" width="9.875" style="2" customWidth="1"/>
    <col min="13683" max="13683" width="2.875" style="2" customWidth="1"/>
    <col min="13684" max="13684" width="12.25" style="2" customWidth="1"/>
    <col min="13685" max="13685" width="6.375" style="2" customWidth="1"/>
    <col min="13686" max="13687" width="3.125" style="2" customWidth="1"/>
    <col min="13688" max="13688" width="1.125" style="2" customWidth="1"/>
    <col min="13689" max="13689" width="9" style="2" customWidth="1"/>
    <col min="13690" max="13690" width="2.375" style="2" customWidth="1"/>
    <col min="13691" max="13708" width="7.625" style="2" customWidth="1"/>
    <col min="13709" max="13871" width="9" style="2" customWidth="1"/>
    <col min="13872" max="13873" width="3.125" style="2" customWidth="1"/>
    <col min="13874" max="13874" width="5.875" style="2" bestFit="1" customWidth="1"/>
    <col min="13875" max="13875" width="5.625" style="2" customWidth="1"/>
    <col min="13876" max="13876" width="10.625" style="2" customWidth="1"/>
    <col min="13877" max="13877" width="12.625" style="2" customWidth="1"/>
    <col min="13878" max="13878" width="8.625" style="2" customWidth="1"/>
    <col min="13879" max="13879" width="5.625" style="2" customWidth="1"/>
    <col min="13880" max="13880" width="4.625" style="2" customWidth="1"/>
    <col min="13881" max="13881" width="5.625" style="2" customWidth="1"/>
    <col min="13882" max="13885" width="4.625" style="2" customWidth="1"/>
    <col min="13886" max="13886" width="7.625" style="2" customWidth="1"/>
    <col min="13887" max="13887" width="8.625" style="2" customWidth="1"/>
    <col min="13888" max="13889" width="5.625" style="2" customWidth="1"/>
    <col min="13890" max="13890" width="6.625" style="2" customWidth="1"/>
    <col min="13891" max="13891" width="9.875" style="2" customWidth="1"/>
    <col min="13892" max="13893" width="8.625" style="2" customWidth="1"/>
    <col min="13894" max="13894" width="5.5" style="2" bestFit="1" customWidth="1"/>
    <col min="13895" max="13936" width="6.75" style="2" customWidth="1"/>
    <col min="13937" max="13937" width="9" style="2" customWidth="1"/>
    <col min="13938" max="13938" width="9.875" style="2" customWidth="1"/>
    <col min="13939" max="13939" width="2.875" style="2" customWidth="1"/>
    <col min="13940" max="13940" width="12.25" style="2" customWidth="1"/>
    <col min="13941" max="13941" width="6.375" style="2" customWidth="1"/>
    <col min="13942" max="13943" width="3.125" style="2" customWidth="1"/>
    <col min="13944" max="13944" width="1.125" style="2" customWidth="1"/>
    <col min="13945" max="13945" width="9" style="2" customWidth="1"/>
    <col min="13946" max="13946" width="2.375" style="2" customWidth="1"/>
    <col min="13947" max="13964" width="7.625" style="2" customWidth="1"/>
    <col min="13965" max="14127" width="9" style="2" customWidth="1"/>
    <col min="14128" max="14129" width="3.125" style="2" customWidth="1"/>
    <col min="14130" max="14130" width="5.875" style="2" bestFit="1" customWidth="1"/>
    <col min="14131" max="14131" width="5.625" style="2" customWidth="1"/>
    <col min="14132" max="14132" width="10.625" style="2" customWidth="1"/>
    <col min="14133" max="14133" width="12.625" style="2" customWidth="1"/>
    <col min="14134" max="14134" width="8.625" style="2" customWidth="1"/>
    <col min="14135" max="14135" width="5.625" style="2" customWidth="1"/>
    <col min="14136" max="14136" width="4.625" style="2" customWidth="1"/>
    <col min="14137" max="14137" width="5.625" style="2" customWidth="1"/>
    <col min="14138" max="14141" width="4.625" style="2" customWidth="1"/>
    <col min="14142" max="14142" width="7.625" style="2" customWidth="1"/>
    <col min="14143" max="14143" width="8.625" style="2" customWidth="1"/>
    <col min="14144" max="14145" width="5.625" style="2" customWidth="1"/>
    <col min="14146" max="14146" width="6.625" style="2" customWidth="1"/>
    <col min="14147" max="14147" width="9.875" style="2" customWidth="1"/>
    <col min="14148" max="14149" width="8.625" style="2" customWidth="1"/>
    <col min="14150" max="14150" width="5.5" style="2" bestFit="1" customWidth="1"/>
    <col min="14151" max="14192" width="6.75" style="2" customWidth="1"/>
    <col min="14193" max="14193" width="9" style="2" customWidth="1"/>
    <col min="14194" max="14194" width="9.875" style="2" customWidth="1"/>
    <col min="14195" max="14195" width="2.875" style="2" customWidth="1"/>
    <col min="14196" max="14196" width="12.25" style="2" customWidth="1"/>
    <col min="14197" max="14197" width="6.375" style="2" customWidth="1"/>
    <col min="14198" max="14199" width="3.125" style="2" customWidth="1"/>
    <col min="14200" max="14200" width="1.125" style="2" customWidth="1"/>
    <col min="14201" max="14201" width="9" style="2" customWidth="1"/>
    <col min="14202" max="14202" width="2.375" style="2" customWidth="1"/>
    <col min="14203" max="14220" width="7.625" style="2" customWidth="1"/>
    <col min="14221" max="14383" width="9" style="2" customWidth="1"/>
    <col min="14384" max="14385" width="3.125" style="2" customWidth="1"/>
    <col min="14386" max="14386" width="5.875" style="2" bestFit="1" customWidth="1"/>
    <col min="14387" max="14387" width="5.625" style="2" customWidth="1"/>
    <col min="14388" max="14388" width="10.625" style="2" customWidth="1"/>
    <col min="14389" max="14389" width="12.625" style="2" customWidth="1"/>
    <col min="14390" max="14390" width="8.625" style="2" customWidth="1"/>
    <col min="14391" max="14391" width="5.625" style="2" customWidth="1"/>
    <col min="14392" max="14392" width="4.625" style="2" customWidth="1"/>
    <col min="14393" max="14393" width="5.625" style="2" customWidth="1"/>
    <col min="14394" max="14397" width="4.625" style="2" customWidth="1"/>
    <col min="14398" max="14398" width="7.625" style="2" customWidth="1"/>
    <col min="14399" max="14399" width="8.625" style="2" customWidth="1"/>
    <col min="14400" max="14401" width="5.625" style="2" customWidth="1"/>
    <col min="14402" max="14402" width="6.625" style="2" customWidth="1"/>
    <col min="14403" max="14403" width="9.875" style="2" customWidth="1"/>
    <col min="14404" max="14405" width="8.625" style="2" customWidth="1"/>
    <col min="14406" max="14406" width="5.5" style="2" bestFit="1" customWidth="1"/>
    <col min="14407" max="14448" width="6.75" style="2" customWidth="1"/>
    <col min="14449" max="14449" width="9" style="2" customWidth="1"/>
    <col min="14450" max="14450" width="9.875" style="2" customWidth="1"/>
    <col min="14451" max="14451" width="2.875" style="2" customWidth="1"/>
    <col min="14452" max="14452" width="12.25" style="2" customWidth="1"/>
    <col min="14453" max="14453" width="6.375" style="2" customWidth="1"/>
    <col min="14454" max="14455" width="3.125" style="2" customWidth="1"/>
    <col min="14456" max="14456" width="1.125" style="2" customWidth="1"/>
    <col min="14457" max="14457" width="9" style="2" customWidth="1"/>
    <col min="14458" max="14458" width="2.375" style="2" customWidth="1"/>
    <col min="14459" max="14476" width="7.625" style="2" customWidth="1"/>
    <col min="14477" max="14639" width="9" style="2" customWidth="1"/>
    <col min="14640" max="14641" width="3.125" style="2" customWidth="1"/>
    <col min="14642" max="14642" width="5.875" style="2" bestFit="1" customWidth="1"/>
    <col min="14643" max="14643" width="5.625" style="2" customWidth="1"/>
    <col min="14644" max="14644" width="10.625" style="2" customWidth="1"/>
    <col min="14645" max="14645" width="12.625" style="2" customWidth="1"/>
    <col min="14646" max="14646" width="8.625" style="2" customWidth="1"/>
    <col min="14647" max="14647" width="5.625" style="2" customWidth="1"/>
    <col min="14648" max="14648" width="4.625" style="2" customWidth="1"/>
    <col min="14649" max="14649" width="5.625" style="2" customWidth="1"/>
    <col min="14650" max="14653" width="4.625" style="2" customWidth="1"/>
    <col min="14654" max="14654" width="7.625" style="2" customWidth="1"/>
    <col min="14655" max="14655" width="8.625" style="2" customWidth="1"/>
    <col min="14656" max="14657" width="5.625" style="2" customWidth="1"/>
    <col min="14658" max="14658" width="6.625" style="2" customWidth="1"/>
    <col min="14659" max="14659" width="9.875" style="2" customWidth="1"/>
    <col min="14660" max="14661" width="8.625" style="2" customWidth="1"/>
    <col min="14662" max="14662" width="5.5" style="2" bestFit="1" customWidth="1"/>
    <col min="14663" max="14704" width="6.75" style="2" customWidth="1"/>
    <col min="14705" max="14705" width="9" style="2" customWidth="1"/>
    <col min="14706" max="14706" width="9.875" style="2" customWidth="1"/>
    <col min="14707" max="14707" width="2.875" style="2" customWidth="1"/>
    <col min="14708" max="14708" width="12.25" style="2" customWidth="1"/>
    <col min="14709" max="14709" width="6.375" style="2" customWidth="1"/>
    <col min="14710" max="14711" width="3.125" style="2" customWidth="1"/>
    <col min="14712" max="14712" width="1.125" style="2" customWidth="1"/>
    <col min="14713" max="14713" width="9" style="2" customWidth="1"/>
    <col min="14714" max="14714" width="2.375" style="2" customWidth="1"/>
    <col min="14715" max="14732" width="7.625" style="2" customWidth="1"/>
    <col min="14733" max="14895" width="9" style="2" customWidth="1"/>
    <col min="14896" max="14897" width="3.125" style="2" customWidth="1"/>
    <col min="14898" max="14898" width="5.875" style="2" bestFit="1" customWidth="1"/>
    <col min="14899" max="14899" width="5.625" style="2" customWidth="1"/>
    <col min="14900" max="14900" width="10.625" style="2" customWidth="1"/>
    <col min="14901" max="14901" width="12.625" style="2" customWidth="1"/>
    <col min="14902" max="14902" width="8.625" style="2" customWidth="1"/>
    <col min="14903" max="14903" width="5.625" style="2" customWidth="1"/>
    <col min="14904" max="14904" width="4.625" style="2" customWidth="1"/>
    <col min="14905" max="14905" width="5.625" style="2" customWidth="1"/>
    <col min="14906" max="14909" width="4.625" style="2" customWidth="1"/>
    <col min="14910" max="14910" width="7.625" style="2" customWidth="1"/>
    <col min="14911" max="14911" width="8.625" style="2" customWidth="1"/>
    <col min="14912" max="14913" width="5.625" style="2" customWidth="1"/>
    <col min="14914" max="14914" width="6.625" style="2" customWidth="1"/>
    <col min="14915" max="14915" width="9.875" style="2" customWidth="1"/>
    <col min="14916" max="14917" width="8.625" style="2" customWidth="1"/>
    <col min="14918" max="14918" width="5.5" style="2" bestFit="1" customWidth="1"/>
    <col min="14919" max="14960" width="6.75" style="2" customWidth="1"/>
    <col min="14961" max="14961" width="9" style="2" customWidth="1"/>
    <col min="14962" max="14962" width="9.875" style="2" customWidth="1"/>
    <col min="14963" max="14963" width="2.875" style="2" customWidth="1"/>
    <col min="14964" max="14964" width="12.25" style="2" customWidth="1"/>
    <col min="14965" max="14965" width="6.375" style="2" customWidth="1"/>
    <col min="14966" max="14967" width="3.125" style="2" customWidth="1"/>
    <col min="14968" max="14968" width="1.125" style="2" customWidth="1"/>
    <col min="14969" max="14969" width="9" style="2" customWidth="1"/>
    <col min="14970" max="14970" width="2.375" style="2" customWidth="1"/>
    <col min="14971" max="14988" width="7.625" style="2" customWidth="1"/>
    <col min="14989" max="15151" width="9" style="2" customWidth="1"/>
    <col min="15152" max="15153" width="3.125" style="2" customWidth="1"/>
    <col min="15154" max="15154" width="5.875" style="2" bestFit="1" customWidth="1"/>
    <col min="15155" max="15155" width="5.625" style="2" customWidth="1"/>
    <col min="15156" max="15156" width="10.625" style="2" customWidth="1"/>
    <col min="15157" max="15157" width="12.625" style="2" customWidth="1"/>
    <col min="15158" max="15158" width="8.625" style="2" customWidth="1"/>
    <col min="15159" max="15159" width="5.625" style="2" customWidth="1"/>
    <col min="15160" max="15160" width="4.625" style="2" customWidth="1"/>
    <col min="15161" max="15161" width="5.625" style="2" customWidth="1"/>
    <col min="15162" max="15165" width="4.625" style="2" customWidth="1"/>
    <col min="15166" max="15166" width="7.625" style="2" customWidth="1"/>
    <col min="15167" max="15167" width="8.625" style="2" customWidth="1"/>
    <col min="15168" max="15169" width="5.625" style="2" customWidth="1"/>
    <col min="15170" max="15170" width="6.625" style="2" customWidth="1"/>
    <col min="15171" max="15171" width="9.875" style="2" customWidth="1"/>
    <col min="15172" max="15173" width="8.625" style="2" customWidth="1"/>
    <col min="15174" max="15174" width="5.5" style="2" bestFit="1" customWidth="1"/>
    <col min="15175" max="15216" width="6.75" style="2" customWidth="1"/>
    <col min="15217" max="15217" width="9" style="2" customWidth="1"/>
    <col min="15218" max="15218" width="9.875" style="2" customWidth="1"/>
    <col min="15219" max="15219" width="2.875" style="2" customWidth="1"/>
    <col min="15220" max="15220" width="12.25" style="2" customWidth="1"/>
    <col min="15221" max="15221" width="6.375" style="2" customWidth="1"/>
    <col min="15222" max="15223" width="3.125" style="2" customWidth="1"/>
    <col min="15224" max="15224" width="1.125" style="2" customWidth="1"/>
    <col min="15225" max="15225" width="9" style="2" customWidth="1"/>
    <col min="15226" max="15226" width="2.375" style="2" customWidth="1"/>
    <col min="15227" max="15244" width="7.625" style="2" customWidth="1"/>
    <col min="15245" max="15407" width="9" style="2" customWidth="1"/>
    <col min="15408" max="15409" width="3.125" style="2" customWidth="1"/>
    <col min="15410" max="15410" width="5.875" style="2" bestFit="1" customWidth="1"/>
    <col min="15411" max="15411" width="5.625" style="2" customWidth="1"/>
    <col min="15412" max="15412" width="10.625" style="2" customWidth="1"/>
    <col min="15413" max="15413" width="12.625" style="2" customWidth="1"/>
    <col min="15414" max="15414" width="8.625" style="2" customWidth="1"/>
    <col min="15415" max="15415" width="5.625" style="2" customWidth="1"/>
    <col min="15416" max="15416" width="4.625" style="2" customWidth="1"/>
    <col min="15417" max="15417" width="5.625" style="2" customWidth="1"/>
    <col min="15418" max="15421" width="4.625" style="2" customWidth="1"/>
    <col min="15422" max="15422" width="7.625" style="2" customWidth="1"/>
    <col min="15423" max="15423" width="8.625" style="2" customWidth="1"/>
    <col min="15424" max="15425" width="5.625" style="2" customWidth="1"/>
    <col min="15426" max="15426" width="6.625" style="2" customWidth="1"/>
    <col min="15427" max="15427" width="9.875" style="2" customWidth="1"/>
    <col min="15428" max="15429" width="8.625" style="2" customWidth="1"/>
    <col min="15430" max="15430" width="5.5" style="2" bestFit="1" customWidth="1"/>
    <col min="15431" max="15472" width="6.75" style="2" customWidth="1"/>
    <col min="15473" max="15473" width="9" style="2" customWidth="1"/>
    <col min="15474" max="15474" width="9.875" style="2" customWidth="1"/>
    <col min="15475" max="15475" width="2.875" style="2" customWidth="1"/>
    <col min="15476" max="15476" width="12.25" style="2" customWidth="1"/>
    <col min="15477" max="15477" width="6.375" style="2" customWidth="1"/>
    <col min="15478" max="15479" width="3.125" style="2" customWidth="1"/>
    <col min="15480" max="15480" width="1.125" style="2" customWidth="1"/>
    <col min="15481" max="15481" width="9" style="2" customWidth="1"/>
    <col min="15482" max="15482" width="2.375" style="2" customWidth="1"/>
    <col min="15483" max="15500" width="7.625" style="2" customWidth="1"/>
    <col min="15501" max="15663" width="9" style="2" customWidth="1"/>
    <col min="15664" max="15665" width="3.125" style="2" customWidth="1"/>
    <col min="15666" max="15666" width="5.875" style="2" bestFit="1" customWidth="1"/>
    <col min="15667" max="15667" width="5.625" style="2" customWidth="1"/>
    <col min="15668" max="15668" width="10.625" style="2" customWidth="1"/>
    <col min="15669" max="15669" width="12.625" style="2" customWidth="1"/>
    <col min="15670" max="15670" width="8.625" style="2" customWidth="1"/>
    <col min="15671" max="15671" width="5.625" style="2" customWidth="1"/>
    <col min="15672" max="15672" width="4.625" style="2" customWidth="1"/>
    <col min="15673" max="15673" width="5.625" style="2" customWidth="1"/>
    <col min="15674" max="15677" width="4.625" style="2" customWidth="1"/>
    <col min="15678" max="15678" width="7.625" style="2" customWidth="1"/>
    <col min="15679" max="15679" width="8.625" style="2" customWidth="1"/>
    <col min="15680" max="15681" width="5.625" style="2" customWidth="1"/>
    <col min="15682" max="15682" width="6.625" style="2" customWidth="1"/>
    <col min="15683" max="15683" width="9.875" style="2" customWidth="1"/>
    <col min="15684" max="15685" width="8.625" style="2" customWidth="1"/>
    <col min="15686" max="15686" width="5.5" style="2" bestFit="1" customWidth="1"/>
    <col min="15687" max="15728" width="6.75" style="2" customWidth="1"/>
    <col min="15729" max="15729" width="9" style="2" customWidth="1"/>
    <col min="15730" max="15730" width="9.875" style="2" customWidth="1"/>
    <col min="15731" max="15731" width="2.875" style="2" customWidth="1"/>
    <col min="15732" max="15732" width="12.25" style="2" customWidth="1"/>
    <col min="15733" max="15733" width="6.375" style="2" customWidth="1"/>
    <col min="15734" max="15735" width="3.125" style="2" customWidth="1"/>
    <col min="15736" max="15736" width="1.125" style="2" customWidth="1"/>
    <col min="15737" max="15737" width="9" style="2" customWidth="1"/>
    <col min="15738" max="15738" width="2.375" style="2" customWidth="1"/>
    <col min="15739" max="15756" width="7.625" style="2" customWidth="1"/>
    <col min="15757" max="15919" width="9" style="2" customWidth="1"/>
    <col min="15920" max="15921" width="3.125" style="2" customWidth="1"/>
    <col min="15922" max="15922" width="5.875" style="2" bestFit="1" customWidth="1"/>
    <col min="15923" max="15923" width="5.625" style="2" customWidth="1"/>
    <col min="15924" max="15924" width="10.625" style="2" customWidth="1"/>
    <col min="15925" max="15925" width="12.625" style="2" customWidth="1"/>
    <col min="15926" max="15926" width="8.625" style="2" customWidth="1"/>
    <col min="15927" max="15927" width="5.625" style="2" customWidth="1"/>
    <col min="15928" max="15928" width="4.625" style="2" customWidth="1"/>
    <col min="15929" max="15929" width="5.625" style="2" customWidth="1"/>
    <col min="15930" max="15933" width="4.625" style="2" customWidth="1"/>
    <col min="15934" max="15934" width="7.625" style="2" customWidth="1"/>
    <col min="15935" max="15935" width="8.625" style="2" customWidth="1"/>
    <col min="15936" max="15937" width="5.625" style="2" customWidth="1"/>
    <col min="15938" max="15938" width="6.625" style="2" customWidth="1"/>
    <col min="15939" max="15939" width="9.875" style="2" customWidth="1"/>
    <col min="15940" max="15941" width="8.625" style="2" customWidth="1"/>
    <col min="15942" max="15942" width="5.5" style="2" bestFit="1" customWidth="1"/>
    <col min="15943" max="15984" width="6.75" style="2" customWidth="1"/>
    <col min="15985" max="15985" width="9" style="2" customWidth="1"/>
    <col min="15986" max="15986" width="9.875" style="2" customWidth="1"/>
    <col min="15987" max="15987" width="2.875" style="2" customWidth="1"/>
    <col min="15988" max="15988" width="12.25" style="2" customWidth="1"/>
    <col min="15989" max="15989" width="6.375" style="2" customWidth="1"/>
    <col min="15990" max="15991" width="3.125" style="2" customWidth="1"/>
    <col min="15992" max="15992" width="1.125" style="2" customWidth="1"/>
    <col min="15993" max="15993" width="9" style="2" customWidth="1"/>
    <col min="15994" max="15994" width="2.375" style="2" customWidth="1"/>
    <col min="15995" max="16012" width="7.625" style="2" customWidth="1"/>
    <col min="16013" max="16175" width="9" style="2" customWidth="1"/>
    <col min="16176" max="16177" width="3.125" style="2" customWidth="1"/>
    <col min="16178" max="16178" width="5.875" style="2" bestFit="1" customWidth="1"/>
    <col min="16179" max="16179" width="5.625" style="2" customWidth="1"/>
    <col min="16180" max="16180" width="10.625" style="2" customWidth="1"/>
    <col min="16181" max="16181" width="12.625" style="2" customWidth="1"/>
    <col min="16182" max="16182" width="8.625" style="2" customWidth="1"/>
    <col min="16183" max="16183" width="5.625" style="2" customWidth="1"/>
    <col min="16184" max="16184" width="4.625" style="2" customWidth="1"/>
    <col min="16185" max="16185" width="5.625" style="2" customWidth="1"/>
    <col min="16186" max="16189" width="4.625" style="2" customWidth="1"/>
    <col min="16190" max="16190" width="7.625" style="2" customWidth="1"/>
    <col min="16191" max="16191" width="8.625" style="2" customWidth="1"/>
    <col min="16192" max="16193" width="5.625" style="2" customWidth="1"/>
    <col min="16194" max="16194" width="6.625" style="2" customWidth="1"/>
    <col min="16195" max="16195" width="9.875" style="2" customWidth="1"/>
    <col min="16196" max="16197" width="8.625" style="2" customWidth="1"/>
    <col min="16198" max="16198" width="5.5" style="2" bestFit="1" customWidth="1"/>
    <col min="16199" max="16240" width="6.75" style="2" customWidth="1"/>
    <col min="16241" max="16241" width="9" style="2" customWidth="1"/>
    <col min="16242" max="16242" width="9.875" style="2" customWidth="1"/>
    <col min="16243" max="16243" width="2.875" style="2" customWidth="1"/>
    <col min="16244" max="16244" width="12.25" style="2" customWidth="1"/>
    <col min="16245" max="16245" width="6.375" style="2" customWidth="1"/>
    <col min="16246" max="16247" width="3.125" style="2" customWidth="1"/>
    <col min="16248" max="16248" width="1.125" style="2" customWidth="1"/>
    <col min="16249" max="16249" width="9" style="2" customWidth="1"/>
    <col min="16250" max="16250" width="2.375" style="2" customWidth="1"/>
    <col min="16251" max="16268" width="7.625" style="2" customWidth="1"/>
    <col min="16269" max="16384" width="9" style="2" customWidth="1"/>
  </cols>
  <sheetData>
    <row r="1" spans="1:132" ht="13.5" customHeight="1" x14ac:dyDescent="0.4">
      <c r="A1" s="203" t="str">
        <f>令和8年7月!$A$1</f>
        <v>天理</v>
      </c>
      <c r="B1" s="193"/>
      <c r="C1" s="193"/>
      <c r="D1" s="193"/>
      <c r="E1" s="193"/>
      <c r="F1" s="192" t="s">
        <v>0</v>
      </c>
      <c r="G1" s="195" t="s">
        <v>1</v>
      </c>
      <c r="H1" s="194" t="s">
        <v>2</v>
      </c>
      <c r="I1" s="193"/>
      <c r="J1" s="193"/>
      <c r="K1" s="193"/>
      <c r="L1" s="159"/>
      <c r="M1" s="194" t="s">
        <v>120</v>
      </c>
      <c r="N1" s="159"/>
      <c r="O1" s="159"/>
      <c r="P1" s="159"/>
      <c r="Q1" s="159"/>
      <c r="R1" s="159"/>
      <c r="S1" s="159"/>
      <c r="T1" s="159"/>
      <c r="U1" s="1"/>
      <c r="V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U1" s="162"/>
      <c r="AX1" s="204" t="s">
        <v>4</v>
      </c>
      <c r="AY1" s="199"/>
      <c r="AZ1" s="199"/>
      <c r="BA1" s="199"/>
      <c r="BB1" s="199"/>
      <c r="BC1" s="199"/>
      <c r="BD1" s="4"/>
    </row>
    <row r="2" spans="1:132" ht="13.5" customHeight="1" x14ac:dyDescent="0.4">
      <c r="A2" s="193"/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59"/>
      <c r="M2" s="193"/>
      <c r="N2" s="159"/>
      <c r="O2" s="159"/>
      <c r="P2" s="159"/>
      <c r="Q2" s="159"/>
      <c r="R2" s="159"/>
      <c r="S2" s="159"/>
      <c r="T2" s="159"/>
      <c r="U2" s="1"/>
      <c r="V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U2" s="162"/>
      <c r="AX2" s="199"/>
      <c r="AY2" s="199"/>
      <c r="AZ2" s="199"/>
      <c r="BA2" s="199"/>
      <c r="BB2" s="199"/>
      <c r="BC2" s="199"/>
      <c r="BD2" s="4"/>
    </row>
    <row r="3" spans="1:132" ht="13.9" customHeight="1" thickBot="1" x14ac:dyDescent="0.45">
      <c r="AC3" s="7"/>
    </row>
    <row r="4" spans="1:132" ht="26.45" customHeight="1" thickTop="1" thickBot="1" x14ac:dyDescent="0.45">
      <c r="A4" s="106" t="s">
        <v>5</v>
      </c>
      <c r="B4" s="94" t="s">
        <v>6</v>
      </c>
      <c r="C4" s="131" t="s">
        <v>7</v>
      </c>
      <c r="D4" s="131" t="s">
        <v>8</v>
      </c>
      <c r="E4" s="107" t="s">
        <v>9</v>
      </c>
      <c r="F4" s="108" t="s">
        <v>10</v>
      </c>
      <c r="G4" s="109" t="s">
        <v>11</v>
      </c>
      <c r="H4" s="110" t="s">
        <v>12</v>
      </c>
      <c r="I4" s="147" t="s">
        <v>13</v>
      </c>
      <c r="J4" s="111" t="s">
        <v>14</v>
      </c>
      <c r="K4" s="112" t="s">
        <v>15</v>
      </c>
      <c r="L4" s="113" t="s">
        <v>16</v>
      </c>
      <c r="M4" s="114" t="s">
        <v>17</v>
      </c>
      <c r="N4" s="115" t="s">
        <v>16</v>
      </c>
      <c r="O4" s="116" t="s">
        <v>18</v>
      </c>
      <c r="P4" s="117" t="s">
        <v>19</v>
      </c>
      <c r="Q4" s="118" t="s">
        <v>20</v>
      </c>
      <c r="R4" s="129" t="s">
        <v>21</v>
      </c>
      <c r="S4" s="130" t="s">
        <v>22</v>
      </c>
      <c r="T4" s="8" t="s">
        <v>23</v>
      </c>
      <c r="U4" s="9" t="s">
        <v>24</v>
      </c>
      <c r="V4" s="10" t="s">
        <v>25</v>
      </c>
      <c r="W4" s="11" t="s">
        <v>26</v>
      </c>
      <c r="X4" s="12" t="s">
        <v>27</v>
      </c>
      <c r="Y4" s="13" t="s">
        <v>28</v>
      </c>
      <c r="Z4" s="119" t="s">
        <v>29</v>
      </c>
      <c r="AA4" s="14" t="s">
        <v>30</v>
      </c>
      <c r="AB4" s="15" t="s">
        <v>31</v>
      </c>
      <c r="AC4" s="16" t="s">
        <v>32</v>
      </c>
      <c r="AD4" s="17" t="s">
        <v>33</v>
      </c>
      <c r="AE4" s="18" t="s">
        <v>34</v>
      </c>
      <c r="AF4" s="18" t="s">
        <v>35</v>
      </c>
      <c r="AG4" s="18" t="s">
        <v>36</v>
      </c>
      <c r="AH4" s="18" t="s">
        <v>37</v>
      </c>
      <c r="AI4" s="18" t="s">
        <v>38</v>
      </c>
      <c r="AJ4" s="18" t="s">
        <v>39</v>
      </c>
      <c r="AK4" s="18" t="s">
        <v>40</v>
      </c>
      <c r="AL4" s="17" t="s">
        <v>41</v>
      </c>
      <c r="AM4" s="18" t="str">
        <f>令和8年7月!$AM$4</f>
        <v>フリー①</v>
      </c>
      <c r="AN4" s="132" t="str">
        <f>令和8年7月!$AN$4</f>
        <v>フリー②</v>
      </c>
      <c r="AO4" s="18" t="str">
        <f>令和8年7月!$AO$4</f>
        <v>フリー③</v>
      </c>
      <c r="AP4" s="18" t="str">
        <f>令和8年7月!$AP$4</f>
        <v>フリー④</v>
      </c>
      <c r="AQ4" s="78" t="str">
        <f>令和8年7月!$AQ$4</f>
        <v>フリー⑤</v>
      </c>
      <c r="AR4" s="19" t="s">
        <v>47</v>
      </c>
      <c r="AS4" s="20" t="s">
        <v>48</v>
      </c>
      <c r="AT4" s="21" t="s">
        <v>49</v>
      </c>
      <c r="AU4" s="163"/>
      <c r="AV4" s="80" t="s">
        <v>5</v>
      </c>
      <c r="AW4" s="76" t="s">
        <v>50</v>
      </c>
      <c r="AX4" s="75" t="s">
        <v>48</v>
      </c>
      <c r="AY4" s="76" t="s">
        <v>51</v>
      </c>
      <c r="AZ4" s="75" t="s">
        <v>48</v>
      </c>
      <c r="BA4" s="76" t="s">
        <v>52</v>
      </c>
      <c r="BB4" s="75" t="s">
        <v>48</v>
      </c>
      <c r="BC4" s="76" t="s">
        <v>53</v>
      </c>
      <c r="BD4" s="75" t="s">
        <v>48</v>
      </c>
      <c r="BE4" s="76" t="s">
        <v>54</v>
      </c>
      <c r="BF4" s="75" t="s">
        <v>48</v>
      </c>
      <c r="BG4" s="76" t="s">
        <v>55</v>
      </c>
      <c r="BH4" s="75" t="s">
        <v>48</v>
      </c>
      <c r="BI4" s="76" t="s">
        <v>56</v>
      </c>
      <c r="BJ4" s="75" t="s">
        <v>48</v>
      </c>
      <c r="BK4" s="76" t="s">
        <v>57</v>
      </c>
      <c r="BL4" s="75" t="s">
        <v>48</v>
      </c>
      <c r="BM4" s="76" t="s">
        <v>58</v>
      </c>
      <c r="BN4" s="75" t="s">
        <v>48</v>
      </c>
      <c r="BO4" s="76" t="s">
        <v>59</v>
      </c>
      <c r="BP4" s="75" t="s">
        <v>48</v>
      </c>
      <c r="BQ4" s="76" t="s">
        <v>60</v>
      </c>
      <c r="BR4" s="75" t="s">
        <v>48</v>
      </c>
      <c r="BS4" s="76" t="s">
        <v>61</v>
      </c>
      <c r="BT4" s="75" t="s">
        <v>48</v>
      </c>
      <c r="BU4" s="76" t="s">
        <v>62</v>
      </c>
      <c r="BV4" s="75" t="s">
        <v>48</v>
      </c>
      <c r="BW4" s="76" t="s">
        <v>63</v>
      </c>
      <c r="BX4" s="75" t="s">
        <v>48</v>
      </c>
      <c r="BY4" s="76" t="s">
        <v>64</v>
      </c>
      <c r="BZ4" s="75" t="s">
        <v>48</v>
      </c>
      <c r="CA4" s="76" t="s">
        <v>65</v>
      </c>
      <c r="CB4" s="75" t="s">
        <v>48</v>
      </c>
      <c r="CC4" s="76" t="s">
        <v>66</v>
      </c>
      <c r="CD4" s="81" t="s">
        <v>48</v>
      </c>
      <c r="CE4" s="76" t="s">
        <v>42</v>
      </c>
      <c r="CF4" s="81" t="s">
        <v>48</v>
      </c>
      <c r="CG4" s="76" t="s">
        <v>43</v>
      </c>
      <c r="CH4" s="75" t="s">
        <v>48</v>
      </c>
      <c r="CI4" s="76" t="s">
        <v>44</v>
      </c>
      <c r="CJ4" s="81" t="s">
        <v>48</v>
      </c>
      <c r="CK4" s="76" t="s">
        <v>45</v>
      </c>
      <c r="CL4" s="81" t="s">
        <v>48</v>
      </c>
      <c r="CM4" s="76" t="s">
        <v>46</v>
      </c>
      <c r="CN4" s="75" t="s">
        <v>48</v>
      </c>
      <c r="CO4" s="76" t="s">
        <v>67</v>
      </c>
      <c r="CP4" s="81" t="s">
        <v>48</v>
      </c>
      <c r="CQ4" s="76" t="s">
        <v>68</v>
      </c>
      <c r="CR4" s="81" t="s">
        <v>48</v>
      </c>
      <c r="CS4" s="76" t="s">
        <v>69</v>
      </c>
      <c r="CT4" s="20" t="s">
        <v>48</v>
      </c>
      <c r="CU4" s="85" t="s">
        <v>70</v>
      </c>
      <c r="CV4" s="86" t="s">
        <v>71</v>
      </c>
      <c r="CW4" s="89"/>
      <c r="CX4" s="85" t="s">
        <v>104</v>
      </c>
      <c r="CY4" s="153" t="s">
        <v>15</v>
      </c>
      <c r="CZ4" s="155" t="s">
        <v>105</v>
      </c>
      <c r="DA4" s="93" t="s">
        <v>15</v>
      </c>
      <c r="DB4" s="94" t="s">
        <v>5</v>
      </c>
      <c r="DC4" s="95" t="s">
        <v>6</v>
      </c>
      <c r="DD4" s="2" t="s">
        <v>164</v>
      </c>
      <c r="DF4" s="121" t="s">
        <v>74</v>
      </c>
      <c r="DG4" s="122" t="s">
        <v>75</v>
      </c>
      <c r="DH4" s="122" t="s">
        <v>76</v>
      </c>
      <c r="DI4" s="122" t="s">
        <v>77</v>
      </c>
      <c r="DJ4" s="122" t="s">
        <v>78</v>
      </c>
      <c r="DK4" s="122" t="s">
        <v>42</v>
      </c>
      <c r="DL4" s="122" t="s">
        <v>43</v>
      </c>
      <c r="DM4" s="122" t="s">
        <v>44</v>
      </c>
      <c r="DN4" s="122" t="s">
        <v>45</v>
      </c>
      <c r="DO4" s="122" t="s">
        <v>46</v>
      </c>
      <c r="DP4" s="123" t="s">
        <v>79</v>
      </c>
      <c r="DQ4" s="124" t="s">
        <v>48</v>
      </c>
      <c r="DS4" s="205" t="s">
        <v>80</v>
      </c>
      <c r="DT4" s="206"/>
      <c r="DU4" s="206"/>
      <c r="DV4" s="207"/>
      <c r="DW4" s="160" t="s">
        <v>81</v>
      </c>
      <c r="DX4" s="160" t="s">
        <v>82</v>
      </c>
      <c r="DY4" s="22"/>
      <c r="DZ4" s="22"/>
      <c r="EA4" s="22"/>
    </row>
    <row r="5" spans="1:132" ht="13.5" customHeight="1" x14ac:dyDescent="0.4">
      <c r="A5" s="104">
        <v>1</v>
      </c>
      <c r="B5" s="23" t="s">
        <v>91</v>
      </c>
      <c r="C5" s="164"/>
      <c r="D5" s="164"/>
      <c r="E5" s="24"/>
      <c r="F5" s="29"/>
      <c r="G5" s="25" t="str">
        <f>IF(SUM($F$5:F5)=0,"",SUM($F$5:F5))</f>
        <v/>
      </c>
      <c r="H5" s="43" t="str">
        <f t="shared" ref="H5:H35" si="0">IF(ISERROR(G5/V5),"",(G5/V5))</f>
        <v/>
      </c>
      <c r="I5" s="148" t="e">
        <f t="array" aca="1" ref="I5" ca="1">IF($A6="",$G5/($V5-$U$5+INDIRECT(IF(_xlfn.SHEET()&lt;6,"令和8年"&amp;_xlfn.SHEET()+7&amp;"月","令和9年"&amp;_xlfn.SHEET()-5&amp;"月")&amp;"!$U$5")),$G5/($V6-$U$5))</f>
        <v>#VALUE!</v>
      </c>
      <c r="J5" s="26" t="str">
        <f t="shared" ref="J5:J35" si="1">IFERROR(G5/AC5,"")</f>
        <v/>
      </c>
      <c r="K5" s="27"/>
      <c r="L5" s="165">
        <f t="shared" ref="L5:L37" si="2">IF(ISERROR(K5/W5),"",(K5/W5))</f>
        <v>0</v>
      </c>
      <c r="M5" s="28" t="str">
        <f t="shared" ref="M5:M35" si="3">IF(ISERROR(F5/K5),"",(F5/K5))</f>
        <v/>
      </c>
      <c r="N5" s="166" t="str">
        <f t="shared" ref="N5:N37" si="4">IF(ISERROR(M5/X5),"",(M5/X5))</f>
        <v/>
      </c>
      <c r="O5" s="167" t="str">
        <f t="shared" ref="O5:O35" si="5">IF(ISERROR(F5/P5),"",(F5/P5))</f>
        <v/>
      </c>
      <c r="P5" s="168"/>
      <c r="Q5" s="169" t="str">
        <f t="shared" ref="Q5:Q35" si="6">IF(ISERROR(P5/K5),"",(P5/K5))</f>
        <v/>
      </c>
      <c r="R5" s="170">
        <v>20</v>
      </c>
      <c r="S5" s="171">
        <v>8</v>
      </c>
      <c r="T5" s="24" t="s">
        <v>84</v>
      </c>
      <c r="U5" s="29">
        <v>178614</v>
      </c>
      <c r="V5" s="30">
        <f>SUM(U5)</f>
        <v>178614</v>
      </c>
      <c r="W5" s="27">
        <v>122</v>
      </c>
      <c r="X5" s="31">
        <f t="shared" ref="X5:X35" si="7">IF(ISERROR(U5/W5),"",(U5/W5))</f>
        <v>1464.049180327869</v>
      </c>
      <c r="Y5" s="29">
        <v>600133</v>
      </c>
      <c r="Z5" s="32">
        <f>SUM(Y5)</f>
        <v>600133</v>
      </c>
      <c r="AA5" s="33">
        <f t="shared" ref="AA5:AA35" si="8">IF(ISERROR(V5/Z5),"",(V5/Z5))</f>
        <v>0.29762402667408722</v>
      </c>
      <c r="AB5" s="158">
        <v>250000</v>
      </c>
      <c r="AC5" s="34">
        <f>AB5</f>
        <v>250000</v>
      </c>
      <c r="AD5" s="158"/>
      <c r="AE5" s="25"/>
      <c r="AF5" s="25"/>
      <c r="AG5" s="25"/>
      <c r="AH5" s="25"/>
      <c r="AI5" s="25"/>
      <c r="AJ5" s="25"/>
      <c r="AK5" s="25"/>
      <c r="AL5" s="158"/>
      <c r="AM5" s="25"/>
      <c r="AN5" s="158"/>
      <c r="AO5" s="25"/>
      <c r="AP5" s="25"/>
      <c r="AQ5" s="158"/>
      <c r="AR5" s="35">
        <f t="shared" ref="AR5:AR35" si="9">SUM(AD5:AQ5)</f>
        <v>0</v>
      </c>
      <c r="AS5" s="172" t="str">
        <f t="shared" ref="AS5:AS35" si="10">IF(ISERROR((AR5/F5)),"",AR5/F5)</f>
        <v/>
      </c>
      <c r="AT5" s="36">
        <f t="shared" ref="AT5:AT35" si="11">F5-AR5+DW5</f>
        <v>0</v>
      </c>
      <c r="AU5" s="173"/>
      <c r="AV5" s="82">
        <f t="shared" ref="AV5:AV35" si="12">A5</f>
        <v>1</v>
      </c>
      <c r="AW5" s="37"/>
      <c r="AX5" s="174" t="str">
        <f t="shared" ref="AX5:AX35" si="13">IF(ISERROR((AW5/$F5)),"",AW5/$F5)</f>
        <v/>
      </c>
      <c r="AY5" s="37"/>
      <c r="AZ5" s="174" t="str">
        <f t="shared" ref="AZ5:AZ35" si="14">IF(ISERROR((AY5/$F5)),"",AY5/$F5)</f>
        <v/>
      </c>
      <c r="BA5" s="37"/>
      <c r="BB5" s="174" t="str">
        <f t="shared" ref="BB5:BB35" si="15">IF(ISERROR((BA5/$F5)),"",BA5/$F5)</f>
        <v/>
      </c>
      <c r="BC5" s="37"/>
      <c r="BD5" s="174" t="str">
        <f t="shared" ref="BD5:BD35" si="16">IF(ISERROR((BC5/$F5)),"",BC5/$F5)</f>
        <v/>
      </c>
      <c r="BE5" s="37"/>
      <c r="BF5" s="174" t="str">
        <f t="shared" ref="BF5:BF35" si="17">IF(ISERROR((BE5/$F5)),"",BE5/$F5)</f>
        <v/>
      </c>
      <c r="BG5" s="37"/>
      <c r="BH5" s="174" t="str">
        <f t="shared" ref="BH5:BH35" si="18">IF(ISERROR((BG5/$F5)),"",BG5/$F5)</f>
        <v/>
      </c>
      <c r="BI5" s="37"/>
      <c r="BJ5" s="174" t="str">
        <f t="shared" ref="BJ5:BJ35" si="19">IF(ISERROR((BI5/$F5)),"",BI5/$F5)</f>
        <v/>
      </c>
      <c r="BK5" s="37"/>
      <c r="BL5" s="174" t="str">
        <f t="shared" ref="BL5:BL35" si="20">IF(ISERROR((BK5/$F5)),"",BK5/$F5)</f>
        <v/>
      </c>
      <c r="BM5" s="37"/>
      <c r="BN5" s="174" t="str">
        <f t="shared" ref="BN5:BN35" si="21">IF(ISERROR((BM5/$F5)),"",BM5/$F5)</f>
        <v/>
      </c>
      <c r="BO5" s="37"/>
      <c r="BP5" s="174" t="str">
        <f t="shared" ref="BP5:BP35" si="22">IF(ISERROR((BO5/$F5)),"",BO5/$F5)</f>
        <v/>
      </c>
      <c r="BQ5" s="37"/>
      <c r="BR5" s="174" t="str">
        <f t="shared" ref="BR5:BR35" si="23">IF(ISERROR((BQ5/$F5)),"",BQ5/$F5)</f>
        <v/>
      </c>
      <c r="BS5" s="37"/>
      <c r="BT5" s="174" t="str">
        <f t="shared" ref="BT5:BT35" si="24">IF(ISERROR((BS5/$F5)),"",BS5/$F5)</f>
        <v/>
      </c>
      <c r="BU5" s="37"/>
      <c r="BV5" s="174" t="str">
        <f t="shared" ref="BV5:BV35" si="25">IF(ISERROR((BU5/$F5)),"",BU5/$F5)</f>
        <v/>
      </c>
      <c r="BW5" s="37"/>
      <c r="BX5" s="174" t="str">
        <f t="shared" ref="BX5:BX35" si="26">IF(ISERROR((BW5/$F5)),"",BW5/$F5)</f>
        <v/>
      </c>
      <c r="BY5" s="37"/>
      <c r="BZ5" s="174" t="str">
        <f t="shared" ref="BZ5:BZ35" si="27">IF(ISERROR((BY5/$F5)),"",BY5/$F5)</f>
        <v/>
      </c>
      <c r="CA5" s="37"/>
      <c r="CB5" s="174" t="str">
        <f t="shared" ref="CB5:CB35" si="28">IF(ISERROR((CA5/$F5)),"",CA5/$F5)</f>
        <v/>
      </c>
      <c r="CC5" s="37"/>
      <c r="CD5" s="174" t="str">
        <f t="shared" ref="CD5:CD35" si="29">IF(ISERROR((CC5/$F5)),"",CC5/$F5)</f>
        <v/>
      </c>
      <c r="CE5" s="37"/>
      <c r="CF5" s="174" t="str">
        <f t="shared" ref="CF5:CF35" si="30">IF(ISERROR((CE5/$F5)),"",CE5/$F5)</f>
        <v/>
      </c>
      <c r="CG5" s="37"/>
      <c r="CH5" s="174" t="str">
        <f t="shared" ref="CH5:CH35" si="31">IF(ISERROR((CG5/$F5)),"",CG5/$F5)</f>
        <v/>
      </c>
      <c r="CI5" s="37"/>
      <c r="CJ5" s="174" t="str">
        <f t="shared" ref="CJ5:CJ35" si="32">IF(ISERROR((CI5/$F5)),"",CI5/$F5)</f>
        <v/>
      </c>
      <c r="CK5" s="37"/>
      <c r="CL5" s="174" t="str">
        <f t="shared" ref="CL5:CL35" si="33">IF(ISERROR((CK5/$F5)),"",CK5/$F5)</f>
        <v/>
      </c>
      <c r="CM5" s="37"/>
      <c r="CN5" s="174" t="str">
        <f t="shared" ref="CN5:CN35" si="34">IF(ISERROR((CM5/$F5)),"",CM5/$F5)</f>
        <v/>
      </c>
      <c r="CO5" s="37"/>
      <c r="CP5" s="174" t="str">
        <f t="shared" ref="CP5:CP35" si="35">IF(ISERROR((CO5/$F5)),"",CO5/$F5)</f>
        <v/>
      </c>
      <c r="CQ5" s="37"/>
      <c r="CR5" s="174" t="str">
        <f t="shared" ref="CR5:CR35" si="36">IF(ISERROR((CQ5/$F5)),"",CQ5/$F5)</f>
        <v/>
      </c>
      <c r="CS5" s="37"/>
      <c r="CT5" s="174" t="str">
        <f t="shared" ref="CT5:CT35" si="37">IF(ISERROR((CS5/$F5)),"",CS5/$F5)</f>
        <v/>
      </c>
      <c r="CU5" s="38"/>
      <c r="CV5" s="87"/>
      <c r="CW5" s="90"/>
      <c r="CX5" s="38"/>
      <c r="CY5" s="39"/>
      <c r="CZ5" s="37"/>
      <c r="DA5" s="39"/>
      <c r="DB5" s="24">
        <v>1</v>
      </c>
      <c r="DC5" s="96" t="str">
        <f t="shared" ref="DC5:DC35" si="38">B5</f>
        <v>火</v>
      </c>
      <c r="DF5" s="125"/>
      <c r="DG5" s="40"/>
      <c r="DH5" s="40"/>
      <c r="DI5" s="40"/>
      <c r="DJ5" s="40"/>
      <c r="DK5" s="40"/>
      <c r="DL5" s="40"/>
      <c r="DM5" s="40"/>
      <c r="DN5" s="40"/>
      <c r="DO5" s="40"/>
      <c r="DP5" s="40">
        <f t="shared" ref="DP5:DP35" si="39">SUM(DF5:DO5)</f>
        <v>0</v>
      </c>
      <c r="DQ5" s="172" t="str">
        <f t="shared" ref="DQ5:DQ35" si="40">IF(ISERROR((DP5/F5)),"",DP5/F5)</f>
        <v/>
      </c>
      <c r="DS5" s="189"/>
      <c r="DT5" s="190"/>
      <c r="DU5" s="190"/>
      <c r="DV5" s="191"/>
      <c r="DW5" s="41"/>
      <c r="DX5" s="42"/>
      <c r="DY5" s="22"/>
      <c r="DZ5" s="22"/>
      <c r="EA5" s="22"/>
    </row>
    <row r="6" spans="1:132" ht="13.5" customHeight="1" x14ac:dyDescent="0.4">
      <c r="A6" s="104">
        <v>2</v>
      </c>
      <c r="B6" s="23" t="s">
        <v>83</v>
      </c>
      <c r="C6" s="164"/>
      <c r="D6" s="164"/>
      <c r="E6" s="24"/>
      <c r="F6" s="29"/>
      <c r="G6" s="25" t="str">
        <f>IF(SUM($F$5:F6)=0,"",SUM($F$5:F6))</f>
        <v/>
      </c>
      <c r="H6" s="43" t="str">
        <f t="shared" si="0"/>
        <v/>
      </c>
      <c r="I6" s="148" t="e">
        <f t="array" aca="1" ref="I6" ca="1">IF($A7="",$G6/($V6-$U$5+INDIRECT(IF(_xlfn.SHEET()&lt;6,"令和8年"&amp;_xlfn.SHEET()+7&amp;"月","令和9年"&amp;_xlfn.SHEET()-5&amp;"月")&amp;"!$U$5")),$G6/($V7-$U$5))</f>
        <v>#VALUE!</v>
      </c>
      <c r="J6" s="26" t="str">
        <f t="shared" si="1"/>
        <v/>
      </c>
      <c r="K6" s="27"/>
      <c r="L6" s="165">
        <f t="shared" si="2"/>
        <v>0</v>
      </c>
      <c r="M6" s="28" t="str">
        <f t="shared" si="3"/>
        <v/>
      </c>
      <c r="N6" s="166" t="str">
        <f t="shared" si="4"/>
        <v/>
      </c>
      <c r="O6" s="167" t="str">
        <f t="shared" si="5"/>
        <v/>
      </c>
      <c r="P6" s="168"/>
      <c r="Q6" s="169" t="str">
        <f t="shared" si="6"/>
        <v/>
      </c>
      <c r="R6" s="170">
        <v>20</v>
      </c>
      <c r="S6" s="171">
        <v>9</v>
      </c>
      <c r="T6" s="24" t="s">
        <v>84</v>
      </c>
      <c r="U6" s="29">
        <v>177251</v>
      </c>
      <c r="V6" s="30">
        <f t="shared" ref="V6:V35" si="41">SUM(V5+U6)</f>
        <v>355865</v>
      </c>
      <c r="W6" s="27">
        <v>103</v>
      </c>
      <c r="X6" s="31">
        <f t="shared" si="7"/>
        <v>1720.8834951456311</v>
      </c>
      <c r="Y6" s="29">
        <v>176262</v>
      </c>
      <c r="Z6" s="32">
        <f t="shared" ref="Z6:Z35" si="42">SUM(Z5+Y6)</f>
        <v>776395</v>
      </c>
      <c r="AA6" s="33">
        <f t="shared" si="8"/>
        <v>0.45835560507216044</v>
      </c>
      <c r="AB6" s="158">
        <v>250000</v>
      </c>
      <c r="AC6" s="34">
        <f t="shared" ref="AC6:AC35" si="43">AB6+AC5</f>
        <v>500000</v>
      </c>
      <c r="AD6" s="158"/>
      <c r="AE6" s="25"/>
      <c r="AF6" s="25"/>
      <c r="AG6" s="25"/>
      <c r="AH6" s="25"/>
      <c r="AI6" s="25"/>
      <c r="AJ6" s="25"/>
      <c r="AK6" s="25"/>
      <c r="AL6" s="158"/>
      <c r="AM6" s="25"/>
      <c r="AN6" s="158"/>
      <c r="AO6" s="25"/>
      <c r="AP6" s="25"/>
      <c r="AQ6" s="158"/>
      <c r="AR6" s="35">
        <f t="shared" si="9"/>
        <v>0</v>
      </c>
      <c r="AS6" s="172" t="str">
        <f t="shared" si="10"/>
        <v/>
      </c>
      <c r="AT6" s="36">
        <f t="shared" si="11"/>
        <v>0</v>
      </c>
      <c r="AU6" s="173"/>
      <c r="AV6" s="82">
        <f t="shared" si="12"/>
        <v>2</v>
      </c>
      <c r="AW6" s="37"/>
      <c r="AX6" s="174" t="str">
        <f t="shared" si="13"/>
        <v/>
      </c>
      <c r="AY6" s="37"/>
      <c r="AZ6" s="174" t="str">
        <f t="shared" si="14"/>
        <v/>
      </c>
      <c r="BA6" s="37"/>
      <c r="BB6" s="174" t="str">
        <f t="shared" si="15"/>
        <v/>
      </c>
      <c r="BC6" s="37"/>
      <c r="BD6" s="174" t="str">
        <f t="shared" si="16"/>
        <v/>
      </c>
      <c r="BE6" s="37"/>
      <c r="BF6" s="174" t="str">
        <f t="shared" si="17"/>
        <v/>
      </c>
      <c r="BG6" s="37"/>
      <c r="BH6" s="174" t="str">
        <f t="shared" si="18"/>
        <v/>
      </c>
      <c r="BI6" s="37"/>
      <c r="BJ6" s="174" t="str">
        <f t="shared" si="19"/>
        <v/>
      </c>
      <c r="BK6" s="37"/>
      <c r="BL6" s="174" t="str">
        <f t="shared" si="20"/>
        <v/>
      </c>
      <c r="BM6" s="37"/>
      <c r="BN6" s="174" t="str">
        <f t="shared" si="21"/>
        <v/>
      </c>
      <c r="BO6" s="37"/>
      <c r="BP6" s="174" t="str">
        <f t="shared" si="22"/>
        <v/>
      </c>
      <c r="BQ6" s="37"/>
      <c r="BR6" s="174" t="str">
        <f t="shared" si="23"/>
        <v/>
      </c>
      <c r="BS6" s="37"/>
      <c r="BT6" s="174" t="str">
        <f t="shared" si="24"/>
        <v/>
      </c>
      <c r="BU6" s="37"/>
      <c r="BV6" s="174" t="str">
        <f t="shared" si="25"/>
        <v/>
      </c>
      <c r="BW6" s="37"/>
      <c r="BX6" s="174" t="str">
        <f t="shared" si="26"/>
        <v/>
      </c>
      <c r="BY6" s="37"/>
      <c r="BZ6" s="174" t="str">
        <f t="shared" si="27"/>
        <v/>
      </c>
      <c r="CA6" s="37"/>
      <c r="CB6" s="174" t="str">
        <f t="shared" si="28"/>
        <v/>
      </c>
      <c r="CC6" s="37"/>
      <c r="CD6" s="174" t="str">
        <f t="shared" si="29"/>
        <v/>
      </c>
      <c r="CE6" s="37"/>
      <c r="CF6" s="174" t="str">
        <f t="shared" si="30"/>
        <v/>
      </c>
      <c r="CG6" s="37"/>
      <c r="CH6" s="174" t="str">
        <f t="shared" si="31"/>
        <v/>
      </c>
      <c r="CI6" s="37"/>
      <c r="CJ6" s="174" t="str">
        <f t="shared" si="32"/>
        <v/>
      </c>
      <c r="CK6" s="37"/>
      <c r="CL6" s="174" t="str">
        <f t="shared" si="33"/>
        <v/>
      </c>
      <c r="CM6" s="37"/>
      <c r="CN6" s="174" t="str">
        <f t="shared" si="34"/>
        <v/>
      </c>
      <c r="CO6" s="37"/>
      <c r="CP6" s="174" t="str">
        <f t="shared" si="35"/>
        <v/>
      </c>
      <c r="CQ6" s="37"/>
      <c r="CR6" s="174" t="str">
        <f t="shared" si="36"/>
        <v/>
      </c>
      <c r="CS6" s="37"/>
      <c r="CT6" s="174" t="str">
        <f t="shared" si="37"/>
        <v/>
      </c>
      <c r="CU6" s="38"/>
      <c r="CV6" s="87"/>
      <c r="CW6" s="90"/>
      <c r="CX6" s="38"/>
      <c r="CY6" s="39"/>
      <c r="CZ6" s="37"/>
      <c r="DA6" s="39"/>
      <c r="DB6" s="24">
        <v>2</v>
      </c>
      <c r="DC6" s="96" t="str">
        <f t="shared" si="38"/>
        <v>水</v>
      </c>
      <c r="DF6" s="125"/>
      <c r="DG6" s="40"/>
      <c r="DH6" s="40"/>
      <c r="DI6" s="40"/>
      <c r="DJ6" s="40"/>
      <c r="DK6" s="40"/>
      <c r="DL6" s="40"/>
      <c r="DM6" s="40"/>
      <c r="DN6" s="40"/>
      <c r="DO6" s="40"/>
      <c r="DP6" s="40">
        <f t="shared" si="39"/>
        <v>0</v>
      </c>
      <c r="DQ6" s="172" t="str">
        <f t="shared" si="40"/>
        <v/>
      </c>
      <c r="DS6" s="189"/>
      <c r="DT6" s="190"/>
      <c r="DU6" s="190"/>
      <c r="DV6" s="191"/>
      <c r="DW6" s="41"/>
      <c r="DX6" s="42"/>
      <c r="DY6" s="22"/>
      <c r="DZ6" s="22"/>
      <c r="EA6" s="22"/>
    </row>
    <row r="7" spans="1:132" ht="13.5" customHeight="1" x14ac:dyDescent="0.4">
      <c r="A7" s="104">
        <v>3</v>
      </c>
      <c r="B7" s="23" t="s">
        <v>85</v>
      </c>
      <c r="C7" s="164"/>
      <c r="D7" s="164"/>
      <c r="E7" s="24"/>
      <c r="F7" s="29"/>
      <c r="G7" s="25" t="str">
        <f>IF(SUM($F$5:F7)=0,"",SUM($F$5:F7))</f>
        <v/>
      </c>
      <c r="H7" s="43" t="str">
        <f t="shared" si="0"/>
        <v/>
      </c>
      <c r="I7" s="148" t="e">
        <f t="array" aca="1" ref="I7" ca="1">IF($A8="",$G7/($V7-$U$5+INDIRECT(IF(_xlfn.SHEET()&lt;6,"令和8年"&amp;_xlfn.SHEET()+7&amp;"月","令和9年"&amp;_xlfn.SHEET()-5&amp;"月")&amp;"!$U$5")),$G7/($V8-$U$5))</f>
        <v>#VALUE!</v>
      </c>
      <c r="J7" s="26" t="str">
        <f t="shared" si="1"/>
        <v/>
      </c>
      <c r="K7" s="27"/>
      <c r="L7" s="165">
        <f t="shared" si="2"/>
        <v>0</v>
      </c>
      <c r="M7" s="28" t="str">
        <f t="shared" si="3"/>
        <v/>
      </c>
      <c r="N7" s="166" t="str">
        <f t="shared" si="4"/>
        <v/>
      </c>
      <c r="O7" s="167" t="str">
        <f t="shared" si="5"/>
        <v/>
      </c>
      <c r="P7" s="168"/>
      <c r="Q7" s="169" t="str">
        <f t="shared" si="6"/>
        <v/>
      </c>
      <c r="R7" s="170">
        <v>13</v>
      </c>
      <c r="S7" s="171">
        <v>5</v>
      </c>
      <c r="T7" s="24" t="s">
        <v>114</v>
      </c>
      <c r="U7" s="29">
        <v>174131</v>
      </c>
      <c r="V7" s="30">
        <f t="shared" si="41"/>
        <v>529996</v>
      </c>
      <c r="W7" s="27">
        <v>137</v>
      </c>
      <c r="X7" s="31">
        <f t="shared" si="7"/>
        <v>1271.0291970802921</v>
      </c>
      <c r="Y7" s="29">
        <v>159056</v>
      </c>
      <c r="Z7" s="32">
        <f t="shared" si="42"/>
        <v>935451</v>
      </c>
      <c r="AA7" s="33">
        <f t="shared" si="8"/>
        <v>0.56656735628055344</v>
      </c>
      <c r="AB7" s="158">
        <v>250000</v>
      </c>
      <c r="AC7" s="34">
        <f t="shared" si="43"/>
        <v>750000</v>
      </c>
      <c r="AD7" s="158"/>
      <c r="AE7" s="25"/>
      <c r="AF7" s="25"/>
      <c r="AG7" s="25"/>
      <c r="AH7" s="25"/>
      <c r="AI7" s="25"/>
      <c r="AJ7" s="25"/>
      <c r="AK7" s="25"/>
      <c r="AL7" s="158"/>
      <c r="AM7" s="25"/>
      <c r="AN7" s="158"/>
      <c r="AO7" s="25"/>
      <c r="AP7" s="25"/>
      <c r="AQ7" s="158"/>
      <c r="AR7" s="35">
        <f t="shared" si="9"/>
        <v>0</v>
      </c>
      <c r="AS7" s="172" t="str">
        <f t="shared" si="10"/>
        <v/>
      </c>
      <c r="AT7" s="36">
        <f t="shared" si="11"/>
        <v>0</v>
      </c>
      <c r="AU7" s="173"/>
      <c r="AV7" s="82">
        <f t="shared" si="12"/>
        <v>3</v>
      </c>
      <c r="AW7" s="37"/>
      <c r="AX7" s="174" t="str">
        <f t="shared" si="13"/>
        <v/>
      </c>
      <c r="AY7" s="37"/>
      <c r="AZ7" s="174" t="str">
        <f t="shared" si="14"/>
        <v/>
      </c>
      <c r="BA7" s="37"/>
      <c r="BB7" s="174" t="str">
        <f t="shared" si="15"/>
        <v/>
      </c>
      <c r="BC7" s="37"/>
      <c r="BD7" s="174" t="str">
        <f t="shared" si="16"/>
        <v/>
      </c>
      <c r="BE7" s="37"/>
      <c r="BF7" s="174" t="str">
        <f t="shared" si="17"/>
        <v/>
      </c>
      <c r="BG7" s="37"/>
      <c r="BH7" s="174" t="str">
        <f t="shared" si="18"/>
        <v/>
      </c>
      <c r="BI7" s="37"/>
      <c r="BJ7" s="174" t="str">
        <f t="shared" si="19"/>
        <v/>
      </c>
      <c r="BK7" s="37"/>
      <c r="BL7" s="174" t="str">
        <f t="shared" si="20"/>
        <v/>
      </c>
      <c r="BM7" s="37"/>
      <c r="BN7" s="174" t="str">
        <f t="shared" si="21"/>
        <v/>
      </c>
      <c r="BO7" s="37"/>
      <c r="BP7" s="174" t="str">
        <f t="shared" si="22"/>
        <v/>
      </c>
      <c r="BQ7" s="37"/>
      <c r="BR7" s="174" t="str">
        <f t="shared" si="23"/>
        <v/>
      </c>
      <c r="BS7" s="37"/>
      <c r="BT7" s="174" t="str">
        <f t="shared" si="24"/>
        <v/>
      </c>
      <c r="BU7" s="37"/>
      <c r="BV7" s="174" t="str">
        <f t="shared" si="25"/>
        <v/>
      </c>
      <c r="BW7" s="37"/>
      <c r="BX7" s="174" t="str">
        <f t="shared" si="26"/>
        <v/>
      </c>
      <c r="BY7" s="37"/>
      <c r="BZ7" s="174" t="str">
        <f t="shared" si="27"/>
        <v/>
      </c>
      <c r="CA7" s="37"/>
      <c r="CB7" s="174" t="str">
        <f t="shared" si="28"/>
        <v/>
      </c>
      <c r="CC7" s="37"/>
      <c r="CD7" s="174" t="str">
        <f t="shared" si="29"/>
        <v/>
      </c>
      <c r="CE7" s="37"/>
      <c r="CF7" s="174" t="str">
        <f t="shared" si="30"/>
        <v/>
      </c>
      <c r="CG7" s="37"/>
      <c r="CH7" s="174" t="str">
        <f t="shared" si="31"/>
        <v/>
      </c>
      <c r="CI7" s="37"/>
      <c r="CJ7" s="174" t="str">
        <f t="shared" si="32"/>
        <v/>
      </c>
      <c r="CK7" s="37"/>
      <c r="CL7" s="174" t="str">
        <f t="shared" si="33"/>
        <v/>
      </c>
      <c r="CM7" s="37"/>
      <c r="CN7" s="174" t="str">
        <f t="shared" si="34"/>
        <v/>
      </c>
      <c r="CO7" s="37"/>
      <c r="CP7" s="174" t="str">
        <f t="shared" si="35"/>
        <v/>
      </c>
      <c r="CQ7" s="37"/>
      <c r="CR7" s="174" t="str">
        <f t="shared" si="36"/>
        <v/>
      </c>
      <c r="CS7" s="37"/>
      <c r="CT7" s="174" t="str">
        <f t="shared" si="37"/>
        <v/>
      </c>
      <c r="CU7" s="38"/>
      <c r="CV7" s="87"/>
      <c r="CW7" s="90"/>
      <c r="CX7" s="38"/>
      <c r="CY7" s="39"/>
      <c r="CZ7" s="37"/>
      <c r="DA7" s="39"/>
      <c r="DB7" s="24">
        <v>3</v>
      </c>
      <c r="DC7" s="96" t="str">
        <f t="shared" si="38"/>
        <v>木</v>
      </c>
      <c r="DF7" s="125"/>
      <c r="DG7" s="40"/>
      <c r="DH7" s="40"/>
      <c r="DI7" s="40"/>
      <c r="DJ7" s="40"/>
      <c r="DK7" s="40"/>
      <c r="DL7" s="40"/>
      <c r="DM7" s="40"/>
      <c r="DN7" s="40"/>
      <c r="DO7" s="40"/>
      <c r="DP7" s="40">
        <f t="shared" si="39"/>
        <v>0</v>
      </c>
      <c r="DQ7" s="172" t="str">
        <f t="shared" si="40"/>
        <v/>
      </c>
      <c r="DS7" s="189"/>
      <c r="DT7" s="190"/>
      <c r="DU7" s="190"/>
      <c r="DV7" s="191"/>
      <c r="DW7" s="138"/>
      <c r="DX7" s="42"/>
      <c r="DY7" s="139"/>
      <c r="DZ7" s="139"/>
      <c r="EA7" s="139"/>
      <c r="EB7" s="139"/>
    </row>
    <row r="8" spans="1:132" ht="13.5" customHeight="1" x14ac:dyDescent="0.4">
      <c r="A8" s="104">
        <v>4</v>
      </c>
      <c r="B8" s="23" t="s">
        <v>86</v>
      </c>
      <c r="C8" s="164"/>
      <c r="D8" s="164"/>
      <c r="E8" s="24"/>
      <c r="F8" s="29"/>
      <c r="G8" s="25" t="str">
        <f>IF(SUM($F$5:F8)=0,"",SUM($F$5:F8))</f>
        <v/>
      </c>
      <c r="H8" s="43" t="str">
        <f t="shared" si="0"/>
        <v/>
      </c>
      <c r="I8" s="148" t="e">
        <f t="array" aca="1" ref="I8" ca="1">IF($A9="",$G8/($V8-$U$5+INDIRECT(IF(_xlfn.SHEET()&lt;6,"令和8年"&amp;_xlfn.SHEET()+7&amp;"月","令和9年"&amp;_xlfn.SHEET()-5&amp;"月")&amp;"!$U$5")),$G8/($V9-$U$5))</f>
        <v>#VALUE!</v>
      </c>
      <c r="J8" s="26" t="str">
        <f t="shared" si="1"/>
        <v/>
      </c>
      <c r="K8" s="27"/>
      <c r="L8" s="165">
        <f t="shared" si="2"/>
        <v>0</v>
      </c>
      <c r="M8" s="28" t="str">
        <f t="shared" si="3"/>
        <v/>
      </c>
      <c r="N8" s="166" t="str">
        <f t="shared" si="4"/>
        <v/>
      </c>
      <c r="O8" s="167" t="str">
        <f t="shared" si="5"/>
        <v/>
      </c>
      <c r="P8" s="168"/>
      <c r="Q8" s="169" t="str">
        <f t="shared" si="6"/>
        <v/>
      </c>
      <c r="R8" s="170">
        <v>12</v>
      </c>
      <c r="S8" s="171">
        <v>4</v>
      </c>
      <c r="T8" s="24" t="s">
        <v>114</v>
      </c>
      <c r="U8" s="29">
        <v>241753</v>
      </c>
      <c r="V8" s="30">
        <f t="shared" si="41"/>
        <v>771749</v>
      </c>
      <c r="W8" s="27">
        <v>107</v>
      </c>
      <c r="X8" s="31">
        <f t="shared" si="7"/>
        <v>2259.3738317757011</v>
      </c>
      <c r="Y8" s="29">
        <v>219386</v>
      </c>
      <c r="Z8" s="32">
        <f t="shared" si="42"/>
        <v>1154837</v>
      </c>
      <c r="AA8" s="33">
        <f t="shared" si="8"/>
        <v>0.66827526308907659</v>
      </c>
      <c r="AB8" s="158">
        <v>250000</v>
      </c>
      <c r="AC8" s="34">
        <f t="shared" si="43"/>
        <v>1000000</v>
      </c>
      <c r="AD8" s="158"/>
      <c r="AE8" s="25"/>
      <c r="AF8" s="25"/>
      <c r="AG8" s="25"/>
      <c r="AH8" s="25"/>
      <c r="AI8" s="25"/>
      <c r="AJ8" s="25"/>
      <c r="AK8" s="79"/>
      <c r="AL8" s="120"/>
      <c r="AM8" s="79"/>
      <c r="AN8" s="120"/>
      <c r="AO8" s="79"/>
      <c r="AP8" s="79"/>
      <c r="AQ8" s="158"/>
      <c r="AR8" s="35">
        <f t="shared" si="9"/>
        <v>0</v>
      </c>
      <c r="AS8" s="172" t="str">
        <f t="shared" si="10"/>
        <v/>
      </c>
      <c r="AT8" s="36">
        <f t="shared" si="11"/>
        <v>0</v>
      </c>
      <c r="AU8" s="173"/>
      <c r="AV8" s="82">
        <f t="shared" si="12"/>
        <v>4</v>
      </c>
      <c r="AW8" s="37"/>
      <c r="AX8" s="174" t="str">
        <f t="shared" si="13"/>
        <v/>
      </c>
      <c r="AY8" s="37"/>
      <c r="AZ8" s="174" t="str">
        <f t="shared" si="14"/>
        <v/>
      </c>
      <c r="BA8" s="37"/>
      <c r="BB8" s="174" t="str">
        <f t="shared" si="15"/>
        <v/>
      </c>
      <c r="BC8" s="37"/>
      <c r="BD8" s="174" t="str">
        <f t="shared" si="16"/>
        <v/>
      </c>
      <c r="BE8" s="37"/>
      <c r="BF8" s="174" t="str">
        <f t="shared" si="17"/>
        <v/>
      </c>
      <c r="BG8" s="37"/>
      <c r="BH8" s="174" t="str">
        <f t="shared" si="18"/>
        <v/>
      </c>
      <c r="BI8" s="37"/>
      <c r="BJ8" s="174" t="str">
        <f t="shared" si="19"/>
        <v/>
      </c>
      <c r="BK8" s="37"/>
      <c r="BL8" s="174" t="str">
        <f t="shared" si="20"/>
        <v/>
      </c>
      <c r="BM8" s="37"/>
      <c r="BN8" s="174" t="str">
        <f t="shared" si="21"/>
        <v/>
      </c>
      <c r="BO8" s="37"/>
      <c r="BP8" s="174" t="str">
        <f t="shared" si="22"/>
        <v/>
      </c>
      <c r="BQ8" s="37"/>
      <c r="BR8" s="174" t="str">
        <f t="shared" si="23"/>
        <v/>
      </c>
      <c r="BS8" s="37"/>
      <c r="BT8" s="174" t="str">
        <f t="shared" si="24"/>
        <v/>
      </c>
      <c r="BU8" s="37"/>
      <c r="BV8" s="174" t="str">
        <f t="shared" si="25"/>
        <v/>
      </c>
      <c r="BW8" s="37"/>
      <c r="BX8" s="174" t="str">
        <f t="shared" si="26"/>
        <v/>
      </c>
      <c r="BY8" s="37"/>
      <c r="BZ8" s="174" t="str">
        <f t="shared" si="27"/>
        <v/>
      </c>
      <c r="CA8" s="37"/>
      <c r="CB8" s="174" t="str">
        <f t="shared" si="28"/>
        <v/>
      </c>
      <c r="CC8" s="37"/>
      <c r="CD8" s="174" t="str">
        <f t="shared" si="29"/>
        <v/>
      </c>
      <c r="CE8" s="37"/>
      <c r="CF8" s="174" t="str">
        <f t="shared" si="30"/>
        <v/>
      </c>
      <c r="CG8" s="37"/>
      <c r="CH8" s="174" t="str">
        <f t="shared" si="31"/>
        <v/>
      </c>
      <c r="CI8" s="37"/>
      <c r="CJ8" s="174" t="str">
        <f t="shared" si="32"/>
        <v/>
      </c>
      <c r="CK8" s="37"/>
      <c r="CL8" s="174" t="str">
        <f t="shared" si="33"/>
        <v/>
      </c>
      <c r="CM8" s="37"/>
      <c r="CN8" s="174" t="str">
        <f t="shared" si="34"/>
        <v/>
      </c>
      <c r="CO8" s="37"/>
      <c r="CP8" s="174" t="str">
        <f t="shared" si="35"/>
        <v/>
      </c>
      <c r="CQ8" s="37"/>
      <c r="CR8" s="174" t="str">
        <f t="shared" si="36"/>
        <v/>
      </c>
      <c r="CS8" s="37"/>
      <c r="CT8" s="174" t="str">
        <f t="shared" si="37"/>
        <v/>
      </c>
      <c r="CU8" s="38"/>
      <c r="CV8" s="87"/>
      <c r="CW8" s="90"/>
      <c r="CX8" s="38"/>
      <c r="CY8" s="39"/>
      <c r="CZ8" s="37"/>
      <c r="DA8" s="39"/>
      <c r="DB8" s="24">
        <v>4</v>
      </c>
      <c r="DC8" s="96" t="str">
        <f t="shared" si="38"/>
        <v>金</v>
      </c>
      <c r="DF8" s="125"/>
      <c r="DG8" s="40"/>
      <c r="DH8" s="40"/>
      <c r="DI8" s="40"/>
      <c r="DJ8" s="40"/>
      <c r="DK8" s="40"/>
      <c r="DL8" s="40"/>
      <c r="DM8" s="40"/>
      <c r="DN8" s="40"/>
      <c r="DO8" s="40"/>
      <c r="DP8" s="40">
        <f t="shared" si="39"/>
        <v>0</v>
      </c>
      <c r="DQ8" s="172" t="str">
        <f t="shared" si="40"/>
        <v/>
      </c>
      <c r="DS8" s="189"/>
      <c r="DT8" s="190"/>
      <c r="DU8" s="190"/>
      <c r="DV8" s="191"/>
      <c r="DW8" s="41"/>
      <c r="DX8" s="42"/>
      <c r="DY8" s="139"/>
      <c r="DZ8" s="139"/>
      <c r="EA8" s="139"/>
      <c r="EB8" s="139"/>
    </row>
    <row r="9" spans="1:132" ht="13.5" customHeight="1" x14ac:dyDescent="0.4">
      <c r="A9" s="104">
        <v>5</v>
      </c>
      <c r="B9" s="23" t="s">
        <v>88</v>
      </c>
      <c r="C9" s="164"/>
      <c r="D9" s="164"/>
      <c r="E9" s="24"/>
      <c r="F9" s="29"/>
      <c r="G9" s="25" t="str">
        <f>IF(SUM($F$5:F9)=0,"",SUM($F$5:F9))</f>
        <v/>
      </c>
      <c r="H9" s="43" t="str">
        <f t="shared" si="0"/>
        <v/>
      </c>
      <c r="I9" s="148" t="e">
        <f t="array" aca="1" ref="I9" ca="1">IF($A10="",$G9/($V9-$U$5+INDIRECT(IF(_xlfn.SHEET()&lt;6,"令和8年"&amp;_xlfn.SHEET()+7&amp;"月","令和9年"&amp;_xlfn.SHEET()-5&amp;"月")&amp;"!$U$5")),$G9/($V10-$U$5))</f>
        <v>#VALUE!</v>
      </c>
      <c r="J9" s="26" t="str">
        <f t="shared" si="1"/>
        <v/>
      </c>
      <c r="K9" s="27"/>
      <c r="L9" s="165">
        <f t="shared" si="2"/>
        <v>0</v>
      </c>
      <c r="M9" s="28" t="str">
        <f t="shared" si="3"/>
        <v/>
      </c>
      <c r="N9" s="166" t="str">
        <f t="shared" si="4"/>
        <v/>
      </c>
      <c r="O9" s="167" t="str">
        <f t="shared" si="5"/>
        <v/>
      </c>
      <c r="P9" s="168"/>
      <c r="Q9" s="169" t="str">
        <f t="shared" si="6"/>
        <v/>
      </c>
      <c r="R9" s="170">
        <v>10</v>
      </c>
      <c r="S9" s="171">
        <v>2</v>
      </c>
      <c r="T9" s="24" t="s">
        <v>84</v>
      </c>
      <c r="U9" s="29">
        <v>137310</v>
      </c>
      <c r="V9" s="30">
        <f t="shared" si="41"/>
        <v>909059</v>
      </c>
      <c r="W9" s="27">
        <v>104</v>
      </c>
      <c r="X9" s="31">
        <f t="shared" si="7"/>
        <v>1320.2884615384614</v>
      </c>
      <c r="Y9" s="29">
        <v>232548</v>
      </c>
      <c r="Z9" s="32">
        <f t="shared" si="42"/>
        <v>1387385</v>
      </c>
      <c r="AA9" s="33">
        <f t="shared" si="8"/>
        <v>0.65523196517188809</v>
      </c>
      <c r="AB9" s="158">
        <v>700000</v>
      </c>
      <c r="AC9" s="34">
        <f t="shared" si="43"/>
        <v>1700000</v>
      </c>
      <c r="AD9" s="158"/>
      <c r="AE9" s="25"/>
      <c r="AF9" s="25"/>
      <c r="AG9" s="25"/>
      <c r="AH9" s="25"/>
      <c r="AI9" s="25"/>
      <c r="AJ9" s="25"/>
      <c r="AK9" s="25"/>
      <c r="AL9" s="158"/>
      <c r="AM9" s="25"/>
      <c r="AN9" s="158"/>
      <c r="AO9" s="25"/>
      <c r="AP9" s="25"/>
      <c r="AQ9" s="158"/>
      <c r="AR9" s="35">
        <f t="shared" si="9"/>
        <v>0</v>
      </c>
      <c r="AS9" s="172" t="str">
        <f t="shared" si="10"/>
        <v/>
      </c>
      <c r="AT9" s="36">
        <f t="shared" si="11"/>
        <v>0</v>
      </c>
      <c r="AU9" s="173"/>
      <c r="AV9" s="82">
        <f t="shared" si="12"/>
        <v>5</v>
      </c>
      <c r="AW9" s="37"/>
      <c r="AX9" s="174" t="str">
        <f t="shared" si="13"/>
        <v/>
      </c>
      <c r="AY9" s="37"/>
      <c r="AZ9" s="174" t="str">
        <f t="shared" si="14"/>
        <v/>
      </c>
      <c r="BA9" s="37"/>
      <c r="BB9" s="174" t="str">
        <f t="shared" si="15"/>
        <v/>
      </c>
      <c r="BC9" s="37"/>
      <c r="BD9" s="174" t="str">
        <f t="shared" si="16"/>
        <v/>
      </c>
      <c r="BE9" s="37"/>
      <c r="BF9" s="174" t="str">
        <f t="shared" si="17"/>
        <v/>
      </c>
      <c r="BG9" s="37"/>
      <c r="BH9" s="174" t="str">
        <f t="shared" si="18"/>
        <v/>
      </c>
      <c r="BI9" s="37"/>
      <c r="BJ9" s="174" t="str">
        <f t="shared" si="19"/>
        <v/>
      </c>
      <c r="BK9" s="37"/>
      <c r="BL9" s="174" t="str">
        <f t="shared" si="20"/>
        <v/>
      </c>
      <c r="BM9" s="37"/>
      <c r="BN9" s="174" t="str">
        <f t="shared" si="21"/>
        <v/>
      </c>
      <c r="BO9" s="37"/>
      <c r="BP9" s="174" t="str">
        <f t="shared" si="22"/>
        <v/>
      </c>
      <c r="BQ9" s="37"/>
      <c r="BR9" s="174" t="str">
        <f t="shared" si="23"/>
        <v/>
      </c>
      <c r="BS9" s="37"/>
      <c r="BT9" s="174" t="str">
        <f t="shared" si="24"/>
        <v/>
      </c>
      <c r="BU9" s="37"/>
      <c r="BV9" s="174" t="str">
        <f t="shared" si="25"/>
        <v/>
      </c>
      <c r="BW9" s="37"/>
      <c r="BX9" s="174" t="str">
        <f t="shared" si="26"/>
        <v/>
      </c>
      <c r="BY9" s="37"/>
      <c r="BZ9" s="174" t="str">
        <f t="shared" si="27"/>
        <v/>
      </c>
      <c r="CA9" s="37"/>
      <c r="CB9" s="174" t="str">
        <f t="shared" si="28"/>
        <v/>
      </c>
      <c r="CC9" s="37"/>
      <c r="CD9" s="174" t="str">
        <f t="shared" si="29"/>
        <v/>
      </c>
      <c r="CE9" s="37"/>
      <c r="CF9" s="174" t="str">
        <f t="shared" si="30"/>
        <v/>
      </c>
      <c r="CG9" s="37"/>
      <c r="CH9" s="174" t="str">
        <f t="shared" si="31"/>
        <v/>
      </c>
      <c r="CI9" s="37"/>
      <c r="CJ9" s="174" t="str">
        <f t="shared" si="32"/>
        <v/>
      </c>
      <c r="CK9" s="37"/>
      <c r="CL9" s="174" t="str">
        <f t="shared" si="33"/>
        <v/>
      </c>
      <c r="CM9" s="37"/>
      <c r="CN9" s="174" t="str">
        <f t="shared" si="34"/>
        <v/>
      </c>
      <c r="CO9" s="37"/>
      <c r="CP9" s="174" t="str">
        <f t="shared" si="35"/>
        <v/>
      </c>
      <c r="CQ9" s="37"/>
      <c r="CR9" s="174" t="str">
        <f t="shared" si="36"/>
        <v/>
      </c>
      <c r="CS9" s="37"/>
      <c r="CT9" s="174" t="str">
        <f t="shared" si="37"/>
        <v/>
      </c>
      <c r="CU9" s="38"/>
      <c r="CV9" s="87"/>
      <c r="CW9" s="90"/>
      <c r="CX9" s="38"/>
      <c r="CY9" s="39"/>
      <c r="CZ9" s="37"/>
      <c r="DA9" s="39"/>
      <c r="DB9" s="24">
        <v>5</v>
      </c>
      <c r="DC9" s="96" t="str">
        <f t="shared" si="38"/>
        <v>土</v>
      </c>
      <c r="DF9" s="125"/>
      <c r="DG9" s="40"/>
      <c r="DH9" s="40"/>
      <c r="DI9" s="40"/>
      <c r="DJ9" s="40"/>
      <c r="DK9" s="40"/>
      <c r="DL9" s="40"/>
      <c r="DM9" s="40"/>
      <c r="DN9" s="40"/>
      <c r="DO9" s="40"/>
      <c r="DP9" s="40">
        <f t="shared" si="39"/>
        <v>0</v>
      </c>
      <c r="DQ9" s="172" t="str">
        <f t="shared" si="40"/>
        <v/>
      </c>
      <c r="DS9" s="189"/>
      <c r="DT9" s="190"/>
      <c r="DU9" s="190"/>
      <c r="DV9" s="191"/>
      <c r="DW9" s="41"/>
      <c r="DX9" s="42"/>
      <c r="DY9" s="139"/>
      <c r="DZ9" s="139"/>
      <c r="EA9" s="139"/>
      <c r="EB9" s="139"/>
    </row>
    <row r="10" spans="1:132" ht="13.5" customHeight="1" x14ac:dyDescent="0.4">
      <c r="A10" s="104">
        <v>6</v>
      </c>
      <c r="B10" s="23" t="s">
        <v>89</v>
      </c>
      <c r="C10" s="164"/>
      <c r="D10" s="164"/>
      <c r="E10" s="24"/>
      <c r="F10" s="29"/>
      <c r="G10" s="25" t="str">
        <f>IF(SUM($F$5:F10)=0,"",SUM($F$5:F10))</f>
        <v/>
      </c>
      <c r="H10" s="43" t="str">
        <f t="shared" si="0"/>
        <v/>
      </c>
      <c r="I10" s="148" t="e">
        <f t="array" aca="1" ref="I10" ca="1">IF($A11="",$G10/($V10-$U$5+INDIRECT(IF(_xlfn.SHEET()&lt;6,"令和8年"&amp;_xlfn.SHEET()+7&amp;"月","令和9年"&amp;_xlfn.SHEET()-5&amp;"月")&amp;"!$U$5")),$G10/($V11-$U$5))</f>
        <v>#VALUE!</v>
      </c>
      <c r="J10" s="26" t="str">
        <f t="shared" si="1"/>
        <v/>
      </c>
      <c r="K10" s="27"/>
      <c r="L10" s="165">
        <f t="shared" si="2"/>
        <v>0</v>
      </c>
      <c r="M10" s="28" t="str">
        <f t="shared" si="3"/>
        <v/>
      </c>
      <c r="N10" s="166" t="str">
        <f t="shared" si="4"/>
        <v/>
      </c>
      <c r="O10" s="167" t="str">
        <f t="shared" si="5"/>
        <v/>
      </c>
      <c r="P10" s="168"/>
      <c r="Q10" s="169" t="str">
        <f t="shared" si="6"/>
        <v/>
      </c>
      <c r="R10" s="170">
        <v>13</v>
      </c>
      <c r="S10" s="171">
        <v>0</v>
      </c>
      <c r="T10" s="24" t="s">
        <v>84</v>
      </c>
      <c r="U10" s="29">
        <v>533238</v>
      </c>
      <c r="V10" s="30">
        <f t="shared" si="41"/>
        <v>1442297</v>
      </c>
      <c r="W10" s="27">
        <v>301</v>
      </c>
      <c r="X10" s="31">
        <f t="shared" si="7"/>
        <v>1771.5548172757476</v>
      </c>
      <c r="Y10" s="29">
        <v>181599</v>
      </c>
      <c r="Z10" s="32">
        <f t="shared" si="42"/>
        <v>1568984</v>
      </c>
      <c r="AA10" s="33">
        <f t="shared" si="8"/>
        <v>0.91925539074968254</v>
      </c>
      <c r="AB10" s="158">
        <v>700000</v>
      </c>
      <c r="AC10" s="34">
        <f t="shared" si="43"/>
        <v>2400000</v>
      </c>
      <c r="AD10" s="158"/>
      <c r="AE10" s="25"/>
      <c r="AF10" s="25"/>
      <c r="AG10" s="25"/>
      <c r="AH10" s="25"/>
      <c r="AI10" s="25"/>
      <c r="AJ10" s="25"/>
      <c r="AK10" s="25"/>
      <c r="AL10" s="158"/>
      <c r="AM10" s="25"/>
      <c r="AN10" s="158"/>
      <c r="AO10" s="25"/>
      <c r="AP10" s="25"/>
      <c r="AQ10" s="158"/>
      <c r="AR10" s="35">
        <f t="shared" si="9"/>
        <v>0</v>
      </c>
      <c r="AS10" s="172" t="str">
        <f t="shared" si="10"/>
        <v/>
      </c>
      <c r="AT10" s="36">
        <f t="shared" si="11"/>
        <v>0</v>
      </c>
      <c r="AU10" s="173"/>
      <c r="AV10" s="82">
        <f t="shared" si="12"/>
        <v>6</v>
      </c>
      <c r="AW10" s="37"/>
      <c r="AX10" s="174" t="str">
        <f t="shared" si="13"/>
        <v/>
      </c>
      <c r="AY10" s="37"/>
      <c r="AZ10" s="174" t="str">
        <f t="shared" si="14"/>
        <v/>
      </c>
      <c r="BA10" s="37"/>
      <c r="BB10" s="174" t="str">
        <f t="shared" si="15"/>
        <v/>
      </c>
      <c r="BC10" s="37"/>
      <c r="BD10" s="174" t="str">
        <f t="shared" si="16"/>
        <v/>
      </c>
      <c r="BE10" s="37"/>
      <c r="BF10" s="174" t="str">
        <f t="shared" si="17"/>
        <v/>
      </c>
      <c r="BG10" s="37"/>
      <c r="BH10" s="174" t="str">
        <f t="shared" si="18"/>
        <v/>
      </c>
      <c r="BI10" s="37"/>
      <c r="BJ10" s="174" t="str">
        <f t="shared" si="19"/>
        <v/>
      </c>
      <c r="BK10" s="37"/>
      <c r="BL10" s="174" t="str">
        <f t="shared" si="20"/>
        <v/>
      </c>
      <c r="BM10" s="37"/>
      <c r="BN10" s="174" t="str">
        <f t="shared" si="21"/>
        <v/>
      </c>
      <c r="BO10" s="37"/>
      <c r="BP10" s="174" t="str">
        <f t="shared" si="22"/>
        <v/>
      </c>
      <c r="BQ10" s="37"/>
      <c r="BR10" s="174" t="str">
        <f t="shared" si="23"/>
        <v/>
      </c>
      <c r="BS10" s="37"/>
      <c r="BT10" s="174" t="str">
        <f t="shared" si="24"/>
        <v/>
      </c>
      <c r="BU10" s="37"/>
      <c r="BV10" s="174" t="str">
        <f t="shared" si="25"/>
        <v/>
      </c>
      <c r="BW10" s="37"/>
      <c r="BX10" s="174" t="str">
        <f t="shared" si="26"/>
        <v/>
      </c>
      <c r="BY10" s="37"/>
      <c r="BZ10" s="174" t="str">
        <f t="shared" si="27"/>
        <v/>
      </c>
      <c r="CA10" s="37"/>
      <c r="CB10" s="174" t="str">
        <f t="shared" si="28"/>
        <v/>
      </c>
      <c r="CC10" s="37"/>
      <c r="CD10" s="174" t="str">
        <f t="shared" si="29"/>
        <v/>
      </c>
      <c r="CE10" s="37"/>
      <c r="CF10" s="174" t="str">
        <f t="shared" si="30"/>
        <v/>
      </c>
      <c r="CG10" s="37"/>
      <c r="CH10" s="174" t="str">
        <f t="shared" si="31"/>
        <v/>
      </c>
      <c r="CI10" s="37"/>
      <c r="CJ10" s="174" t="str">
        <f t="shared" si="32"/>
        <v/>
      </c>
      <c r="CK10" s="37"/>
      <c r="CL10" s="174" t="str">
        <f t="shared" si="33"/>
        <v/>
      </c>
      <c r="CM10" s="37"/>
      <c r="CN10" s="174" t="str">
        <f t="shared" si="34"/>
        <v/>
      </c>
      <c r="CO10" s="37"/>
      <c r="CP10" s="174" t="str">
        <f t="shared" si="35"/>
        <v/>
      </c>
      <c r="CQ10" s="37"/>
      <c r="CR10" s="174" t="str">
        <f t="shared" si="36"/>
        <v/>
      </c>
      <c r="CS10" s="37"/>
      <c r="CT10" s="174" t="str">
        <f t="shared" si="37"/>
        <v/>
      </c>
      <c r="CU10" s="38"/>
      <c r="CV10" s="87"/>
      <c r="CW10" s="90"/>
      <c r="CX10" s="38"/>
      <c r="CY10" s="39"/>
      <c r="CZ10" s="37"/>
      <c r="DA10" s="39"/>
      <c r="DB10" s="24">
        <v>6</v>
      </c>
      <c r="DC10" s="96" t="str">
        <f t="shared" si="38"/>
        <v>日</v>
      </c>
      <c r="DF10" s="125"/>
      <c r="DG10" s="40"/>
      <c r="DH10" s="40"/>
      <c r="DI10" s="40"/>
      <c r="DJ10" s="40"/>
      <c r="DK10" s="40"/>
      <c r="DL10" s="40"/>
      <c r="DM10" s="40"/>
      <c r="DN10" s="40"/>
      <c r="DO10" s="40"/>
      <c r="DP10" s="40">
        <f t="shared" si="39"/>
        <v>0</v>
      </c>
      <c r="DQ10" s="172" t="str">
        <f t="shared" si="40"/>
        <v/>
      </c>
      <c r="DS10" s="189"/>
      <c r="DT10" s="190"/>
      <c r="DU10" s="190"/>
      <c r="DV10" s="191"/>
      <c r="DW10" s="138"/>
      <c r="DX10" s="42"/>
      <c r="DY10" s="139"/>
      <c r="DZ10" s="139"/>
      <c r="EA10" s="139"/>
      <c r="EB10" s="139"/>
    </row>
    <row r="11" spans="1:132" ht="13.5" customHeight="1" x14ac:dyDescent="0.4">
      <c r="A11" s="104">
        <v>7</v>
      </c>
      <c r="B11" s="23" t="s">
        <v>90</v>
      </c>
      <c r="C11" s="164"/>
      <c r="D11" s="164"/>
      <c r="E11" s="24"/>
      <c r="F11" s="29"/>
      <c r="G11" s="25" t="str">
        <f>IF(SUM($F$5:F11)=0,"",SUM($F$5:F11))</f>
        <v/>
      </c>
      <c r="H11" s="43" t="str">
        <f t="shared" si="0"/>
        <v/>
      </c>
      <c r="I11" s="148" t="e">
        <f t="array" aca="1" ref="I11" ca="1">IF($A12="",$G11/($V11-$U$5+INDIRECT(IF(_xlfn.SHEET()&lt;6,"令和8年"&amp;_xlfn.SHEET()+7&amp;"月","令和9年"&amp;_xlfn.SHEET()-5&amp;"月")&amp;"!$U$5")),$G11/($V12-$U$5))</f>
        <v>#VALUE!</v>
      </c>
      <c r="J11" s="26" t="str">
        <f t="shared" si="1"/>
        <v/>
      </c>
      <c r="K11" s="27"/>
      <c r="L11" s="165">
        <f t="shared" si="2"/>
        <v>0</v>
      </c>
      <c r="M11" s="28" t="str">
        <f t="shared" si="3"/>
        <v/>
      </c>
      <c r="N11" s="166" t="str">
        <f t="shared" si="4"/>
        <v/>
      </c>
      <c r="O11" s="167" t="str">
        <f t="shared" si="5"/>
        <v/>
      </c>
      <c r="P11" s="168"/>
      <c r="Q11" s="169" t="str">
        <f t="shared" si="6"/>
        <v/>
      </c>
      <c r="R11" s="170">
        <v>13</v>
      </c>
      <c r="S11" s="171">
        <v>2</v>
      </c>
      <c r="T11" s="24" t="s">
        <v>84</v>
      </c>
      <c r="U11" s="29">
        <v>574537</v>
      </c>
      <c r="V11" s="30">
        <f t="shared" si="41"/>
        <v>2016834</v>
      </c>
      <c r="W11" s="27">
        <v>349</v>
      </c>
      <c r="X11" s="31">
        <f t="shared" si="7"/>
        <v>1646.2378223495703</v>
      </c>
      <c r="Y11" s="29">
        <v>551300</v>
      </c>
      <c r="Z11" s="32">
        <f t="shared" si="42"/>
        <v>2120284</v>
      </c>
      <c r="AA11" s="33">
        <f t="shared" si="8"/>
        <v>0.95120936629244002</v>
      </c>
      <c r="AB11" s="158">
        <v>250000</v>
      </c>
      <c r="AC11" s="34">
        <f t="shared" si="43"/>
        <v>2650000</v>
      </c>
      <c r="AD11" s="158"/>
      <c r="AE11" s="25"/>
      <c r="AF11" s="25"/>
      <c r="AG11" s="25"/>
      <c r="AH11" s="25"/>
      <c r="AI11" s="25"/>
      <c r="AJ11" s="25"/>
      <c r="AK11" s="25"/>
      <c r="AL11" s="158"/>
      <c r="AM11" s="25"/>
      <c r="AN11" s="158"/>
      <c r="AO11" s="25"/>
      <c r="AP11" s="25"/>
      <c r="AQ11" s="158"/>
      <c r="AR11" s="35">
        <f t="shared" si="9"/>
        <v>0</v>
      </c>
      <c r="AS11" s="172" t="str">
        <f t="shared" si="10"/>
        <v/>
      </c>
      <c r="AT11" s="36">
        <f t="shared" si="11"/>
        <v>0</v>
      </c>
      <c r="AU11" s="173"/>
      <c r="AV11" s="82">
        <f t="shared" si="12"/>
        <v>7</v>
      </c>
      <c r="AW11" s="37"/>
      <c r="AX11" s="174" t="str">
        <f t="shared" si="13"/>
        <v/>
      </c>
      <c r="AY11" s="37"/>
      <c r="AZ11" s="174" t="str">
        <f t="shared" si="14"/>
        <v/>
      </c>
      <c r="BA11" s="37"/>
      <c r="BB11" s="174" t="str">
        <f t="shared" si="15"/>
        <v/>
      </c>
      <c r="BC11" s="37"/>
      <c r="BD11" s="174" t="str">
        <f t="shared" si="16"/>
        <v/>
      </c>
      <c r="BE11" s="37"/>
      <c r="BF11" s="174" t="str">
        <f t="shared" si="17"/>
        <v/>
      </c>
      <c r="BG11" s="37"/>
      <c r="BH11" s="174" t="str">
        <f t="shared" si="18"/>
        <v/>
      </c>
      <c r="BI11" s="37"/>
      <c r="BJ11" s="174" t="str">
        <f t="shared" si="19"/>
        <v/>
      </c>
      <c r="BK11" s="37"/>
      <c r="BL11" s="174" t="str">
        <f t="shared" si="20"/>
        <v/>
      </c>
      <c r="BM11" s="37"/>
      <c r="BN11" s="174" t="str">
        <f t="shared" si="21"/>
        <v/>
      </c>
      <c r="BO11" s="37"/>
      <c r="BP11" s="174" t="str">
        <f t="shared" si="22"/>
        <v/>
      </c>
      <c r="BQ11" s="37"/>
      <c r="BR11" s="174" t="str">
        <f t="shared" si="23"/>
        <v/>
      </c>
      <c r="BS11" s="37"/>
      <c r="BT11" s="174" t="str">
        <f t="shared" si="24"/>
        <v/>
      </c>
      <c r="BU11" s="37"/>
      <c r="BV11" s="174" t="str">
        <f t="shared" si="25"/>
        <v/>
      </c>
      <c r="BW11" s="37"/>
      <c r="BX11" s="174" t="str">
        <f t="shared" si="26"/>
        <v/>
      </c>
      <c r="BY11" s="37"/>
      <c r="BZ11" s="174" t="str">
        <f t="shared" si="27"/>
        <v/>
      </c>
      <c r="CA11" s="37"/>
      <c r="CB11" s="174" t="str">
        <f t="shared" si="28"/>
        <v/>
      </c>
      <c r="CC11" s="37"/>
      <c r="CD11" s="174" t="str">
        <f t="shared" si="29"/>
        <v/>
      </c>
      <c r="CE11" s="37"/>
      <c r="CF11" s="174" t="str">
        <f t="shared" si="30"/>
        <v/>
      </c>
      <c r="CG11" s="37"/>
      <c r="CH11" s="174" t="str">
        <f t="shared" si="31"/>
        <v/>
      </c>
      <c r="CI11" s="37"/>
      <c r="CJ11" s="174" t="str">
        <f t="shared" si="32"/>
        <v/>
      </c>
      <c r="CK11" s="37"/>
      <c r="CL11" s="174" t="str">
        <f t="shared" si="33"/>
        <v/>
      </c>
      <c r="CM11" s="37"/>
      <c r="CN11" s="174" t="str">
        <f t="shared" si="34"/>
        <v/>
      </c>
      <c r="CO11" s="37"/>
      <c r="CP11" s="174" t="str">
        <f t="shared" si="35"/>
        <v/>
      </c>
      <c r="CQ11" s="37"/>
      <c r="CR11" s="174" t="str">
        <f t="shared" si="36"/>
        <v/>
      </c>
      <c r="CS11" s="37"/>
      <c r="CT11" s="174" t="str">
        <f t="shared" si="37"/>
        <v/>
      </c>
      <c r="CU11" s="38"/>
      <c r="CV11" s="87"/>
      <c r="CW11" s="90"/>
      <c r="CX11" s="38"/>
      <c r="CY11" s="39"/>
      <c r="CZ11" s="37"/>
      <c r="DA11" s="39"/>
      <c r="DB11" s="24">
        <v>7</v>
      </c>
      <c r="DC11" s="96" t="str">
        <f t="shared" si="38"/>
        <v>月</v>
      </c>
      <c r="DF11" s="125"/>
      <c r="DG11" s="40"/>
      <c r="DH11" s="40"/>
      <c r="DI11" s="40"/>
      <c r="DJ11" s="40"/>
      <c r="DK11" s="40"/>
      <c r="DL11" s="40"/>
      <c r="DM11" s="40"/>
      <c r="DN11" s="40"/>
      <c r="DO11" s="40"/>
      <c r="DP11" s="40">
        <f t="shared" si="39"/>
        <v>0</v>
      </c>
      <c r="DQ11" s="172" t="str">
        <f t="shared" si="40"/>
        <v/>
      </c>
      <c r="DS11" s="189"/>
      <c r="DT11" s="190"/>
      <c r="DU11" s="190"/>
      <c r="DV11" s="191"/>
      <c r="DW11" s="41"/>
      <c r="DX11" s="42"/>
    </row>
    <row r="12" spans="1:132" ht="13.5" customHeight="1" x14ac:dyDescent="0.4">
      <c r="A12" s="104">
        <v>8</v>
      </c>
      <c r="B12" s="23" t="s">
        <v>91</v>
      </c>
      <c r="C12" s="164"/>
      <c r="D12" s="164"/>
      <c r="E12" s="24"/>
      <c r="F12" s="29"/>
      <c r="G12" s="25" t="str">
        <f>IF(SUM($F$5:F12)=0,"",SUM($F$5:F12))</f>
        <v/>
      </c>
      <c r="H12" s="43" t="str">
        <f t="shared" si="0"/>
        <v/>
      </c>
      <c r="I12" s="148" t="e">
        <f t="array" aca="1" ref="I12" ca="1">IF($A13="",$G12/($V12-$U$5+INDIRECT(IF(_xlfn.SHEET()&lt;6,"令和8年"&amp;_xlfn.SHEET()+7&amp;"月","令和9年"&amp;_xlfn.SHEET()-5&amp;"月")&amp;"!$U$5")),$G12/($V13-$U$5))</f>
        <v>#VALUE!</v>
      </c>
      <c r="J12" s="26" t="str">
        <f t="shared" si="1"/>
        <v/>
      </c>
      <c r="K12" s="27"/>
      <c r="L12" s="165">
        <f t="shared" si="2"/>
        <v>0</v>
      </c>
      <c r="M12" s="28" t="str">
        <f t="shared" si="3"/>
        <v/>
      </c>
      <c r="N12" s="166" t="str">
        <f t="shared" si="4"/>
        <v/>
      </c>
      <c r="O12" s="167" t="str">
        <f t="shared" si="5"/>
        <v/>
      </c>
      <c r="P12" s="168"/>
      <c r="Q12" s="169" t="str">
        <f t="shared" si="6"/>
        <v/>
      </c>
      <c r="R12" s="170">
        <v>16</v>
      </c>
      <c r="S12" s="171">
        <v>2</v>
      </c>
      <c r="T12" s="24" t="s">
        <v>84</v>
      </c>
      <c r="U12" s="29">
        <v>210692</v>
      </c>
      <c r="V12" s="30">
        <f t="shared" si="41"/>
        <v>2227526</v>
      </c>
      <c r="W12" s="27">
        <v>117</v>
      </c>
      <c r="X12" s="31">
        <f t="shared" si="7"/>
        <v>1800.7863247863247</v>
      </c>
      <c r="Y12" s="29">
        <v>668794</v>
      </c>
      <c r="Z12" s="32">
        <f t="shared" si="42"/>
        <v>2789078</v>
      </c>
      <c r="AA12" s="33">
        <f t="shared" si="8"/>
        <v>0.79866034582037504</v>
      </c>
      <c r="AB12" s="158">
        <v>250000</v>
      </c>
      <c r="AC12" s="34">
        <f t="shared" si="43"/>
        <v>2900000</v>
      </c>
      <c r="AD12" s="158"/>
      <c r="AE12" s="25"/>
      <c r="AF12" s="25"/>
      <c r="AG12" s="25"/>
      <c r="AH12" s="25"/>
      <c r="AI12" s="25"/>
      <c r="AJ12" s="25"/>
      <c r="AK12" s="25"/>
      <c r="AL12" s="158"/>
      <c r="AM12" s="25"/>
      <c r="AN12" s="158"/>
      <c r="AO12" s="25"/>
      <c r="AP12" s="25"/>
      <c r="AQ12" s="158"/>
      <c r="AR12" s="35">
        <f t="shared" si="9"/>
        <v>0</v>
      </c>
      <c r="AS12" s="172" t="str">
        <f t="shared" si="10"/>
        <v/>
      </c>
      <c r="AT12" s="36">
        <f t="shared" si="11"/>
        <v>0</v>
      </c>
      <c r="AU12" s="173"/>
      <c r="AV12" s="82">
        <f t="shared" si="12"/>
        <v>8</v>
      </c>
      <c r="AW12" s="37"/>
      <c r="AX12" s="174" t="str">
        <f t="shared" si="13"/>
        <v/>
      </c>
      <c r="AY12" s="37"/>
      <c r="AZ12" s="174" t="str">
        <f t="shared" si="14"/>
        <v/>
      </c>
      <c r="BA12" s="37"/>
      <c r="BB12" s="174" t="str">
        <f t="shared" si="15"/>
        <v/>
      </c>
      <c r="BC12" s="37"/>
      <c r="BD12" s="174" t="str">
        <f t="shared" si="16"/>
        <v/>
      </c>
      <c r="BE12" s="37"/>
      <c r="BF12" s="174" t="str">
        <f t="shared" si="17"/>
        <v/>
      </c>
      <c r="BG12" s="37"/>
      <c r="BH12" s="174" t="str">
        <f t="shared" si="18"/>
        <v/>
      </c>
      <c r="BI12" s="37"/>
      <c r="BJ12" s="174" t="str">
        <f t="shared" si="19"/>
        <v/>
      </c>
      <c r="BK12" s="37"/>
      <c r="BL12" s="174" t="str">
        <f t="shared" si="20"/>
        <v/>
      </c>
      <c r="BM12" s="37"/>
      <c r="BN12" s="174" t="str">
        <f t="shared" si="21"/>
        <v/>
      </c>
      <c r="BO12" s="37"/>
      <c r="BP12" s="174" t="str">
        <f t="shared" si="22"/>
        <v/>
      </c>
      <c r="BQ12" s="37"/>
      <c r="BR12" s="174" t="str">
        <f t="shared" si="23"/>
        <v/>
      </c>
      <c r="BS12" s="37"/>
      <c r="BT12" s="174" t="str">
        <f t="shared" si="24"/>
        <v/>
      </c>
      <c r="BU12" s="37"/>
      <c r="BV12" s="174" t="str">
        <f t="shared" si="25"/>
        <v/>
      </c>
      <c r="BW12" s="37"/>
      <c r="BX12" s="174" t="str">
        <f t="shared" si="26"/>
        <v/>
      </c>
      <c r="BY12" s="37"/>
      <c r="BZ12" s="174" t="str">
        <f t="shared" si="27"/>
        <v/>
      </c>
      <c r="CA12" s="37"/>
      <c r="CB12" s="174" t="str">
        <f t="shared" si="28"/>
        <v/>
      </c>
      <c r="CC12" s="37"/>
      <c r="CD12" s="174" t="str">
        <f t="shared" si="29"/>
        <v/>
      </c>
      <c r="CE12" s="37"/>
      <c r="CF12" s="174" t="str">
        <f t="shared" si="30"/>
        <v/>
      </c>
      <c r="CG12" s="37"/>
      <c r="CH12" s="174" t="str">
        <f t="shared" si="31"/>
        <v/>
      </c>
      <c r="CI12" s="37"/>
      <c r="CJ12" s="174" t="str">
        <f t="shared" si="32"/>
        <v/>
      </c>
      <c r="CK12" s="37"/>
      <c r="CL12" s="174" t="str">
        <f t="shared" si="33"/>
        <v/>
      </c>
      <c r="CM12" s="37"/>
      <c r="CN12" s="174" t="str">
        <f t="shared" si="34"/>
        <v/>
      </c>
      <c r="CO12" s="37"/>
      <c r="CP12" s="174" t="str">
        <f t="shared" si="35"/>
        <v/>
      </c>
      <c r="CQ12" s="37"/>
      <c r="CR12" s="174" t="str">
        <f t="shared" si="36"/>
        <v/>
      </c>
      <c r="CS12" s="37"/>
      <c r="CT12" s="174" t="str">
        <f t="shared" si="37"/>
        <v/>
      </c>
      <c r="CU12" s="38"/>
      <c r="CV12" s="87"/>
      <c r="CW12" s="90"/>
      <c r="CX12" s="38"/>
      <c r="CY12" s="39"/>
      <c r="CZ12" s="37"/>
      <c r="DA12" s="39"/>
      <c r="DB12" s="24">
        <v>8</v>
      </c>
      <c r="DC12" s="96" t="str">
        <f t="shared" si="38"/>
        <v>火</v>
      </c>
      <c r="DF12" s="125"/>
      <c r="DG12" s="40"/>
      <c r="DH12" s="40"/>
      <c r="DI12" s="40"/>
      <c r="DJ12" s="40"/>
      <c r="DK12" s="40"/>
      <c r="DL12" s="40"/>
      <c r="DM12" s="40"/>
      <c r="DN12" s="40"/>
      <c r="DO12" s="40"/>
      <c r="DP12" s="40">
        <f t="shared" si="39"/>
        <v>0</v>
      </c>
      <c r="DQ12" s="172" t="str">
        <f t="shared" si="40"/>
        <v/>
      </c>
      <c r="DS12" s="189"/>
      <c r="DT12" s="190"/>
      <c r="DU12" s="190"/>
      <c r="DV12" s="191"/>
      <c r="DW12" s="41"/>
      <c r="DX12" s="42"/>
    </row>
    <row r="13" spans="1:132" ht="13.5" customHeight="1" x14ac:dyDescent="0.4">
      <c r="A13" s="104">
        <v>9</v>
      </c>
      <c r="B13" s="23" t="s">
        <v>83</v>
      </c>
      <c r="C13" s="164"/>
      <c r="D13" s="164"/>
      <c r="E13" s="24"/>
      <c r="F13" s="29"/>
      <c r="G13" s="25" t="str">
        <f>IF(SUM($F$5:F13)=0,"",SUM($F$5:F13))</f>
        <v/>
      </c>
      <c r="H13" s="43" t="str">
        <f t="shared" si="0"/>
        <v/>
      </c>
      <c r="I13" s="148" t="e">
        <f t="array" aca="1" ref="I13" ca="1">IF($A14="",$G13/($V13-$U$5+INDIRECT(IF(_xlfn.SHEET()&lt;6,"令和8年"&amp;_xlfn.SHEET()+7&amp;"月","令和9年"&amp;_xlfn.SHEET()-5&amp;"月")&amp;"!$U$5")),$G13/($V14-$U$5))</f>
        <v>#VALUE!</v>
      </c>
      <c r="J13" s="26" t="str">
        <f t="shared" si="1"/>
        <v/>
      </c>
      <c r="K13" s="27"/>
      <c r="L13" s="165">
        <f t="shared" si="2"/>
        <v>0</v>
      </c>
      <c r="M13" s="28" t="str">
        <f t="shared" si="3"/>
        <v/>
      </c>
      <c r="N13" s="166" t="str">
        <f t="shared" si="4"/>
        <v/>
      </c>
      <c r="O13" s="167" t="str">
        <f t="shared" si="5"/>
        <v/>
      </c>
      <c r="P13" s="168"/>
      <c r="Q13" s="169" t="str">
        <f t="shared" si="6"/>
        <v/>
      </c>
      <c r="R13" s="170">
        <v>13</v>
      </c>
      <c r="S13" s="171">
        <v>-1</v>
      </c>
      <c r="T13" s="24" t="s">
        <v>84</v>
      </c>
      <c r="U13" s="29">
        <v>342504</v>
      </c>
      <c r="V13" s="30">
        <f t="shared" si="41"/>
        <v>2570030</v>
      </c>
      <c r="W13" s="27">
        <v>140</v>
      </c>
      <c r="X13" s="31">
        <f t="shared" si="7"/>
        <v>2446.457142857143</v>
      </c>
      <c r="Y13" s="29">
        <v>220071</v>
      </c>
      <c r="Z13" s="32">
        <f t="shared" si="42"/>
        <v>3009149</v>
      </c>
      <c r="AA13" s="33">
        <f t="shared" si="8"/>
        <v>0.8540720316607785</v>
      </c>
      <c r="AB13" s="158">
        <v>250000</v>
      </c>
      <c r="AC13" s="34">
        <f t="shared" si="43"/>
        <v>3150000</v>
      </c>
      <c r="AD13" s="158"/>
      <c r="AE13" s="25"/>
      <c r="AF13" s="25"/>
      <c r="AG13" s="25"/>
      <c r="AH13" s="25"/>
      <c r="AI13" s="25"/>
      <c r="AJ13" s="25"/>
      <c r="AK13" s="25"/>
      <c r="AL13" s="158"/>
      <c r="AM13" s="25"/>
      <c r="AN13" s="158"/>
      <c r="AO13" s="25"/>
      <c r="AP13" s="25"/>
      <c r="AQ13" s="158"/>
      <c r="AR13" s="35">
        <f t="shared" si="9"/>
        <v>0</v>
      </c>
      <c r="AS13" s="172" t="str">
        <f t="shared" si="10"/>
        <v/>
      </c>
      <c r="AT13" s="36">
        <f t="shared" si="11"/>
        <v>0</v>
      </c>
      <c r="AU13" s="173"/>
      <c r="AV13" s="82">
        <f t="shared" si="12"/>
        <v>9</v>
      </c>
      <c r="AW13" s="37"/>
      <c r="AX13" s="174" t="str">
        <f t="shared" si="13"/>
        <v/>
      </c>
      <c r="AY13" s="37"/>
      <c r="AZ13" s="174" t="str">
        <f t="shared" si="14"/>
        <v/>
      </c>
      <c r="BA13" s="37"/>
      <c r="BB13" s="174" t="str">
        <f t="shared" si="15"/>
        <v/>
      </c>
      <c r="BC13" s="37"/>
      <c r="BD13" s="174" t="str">
        <f t="shared" si="16"/>
        <v/>
      </c>
      <c r="BE13" s="37"/>
      <c r="BF13" s="174" t="str">
        <f t="shared" si="17"/>
        <v/>
      </c>
      <c r="BG13" s="37"/>
      <c r="BH13" s="174" t="str">
        <f t="shared" si="18"/>
        <v/>
      </c>
      <c r="BI13" s="37"/>
      <c r="BJ13" s="174" t="str">
        <f t="shared" si="19"/>
        <v/>
      </c>
      <c r="BK13" s="37"/>
      <c r="BL13" s="174" t="str">
        <f t="shared" si="20"/>
        <v/>
      </c>
      <c r="BM13" s="37"/>
      <c r="BN13" s="174" t="str">
        <f t="shared" si="21"/>
        <v/>
      </c>
      <c r="BO13" s="37"/>
      <c r="BP13" s="174" t="str">
        <f t="shared" si="22"/>
        <v/>
      </c>
      <c r="BQ13" s="37"/>
      <c r="BR13" s="174" t="str">
        <f t="shared" si="23"/>
        <v/>
      </c>
      <c r="BS13" s="37"/>
      <c r="BT13" s="174" t="str">
        <f t="shared" si="24"/>
        <v/>
      </c>
      <c r="BU13" s="37"/>
      <c r="BV13" s="174" t="str">
        <f t="shared" si="25"/>
        <v/>
      </c>
      <c r="BW13" s="37"/>
      <c r="BX13" s="174" t="str">
        <f t="shared" si="26"/>
        <v/>
      </c>
      <c r="BY13" s="37"/>
      <c r="BZ13" s="174" t="str">
        <f t="shared" si="27"/>
        <v/>
      </c>
      <c r="CA13" s="37"/>
      <c r="CB13" s="174" t="str">
        <f t="shared" si="28"/>
        <v/>
      </c>
      <c r="CC13" s="37"/>
      <c r="CD13" s="174" t="str">
        <f t="shared" si="29"/>
        <v/>
      </c>
      <c r="CE13" s="37"/>
      <c r="CF13" s="174" t="str">
        <f t="shared" si="30"/>
        <v/>
      </c>
      <c r="CG13" s="37"/>
      <c r="CH13" s="174" t="str">
        <f t="shared" si="31"/>
        <v/>
      </c>
      <c r="CI13" s="37"/>
      <c r="CJ13" s="174" t="str">
        <f t="shared" si="32"/>
        <v/>
      </c>
      <c r="CK13" s="37"/>
      <c r="CL13" s="174" t="str">
        <f t="shared" si="33"/>
        <v/>
      </c>
      <c r="CM13" s="37"/>
      <c r="CN13" s="174" t="str">
        <f t="shared" si="34"/>
        <v/>
      </c>
      <c r="CO13" s="37"/>
      <c r="CP13" s="174" t="str">
        <f t="shared" si="35"/>
        <v/>
      </c>
      <c r="CQ13" s="37"/>
      <c r="CR13" s="174" t="str">
        <f t="shared" si="36"/>
        <v/>
      </c>
      <c r="CS13" s="37"/>
      <c r="CT13" s="174" t="str">
        <f t="shared" si="37"/>
        <v/>
      </c>
      <c r="CU13" s="38"/>
      <c r="CV13" s="87"/>
      <c r="CW13" s="90"/>
      <c r="CX13" s="38"/>
      <c r="CY13" s="39"/>
      <c r="CZ13" s="37"/>
      <c r="DA13" s="39"/>
      <c r="DB13" s="24">
        <v>9</v>
      </c>
      <c r="DC13" s="96" t="str">
        <f t="shared" si="38"/>
        <v>水</v>
      </c>
      <c r="DF13" s="125"/>
      <c r="DG13" s="40"/>
      <c r="DH13" s="40"/>
      <c r="DI13" s="40"/>
      <c r="DJ13" s="40"/>
      <c r="DK13" s="40"/>
      <c r="DL13" s="40"/>
      <c r="DM13" s="40"/>
      <c r="DN13" s="40"/>
      <c r="DO13" s="40"/>
      <c r="DP13" s="40">
        <f t="shared" si="39"/>
        <v>0</v>
      </c>
      <c r="DQ13" s="172" t="str">
        <f t="shared" si="40"/>
        <v/>
      </c>
      <c r="DS13" s="189"/>
      <c r="DT13" s="190"/>
      <c r="DU13" s="190"/>
      <c r="DV13" s="191"/>
      <c r="DW13" s="138"/>
      <c r="DX13" s="42"/>
    </row>
    <row r="14" spans="1:132" ht="13.5" customHeight="1" x14ac:dyDescent="0.4">
      <c r="A14" s="104">
        <v>10</v>
      </c>
      <c r="B14" s="23" t="s">
        <v>85</v>
      </c>
      <c r="C14" s="164"/>
      <c r="D14" s="164"/>
      <c r="E14" s="24"/>
      <c r="F14" s="29"/>
      <c r="G14" s="25" t="str">
        <f>IF(SUM($F$5:F14)=0,"",SUM($F$5:F14))</f>
        <v/>
      </c>
      <c r="H14" s="43" t="str">
        <f t="shared" si="0"/>
        <v/>
      </c>
      <c r="I14" s="148" t="e">
        <f t="array" aca="1" ref="I14" ca="1">IF($A15="",$G14/($V14-$U$5+INDIRECT(IF(_xlfn.SHEET()&lt;6,"令和8年"&amp;_xlfn.SHEET()+7&amp;"月","令和9年"&amp;_xlfn.SHEET()-5&amp;"月")&amp;"!$U$5")),$G14/($V15-$U$5))</f>
        <v>#VALUE!</v>
      </c>
      <c r="J14" s="26" t="str">
        <f t="shared" si="1"/>
        <v/>
      </c>
      <c r="K14" s="27"/>
      <c r="L14" s="165">
        <f t="shared" si="2"/>
        <v>0</v>
      </c>
      <c r="M14" s="28" t="str">
        <f t="shared" si="3"/>
        <v/>
      </c>
      <c r="N14" s="166" t="str">
        <f t="shared" si="4"/>
        <v/>
      </c>
      <c r="O14" s="167" t="str">
        <f t="shared" si="5"/>
        <v/>
      </c>
      <c r="P14" s="168"/>
      <c r="Q14" s="169" t="str">
        <f t="shared" si="6"/>
        <v/>
      </c>
      <c r="R14" s="170">
        <v>12</v>
      </c>
      <c r="S14" s="171">
        <v>0</v>
      </c>
      <c r="T14" s="24" t="s">
        <v>84</v>
      </c>
      <c r="U14" s="29">
        <v>205740</v>
      </c>
      <c r="V14" s="30">
        <f t="shared" si="41"/>
        <v>2775770</v>
      </c>
      <c r="W14" s="27">
        <v>145</v>
      </c>
      <c r="X14" s="31">
        <f t="shared" si="7"/>
        <v>1418.8965517241379</v>
      </c>
      <c r="Y14" s="29">
        <v>257220</v>
      </c>
      <c r="Z14" s="32">
        <f t="shared" si="42"/>
        <v>3266369</v>
      </c>
      <c r="AA14" s="33">
        <f t="shared" si="8"/>
        <v>0.84980294632970121</v>
      </c>
      <c r="AB14" s="158">
        <v>250000</v>
      </c>
      <c r="AC14" s="34">
        <f t="shared" si="43"/>
        <v>3400000</v>
      </c>
      <c r="AD14" s="158"/>
      <c r="AE14" s="25"/>
      <c r="AF14" s="25"/>
      <c r="AG14" s="25"/>
      <c r="AH14" s="25"/>
      <c r="AI14" s="25"/>
      <c r="AJ14" s="25"/>
      <c r="AK14" s="25"/>
      <c r="AL14" s="158"/>
      <c r="AM14" s="25"/>
      <c r="AN14" s="158"/>
      <c r="AO14" s="25"/>
      <c r="AP14" s="25"/>
      <c r="AQ14" s="158"/>
      <c r="AR14" s="35">
        <f t="shared" si="9"/>
        <v>0</v>
      </c>
      <c r="AS14" s="172" t="str">
        <f t="shared" si="10"/>
        <v/>
      </c>
      <c r="AT14" s="36">
        <f t="shared" si="11"/>
        <v>0</v>
      </c>
      <c r="AU14" s="173"/>
      <c r="AV14" s="82">
        <f t="shared" si="12"/>
        <v>10</v>
      </c>
      <c r="AW14" s="37"/>
      <c r="AX14" s="174" t="str">
        <f t="shared" si="13"/>
        <v/>
      </c>
      <c r="AY14" s="37"/>
      <c r="AZ14" s="174" t="str">
        <f t="shared" si="14"/>
        <v/>
      </c>
      <c r="BA14" s="37"/>
      <c r="BB14" s="174" t="str">
        <f t="shared" si="15"/>
        <v/>
      </c>
      <c r="BC14" s="37"/>
      <c r="BD14" s="174" t="str">
        <f t="shared" si="16"/>
        <v/>
      </c>
      <c r="BE14" s="37"/>
      <c r="BF14" s="174" t="str">
        <f t="shared" si="17"/>
        <v/>
      </c>
      <c r="BG14" s="37"/>
      <c r="BH14" s="174" t="str">
        <f t="shared" si="18"/>
        <v/>
      </c>
      <c r="BI14" s="37"/>
      <c r="BJ14" s="174" t="str">
        <f t="shared" si="19"/>
        <v/>
      </c>
      <c r="BK14" s="37"/>
      <c r="BL14" s="174" t="str">
        <f t="shared" si="20"/>
        <v/>
      </c>
      <c r="BM14" s="37"/>
      <c r="BN14" s="174" t="str">
        <f t="shared" si="21"/>
        <v/>
      </c>
      <c r="BO14" s="37"/>
      <c r="BP14" s="174" t="str">
        <f t="shared" si="22"/>
        <v/>
      </c>
      <c r="BQ14" s="37"/>
      <c r="BR14" s="174" t="str">
        <f t="shared" si="23"/>
        <v/>
      </c>
      <c r="BS14" s="37"/>
      <c r="BT14" s="174" t="str">
        <f t="shared" si="24"/>
        <v/>
      </c>
      <c r="BU14" s="37"/>
      <c r="BV14" s="174" t="str">
        <f t="shared" si="25"/>
        <v/>
      </c>
      <c r="BW14" s="37"/>
      <c r="BX14" s="174" t="str">
        <f t="shared" si="26"/>
        <v/>
      </c>
      <c r="BY14" s="37"/>
      <c r="BZ14" s="174" t="str">
        <f t="shared" si="27"/>
        <v/>
      </c>
      <c r="CA14" s="37"/>
      <c r="CB14" s="174" t="str">
        <f t="shared" si="28"/>
        <v/>
      </c>
      <c r="CC14" s="37"/>
      <c r="CD14" s="174" t="str">
        <f t="shared" si="29"/>
        <v/>
      </c>
      <c r="CE14" s="37"/>
      <c r="CF14" s="174" t="str">
        <f t="shared" si="30"/>
        <v/>
      </c>
      <c r="CG14" s="37"/>
      <c r="CH14" s="174" t="str">
        <f t="shared" si="31"/>
        <v/>
      </c>
      <c r="CI14" s="37"/>
      <c r="CJ14" s="174" t="str">
        <f t="shared" si="32"/>
        <v/>
      </c>
      <c r="CK14" s="37"/>
      <c r="CL14" s="174" t="str">
        <f t="shared" si="33"/>
        <v/>
      </c>
      <c r="CM14" s="37"/>
      <c r="CN14" s="174" t="str">
        <f t="shared" si="34"/>
        <v/>
      </c>
      <c r="CO14" s="37"/>
      <c r="CP14" s="174" t="str">
        <f t="shared" si="35"/>
        <v/>
      </c>
      <c r="CQ14" s="37"/>
      <c r="CR14" s="174" t="str">
        <f t="shared" si="36"/>
        <v/>
      </c>
      <c r="CS14" s="37"/>
      <c r="CT14" s="174" t="str">
        <f t="shared" si="37"/>
        <v/>
      </c>
      <c r="CU14" s="38"/>
      <c r="CV14" s="87"/>
      <c r="CW14" s="90"/>
      <c r="CX14" s="38"/>
      <c r="CY14" s="39"/>
      <c r="CZ14" s="37"/>
      <c r="DA14" s="39"/>
      <c r="DB14" s="24">
        <v>10</v>
      </c>
      <c r="DC14" s="96" t="str">
        <f t="shared" si="38"/>
        <v>木</v>
      </c>
      <c r="DF14" s="125"/>
      <c r="DG14" s="40"/>
      <c r="DH14" s="40"/>
      <c r="DI14" s="40"/>
      <c r="DJ14" s="40"/>
      <c r="DK14" s="40"/>
      <c r="DL14" s="40"/>
      <c r="DM14" s="40"/>
      <c r="DN14" s="40"/>
      <c r="DO14" s="40"/>
      <c r="DP14" s="40">
        <f t="shared" si="39"/>
        <v>0</v>
      </c>
      <c r="DQ14" s="172" t="str">
        <f t="shared" si="40"/>
        <v/>
      </c>
      <c r="DS14" s="189"/>
      <c r="DT14" s="190"/>
      <c r="DU14" s="190"/>
      <c r="DV14" s="191"/>
      <c r="DW14" s="41"/>
      <c r="DX14" s="42"/>
    </row>
    <row r="15" spans="1:132" ht="13.5" customHeight="1" x14ac:dyDescent="0.4">
      <c r="A15" s="104">
        <v>11</v>
      </c>
      <c r="B15" s="23" t="s">
        <v>86</v>
      </c>
      <c r="C15" s="164"/>
      <c r="D15" s="164"/>
      <c r="E15" s="24"/>
      <c r="F15" s="29"/>
      <c r="G15" s="25" t="str">
        <f>IF(SUM($F$5:F15)=0,"",SUM($F$5:F15))</f>
        <v/>
      </c>
      <c r="H15" s="43" t="str">
        <f t="shared" si="0"/>
        <v/>
      </c>
      <c r="I15" s="148" t="e">
        <f t="array" aca="1" ref="I15" ca="1">IF($A16="",$G15/($V15-$U$5+INDIRECT(IF(_xlfn.SHEET()&lt;6,"令和8年"&amp;_xlfn.SHEET()+7&amp;"月","令和9年"&amp;_xlfn.SHEET()-5&amp;"月")&amp;"!$U$5")),$G15/($V16-$U$5))</f>
        <v>#VALUE!</v>
      </c>
      <c r="J15" s="26" t="str">
        <f t="shared" si="1"/>
        <v/>
      </c>
      <c r="K15" s="27"/>
      <c r="L15" s="165">
        <f t="shared" si="2"/>
        <v>0</v>
      </c>
      <c r="M15" s="28" t="str">
        <f t="shared" si="3"/>
        <v/>
      </c>
      <c r="N15" s="166" t="str">
        <f t="shared" si="4"/>
        <v/>
      </c>
      <c r="O15" s="167" t="str">
        <f t="shared" si="5"/>
        <v/>
      </c>
      <c r="P15" s="168"/>
      <c r="Q15" s="169" t="str">
        <f t="shared" si="6"/>
        <v/>
      </c>
      <c r="R15" s="170">
        <v>13</v>
      </c>
      <c r="S15" s="171">
        <v>5</v>
      </c>
      <c r="T15" s="24" t="s">
        <v>84</v>
      </c>
      <c r="U15" s="29">
        <v>360398</v>
      </c>
      <c r="V15" s="30">
        <f t="shared" si="41"/>
        <v>3136168</v>
      </c>
      <c r="W15" s="27">
        <v>147</v>
      </c>
      <c r="X15" s="31">
        <f t="shared" si="7"/>
        <v>2451.687074829932</v>
      </c>
      <c r="Y15" s="29">
        <v>211179</v>
      </c>
      <c r="Z15" s="32">
        <f t="shared" si="42"/>
        <v>3477548</v>
      </c>
      <c r="AA15" s="33">
        <f t="shared" si="8"/>
        <v>0.90183313070013704</v>
      </c>
      <c r="AB15" s="158">
        <v>250000</v>
      </c>
      <c r="AC15" s="34">
        <f t="shared" si="43"/>
        <v>3650000</v>
      </c>
      <c r="AD15" s="158"/>
      <c r="AE15" s="25"/>
      <c r="AF15" s="25"/>
      <c r="AG15" s="25"/>
      <c r="AH15" s="25"/>
      <c r="AI15" s="25"/>
      <c r="AJ15" s="25"/>
      <c r="AK15" s="25"/>
      <c r="AL15" s="158"/>
      <c r="AM15" s="25"/>
      <c r="AN15" s="158"/>
      <c r="AO15" s="25"/>
      <c r="AP15" s="25"/>
      <c r="AQ15" s="158"/>
      <c r="AR15" s="35">
        <f t="shared" si="9"/>
        <v>0</v>
      </c>
      <c r="AS15" s="172" t="str">
        <f t="shared" si="10"/>
        <v/>
      </c>
      <c r="AT15" s="36">
        <f t="shared" si="11"/>
        <v>0</v>
      </c>
      <c r="AU15" s="173"/>
      <c r="AV15" s="82">
        <f t="shared" si="12"/>
        <v>11</v>
      </c>
      <c r="AW15" s="37"/>
      <c r="AX15" s="174" t="str">
        <f t="shared" si="13"/>
        <v/>
      </c>
      <c r="AY15" s="37"/>
      <c r="AZ15" s="174" t="str">
        <f t="shared" si="14"/>
        <v/>
      </c>
      <c r="BA15" s="37"/>
      <c r="BB15" s="174" t="str">
        <f t="shared" si="15"/>
        <v/>
      </c>
      <c r="BC15" s="37"/>
      <c r="BD15" s="174" t="str">
        <f t="shared" si="16"/>
        <v/>
      </c>
      <c r="BE15" s="37"/>
      <c r="BF15" s="174" t="str">
        <f t="shared" si="17"/>
        <v/>
      </c>
      <c r="BG15" s="37"/>
      <c r="BH15" s="174" t="str">
        <f t="shared" si="18"/>
        <v/>
      </c>
      <c r="BI15" s="37"/>
      <c r="BJ15" s="174" t="str">
        <f t="shared" si="19"/>
        <v/>
      </c>
      <c r="BK15" s="37"/>
      <c r="BL15" s="174" t="str">
        <f t="shared" si="20"/>
        <v/>
      </c>
      <c r="BM15" s="37"/>
      <c r="BN15" s="174" t="str">
        <f t="shared" si="21"/>
        <v/>
      </c>
      <c r="BO15" s="37"/>
      <c r="BP15" s="174" t="str">
        <f t="shared" si="22"/>
        <v/>
      </c>
      <c r="BQ15" s="37"/>
      <c r="BR15" s="174" t="str">
        <f t="shared" si="23"/>
        <v/>
      </c>
      <c r="BS15" s="37"/>
      <c r="BT15" s="174" t="str">
        <f t="shared" si="24"/>
        <v/>
      </c>
      <c r="BU15" s="37"/>
      <c r="BV15" s="174" t="str">
        <f t="shared" si="25"/>
        <v/>
      </c>
      <c r="BW15" s="37"/>
      <c r="BX15" s="174" t="str">
        <f t="shared" si="26"/>
        <v/>
      </c>
      <c r="BY15" s="37"/>
      <c r="BZ15" s="174" t="str">
        <f t="shared" si="27"/>
        <v/>
      </c>
      <c r="CA15" s="37"/>
      <c r="CB15" s="174" t="str">
        <f t="shared" si="28"/>
        <v/>
      </c>
      <c r="CC15" s="37"/>
      <c r="CD15" s="174" t="str">
        <f t="shared" si="29"/>
        <v/>
      </c>
      <c r="CE15" s="37"/>
      <c r="CF15" s="174" t="str">
        <f t="shared" si="30"/>
        <v/>
      </c>
      <c r="CG15" s="37"/>
      <c r="CH15" s="174" t="str">
        <f t="shared" si="31"/>
        <v/>
      </c>
      <c r="CI15" s="37"/>
      <c r="CJ15" s="174" t="str">
        <f t="shared" si="32"/>
        <v/>
      </c>
      <c r="CK15" s="37"/>
      <c r="CL15" s="174" t="str">
        <f t="shared" si="33"/>
        <v/>
      </c>
      <c r="CM15" s="37"/>
      <c r="CN15" s="174" t="str">
        <f t="shared" si="34"/>
        <v/>
      </c>
      <c r="CO15" s="37"/>
      <c r="CP15" s="174" t="str">
        <f t="shared" si="35"/>
        <v/>
      </c>
      <c r="CQ15" s="37"/>
      <c r="CR15" s="174" t="str">
        <f t="shared" si="36"/>
        <v/>
      </c>
      <c r="CS15" s="37"/>
      <c r="CT15" s="174" t="str">
        <f t="shared" si="37"/>
        <v/>
      </c>
      <c r="CU15" s="38"/>
      <c r="CV15" s="87"/>
      <c r="CW15" s="90"/>
      <c r="CX15" s="38"/>
      <c r="CY15" s="39"/>
      <c r="CZ15" s="37"/>
      <c r="DA15" s="39"/>
      <c r="DB15" s="24">
        <v>11</v>
      </c>
      <c r="DC15" s="96" t="str">
        <f t="shared" si="38"/>
        <v>金</v>
      </c>
      <c r="DF15" s="125"/>
      <c r="DG15" s="40"/>
      <c r="DH15" s="40"/>
      <c r="DI15" s="40"/>
      <c r="DJ15" s="40"/>
      <c r="DK15" s="40"/>
      <c r="DL15" s="40"/>
      <c r="DM15" s="40"/>
      <c r="DN15" s="40"/>
      <c r="DO15" s="40"/>
      <c r="DP15" s="40">
        <f t="shared" si="39"/>
        <v>0</v>
      </c>
      <c r="DQ15" s="172" t="str">
        <f t="shared" si="40"/>
        <v/>
      </c>
      <c r="DS15" s="189"/>
      <c r="DT15" s="190"/>
      <c r="DU15" s="190"/>
      <c r="DV15" s="191"/>
      <c r="DW15" s="41"/>
      <c r="DX15" s="42"/>
    </row>
    <row r="16" spans="1:132" ht="13.5" customHeight="1" x14ac:dyDescent="0.4">
      <c r="A16" s="104">
        <v>12</v>
      </c>
      <c r="B16" s="23" t="s">
        <v>88</v>
      </c>
      <c r="C16" s="164"/>
      <c r="D16" s="164"/>
      <c r="E16" s="24"/>
      <c r="F16" s="29"/>
      <c r="G16" s="25" t="str">
        <f>IF(SUM($F$5:F16)=0,"",SUM($F$5:F16))</f>
        <v/>
      </c>
      <c r="H16" s="43" t="str">
        <f t="shared" si="0"/>
        <v/>
      </c>
      <c r="I16" s="148" t="e">
        <f t="array" aca="1" ref="I16" ca="1">IF($A17="",$G16/($V16-$U$5+INDIRECT(IF(_xlfn.SHEET()&lt;6,"令和8年"&amp;_xlfn.SHEET()+7&amp;"月","令和9年"&amp;_xlfn.SHEET()-5&amp;"月")&amp;"!$U$5")),$G16/($V17-$U$5))</f>
        <v>#VALUE!</v>
      </c>
      <c r="J16" s="26" t="str">
        <f t="shared" si="1"/>
        <v/>
      </c>
      <c r="K16" s="27"/>
      <c r="L16" s="165">
        <f t="shared" si="2"/>
        <v>0</v>
      </c>
      <c r="M16" s="28" t="str">
        <f t="shared" si="3"/>
        <v/>
      </c>
      <c r="N16" s="166" t="str">
        <f t="shared" si="4"/>
        <v/>
      </c>
      <c r="O16" s="167" t="str">
        <f t="shared" si="5"/>
        <v/>
      </c>
      <c r="P16" s="168"/>
      <c r="Q16" s="169" t="str">
        <f t="shared" si="6"/>
        <v/>
      </c>
      <c r="R16" s="170">
        <v>15</v>
      </c>
      <c r="S16" s="171">
        <v>3</v>
      </c>
      <c r="T16" s="24" t="s">
        <v>110</v>
      </c>
      <c r="U16" s="29">
        <v>370705</v>
      </c>
      <c r="V16" s="30">
        <f t="shared" si="41"/>
        <v>3506873</v>
      </c>
      <c r="W16" s="27">
        <v>151</v>
      </c>
      <c r="X16" s="31">
        <f t="shared" si="7"/>
        <v>2455</v>
      </c>
      <c r="Y16" s="29">
        <v>323526</v>
      </c>
      <c r="Z16" s="32">
        <f t="shared" si="42"/>
        <v>3801074</v>
      </c>
      <c r="AA16" s="33">
        <f t="shared" si="8"/>
        <v>0.92260055973653765</v>
      </c>
      <c r="AB16" s="158">
        <v>700000</v>
      </c>
      <c r="AC16" s="34">
        <f t="shared" si="43"/>
        <v>4350000</v>
      </c>
      <c r="AD16" s="158"/>
      <c r="AE16" s="25"/>
      <c r="AF16" s="25"/>
      <c r="AG16" s="25"/>
      <c r="AH16" s="25"/>
      <c r="AI16" s="25"/>
      <c r="AJ16" s="25"/>
      <c r="AK16" s="25"/>
      <c r="AL16" s="158"/>
      <c r="AM16" s="25"/>
      <c r="AN16" s="158"/>
      <c r="AO16" s="25"/>
      <c r="AP16" s="25"/>
      <c r="AQ16" s="158"/>
      <c r="AR16" s="35">
        <f t="shared" si="9"/>
        <v>0</v>
      </c>
      <c r="AS16" s="172" t="str">
        <f t="shared" si="10"/>
        <v/>
      </c>
      <c r="AT16" s="36">
        <f t="shared" si="11"/>
        <v>0</v>
      </c>
      <c r="AU16" s="173"/>
      <c r="AV16" s="82">
        <f t="shared" si="12"/>
        <v>12</v>
      </c>
      <c r="AW16" s="37"/>
      <c r="AX16" s="174" t="str">
        <f t="shared" si="13"/>
        <v/>
      </c>
      <c r="AY16" s="37"/>
      <c r="AZ16" s="174" t="str">
        <f t="shared" si="14"/>
        <v/>
      </c>
      <c r="BA16" s="37"/>
      <c r="BB16" s="174" t="str">
        <f t="shared" si="15"/>
        <v/>
      </c>
      <c r="BC16" s="37"/>
      <c r="BD16" s="174" t="str">
        <f t="shared" si="16"/>
        <v/>
      </c>
      <c r="BE16" s="37"/>
      <c r="BF16" s="174" t="str">
        <f t="shared" si="17"/>
        <v/>
      </c>
      <c r="BG16" s="37"/>
      <c r="BH16" s="174" t="str">
        <f t="shared" si="18"/>
        <v/>
      </c>
      <c r="BI16" s="37"/>
      <c r="BJ16" s="174" t="str">
        <f t="shared" si="19"/>
        <v/>
      </c>
      <c r="BK16" s="37"/>
      <c r="BL16" s="174" t="str">
        <f t="shared" si="20"/>
        <v/>
      </c>
      <c r="BM16" s="37"/>
      <c r="BN16" s="174" t="str">
        <f t="shared" si="21"/>
        <v/>
      </c>
      <c r="BO16" s="37"/>
      <c r="BP16" s="174" t="str">
        <f t="shared" si="22"/>
        <v/>
      </c>
      <c r="BQ16" s="37"/>
      <c r="BR16" s="174" t="str">
        <f t="shared" si="23"/>
        <v/>
      </c>
      <c r="BS16" s="37"/>
      <c r="BT16" s="174" t="str">
        <f t="shared" si="24"/>
        <v/>
      </c>
      <c r="BU16" s="37"/>
      <c r="BV16" s="174" t="str">
        <f t="shared" si="25"/>
        <v/>
      </c>
      <c r="BW16" s="37"/>
      <c r="BX16" s="174" t="str">
        <f t="shared" si="26"/>
        <v/>
      </c>
      <c r="BY16" s="37"/>
      <c r="BZ16" s="174" t="str">
        <f t="shared" si="27"/>
        <v/>
      </c>
      <c r="CA16" s="37"/>
      <c r="CB16" s="174" t="str">
        <f t="shared" si="28"/>
        <v/>
      </c>
      <c r="CC16" s="37"/>
      <c r="CD16" s="174" t="str">
        <f t="shared" si="29"/>
        <v/>
      </c>
      <c r="CE16" s="37"/>
      <c r="CF16" s="174" t="str">
        <f t="shared" si="30"/>
        <v/>
      </c>
      <c r="CG16" s="37"/>
      <c r="CH16" s="174" t="str">
        <f t="shared" si="31"/>
        <v/>
      </c>
      <c r="CI16" s="37"/>
      <c r="CJ16" s="174" t="str">
        <f t="shared" si="32"/>
        <v/>
      </c>
      <c r="CK16" s="37"/>
      <c r="CL16" s="174" t="str">
        <f t="shared" si="33"/>
        <v/>
      </c>
      <c r="CM16" s="37"/>
      <c r="CN16" s="174" t="str">
        <f t="shared" si="34"/>
        <v/>
      </c>
      <c r="CO16" s="37"/>
      <c r="CP16" s="174" t="str">
        <f t="shared" si="35"/>
        <v/>
      </c>
      <c r="CQ16" s="37"/>
      <c r="CR16" s="174" t="str">
        <f t="shared" si="36"/>
        <v/>
      </c>
      <c r="CS16" s="37"/>
      <c r="CT16" s="174" t="str">
        <f t="shared" si="37"/>
        <v/>
      </c>
      <c r="CU16" s="38"/>
      <c r="CV16" s="87"/>
      <c r="CW16" s="90"/>
      <c r="CX16" s="38"/>
      <c r="CY16" s="39"/>
      <c r="CZ16" s="37"/>
      <c r="DA16" s="39"/>
      <c r="DB16" s="24">
        <v>12</v>
      </c>
      <c r="DC16" s="96" t="str">
        <f t="shared" si="38"/>
        <v>土</v>
      </c>
      <c r="DF16" s="125"/>
      <c r="DG16" s="40"/>
      <c r="DH16" s="40"/>
      <c r="DI16" s="40"/>
      <c r="DJ16" s="40"/>
      <c r="DK16" s="40"/>
      <c r="DL16" s="40"/>
      <c r="DM16" s="40"/>
      <c r="DN16" s="40"/>
      <c r="DO16" s="40"/>
      <c r="DP16" s="40">
        <f t="shared" si="39"/>
        <v>0</v>
      </c>
      <c r="DQ16" s="172" t="str">
        <f t="shared" si="40"/>
        <v/>
      </c>
      <c r="DS16" s="189"/>
      <c r="DT16" s="190"/>
      <c r="DU16" s="190"/>
      <c r="DV16" s="191"/>
      <c r="DW16" s="138"/>
      <c r="DX16" s="42"/>
    </row>
    <row r="17" spans="1:128" ht="13.5" customHeight="1" x14ac:dyDescent="0.4">
      <c r="A17" s="104">
        <v>13</v>
      </c>
      <c r="B17" s="23" t="s">
        <v>89</v>
      </c>
      <c r="C17" s="164"/>
      <c r="D17" s="164"/>
      <c r="E17" s="24"/>
      <c r="F17" s="29"/>
      <c r="G17" s="25" t="str">
        <f>IF(SUM($F$5:F17)=0,"",SUM($F$5:F17))</f>
        <v/>
      </c>
      <c r="H17" s="43" t="str">
        <f t="shared" si="0"/>
        <v/>
      </c>
      <c r="I17" s="148" t="e">
        <f t="array" aca="1" ref="I17" ca="1">IF($A18="",$G17/($V17-$U$5+INDIRECT(IF(_xlfn.SHEET()&lt;6,"令和8年"&amp;_xlfn.SHEET()+7&amp;"月","令和9年"&amp;_xlfn.SHEET()-5&amp;"月")&amp;"!$U$5")),$G17/($V18-$U$5))</f>
        <v>#VALUE!</v>
      </c>
      <c r="J17" s="26" t="str">
        <f t="shared" si="1"/>
        <v/>
      </c>
      <c r="K17" s="27"/>
      <c r="L17" s="165">
        <f t="shared" si="2"/>
        <v>0</v>
      </c>
      <c r="M17" s="28" t="str">
        <f t="shared" si="3"/>
        <v/>
      </c>
      <c r="N17" s="166" t="str">
        <f t="shared" si="4"/>
        <v/>
      </c>
      <c r="O17" s="167" t="str">
        <f t="shared" si="5"/>
        <v/>
      </c>
      <c r="P17" s="168"/>
      <c r="Q17" s="169" t="str">
        <f t="shared" si="6"/>
        <v/>
      </c>
      <c r="R17" s="170">
        <v>14</v>
      </c>
      <c r="S17" s="171">
        <v>2</v>
      </c>
      <c r="T17" s="24" t="s">
        <v>121</v>
      </c>
      <c r="U17" s="29">
        <v>586824</v>
      </c>
      <c r="V17" s="30">
        <f t="shared" si="41"/>
        <v>4093697</v>
      </c>
      <c r="W17" s="27">
        <v>325</v>
      </c>
      <c r="X17" s="31">
        <f t="shared" si="7"/>
        <v>1805.6123076923077</v>
      </c>
      <c r="Y17" s="29">
        <v>335119</v>
      </c>
      <c r="Z17" s="32">
        <f t="shared" si="42"/>
        <v>4136193</v>
      </c>
      <c r="AA17" s="33">
        <f t="shared" si="8"/>
        <v>0.98972581792000514</v>
      </c>
      <c r="AB17" s="158">
        <v>700000</v>
      </c>
      <c r="AC17" s="34">
        <f t="shared" si="43"/>
        <v>5050000</v>
      </c>
      <c r="AD17" s="158"/>
      <c r="AE17" s="25"/>
      <c r="AF17" s="25"/>
      <c r="AG17" s="25"/>
      <c r="AH17" s="25"/>
      <c r="AI17" s="25"/>
      <c r="AJ17" s="25"/>
      <c r="AK17" s="25"/>
      <c r="AL17" s="158"/>
      <c r="AM17" s="25"/>
      <c r="AN17" s="158"/>
      <c r="AO17" s="25"/>
      <c r="AP17" s="25"/>
      <c r="AQ17" s="158"/>
      <c r="AR17" s="35">
        <f t="shared" si="9"/>
        <v>0</v>
      </c>
      <c r="AS17" s="172" t="str">
        <f t="shared" si="10"/>
        <v/>
      </c>
      <c r="AT17" s="36">
        <f t="shared" si="11"/>
        <v>0</v>
      </c>
      <c r="AU17" s="173"/>
      <c r="AV17" s="82">
        <f t="shared" si="12"/>
        <v>13</v>
      </c>
      <c r="AW17" s="37"/>
      <c r="AX17" s="174" t="str">
        <f t="shared" si="13"/>
        <v/>
      </c>
      <c r="AY17" s="37"/>
      <c r="AZ17" s="174" t="str">
        <f t="shared" si="14"/>
        <v/>
      </c>
      <c r="BA17" s="37"/>
      <c r="BB17" s="174" t="str">
        <f t="shared" si="15"/>
        <v/>
      </c>
      <c r="BC17" s="37"/>
      <c r="BD17" s="174" t="str">
        <f t="shared" si="16"/>
        <v/>
      </c>
      <c r="BE17" s="37"/>
      <c r="BF17" s="174" t="str">
        <f t="shared" si="17"/>
        <v/>
      </c>
      <c r="BG17" s="37"/>
      <c r="BH17" s="174" t="str">
        <f t="shared" si="18"/>
        <v/>
      </c>
      <c r="BI17" s="37"/>
      <c r="BJ17" s="174" t="str">
        <f t="shared" si="19"/>
        <v/>
      </c>
      <c r="BK17" s="37"/>
      <c r="BL17" s="174" t="str">
        <f t="shared" si="20"/>
        <v/>
      </c>
      <c r="BM17" s="37"/>
      <c r="BN17" s="174" t="str">
        <f t="shared" si="21"/>
        <v/>
      </c>
      <c r="BO17" s="37"/>
      <c r="BP17" s="174" t="str">
        <f t="shared" si="22"/>
        <v/>
      </c>
      <c r="BQ17" s="37"/>
      <c r="BR17" s="174" t="str">
        <f t="shared" si="23"/>
        <v/>
      </c>
      <c r="BS17" s="37"/>
      <c r="BT17" s="174" t="str">
        <f t="shared" si="24"/>
        <v/>
      </c>
      <c r="BU17" s="37"/>
      <c r="BV17" s="174" t="str">
        <f t="shared" si="25"/>
        <v/>
      </c>
      <c r="BW17" s="37"/>
      <c r="BX17" s="174" t="str">
        <f t="shared" si="26"/>
        <v/>
      </c>
      <c r="BY17" s="37"/>
      <c r="BZ17" s="174" t="str">
        <f t="shared" si="27"/>
        <v/>
      </c>
      <c r="CA17" s="37"/>
      <c r="CB17" s="174" t="str">
        <f t="shared" si="28"/>
        <v/>
      </c>
      <c r="CC17" s="37"/>
      <c r="CD17" s="174" t="str">
        <f t="shared" si="29"/>
        <v/>
      </c>
      <c r="CE17" s="37"/>
      <c r="CF17" s="174" t="str">
        <f t="shared" si="30"/>
        <v/>
      </c>
      <c r="CG17" s="37"/>
      <c r="CH17" s="174" t="str">
        <f t="shared" si="31"/>
        <v/>
      </c>
      <c r="CI17" s="37"/>
      <c r="CJ17" s="174" t="str">
        <f t="shared" si="32"/>
        <v/>
      </c>
      <c r="CK17" s="37"/>
      <c r="CL17" s="174" t="str">
        <f t="shared" si="33"/>
        <v/>
      </c>
      <c r="CM17" s="37"/>
      <c r="CN17" s="174" t="str">
        <f t="shared" si="34"/>
        <v/>
      </c>
      <c r="CO17" s="37"/>
      <c r="CP17" s="174" t="str">
        <f t="shared" si="35"/>
        <v/>
      </c>
      <c r="CQ17" s="37"/>
      <c r="CR17" s="174" t="str">
        <f t="shared" si="36"/>
        <v/>
      </c>
      <c r="CS17" s="37"/>
      <c r="CT17" s="174" t="str">
        <f t="shared" si="37"/>
        <v/>
      </c>
      <c r="CU17" s="38"/>
      <c r="CV17" s="87"/>
      <c r="CW17" s="90"/>
      <c r="CX17" s="38"/>
      <c r="CY17" s="39"/>
      <c r="CZ17" s="37"/>
      <c r="DA17" s="39"/>
      <c r="DB17" s="24">
        <v>13</v>
      </c>
      <c r="DC17" s="96" t="str">
        <f t="shared" si="38"/>
        <v>日</v>
      </c>
      <c r="DF17" s="125"/>
      <c r="DG17" s="40"/>
      <c r="DH17" s="40"/>
      <c r="DI17" s="40"/>
      <c r="DJ17" s="40"/>
      <c r="DK17" s="40"/>
      <c r="DL17" s="40"/>
      <c r="DM17" s="40"/>
      <c r="DN17" s="40"/>
      <c r="DO17" s="40"/>
      <c r="DP17" s="40">
        <f t="shared" si="39"/>
        <v>0</v>
      </c>
      <c r="DQ17" s="172" t="str">
        <f t="shared" si="40"/>
        <v/>
      </c>
      <c r="DS17" s="189"/>
      <c r="DT17" s="190"/>
      <c r="DU17" s="190"/>
      <c r="DV17" s="191"/>
      <c r="DW17" s="41"/>
      <c r="DX17" s="42"/>
    </row>
    <row r="18" spans="1:128" ht="13.5" customHeight="1" x14ac:dyDescent="0.4">
      <c r="A18" s="104">
        <v>14</v>
      </c>
      <c r="B18" s="23" t="s">
        <v>90</v>
      </c>
      <c r="C18" s="164"/>
      <c r="D18" s="164"/>
      <c r="E18" s="24"/>
      <c r="F18" s="29"/>
      <c r="G18" s="25" t="str">
        <f>IF(SUM($F$5:F18)=0,"",SUM($F$5:F18))</f>
        <v/>
      </c>
      <c r="H18" s="43" t="str">
        <f t="shared" si="0"/>
        <v/>
      </c>
      <c r="I18" s="148" t="e">
        <f t="array" aca="1" ref="I18" ca="1">IF($A19="",$G18/($V18-$U$5+INDIRECT(IF(_xlfn.SHEET()&lt;6,"令和8年"&amp;_xlfn.SHEET()+7&amp;"月","令和9年"&amp;_xlfn.SHEET()-5&amp;"月")&amp;"!$U$5")),$G18/($V19-$U$5))</f>
        <v>#VALUE!</v>
      </c>
      <c r="J18" s="26" t="str">
        <f t="shared" si="1"/>
        <v/>
      </c>
      <c r="K18" s="27"/>
      <c r="L18" s="165">
        <f t="shared" si="2"/>
        <v>0</v>
      </c>
      <c r="M18" s="28" t="str">
        <f t="shared" si="3"/>
        <v/>
      </c>
      <c r="N18" s="166" t="str">
        <f t="shared" si="4"/>
        <v/>
      </c>
      <c r="O18" s="167" t="str">
        <f t="shared" si="5"/>
        <v/>
      </c>
      <c r="P18" s="168"/>
      <c r="Q18" s="169" t="str">
        <f t="shared" si="6"/>
        <v/>
      </c>
      <c r="R18" s="170">
        <v>12</v>
      </c>
      <c r="S18" s="171">
        <v>6</v>
      </c>
      <c r="T18" s="24" t="s">
        <v>84</v>
      </c>
      <c r="U18" s="29">
        <v>618441</v>
      </c>
      <c r="V18" s="30">
        <f t="shared" si="41"/>
        <v>4712138</v>
      </c>
      <c r="W18" s="27">
        <v>373</v>
      </c>
      <c r="X18" s="31">
        <f t="shared" si="7"/>
        <v>1658.0187667560322</v>
      </c>
      <c r="Y18" s="29">
        <v>650988</v>
      </c>
      <c r="Z18" s="32">
        <f t="shared" si="42"/>
        <v>4787181</v>
      </c>
      <c r="AA18" s="33">
        <f t="shared" si="8"/>
        <v>0.98432417742299694</v>
      </c>
      <c r="AB18" s="158">
        <v>250000</v>
      </c>
      <c r="AC18" s="34">
        <f t="shared" si="43"/>
        <v>5300000</v>
      </c>
      <c r="AD18" s="158"/>
      <c r="AE18" s="25"/>
      <c r="AF18" s="25"/>
      <c r="AG18" s="25"/>
      <c r="AH18" s="25"/>
      <c r="AI18" s="25"/>
      <c r="AJ18" s="25"/>
      <c r="AK18" s="25"/>
      <c r="AL18" s="158"/>
      <c r="AM18" s="25"/>
      <c r="AN18" s="158"/>
      <c r="AO18" s="25"/>
      <c r="AP18" s="25"/>
      <c r="AQ18" s="158"/>
      <c r="AR18" s="35">
        <f t="shared" si="9"/>
        <v>0</v>
      </c>
      <c r="AS18" s="172" t="str">
        <f t="shared" si="10"/>
        <v/>
      </c>
      <c r="AT18" s="36">
        <f t="shared" si="11"/>
        <v>0</v>
      </c>
      <c r="AU18" s="173"/>
      <c r="AV18" s="82">
        <f t="shared" si="12"/>
        <v>14</v>
      </c>
      <c r="AW18" s="37"/>
      <c r="AX18" s="174" t="str">
        <f t="shared" si="13"/>
        <v/>
      </c>
      <c r="AY18" s="37"/>
      <c r="AZ18" s="174" t="str">
        <f t="shared" si="14"/>
        <v/>
      </c>
      <c r="BA18" s="37"/>
      <c r="BB18" s="174" t="str">
        <f t="shared" si="15"/>
        <v/>
      </c>
      <c r="BC18" s="37"/>
      <c r="BD18" s="174" t="str">
        <f t="shared" si="16"/>
        <v/>
      </c>
      <c r="BE18" s="37"/>
      <c r="BF18" s="174" t="str">
        <f t="shared" si="17"/>
        <v/>
      </c>
      <c r="BG18" s="37"/>
      <c r="BH18" s="174" t="str">
        <f t="shared" si="18"/>
        <v/>
      </c>
      <c r="BI18" s="37"/>
      <c r="BJ18" s="174" t="str">
        <f t="shared" si="19"/>
        <v/>
      </c>
      <c r="BK18" s="37"/>
      <c r="BL18" s="174" t="str">
        <f t="shared" si="20"/>
        <v/>
      </c>
      <c r="BM18" s="37"/>
      <c r="BN18" s="174" t="str">
        <f t="shared" si="21"/>
        <v/>
      </c>
      <c r="BO18" s="37"/>
      <c r="BP18" s="174" t="str">
        <f t="shared" si="22"/>
        <v/>
      </c>
      <c r="BQ18" s="37"/>
      <c r="BR18" s="174" t="str">
        <f t="shared" si="23"/>
        <v/>
      </c>
      <c r="BS18" s="37"/>
      <c r="BT18" s="174" t="str">
        <f t="shared" si="24"/>
        <v/>
      </c>
      <c r="BU18" s="37"/>
      <c r="BV18" s="174" t="str">
        <f t="shared" si="25"/>
        <v/>
      </c>
      <c r="BW18" s="37"/>
      <c r="BX18" s="174" t="str">
        <f t="shared" si="26"/>
        <v/>
      </c>
      <c r="BY18" s="37"/>
      <c r="BZ18" s="174" t="str">
        <f t="shared" si="27"/>
        <v/>
      </c>
      <c r="CA18" s="37"/>
      <c r="CB18" s="174" t="str">
        <f t="shared" si="28"/>
        <v/>
      </c>
      <c r="CC18" s="37"/>
      <c r="CD18" s="174" t="str">
        <f t="shared" si="29"/>
        <v/>
      </c>
      <c r="CE18" s="37"/>
      <c r="CF18" s="174" t="str">
        <f t="shared" si="30"/>
        <v/>
      </c>
      <c r="CG18" s="37"/>
      <c r="CH18" s="174" t="str">
        <f t="shared" si="31"/>
        <v/>
      </c>
      <c r="CI18" s="37"/>
      <c r="CJ18" s="174" t="str">
        <f t="shared" si="32"/>
        <v/>
      </c>
      <c r="CK18" s="37"/>
      <c r="CL18" s="174" t="str">
        <f t="shared" si="33"/>
        <v/>
      </c>
      <c r="CM18" s="37"/>
      <c r="CN18" s="174" t="str">
        <f t="shared" si="34"/>
        <v/>
      </c>
      <c r="CO18" s="37"/>
      <c r="CP18" s="174" t="str">
        <f t="shared" si="35"/>
        <v/>
      </c>
      <c r="CQ18" s="37"/>
      <c r="CR18" s="174" t="str">
        <f t="shared" si="36"/>
        <v/>
      </c>
      <c r="CS18" s="37"/>
      <c r="CT18" s="174" t="str">
        <f t="shared" si="37"/>
        <v/>
      </c>
      <c r="CU18" s="38"/>
      <c r="CV18" s="87"/>
      <c r="CW18" s="90"/>
      <c r="CX18" s="38"/>
      <c r="CY18" s="39"/>
      <c r="CZ18" s="37"/>
      <c r="DA18" s="39"/>
      <c r="DB18" s="24">
        <v>14</v>
      </c>
      <c r="DC18" s="96" t="str">
        <f t="shared" si="38"/>
        <v>月</v>
      </c>
      <c r="DF18" s="125"/>
      <c r="DG18" s="40"/>
      <c r="DH18" s="40"/>
      <c r="DI18" s="40"/>
      <c r="DJ18" s="40"/>
      <c r="DK18" s="40"/>
      <c r="DL18" s="40"/>
      <c r="DM18" s="40"/>
      <c r="DN18" s="40"/>
      <c r="DO18" s="40"/>
      <c r="DP18" s="40">
        <f t="shared" si="39"/>
        <v>0</v>
      </c>
      <c r="DQ18" s="172" t="str">
        <f t="shared" si="40"/>
        <v/>
      </c>
      <c r="DS18" s="189"/>
      <c r="DT18" s="190"/>
      <c r="DU18" s="190"/>
      <c r="DV18" s="191"/>
      <c r="DW18" s="41"/>
      <c r="DX18" s="42"/>
    </row>
    <row r="19" spans="1:128" ht="13.5" customHeight="1" x14ac:dyDescent="0.4">
      <c r="A19" s="104">
        <v>15</v>
      </c>
      <c r="B19" s="23" t="s">
        <v>91</v>
      </c>
      <c r="C19" s="164"/>
      <c r="D19" s="164"/>
      <c r="E19" s="24"/>
      <c r="F19" s="29"/>
      <c r="G19" s="25" t="str">
        <f>IF(SUM($F$5:F19)=0,"",SUM($F$5:F19))</f>
        <v/>
      </c>
      <c r="H19" s="43" t="str">
        <f t="shared" si="0"/>
        <v/>
      </c>
      <c r="I19" s="148" t="e">
        <f t="array" aca="1" ref="I19" ca="1">IF($A20="",$G19/($V19-$U$5+INDIRECT(IF(_xlfn.SHEET()&lt;6,"令和8年"&amp;_xlfn.SHEET()+7&amp;"月","令和9年"&amp;_xlfn.SHEET()-5&amp;"月")&amp;"!$U$5")),$G19/($V20-$U$5))</f>
        <v>#VALUE!</v>
      </c>
      <c r="J19" s="26" t="str">
        <f t="shared" si="1"/>
        <v/>
      </c>
      <c r="K19" s="27"/>
      <c r="L19" s="165">
        <f t="shared" si="2"/>
        <v>0</v>
      </c>
      <c r="M19" s="28" t="str">
        <f t="shared" si="3"/>
        <v/>
      </c>
      <c r="N19" s="166" t="str">
        <f t="shared" si="4"/>
        <v/>
      </c>
      <c r="O19" s="167" t="str">
        <f t="shared" si="5"/>
        <v/>
      </c>
      <c r="P19" s="168"/>
      <c r="Q19" s="169" t="str">
        <f t="shared" si="6"/>
        <v/>
      </c>
      <c r="R19" s="170">
        <v>10</v>
      </c>
      <c r="S19" s="171">
        <v>3</v>
      </c>
      <c r="T19" s="24" t="s">
        <v>84</v>
      </c>
      <c r="U19" s="29">
        <v>201940</v>
      </c>
      <c r="V19" s="30">
        <f t="shared" si="41"/>
        <v>4914078</v>
      </c>
      <c r="W19" s="27">
        <v>116</v>
      </c>
      <c r="X19" s="31">
        <f t="shared" si="7"/>
        <v>1740.8620689655172</v>
      </c>
      <c r="Y19" s="29">
        <v>860019</v>
      </c>
      <c r="Z19" s="32">
        <f t="shared" si="42"/>
        <v>5647200</v>
      </c>
      <c r="AA19" s="33">
        <f t="shared" si="8"/>
        <v>0.87017955801104974</v>
      </c>
      <c r="AB19" s="158">
        <v>250000</v>
      </c>
      <c r="AC19" s="34">
        <f t="shared" si="43"/>
        <v>5550000</v>
      </c>
      <c r="AD19" s="158"/>
      <c r="AE19" s="25"/>
      <c r="AF19" s="25"/>
      <c r="AG19" s="25"/>
      <c r="AH19" s="25"/>
      <c r="AI19" s="25"/>
      <c r="AJ19" s="25"/>
      <c r="AK19" s="25"/>
      <c r="AL19" s="158"/>
      <c r="AM19" s="25"/>
      <c r="AN19" s="158"/>
      <c r="AO19" s="25"/>
      <c r="AP19" s="25"/>
      <c r="AQ19" s="158"/>
      <c r="AR19" s="35">
        <f t="shared" si="9"/>
        <v>0</v>
      </c>
      <c r="AS19" s="172" t="str">
        <f t="shared" si="10"/>
        <v/>
      </c>
      <c r="AT19" s="36">
        <f t="shared" si="11"/>
        <v>0</v>
      </c>
      <c r="AU19" s="173"/>
      <c r="AV19" s="82">
        <f t="shared" si="12"/>
        <v>15</v>
      </c>
      <c r="AW19" s="37"/>
      <c r="AX19" s="174" t="str">
        <f t="shared" si="13"/>
        <v/>
      </c>
      <c r="AY19" s="37"/>
      <c r="AZ19" s="174" t="str">
        <f t="shared" si="14"/>
        <v/>
      </c>
      <c r="BA19" s="37"/>
      <c r="BB19" s="174" t="str">
        <f t="shared" si="15"/>
        <v/>
      </c>
      <c r="BC19" s="37"/>
      <c r="BD19" s="174" t="str">
        <f t="shared" si="16"/>
        <v/>
      </c>
      <c r="BE19" s="37"/>
      <c r="BF19" s="174" t="str">
        <f t="shared" si="17"/>
        <v/>
      </c>
      <c r="BG19" s="37"/>
      <c r="BH19" s="174" t="str">
        <f t="shared" si="18"/>
        <v/>
      </c>
      <c r="BI19" s="37"/>
      <c r="BJ19" s="174" t="str">
        <f t="shared" si="19"/>
        <v/>
      </c>
      <c r="BK19" s="37"/>
      <c r="BL19" s="174" t="str">
        <f t="shared" si="20"/>
        <v/>
      </c>
      <c r="BM19" s="37"/>
      <c r="BN19" s="174" t="str">
        <f t="shared" si="21"/>
        <v/>
      </c>
      <c r="BO19" s="37"/>
      <c r="BP19" s="174" t="str">
        <f t="shared" si="22"/>
        <v/>
      </c>
      <c r="BQ19" s="37"/>
      <c r="BR19" s="174" t="str">
        <f t="shared" si="23"/>
        <v/>
      </c>
      <c r="BS19" s="37"/>
      <c r="BT19" s="174" t="str">
        <f t="shared" si="24"/>
        <v/>
      </c>
      <c r="BU19" s="37"/>
      <c r="BV19" s="174" t="str">
        <f t="shared" si="25"/>
        <v/>
      </c>
      <c r="BW19" s="37"/>
      <c r="BX19" s="174" t="str">
        <f t="shared" si="26"/>
        <v/>
      </c>
      <c r="BY19" s="37"/>
      <c r="BZ19" s="174" t="str">
        <f t="shared" si="27"/>
        <v/>
      </c>
      <c r="CA19" s="37"/>
      <c r="CB19" s="174" t="str">
        <f t="shared" si="28"/>
        <v/>
      </c>
      <c r="CC19" s="37"/>
      <c r="CD19" s="174" t="str">
        <f t="shared" si="29"/>
        <v/>
      </c>
      <c r="CE19" s="37"/>
      <c r="CF19" s="174" t="str">
        <f t="shared" si="30"/>
        <v/>
      </c>
      <c r="CG19" s="37"/>
      <c r="CH19" s="174" t="str">
        <f t="shared" si="31"/>
        <v/>
      </c>
      <c r="CI19" s="37"/>
      <c r="CJ19" s="174" t="str">
        <f t="shared" si="32"/>
        <v/>
      </c>
      <c r="CK19" s="37"/>
      <c r="CL19" s="174" t="str">
        <f t="shared" si="33"/>
        <v/>
      </c>
      <c r="CM19" s="37"/>
      <c r="CN19" s="174" t="str">
        <f t="shared" si="34"/>
        <v/>
      </c>
      <c r="CO19" s="37"/>
      <c r="CP19" s="174" t="str">
        <f t="shared" si="35"/>
        <v/>
      </c>
      <c r="CQ19" s="37"/>
      <c r="CR19" s="174" t="str">
        <f t="shared" si="36"/>
        <v/>
      </c>
      <c r="CS19" s="37"/>
      <c r="CT19" s="174" t="str">
        <f t="shared" si="37"/>
        <v/>
      </c>
      <c r="CU19" s="38"/>
      <c r="CV19" s="87"/>
      <c r="CW19" s="90"/>
      <c r="CX19" s="38"/>
      <c r="CY19" s="39"/>
      <c r="CZ19" s="37"/>
      <c r="DA19" s="39"/>
      <c r="DB19" s="24">
        <v>15</v>
      </c>
      <c r="DC19" s="96" t="str">
        <f t="shared" si="38"/>
        <v>火</v>
      </c>
      <c r="DF19" s="125"/>
      <c r="DG19" s="40"/>
      <c r="DH19" s="40"/>
      <c r="DI19" s="40"/>
      <c r="DJ19" s="40"/>
      <c r="DK19" s="40"/>
      <c r="DL19" s="40"/>
      <c r="DM19" s="40"/>
      <c r="DN19" s="40"/>
      <c r="DO19" s="40"/>
      <c r="DP19" s="40">
        <f t="shared" si="39"/>
        <v>0</v>
      </c>
      <c r="DQ19" s="172" t="str">
        <f t="shared" si="40"/>
        <v/>
      </c>
      <c r="DS19" s="189"/>
      <c r="DT19" s="190"/>
      <c r="DU19" s="190"/>
      <c r="DV19" s="191"/>
      <c r="DW19" s="138"/>
      <c r="DX19" s="42"/>
    </row>
    <row r="20" spans="1:128" ht="13.5" customHeight="1" x14ac:dyDescent="0.4">
      <c r="A20" s="104">
        <v>16</v>
      </c>
      <c r="B20" s="23" t="s">
        <v>83</v>
      </c>
      <c r="C20" s="164"/>
      <c r="D20" s="164"/>
      <c r="E20" s="24"/>
      <c r="F20" s="29"/>
      <c r="G20" s="25" t="str">
        <f>IF(SUM($F$5:F20)=0,"",SUM($F$5:F20))</f>
        <v/>
      </c>
      <c r="H20" s="43" t="str">
        <f t="shared" si="0"/>
        <v/>
      </c>
      <c r="I20" s="148" t="e">
        <f t="array" aca="1" ref="I20" ca="1">IF($A21="",$G20/($V20-$U$5+INDIRECT(IF(_xlfn.SHEET()&lt;6,"令和8年"&amp;_xlfn.SHEET()+7&amp;"月","令和9年"&amp;_xlfn.SHEET()-5&amp;"月")&amp;"!$U$5")),$G20/($V21-$U$5))</f>
        <v>#VALUE!</v>
      </c>
      <c r="J20" s="26" t="str">
        <f t="shared" si="1"/>
        <v/>
      </c>
      <c r="K20" s="27"/>
      <c r="L20" s="165">
        <f t="shared" si="2"/>
        <v>0</v>
      </c>
      <c r="M20" s="28" t="str">
        <f t="shared" si="3"/>
        <v/>
      </c>
      <c r="N20" s="166" t="str">
        <f t="shared" si="4"/>
        <v/>
      </c>
      <c r="O20" s="167" t="str">
        <f t="shared" si="5"/>
        <v/>
      </c>
      <c r="P20" s="168"/>
      <c r="Q20" s="169" t="str">
        <f t="shared" si="6"/>
        <v/>
      </c>
      <c r="R20" s="170">
        <v>12</v>
      </c>
      <c r="S20" s="171">
        <v>2</v>
      </c>
      <c r="T20" s="24" t="s">
        <v>84</v>
      </c>
      <c r="U20" s="29">
        <v>271424</v>
      </c>
      <c r="V20" s="30">
        <f t="shared" si="41"/>
        <v>5185502</v>
      </c>
      <c r="W20" s="27">
        <v>156</v>
      </c>
      <c r="X20" s="31">
        <f t="shared" si="7"/>
        <v>1739.8974358974358</v>
      </c>
      <c r="Y20" s="29">
        <v>249711</v>
      </c>
      <c r="Z20" s="32">
        <f t="shared" si="42"/>
        <v>5896911</v>
      </c>
      <c r="AA20" s="33">
        <f t="shared" si="8"/>
        <v>0.87935904069096515</v>
      </c>
      <c r="AB20" s="158">
        <v>250000</v>
      </c>
      <c r="AC20" s="34">
        <f t="shared" si="43"/>
        <v>5800000</v>
      </c>
      <c r="AD20" s="158"/>
      <c r="AE20" s="25"/>
      <c r="AF20" s="25"/>
      <c r="AG20" s="25"/>
      <c r="AH20" s="25"/>
      <c r="AI20" s="25"/>
      <c r="AJ20" s="25"/>
      <c r="AK20" s="25"/>
      <c r="AL20" s="158"/>
      <c r="AM20" s="25"/>
      <c r="AN20" s="158"/>
      <c r="AO20" s="25"/>
      <c r="AP20" s="25"/>
      <c r="AQ20" s="158"/>
      <c r="AR20" s="35">
        <f t="shared" si="9"/>
        <v>0</v>
      </c>
      <c r="AS20" s="172" t="str">
        <f t="shared" si="10"/>
        <v/>
      </c>
      <c r="AT20" s="36">
        <f t="shared" si="11"/>
        <v>0</v>
      </c>
      <c r="AU20" s="173"/>
      <c r="AV20" s="82">
        <f t="shared" si="12"/>
        <v>16</v>
      </c>
      <c r="AW20" s="37"/>
      <c r="AX20" s="174" t="str">
        <f t="shared" si="13"/>
        <v/>
      </c>
      <c r="AY20" s="37"/>
      <c r="AZ20" s="174" t="str">
        <f t="shared" si="14"/>
        <v/>
      </c>
      <c r="BA20" s="37"/>
      <c r="BB20" s="174" t="str">
        <f t="shared" si="15"/>
        <v/>
      </c>
      <c r="BC20" s="37"/>
      <c r="BD20" s="174" t="str">
        <f t="shared" si="16"/>
        <v/>
      </c>
      <c r="BE20" s="37"/>
      <c r="BF20" s="174" t="str">
        <f t="shared" si="17"/>
        <v/>
      </c>
      <c r="BG20" s="37"/>
      <c r="BH20" s="174" t="str">
        <f t="shared" si="18"/>
        <v/>
      </c>
      <c r="BI20" s="37"/>
      <c r="BJ20" s="174" t="str">
        <f t="shared" si="19"/>
        <v/>
      </c>
      <c r="BK20" s="37"/>
      <c r="BL20" s="174" t="str">
        <f t="shared" si="20"/>
        <v/>
      </c>
      <c r="BM20" s="37"/>
      <c r="BN20" s="174" t="str">
        <f t="shared" si="21"/>
        <v/>
      </c>
      <c r="BO20" s="37"/>
      <c r="BP20" s="174" t="str">
        <f t="shared" si="22"/>
        <v/>
      </c>
      <c r="BQ20" s="37"/>
      <c r="BR20" s="174" t="str">
        <f t="shared" si="23"/>
        <v/>
      </c>
      <c r="BS20" s="37"/>
      <c r="BT20" s="174" t="str">
        <f t="shared" si="24"/>
        <v/>
      </c>
      <c r="BU20" s="37"/>
      <c r="BV20" s="174" t="str">
        <f t="shared" si="25"/>
        <v/>
      </c>
      <c r="BW20" s="37"/>
      <c r="BX20" s="174" t="str">
        <f t="shared" si="26"/>
        <v/>
      </c>
      <c r="BY20" s="37"/>
      <c r="BZ20" s="174" t="str">
        <f t="shared" si="27"/>
        <v/>
      </c>
      <c r="CA20" s="37"/>
      <c r="CB20" s="174" t="str">
        <f t="shared" si="28"/>
        <v/>
      </c>
      <c r="CC20" s="37"/>
      <c r="CD20" s="174" t="str">
        <f t="shared" si="29"/>
        <v/>
      </c>
      <c r="CE20" s="37"/>
      <c r="CF20" s="174" t="str">
        <f t="shared" si="30"/>
        <v/>
      </c>
      <c r="CG20" s="37"/>
      <c r="CH20" s="174" t="str">
        <f t="shared" si="31"/>
        <v/>
      </c>
      <c r="CI20" s="37"/>
      <c r="CJ20" s="174" t="str">
        <f t="shared" si="32"/>
        <v/>
      </c>
      <c r="CK20" s="37"/>
      <c r="CL20" s="174" t="str">
        <f t="shared" si="33"/>
        <v/>
      </c>
      <c r="CM20" s="37"/>
      <c r="CN20" s="174" t="str">
        <f t="shared" si="34"/>
        <v/>
      </c>
      <c r="CO20" s="37"/>
      <c r="CP20" s="174" t="str">
        <f t="shared" si="35"/>
        <v/>
      </c>
      <c r="CQ20" s="37"/>
      <c r="CR20" s="174" t="str">
        <f t="shared" si="36"/>
        <v/>
      </c>
      <c r="CS20" s="37"/>
      <c r="CT20" s="174" t="str">
        <f t="shared" si="37"/>
        <v/>
      </c>
      <c r="CU20" s="38"/>
      <c r="CV20" s="87"/>
      <c r="CW20" s="90"/>
      <c r="CX20" s="38"/>
      <c r="CY20" s="39"/>
      <c r="CZ20" s="37"/>
      <c r="DA20" s="39"/>
      <c r="DB20" s="24">
        <v>16</v>
      </c>
      <c r="DC20" s="96" t="str">
        <f t="shared" si="38"/>
        <v>水</v>
      </c>
      <c r="DF20" s="125"/>
      <c r="DG20" s="40"/>
      <c r="DH20" s="40"/>
      <c r="DI20" s="40"/>
      <c r="DJ20" s="40"/>
      <c r="DK20" s="40"/>
      <c r="DL20" s="40"/>
      <c r="DM20" s="40"/>
      <c r="DN20" s="40"/>
      <c r="DO20" s="40"/>
      <c r="DP20" s="40">
        <f t="shared" si="39"/>
        <v>0</v>
      </c>
      <c r="DQ20" s="172" t="str">
        <f t="shared" si="40"/>
        <v/>
      </c>
      <c r="DS20" s="189"/>
      <c r="DT20" s="190"/>
      <c r="DU20" s="190"/>
      <c r="DV20" s="191"/>
      <c r="DW20" s="41"/>
      <c r="DX20" s="42"/>
    </row>
    <row r="21" spans="1:128" ht="13.5" customHeight="1" x14ac:dyDescent="0.4">
      <c r="A21" s="104">
        <v>17</v>
      </c>
      <c r="B21" s="23" t="s">
        <v>85</v>
      </c>
      <c r="C21" s="164"/>
      <c r="D21" s="164"/>
      <c r="E21" s="24"/>
      <c r="F21" s="29"/>
      <c r="G21" s="25" t="str">
        <f>IF(SUM($F$5:F21)=0,"",SUM($F$5:F21))</f>
        <v/>
      </c>
      <c r="H21" s="43" t="str">
        <f t="shared" si="0"/>
        <v/>
      </c>
      <c r="I21" s="148" t="e">
        <f t="array" aca="1" ref="I21" ca="1">IF($A22="",$G21/($V21-$U$5+INDIRECT(IF(_xlfn.SHEET()&lt;6,"令和8年"&amp;_xlfn.SHEET()+7&amp;"月","令和9年"&amp;_xlfn.SHEET()-5&amp;"月")&amp;"!$U$5")),$G21/($V22-$U$5))</f>
        <v>#VALUE!</v>
      </c>
      <c r="J21" s="26" t="str">
        <f t="shared" si="1"/>
        <v/>
      </c>
      <c r="K21" s="27"/>
      <c r="L21" s="165">
        <f t="shared" si="2"/>
        <v>0</v>
      </c>
      <c r="M21" s="28" t="str">
        <f t="shared" si="3"/>
        <v/>
      </c>
      <c r="N21" s="166" t="str">
        <f t="shared" si="4"/>
        <v/>
      </c>
      <c r="O21" s="167" t="str">
        <f t="shared" si="5"/>
        <v/>
      </c>
      <c r="P21" s="168"/>
      <c r="Q21" s="169" t="str">
        <f t="shared" si="6"/>
        <v/>
      </c>
      <c r="R21" s="170">
        <v>14</v>
      </c>
      <c r="S21" s="171">
        <v>3</v>
      </c>
      <c r="T21" s="24" t="s">
        <v>114</v>
      </c>
      <c r="U21" s="29">
        <v>255208</v>
      </c>
      <c r="V21" s="30">
        <f t="shared" si="41"/>
        <v>5440710</v>
      </c>
      <c r="W21" s="27">
        <v>148</v>
      </c>
      <c r="X21" s="31">
        <f t="shared" si="7"/>
        <v>1724.3783783783783</v>
      </c>
      <c r="Y21" s="29">
        <v>239667</v>
      </c>
      <c r="Z21" s="32">
        <f t="shared" si="42"/>
        <v>6136578</v>
      </c>
      <c r="AA21" s="33">
        <f t="shared" si="8"/>
        <v>0.88660325021534803</v>
      </c>
      <c r="AB21" s="158">
        <v>250000</v>
      </c>
      <c r="AC21" s="34">
        <f t="shared" si="43"/>
        <v>6050000</v>
      </c>
      <c r="AD21" s="158"/>
      <c r="AE21" s="25"/>
      <c r="AF21" s="25"/>
      <c r="AG21" s="25"/>
      <c r="AH21" s="25"/>
      <c r="AI21" s="25"/>
      <c r="AJ21" s="25"/>
      <c r="AK21" s="25"/>
      <c r="AL21" s="158"/>
      <c r="AM21" s="25"/>
      <c r="AN21" s="158"/>
      <c r="AO21" s="25"/>
      <c r="AP21" s="25"/>
      <c r="AQ21" s="158"/>
      <c r="AR21" s="35">
        <f t="shared" si="9"/>
        <v>0</v>
      </c>
      <c r="AS21" s="172" t="str">
        <f t="shared" si="10"/>
        <v/>
      </c>
      <c r="AT21" s="36">
        <f t="shared" si="11"/>
        <v>0</v>
      </c>
      <c r="AU21" s="173"/>
      <c r="AV21" s="82">
        <f t="shared" si="12"/>
        <v>17</v>
      </c>
      <c r="AW21" s="37"/>
      <c r="AX21" s="174" t="str">
        <f t="shared" si="13"/>
        <v/>
      </c>
      <c r="AY21" s="37"/>
      <c r="AZ21" s="174" t="str">
        <f t="shared" si="14"/>
        <v/>
      </c>
      <c r="BA21" s="37"/>
      <c r="BB21" s="174" t="str">
        <f t="shared" si="15"/>
        <v/>
      </c>
      <c r="BC21" s="37"/>
      <c r="BD21" s="174" t="str">
        <f t="shared" si="16"/>
        <v/>
      </c>
      <c r="BE21" s="37"/>
      <c r="BF21" s="174" t="str">
        <f t="shared" si="17"/>
        <v/>
      </c>
      <c r="BG21" s="37"/>
      <c r="BH21" s="174" t="str">
        <f t="shared" si="18"/>
        <v/>
      </c>
      <c r="BI21" s="37"/>
      <c r="BJ21" s="174" t="str">
        <f t="shared" si="19"/>
        <v/>
      </c>
      <c r="BK21" s="37"/>
      <c r="BL21" s="174" t="str">
        <f t="shared" si="20"/>
        <v/>
      </c>
      <c r="BM21" s="37"/>
      <c r="BN21" s="174" t="str">
        <f t="shared" si="21"/>
        <v/>
      </c>
      <c r="BO21" s="37"/>
      <c r="BP21" s="174" t="str">
        <f t="shared" si="22"/>
        <v/>
      </c>
      <c r="BQ21" s="37"/>
      <c r="BR21" s="174" t="str">
        <f t="shared" si="23"/>
        <v/>
      </c>
      <c r="BS21" s="37"/>
      <c r="BT21" s="174" t="str">
        <f t="shared" si="24"/>
        <v/>
      </c>
      <c r="BU21" s="37"/>
      <c r="BV21" s="174" t="str">
        <f t="shared" si="25"/>
        <v/>
      </c>
      <c r="BW21" s="37"/>
      <c r="BX21" s="174" t="str">
        <f t="shared" si="26"/>
        <v/>
      </c>
      <c r="BY21" s="37"/>
      <c r="BZ21" s="174" t="str">
        <f t="shared" si="27"/>
        <v/>
      </c>
      <c r="CA21" s="37"/>
      <c r="CB21" s="174" t="str">
        <f t="shared" si="28"/>
        <v/>
      </c>
      <c r="CC21" s="37"/>
      <c r="CD21" s="174" t="str">
        <f t="shared" si="29"/>
        <v/>
      </c>
      <c r="CE21" s="37"/>
      <c r="CF21" s="174" t="str">
        <f t="shared" si="30"/>
        <v/>
      </c>
      <c r="CG21" s="37"/>
      <c r="CH21" s="174" t="str">
        <f t="shared" si="31"/>
        <v/>
      </c>
      <c r="CI21" s="37"/>
      <c r="CJ21" s="174" t="str">
        <f t="shared" si="32"/>
        <v/>
      </c>
      <c r="CK21" s="37"/>
      <c r="CL21" s="174" t="str">
        <f t="shared" si="33"/>
        <v/>
      </c>
      <c r="CM21" s="37"/>
      <c r="CN21" s="174" t="str">
        <f t="shared" si="34"/>
        <v/>
      </c>
      <c r="CO21" s="37"/>
      <c r="CP21" s="174" t="str">
        <f t="shared" si="35"/>
        <v/>
      </c>
      <c r="CQ21" s="37"/>
      <c r="CR21" s="174" t="str">
        <f t="shared" si="36"/>
        <v/>
      </c>
      <c r="CS21" s="37"/>
      <c r="CT21" s="174" t="str">
        <f t="shared" si="37"/>
        <v/>
      </c>
      <c r="CU21" s="38"/>
      <c r="CV21" s="87"/>
      <c r="CW21" s="90"/>
      <c r="CX21" s="38"/>
      <c r="CY21" s="39"/>
      <c r="CZ21" s="37"/>
      <c r="DA21" s="39"/>
      <c r="DB21" s="24">
        <v>17</v>
      </c>
      <c r="DC21" s="96" t="str">
        <f t="shared" si="38"/>
        <v>木</v>
      </c>
      <c r="DF21" s="125"/>
      <c r="DG21" s="40"/>
      <c r="DH21" s="40"/>
      <c r="DI21" s="40"/>
      <c r="DJ21" s="40"/>
      <c r="DK21" s="40"/>
      <c r="DL21" s="40"/>
      <c r="DM21" s="40"/>
      <c r="DN21" s="40"/>
      <c r="DO21" s="40"/>
      <c r="DP21" s="40">
        <f t="shared" si="39"/>
        <v>0</v>
      </c>
      <c r="DQ21" s="172" t="str">
        <f t="shared" si="40"/>
        <v/>
      </c>
      <c r="DS21" s="189"/>
      <c r="DT21" s="190"/>
      <c r="DU21" s="190"/>
      <c r="DV21" s="191"/>
      <c r="DW21" s="41"/>
      <c r="DX21" s="42"/>
    </row>
    <row r="22" spans="1:128" ht="13.5" customHeight="1" x14ac:dyDescent="0.4">
      <c r="A22" s="104">
        <v>18</v>
      </c>
      <c r="B22" s="23" t="s">
        <v>86</v>
      </c>
      <c r="C22" s="164"/>
      <c r="D22" s="164"/>
      <c r="E22" s="24"/>
      <c r="F22" s="29"/>
      <c r="G22" s="25" t="str">
        <f>IF(SUM($F$5:F22)=0,"",SUM($F$5:F22))</f>
        <v/>
      </c>
      <c r="H22" s="43" t="str">
        <f t="shared" si="0"/>
        <v/>
      </c>
      <c r="I22" s="148" t="e">
        <f t="array" aca="1" ref="I22" ca="1">IF($A23="",$G22/($V22-$U$5+INDIRECT(IF(_xlfn.SHEET()&lt;6,"令和8年"&amp;_xlfn.SHEET()+7&amp;"月","令和9年"&amp;_xlfn.SHEET()-5&amp;"月")&amp;"!$U$5")),$G22/($V23-$U$5))</f>
        <v>#VALUE!</v>
      </c>
      <c r="J22" s="26" t="str">
        <f t="shared" si="1"/>
        <v/>
      </c>
      <c r="K22" s="27"/>
      <c r="L22" s="165">
        <f t="shared" si="2"/>
        <v>0</v>
      </c>
      <c r="M22" s="28" t="str">
        <f t="shared" si="3"/>
        <v/>
      </c>
      <c r="N22" s="166" t="str">
        <f t="shared" si="4"/>
        <v/>
      </c>
      <c r="O22" s="167" t="str">
        <f t="shared" si="5"/>
        <v/>
      </c>
      <c r="P22" s="168"/>
      <c r="Q22" s="169" t="str">
        <f t="shared" si="6"/>
        <v/>
      </c>
      <c r="R22" s="170">
        <v>12</v>
      </c>
      <c r="S22" s="171">
        <v>2</v>
      </c>
      <c r="T22" s="24" t="s">
        <v>84</v>
      </c>
      <c r="U22" s="29">
        <v>378727</v>
      </c>
      <c r="V22" s="30">
        <f t="shared" si="41"/>
        <v>5819437</v>
      </c>
      <c r="W22" s="27">
        <v>206</v>
      </c>
      <c r="X22" s="31">
        <f t="shared" si="7"/>
        <v>1838.4805825242718</v>
      </c>
      <c r="Y22" s="29">
        <v>303377</v>
      </c>
      <c r="Z22" s="32">
        <f t="shared" si="42"/>
        <v>6439955</v>
      </c>
      <c r="AA22" s="33">
        <f t="shared" si="8"/>
        <v>0.90364560000807459</v>
      </c>
      <c r="AB22" s="158">
        <v>250000</v>
      </c>
      <c r="AC22" s="34">
        <f t="shared" si="43"/>
        <v>6300000</v>
      </c>
      <c r="AD22" s="158"/>
      <c r="AE22" s="25"/>
      <c r="AF22" s="25"/>
      <c r="AG22" s="25"/>
      <c r="AH22" s="25"/>
      <c r="AI22" s="25"/>
      <c r="AJ22" s="25"/>
      <c r="AK22" s="25"/>
      <c r="AL22" s="158"/>
      <c r="AM22" s="25"/>
      <c r="AN22" s="158"/>
      <c r="AO22" s="25"/>
      <c r="AP22" s="25"/>
      <c r="AQ22" s="158"/>
      <c r="AR22" s="35">
        <f t="shared" si="9"/>
        <v>0</v>
      </c>
      <c r="AS22" s="172" t="str">
        <f t="shared" si="10"/>
        <v/>
      </c>
      <c r="AT22" s="36">
        <f t="shared" si="11"/>
        <v>0</v>
      </c>
      <c r="AU22" s="173"/>
      <c r="AV22" s="82">
        <f t="shared" si="12"/>
        <v>18</v>
      </c>
      <c r="AW22" s="37"/>
      <c r="AX22" s="174" t="str">
        <f t="shared" si="13"/>
        <v/>
      </c>
      <c r="AY22" s="37"/>
      <c r="AZ22" s="174" t="str">
        <f t="shared" si="14"/>
        <v/>
      </c>
      <c r="BA22" s="37"/>
      <c r="BB22" s="174" t="str">
        <f t="shared" si="15"/>
        <v/>
      </c>
      <c r="BC22" s="37"/>
      <c r="BD22" s="174" t="str">
        <f t="shared" si="16"/>
        <v/>
      </c>
      <c r="BE22" s="37"/>
      <c r="BF22" s="174" t="str">
        <f t="shared" si="17"/>
        <v/>
      </c>
      <c r="BG22" s="37"/>
      <c r="BH22" s="174" t="str">
        <f t="shared" si="18"/>
        <v/>
      </c>
      <c r="BI22" s="37"/>
      <c r="BJ22" s="174" t="str">
        <f t="shared" si="19"/>
        <v/>
      </c>
      <c r="BK22" s="37"/>
      <c r="BL22" s="174" t="str">
        <f t="shared" si="20"/>
        <v/>
      </c>
      <c r="BM22" s="37"/>
      <c r="BN22" s="174" t="str">
        <f t="shared" si="21"/>
        <v/>
      </c>
      <c r="BO22" s="37"/>
      <c r="BP22" s="174" t="str">
        <f t="shared" si="22"/>
        <v/>
      </c>
      <c r="BQ22" s="37"/>
      <c r="BR22" s="174" t="str">
        <f t="shared" si="23"/>
        <v/>
      </c>
      <c r="BS22" s="37"/>
      <c r="BT22" s="174" t="str">
        <f t="shared" si="24"/>
        <v/>
      </c>
      <c r="BU22" s="37"/>
      <c r="BV22" s="174" t="str">
        <f t="shared" si="25"/>
        <v/>
      </c>
      <c r="BW22" s="37"/>
      <c r="BX22" s="174" t="str">
        <f t="shared" si="26"/>
        <v/>
      </c>
      <c r="BY22" s="37"/>
      <c r="BZ22" s="174" t="str">
        <f t="shared" si="27"/>
        <v/>
      </c>
      <c r="CA22" s="37"/>
      <c r="CB22" s="174" t="str">
        <f t="shared" si="28"/>
        <v/>
      </c>
      <c r="CC22" s="37"/>
      <c r="CD22" s="174" t="str">
        <f t="shared" si="29"/>
        <v/>
      </c>
      <c r="CE22" s="37"/>
      <c r="CF22" s="174" t="str">
        <f t="shared" si="30"/>
        <v/>
      </c>
      <c r="CG22" s="37"/>
      <c r="CH22" s="174" t="str">
        <f t="shared" si="31"/>
        <v/>
      </c>
      <c r="CI22" s="37"/>
      <c r="CJ22" s="174" t="str">
        <f t="shared" si="32"/>
        <v/>
      </c>
      <c r="CK22" s="37"/>
      <c r="CL22" s="174" t="str">
        <f t="shared" si="33"/>
        <v/>
      </c>
      <c r="CM22" s="37"/>
      <c r="CN22" s="174" t="str">
        <f t="shared" si="34"/>
        <v/>
      </c>
      <c r="CO22" s="37"/>
      <c r="CP22" s="174" t="str">
        <f t="shared" si="35"/>
        <v/>
      </c>
      <c r="CQ22" s="37"/>
      <c r="CR22" s="174" t="str">
        <f t="shared" si="36"/>
        <v/>
      </c>
      <c r="CS22" s="37"/>
      <c r="CT22" s="174" t="str">
        <f t="shared" si="37"/>
        <v/>
      </c>
      <c r="CU22" s="38"/>
      <c r="CV22" s="87"/>
      <c r="CW22" s="90"/>
      <c r="CX22" s="38"/>
      <c r="CY22" s="39"/>
      <c r="CZ22" s="37"/>
      <c r="DA22" s="39"/>
      <c r="DB22" s="24">
        <v>18</v>
      </c>
      <c r="DC22" s="96" t="str">
        <f t="shared" si="38"/>
        <v>金</v>
      </c>
      <c r="DF22" s="125"/>
      <c r="DG22" s="40"/>
      <c r="DH22" s="40"/>
      <c r="DI22" s="40"/>
      <c r="DJ22" s="40"/>
      <c r="DK22" s="40"/>
      <c r="DL22" s="40"/>
      <c r="DM22" s="40"/>
      <c r="DN22" s="40"/>
      <c r="DO22" s="40"/>
      <c r="DP22" s="40">
        <f t="shared" si="39"/>
        <v>0</v>
      </c>
      <c r="DQ22" s="172" t="str">
        <f t="shared" si="40"/>
        <v/>
      </c>
      <c r="DS22" s="189"/>
      <c r="DT22" s="190"/>
      <c r="DU22" s="190"/>
      <c r="DV22" s="191"/>
      <c r="DW22" s="138"/>
      <c r="DX22" s="42"/>
    </row>
    <row r="23" spans="1:128" ht="13.5" customHeight="1" x14ac:dyDescent="0.4">
      <c r="A23" s="104">
        <v>19</v>
      </c>
      <c r="B23" s="23" t="s">
        <v>88</v>
      </c>
      <c r="C23" s="164"/>
      <c r="D23" s="164"/>
      <c r="E23" s="24"/>
      <c r="F23" s="29"/>
      <c r="G23" s="25" t="str">
        <f>IF(SUM($F$5:F23)=0,"",SUM($F$5:F23))</f>
        <v/>
      </c>
      <c r="H23" s="43" t="str">
        <f t="shared" si="0"/>
        <v/>
      </c>
      <c r="I23" s="148" t="e">
        <f t="array" aca="1" ref="I23" ca="1">IF($A24="",$G23/($V23-$U$5+INDIRECT(IF(_xlfn.SHEET()&lt;6,"令和8年"&amp;_xlfn.SHEET()+7&amp;"月","令和9年"&amp;_xlfn.SHEET()-5&amp;"月")&amp;"!$U$5")),$G23/($V24-$U$5))</f>
        <v>#VALUE!</v>
      </c>
      <c r="J23" s="26" t="str">
        <f t="shared" si="1"/>
        <v/>
      </c>
      <c r="K23" s="27"/>
      <c r="L23" s="165">
        <f t="shared" si="2"/>
        <v>0</v>
      </c>
      <c r="M23" s="28" t="str">
        <f t="shared" si="3"/>
        <v/>
      </c>
      <c r="N23" s="166" t="str">
        <f t="shared" si="4"/>
        <v/>
      </c>
      <c r="O23" s="167" t="str">
        <f t="shared" si="5"/>
        <v/>
      </c>
      <c r="P23" s="168"/>
      <c r="Q23" s="169" t="str">
        <f t="shared" si="6"/>
        <v/>
      </c>
      <c r="R23" s="170">
        <v>15</v>
      </c>
      <c r="S23" s="171">
        <v>1</v>
      </c>
      <c r="T23" s="24" t="s">
        <v>84</v>
      </c>
      <c r="U23" s="29">
        <v>280667</v>
      </c>
      <c r="V23" s="30">
        <f t="shared" si="41"/>
        <v>6100104</v>
      </c>
      <c r="W23" s="27">
        <v>149</v>
      </c>
      <c r="X23" s="31">
        <f t="shared" si="7"/>
        <v>1883.6711409395973</v>
      </c>
      <c r="Y23" s="29">
        <v>270287</v>
      </c>
      <c r="Z23" s="32">
        <f t="shared" si="42"/>
        <v>6710242</v>
      </c>
      <c r="AA23" s="33">
        <f t="shared" si="8"/>
        <v>0.90907362208397258</v>
      </c>
      <c r="AB23" s="158">
        <v>700000</v>
      </c>
      <c r="AC23" s="34">
        <f t="shared" si="43"/>
        <v>7000000</v>
      </c>
      <c r="AD23" s="158"/>
      <c r="AE23" s="25"/>
      <c r="AF23" s="25"/>
      <c r="AG23" s="25"/>
      <c r="AH23" s="25"/>
      <c r="AI23" s="25"/>
      <c r="AJ23" s="25"/>
      <c r="AK23" s="25"/>
      <c r="AL23" s="158"/>
      <c r="AM23" s="25"/>
      <c r="AN23" s="158"/>
      <c r="AO23" s="25"/>
      <c r="AP23" s="25"/>
      <c r="AQ23" s="158"/>
      <c r="AR23" s="35">
        <f t="shared" si="9"/>
        <v>0</v>
      </c>
      <c r="AS23" s="172" t="str">
        <f t="shared" si="10"/>
        <v/>
      </c>
      <c r="AT23" s="36">
        <f t="shared" si="11"/>
        <v>0</v>
      </c>
      <c r="AU23" s="173"/>
      <c r="AV23" s="82">
        <f t="shared" si="12"/>
        <v>19</v>
      </c>
      <c r="AW23" s="37"/>
      <c r="AX23" s="174" t="str">
        <f t="shared" si="13"/>
        <v/>
      </c>
      <c r="AY23" s="37"/>
      <c r="AZ23" s="174" t="str">
        <f t="shared" si="14"/>
        <v/>
      </c>
      <c r="BA23" s="37"/>
      <c r="BB23" s="174" t="str">
        <f t="shared" si="15"/>
        <v/>
      </c>
      <c r="BC23" s="37"/>
      <c r="BD23" s="174" t="str">
        <f t="shared" si="16"/>
        <v/>
      </c>
      <c r="BE23" s="37"/>
      <c r="BF23" s="174" t="str">
        <f t="shared" si="17"/>
        <v/>
      </c>
      <c r="BG23" s="37"/>
      <c r="BH23" s="174" t="str">
        <f t="shared" si="18"/>
        <v/>
      </c>
      <c r="BI23" s="37"/>
      <c r="BJ23" s="174" t="str">
        <f t="shared" si="19"/>
        <v/>
      </c>
      <c r="BK23" s="37"/>
      <c r="BL23" s="174" t="str">
        <f t="shared" si="20"/>
        <v/>
      </c>
      <c r="BM23" s="37"/>
      <c r="BN23" s="174" t="str">
        <f t="shared" si="21"/>
        <v/>
      </c>
      <c r="BO23" s="37"/>
      <c r="BP23" s="174" t="str">
        <f t="shared" si="22"/>
        <v/>
      </c>
      <c r="BQ23" s="37"/>
      <c r="BR23" s="174" t="str">
        <f t="shared" si="23"/>
        <v/>
      </c>
      <c r="BS23" s="37"/>
      <c r="BT23" s="174" t="str">
        <f t="shared" si="24"/>
        <v/>
      </c>
      <c r="BU23" s="37"/>
      <c r="BV23" s="174" t="str">
        <f t="shared" si="25"/>
        <v/>
      </c>
      <c r="BW23" s="37"/>
      <c r="BX23" s="174" t="str">
        <f t="shared" si="26"/>
        <v/>
      </c>
      <c r="BY23" s="37"/>
      <c r="BZ23" s="174" t="str">
        <f t="shared" si="27"/>
        <v/>
      </c>
      <c r="CA23" s="37"/>
      <c r="CB23" s="174" t="str">
        <f t="shared" si="28"/>
        <v/>
      </c>
      <c r="CC23" s="37"/>
      <c r="CD23" s="174" t="str">
        <f t="shared" si="29"/>
        <v/>
      </c>
      <c r="CE23" s="37"/>
      <c r="CF23" s="174" t="str">
        <f t="shared" si="30"/>
        <v/>
      </c>
      <c r="CG23" s="37"/>
      <c r="CH23" s="174" t="str">
        <f t="shared" si="31"/>
        <v/>
      </c>
      <c r="CI23" s="37"/>
      <c r="CJ23" s="174" t="str">
        <f t="shared" si="32"/>
        <v/>
      </c>
      <c r="CK23" s="37"/>
      <c r="CL23" s="174" t="str">
        <f t="shared" si="33"/>
        <v/>
      </c>
      <c r="CM23" s="37"/>
      <c r="CN23" s="174" t="str">
        <f t="shared" si="34"/>
        <v/>
      </c>
      <c r="CO23" s="37"/>
      <c r="CP23" s="174" t="str">
        <f t="shared" si="35"/>
        <v/>
      </c>
      <c r="CQ23" s="37"/>
      <c r="CR23" s="174" t="str">
        <f t="shared" si="36"/>
        <v/>
      </c>
      <c r="CS23" s="37"/>
      <c r="CT23" s="174" t="str">
        <f t="shared" si="37"/>
        <v/>
      </c>
      <c r="CU23" s="38"/>
      <c r="CV23" s="87"/>
      <c r="CW23" s="90"/>
      <c r="CX23" s="38"/>
      <c r="CY23" s="39"/>
      <c r="CZ23" s="37"/>
      <c r="DA23" s="39"/>
      <c r="DB23" s="24">
        <v>19</v>
      </c>
      <c r="DC23" s="96" t="str">
        <f t="shared" si="38"/>
        <v>土</v>
      </c>
      <c r="DF23" s="125"/>
      <c r="DG23" s="40"/>
      <c r="DH23" s="40"/>
      <c r="DI23" s="40"/>
      <c r="DJ23" s="40"/>
      <c r="DK23" s="40"/>
      <c r="DL23" s="40"/>
      <c r="DM23" s="40"/>
      <c r="DN23" s="40"/>
      <c r="DO23" s="40"/>
      <c r="DP23" s="40">
        <f t="shared" si="39"/>
        <v>0</v>
      </c>
      <c r="DQ23" s="172" t="str">
        <f t="shared" si="40"/>
        <v/>
      </c>
      <c r="DS23" s="189"/>
      <c r="DT23" s="190"/>
      <c r="DU23" s="190"/>
      <c r="DV23" s="191"/>
      <c r="DW23" s="41"/>
      <c r="DX23" s="42"/>
    </row>
    <row r="24" spans="1:128" ht="13.5" customHeight="1" x14ac:dyDescent="0.4">
      <c r="A24" s="104">
        <v>20</v>
      </c>
      <c r="B24" s="23" t="s">
        <v>89</v>
      </c>
      <c r="C24" s="164"/>
      <c r="D24" s="164"/>
      <c r="E24" s="24"/>
      <c r="F24" s="29"/>
      <c r="G24" s="25" t="str">
        <f>IF(SUM($F$5:F24)=0,"",SUM($F$5:F24))</f>
        <v/>
      </c>
      <c r="H24" s="43" t="str">
        <f t="shared" si="0"/>
        <v/>
      </c>
      <c r="I24" s="148" t="e">
        <f t="array" aca="1" ref="I24" ca="1">IF($A25="",$G24/($V24-$U$5+INDIRECT(IF(_xlfn.SHEET()&lt;6,"令和8年"&amp;_xlfn.SHEET()+7&amp;"月","令和9年"&amp;_xlfn.SHEET()-5&amp;"月")&amp;"!$U$5")),$G24/($V25-$U$5))</f>
        <v>#VALUE!</v>
      </c>
      <c r="J24" s="26" t="str">
        <f t="shared" si="1"/>
        <v/>
      </c>
      <c r="K24" s="27"/>
      <c r="L24" s="165">
        <f t="shared" si="2"/>
        <v>0</v>
      </c>
      <c r="M24" s="28" t="str">
        <f t="shared" si="3"/>
        <v/>
      </c>
      <c r="N24" s="166" t="str">
        <f t="shared" si="4"/>
        <v/>
      </c>
      <c r="O24" s="167" t="str">
        <f t="shared" si="5"/>
        <v/>
      </c>
      <c r="P24" s="168"/>
      <c r="Q24" s="169" t="str">
        <f t="shared" si="6"/>
        <v/>
      </c>
      <c r="R24" s="170">
        <v>20</v>
      </c>
      <c r="S24" s="171">
        <v>2</v>
      </c>
      <c r="T24" s="24" t="s">
        <v>84</v>
      </c>
      <c r="U24" s="29">
        <v>451703</v>
      </c>
      <c r="V24" s="30">
        <f t="shared" si="41"/>
        <v>6551807</v>
      </c>
      <c r="W24" s="27">
        <v>254</v>
      </c>
      <c r="X24" s="31">
        <f t="shared" si="7"/>
        <v>1778.3582677165355</v>
      </c>
      <c r="Y24" s="29">
        <v>308040</v>
      </c>
      <c r="Z24" s="32">
        <f t="shared" si="42"/>
        <v>7018282</v>
      </c>
      <c r="AA24" s="33">
        <f t="shared" si="8"/>
        <v>0.93353430369426593</v>
      </c>
      <c r="AB24" s="158">
        <v>700000</v>
      </c>
      <c r="AC24" s="34">
        <f t="shared" si="43"/>
        <v>7700000</v>
      </c>
      <c r="AD24" s="158"/>
      <c r="AE24" s="25"/>
      <c r="AF24" s="25"/>
      <c r="AG24" s="25"/>
      <c r="AH24" s="25"/>
      <c r="AI24" s="25"/>
      <c r="AJ24" s="25"/>
      <c r="AK24" s="25"/>
      <c r="AL24" s="158"/>
      <c r="AM24" s="25"/>
      <c r="AN24" s="158"/>
      <c r="AO24" s="25"/>
      <c r="AP24" s="25"/>
      <c r="AQ24" s="158"/>
      <c r="AR24" s="35">
        <f t="shared" si="9"/>
        <v>0</v>
      </c>
      <c r="AS24" s="172" t="str">
        <f t="shared" si="10"/>
        <v/>
      </c>
      <c r="AT24" s="36">
        <f t="shared" si="11"/>
        <v>0</v>
      </c>
      <c r="AU24" s="173"/>
      <c r="AV24" s="82">
        <f t="shared" si="12"/>
        <v>20</v>
      </c>
      <c r="AW24" s="37"/>
      <c r="AX24" s="174" t="str">
        <f t="shared" si="13"/>
        <v/>
      </c>
      <c r="AY24" s="37"/>
      <c r="AZ24" s="174" t="str">
        <f t="shared" si="14"/>
        <v/>
      </c>
      <c r="BA24" s="37"/>
      <c r="BB24" s="174" t="str">
        <f t="shared" si="15"/>
        <v/>
      </c>
      <c r="BC24" s="37"/>
      <c r="BD24" s="174" t="str">
        <f t="shared" si="16"/>
        <v/>
      </c>
      <c r="BE24" s="37"/>
      <c r="BF24" s="174" t="str">
        <f t="shared" si="17"/>
        <v/>
      </c>
      <c r="BG24" s="37"/>
      <c r="BH24" s="174" t="str">
        <f t="shared" si="18"/>
        <v/>
      </c>
      <c r="BI24" s="37"/>
      <c r="BJ24" s="174" t="str">
        <f t="shared" si="19"/>
        <v/>
      </c>
      <c r="BK24" s="37"/>
      <c r="BL24" s="174" t="str">
        <f t="shared" si="20"/>
        <v/>
      </c>
      <c r="BM24" s="37"/>
      <c r="BN24" s="174" t="str">
        <f t="shared" si="21"/>
        <v/>
      </c>
      <c r="BO24" s="37"/>
      <c r="BP24" s="174" t="str">
        <f t="shared" si="22"/>
        <v/>
      </c>
      <c r="BQ24" s="37"/>
      <c r="BR24" s="174" t="str">
        <f t="shared" si="23"/>
        <v/>
      </c>
      <c r="BS24" s="37"/>
      <c r="BT24" s="174" t="str">
        <f t="shared" si="24"/>
        <v/>
      </c>
      <c r="BU24" s="37"/>
      <c r="BV24" s="174" t="str">
        <f t="shared" si="25"/>
        <v/>
      </c>
      <c r="BW24" s="37"/>
      <c r="BX24" s="174" t="str">
        <f t="shared" si="26"/>
        <v/>
      </c>
      <c r="BY24" s="37"/>
      <c r="BZ24" s="174" t="str">
        <f t="shared" si="27"/>
        <v/>
      </c>
      <c r="CA24" s="37"/>
      <c r="CB24" s="174" t="str">
        <f t="shared" si="28"/>
        <v/>
      </c>
      <c r="CC24" s="37"/>
      <c r="CD24" s="174" t="str">
        <f t="shared" si="29"/>
        <v/>
      </c>
      <c r="CE24" s="37"/>
      <c r="CF24" s="174" t="str">
        <f t="shared" si="30"/>
        <v/>
      </c>
      <c r="CG24" s="37"/>
      <c r="CH24" s="174" t="str">
        <f t="shared" si="31"/>
        <v/>
      </c>
      <c r="CI24" s="37"/>
      <c r="CJ24" s="174" t="str">
        <f t="shared" si="32"/>
        <v/>
      </c>
      <c r="CK24" s="37"/>
      <c r="CL24" s="174" t="str">
        <f t="shared" si="33"/>
        <v/>
      </c>
      <c r="CM24" s="37"/>
      <c r="CN24" s="174" t="str">
        <f t="shared" si="34"/>
        <v/>
      </c>
      <c r="CO24" s="37"/>
      <c r="CP24" s="174" t="str">
        <f t="shared" si="35"/>
        <v/>
      </c>
      <c r="CQ24" s="37"/>
      <c r="CR24" s="174" t="str">
        <f t="shared" si="36"/>
        <v/>
      </c>
      <c r="CS24" s="37"/>
      <c r="CT24" s="174" t="str">
        <f t="shared" si="37"/>
        <v/>
      </c>
      <c r="CU24" s="38"/>
      <c r="CV24" s="87"/>
      <c r="CW24" s="90"/>
      <c r="CX24" s="38"/>
      <c r="CY24" s="39"/>
      <c r="CZ24" s="37"/>
      <c r="DA24" s="39"/>
      <c r="DB24" s="24">
        <v>20</v>
      </c>
      <c r="DC24" s="96" t="str">
        <f t="shared" si="38"/>
        <v>日</v>
      </c>
      <c r="DF24" s="125"/>
      <c r="DG24" s="40"/>
      <c r="DH24" s="40"/>
      <c r="DI24" s="40"/>
      <c r="DJ24" s="40"/>
      <c r="DK24" s="40"/>
      <c r="DL24" s="40"/>
      <c r="DM24" s="40"/>
      <c r="DN24" s="40"/>
      <c r="DO24" s="40"/>
      <c r="DP24" s="40">
        <f t="shared" si="39"/>
        <v>0</v>
      </c>
      <c r="DQ24" s="172" t="str">
        <f t="shared" si="40"/>
        <v/>
      </c>
      <c r="DS24" s="189"/>
      <c r="DT24" s="190"/>
      <c r="DU24" s="190"/>
      <c r="DV24" s="191"/>
      <c r="DW24" s="41"/>
      <c r="DX24" s="42"/>
    </row>
    <row r="25" spans="1:128" ht="13.5" customHeight="1" x14ac:dyDescent="0.4">
      <c r="A25" s="104">
        <v>21</v>
      </c>
      <c r="B25" s="23" t="s">
        <v>90</v>
      </c>
      <c r="C25" s="164"/>
      <c r="D25" s="164"/>
      <c r="E25" s="24"/>
      <c r="F25" s="29"/>
      <c r="G25" s="25" t="str">
        <f>IF(SUM($F$5:F25)=0,"",SUM($F$5:F25))</f>
        <v/>
      </c>
      <c r="H25" s="43" t="str">
        <f t="shared" si="0"/>
        <v/>
      </c>
      <c r="I25" s="148" t="e">
        <f t="array" aca="1" ref="I25" ca="1">IF($A26="",$G25/($V25-$U$5+INDIRECT(IF(_xlfn.SHEET()&lt;6,"令和8年"&amp;_xlfn.SHEET()+7&amp;"月","令和9年"&amp;_xlfn.SHEET()-5&amp;"月")&amp;"!$U$5")),$G25/($V26-$U$5))</f>
        <v>#VALUE!</v>
      </c>
      <c r="J25" s="26" t="str">
        <f t="shared" si="1"/>
        <v/>
      </c>
      <c r="K25" s="27"/>
      <c r="L25" s="165">
        <f t="shared" si="2"/>
        <v>0</v>
      </c>
      <c r="M25" s="28" t="str">
        <f t="shared" si="3"/>
        <v/>
      </c>
      <c r="N25" s="166" t="str">
        <f t="shared" si="4"/>
        <v/>
      </c>
      <c r="O25" s="167" t="str">
        <f t="shared" si="5"/>
        <v/>
      </c>
      <c r="P25" s="168"/>
      <c r="Q25" s="169" t="str">
        <f t="shared" si="6"/>
        <v/>
      </c>
      <c r="R25" s="170">
        <v>16</v>
      </c>
      <c r="S25" s="171">
        <v>5</v>
      </c>
      <c r="T25" s="24" t="s">
        <v>93</v>
      </c>
      <c r="U25" s="29">
        <v>620607</v>
      </c>
      <c r="V25" s="30">
        <f t="shared" si="41"/>
        <v>7172414</v>
      </c>
      <c r="W25" s="27">
        <v>311</v>
      </c>
      <c r="X25" s="31">
        <f t="shared" si="7"/>
        <v>1995.5209003215434</v>
      </c>
      <c r="Y25" s="29">
        <v>692405</v>
      </c>
      <c r="Z25" s="32">
        <f t="shared" si="42"/>
        <v>7710687</v>
      </c>
      <c r="AA25" s="33">
        <f t="shared" si="8"/>
        <v>0.93019130461397281</v>
      </c>
      <c r="AB25" s="158">
        <v>250000</v>
      </c>
      <c r="AC25" s="34">
        <f t="shared" si="43"/>
        <v>7950000</v>
      </c>
      <c r="AD25" s="158"/>
      <c r="AE25" s="25"/>
      <c r="AF25" s="25"/>
      <c r="AG25" s="25"/>
      <c r="AH25" s="25"/>
      <c r="AI25" s="25"/>
      <c r="AJ25" s="25"/>
      <c r="AK25" s="25"/>
      <c r="AL25" s="158"/>
      <c r="AM25" s="25"/>
      <c r="AN25" s="158"/>
      <c r="AO25" s="25"/>
      <c r="AP25" s="25"/>
      <c r="AQ25" s="158"/>
      <c r="AR25" s="35">
        <f t="shared" si="9"/>
        <v>0</v>
      </c>
      <c r="AS25" s="172" t="str">
        <f t="shared" si="10"/>
        <v/>
      </c>
      <c r="AT25" s="36">
        <f t="shared" si="11"/>
        <v>0</v>
      </c>
      <c r="AU25" s="173"/>
      <c r="AV25" s="82">
        <f t="shared" si="12"/>
        <v>21</v>
      </c>
      <c r="AW25" s="37"/>
      <c r="AX25" s="174" t="str">
        <f t="shared" si="13"/>
        <v/>
      </c>
      <c r="AY25" s="37"/>
      <c r="AZ25" s="174" t="str">
        <f t="shared" si="14"/>
        <v/>
      </c>
      <c r="BA25" s="37"/>
      <c r="BB25" s="174" t="str">
        <f t="shared" si="15"/>
        <v/>
      </c>
      <c r="BC25" s="37"/>
      <c r="BD25" s="174" t="str">
        <f t="shared" si="16"/>
        <v/>
      </c>
      <c r="BE25" s="37"/>
      <c r="BF25" s="174" t="str">
        <f t="shared" si="17"/>
        <v/>
      </c>
      <c r="BG25" s="37"/>
      <c r="BH25" s="174" t="str">
        <f t="shared" si="18"/>
        <v/>
      </c>
      <c r="BI25" s="37"/>
      <c r="BJ25" s="174" t="str">
        <f t="shared" si="19"/>
        <v/>
      </c>
      <c r="BK25" s="37"/>
      <c r="BL25" s="174" t="str">
        <f t="shared" si="20"/>
        <v/>
      </c>
      <c r="BM25" s="37"/>
      <c r="BN25" s="174" t="str">
        <f t="shared" si="21"/>
        <v/>
      </c>
      <c r="BO25" s="37"/>
      <c r="BP25" s="174" t="str">
        <f t="shared" si="22"/>
        <v/>
      </c>
      <c r="BQ25" s="37"/>
      <c r="BR25" s="174" t="str">
        <f t="shared" si="23"/>
        <v/>
      </c>
      <c r="BS25" s="37"/>
      <c r="BT25" s="174" t="str">
        <f t="shared" si="24"/>
        <v/>
      </c>
      <c r="BU25" s="37"/>
      <c r="BV25" s="174" t="str">
        <f t="shared" si="25"/>
        <v/>
      </c>
      <c r="BW25" s="37"/>
      <c r="BX25" s="174" t="str">
        <f t="shared" si="26"/>
        <v/>
      </c>
      <c r="BY25" s="37"/>
      <c r="BZ25" s="174" t="str">
        <f t="shared" si="27"/>
        <v/>
      </c>
      <c r="CA25" s="37"/>
      <c r="CB25" s="174" t="str">
        <f t="shared" si="28"/>
        <v/>
      </c>
      <c r="CC25" s="37"/>
      <c r="CD25" s="174" t="str">
        <f t="shared" si="29"/>
        <v/>
      </c>
      <c r="CE25" s="37"/>
      <c r="CF25" s="174" t="str">
        <f t="shared" si="30"/>
        <v/>
      </c>
      <c r="CG25" s="37"/>
      <c r="CH25" s="174" t="str">
        <f t="shared" si="31"/>
        <v/>
      </c>
      <c r="CI25" s="37"/>
      <c r="CJ25" s="174" t="str">
        <f t="shared" si="32"/>
        <v/>
      </c>
      <c r="CK25" s="37"/>
      <c r="CL25" s="174" t="str">
        <f t="shared" si="33"/>
        <v/>
      </c>
      <c r="CM25" s="37"/>
      <c r="CN25" s="174" t="str">
        <f t="shared" si="34"/>
        <v/>
      </c>
      <c r="CO25" s="37"/>
      <c r="CP25" s="174" t="str">
        <f t="shared" si="35"/>
        <v/>
      </c>
      <c r="CQ25" s="37"/>
      <c r="CR25" s="174" t="str">
        <f t="shared" si="36"/>
        <v/>
      </c>
      <c r="CS25" s="37"/>
      <c r="CT25" s="174" t="str">
        <f t="shared" si="37"/>
        <v/>
      </c>
      <c r="CU25" s="38"/>
      <c r="CV25" s="87"/>
      <c r="CW25" s="90"/>
      <c r="CX25" s="38"/>
      <c r="CY25" s="39"/>
      <c r="CZ25" s="37"/>
      <c r="DA25" s="39"/>
      <c r="DB25" s="24">
        <v>21</v>
      </c>
      <c r="DC25" s="96" t="str">
        <f t="shared" si="38"/>
        <v>月</v>
      </c>
      <c r="DF25" s="125"/>
      <c r="DG25" s="40"/>
      <c r="DH25" s="40"/>
      <c r="DI25" s="40"/>
      <c r="DJ25" s="40"/>
      <c r="DK25" s="40"/>
      <c r="DL25" s="40"/>
      <c r="DM25" s="40"/>
      <c r="DN25" s="40"/>
      <c r="DO25" s="40"/>
      <c r="DP25" s="40">
        <f t="shared" si="39"/>
        <v>0</v>
      </c>
      <c r="DQ25" s="172" t="str">
        <f t="shared" si="40"/>
        <v/>
      </c>
      <c r="DS25" s="189"/>
      <c r="DT25" s="190"/>
      <c r="DU25" s="190"/>
      <c r="DV25" s="191"/>
      <c r="DW25" s="138"/>
      <c r="DX25" s="42"/>
    </row>
    <row r="26" spans="1:128" ht="13.5" customHeight="1" x14ac:dyDescent="0.4">
      <c r="A26" s="104">
        <v>22</v>
      </c>
      <c r="B26" s="23" t="s">
        <v>91</v>
      </c>
      <c r="C26" s="164"/>
      <c r="D26" s="164"/>
      <c r="E26" s="24"/>
      <c r="F26" s="29"/>
      <c r="G26" s="25" t="str">
        <f>IF(SUM($F$5:F26)=0,"",SUM($F$5:F26))</f>
        <v/>
      </c>
      <c r="H26" s="43" t="str">
        <f t="shared" si="0"/>
        <v/>
      </c>
      <c r="I26" s="148" t="e">
        <f t="array" aca="1" ref="I26" ca="1">IF($A27="",$G26/($V26-$U$5+INDIRECT(IF(_xlfn.SHEET()&lt;6,"令和8年"&amp;_xlfn.SHEET()+7&amp;"月","令和9年"&amp;_xlfn.SHEET()-5&amp;"月")&amp;"!$U$5")),$G26/($V27-$U$5))</f>
        <v>#VALUE!</v>
      </c>
      <c r="J26" s="26" t="str">
        <f t="shared" si="1"/>
        <v/>
      </c>
      <c r="K26" s="27"/>
      <c r="L26" s="165">
        <f t="shared" si="2"/>
        <v>0</v>
      </c>
      <c r="M26" s="28" t="str">
        <f t="shared" si="3"/>
        <v/>
      </c>
      <c r="N26" s="166" t="str">
        <f t="shared" si="4"/>
        <v/>
      </c>
      <c r="O26" s="167" t="str">
        <f t="shared" si="5"/>
        <v/>
      </c>
      <c r="P26" s="168"/>
      <c r="Q26" s="169" t="str">
        <f t="shared" si="6"/>
        <v/>
      </c>
      <c r="R26" s="170">
        <v>9</v>
      </c>
      <c r="S26" s="171">
        <v>4</v>
      </c>
      <c r="T26" s="24" t="s">
        <v>94</v>
      </c>
      <c r="U26" s="29">
        <v>270265</v>
      </c>
      <c r="V26" s="30">
        <f t="shared" si="41"/>
        <v>7442679</v>
      </c>
      <c r="W26" s="27">
        <v>147</v>
      </c>
      <c r="X26" s="31">
        <f t="shared" si="7"/>
        <v>1838.5374149659865</v>
      </c>
      <c r="Y26" s="29">
        <v>789162</v>
      </c>
      <c r="Z26" s="32">
        <f t="shared" si="42"/>
        <v>8499849</v>
      </c>
      <c r="AA26" s="33">
        <f t="shared" si="8"/>
        <v>0.87562484933555873</v>
      </c>
      <c r="AB26" s="158">
        <v>250000</v>
      </c>
      <c r="AC26" s="34">
        <f t="shared" si="43"/>
        <v>8200000</v>
      </c>
      <c r="AD26" s="158"/>
      <c r="AE26" s="25"/>
      <c r="AF26" s="25"/>
      <c r="AG26" s="25"/>
      <c r="AH26" s="25"/>
      <c r="AI26" s="25"/>
      <c r="AJ26" s="25"/>
      <c r="AK26" s="25"/>
      <c r="AL26" s="158"/>
      <c r="AM26" s="25"/>
      <c r="AN26" s="158"/>
      <c r="AO26" s="25"/>
      <c r="AP26" s="25"/>
      <c r="AQ26" s="158"/>
      <c r="AR26" s="35">
        <f t="shared" si="9"/>
        <v>0</v>
      </c>
      <c r="AS26" s="172" t="str">
        <f t="shared" si="10"/>
        <v/>
      </c>
      <c r="AT26" s="36">
        <f t="shared" si="11"/>
        <v>0</v>
      </c>
      <c r="AU26" s="173"/>
      <c r="AV26" s="82">
        <f t="shared" si="12"/>
        <v>22</v>
      </c>
      <c r="AW26" s="37"/>
      <c r="AX26" s="174" t="str">
        <f t="shared" si="13"/>
        <v/>
      </c>
      <c r="AY26" s="37"/>
      <c r="AZ26" s="174" t="str">
        <f t="shared" si="14"/>
        <v/>
      </c>
      <c r="BA26" s="37"/>
      <c r="BB26" s="174" t="str">
        <f t="shared" si="15"/>
        <v/>
      </c>
      <c r="BC26" s="37"/>
      <c r="BD26" s="174" t="str">
        <f t="shared" si="16"/>
        <v/>
      </c>
      <c r="BE26" s="37"/>
      <c r="BF26" s="174" t="str">
        <f t="shared" si="17"/>
        <v/>
      </c>
      <c r="BG26" s="37"/>
      <c r="BH26" s="174" t="str">
        <f t="shared" si="18"/>
        <v/>
      </c>
      <c r="BI26" s="37"/>
      <c r="BJ26" s="174" t="str">
        <f t="shared" si="19"/>
        <v/>
      </c>
      <c r="BK26" s="37"/>
      <c r="BL26" s="174" t="str">
        <f t="shared" si="20"/>
        <v/>
      </c>
      <c r="BM26" s="37"/>
      <c r="BN26" s="174" t="str">
        <f t="shared" si="21"/>
        <v/>
      </c>
      <c r="BO26" s="37"/>
      <c r="BP26" s="174" t="str">
        <f t="shared" si="22"/>
        <v/>
      </c>
      <c r="BQ26" s="37"/>
      <c r="BR26" s="174" t="str">
        <f t="shared" si="23"/>
        <v/>
      </c>
      <c r="BS26" s="37"/>
      <c r="BT26" s="174" t="str">
        <f t="shared" si="24"/>
        <v/>
      </c>
      <c r="BU26" s="37"/>
      <c r="BV26" s="174" t="str">
        <f t="shared" si="25"/>
        <v/>
      </c>
      <c r="BW26" s="37"/>
      <c r="BX26" s="174" t="str">
        <f t="shared" si="26"/>
        <v/>
      </c>
      <c r="BY26" s="37"/>
      <c r="BZ26" s="174" t="str">
        <f t="shared" si="27"/>
        <v/>
      </c>
      <c r="CA26" s="37"/>
      <c r="CB26" s="174" t="str">
        <f t="shared" si="28"/>
        <v/>
      </c>
      <c r="CC26" s="37"/>
      <c r="CD26" s="174" t="str">
        <f t="shared" si="29"/>
        <v/>
      </c>
      <c r="CE26" s="37"/>
      <c r="CF26" s="174" t="str">
        <f t="shared" si="30"/>
        <v/>
      </c>
      <c r="CG26" s="37"/>
      <c r="CH26" s="174" t="str">
        <f t="shared" si="31"/>
        <v/>
      </c>
      <c r="CI26" s="37"/>
      <c r="CJ26" s="174" t="str">
        <f t="shared" si="32"/>
        <v/>
      </c>
      <c r="CK26" s="37"/>
      <c r="CL26" s="174" t="str">
        <f t="shared" si="33"/>
        <v/>
      </c>
      <c r="CM26" s="37"/>
      <c r="CN26" s="174" t="str">
        <f t="shared" si="34"/>
        <v/>
      </c>
      <c r="CO26" s="37"/>
      <c r="CP26" s="174" t="str">
        <f t="shared" si="35"/>
        <v/>
      </c>
      <c r="CQ26" s="37"/>
      <c r="CR26" s="174" t="str">
        <f t="shared" si="36"/>
        <v/>
      </c>
      <c r="CS26" s="37"/>
      <c r="CT26" s="174" t="str">
        <f t="shared" si="37"/>
        <v/>
      </c>
      <c r="CU26" s="38"/>
      <c r="CV26" s="87"/>
      <c r="CW26" s="90"/>
      <c r="CX26" s="38"/>
      <c r="CY26" s="39"/>
      <c r="CZ26" s="37"/>
      <c r="DA26" s="39"/>
      <c r="DB26" s="24">
        <v>22</v>
      </c>
      <c r="DC26" s="96" t="str">
        <f t="shared" si="38"/>
        <v>火</v>
      </c>
      <c r="DF26" s="125"/>
      <c r="DG26" s="40"/>
      <c r="DH26" s="40"/>
      <c r="DI26" s="40"/>
      <c r="DJ26" s="40"/>
      <c r="DK26" s="40"/>
      <c r="DL26" s="40"/>
      <c r="DM26" s="40"/>
      <c r="DN26" s="40"/>
      <c r="DO26" s="40"/>
      <c r="DP26" s="40">
        <f t="shared" si="39"/>
        <v>0</v>
      </c>
      <c r="DQ26" s="172" t="str">
        <f t="shared" si="40"/>
        <v/>
      </c>
      <c r="DS26" s="189"/>
      <c r="DT26" s="190"/>
      <c r="DU26" s="190"/>
      <c r="DV26" s="191"/>
      <c r="DW26" s="41"/>
      <c r="DX26" s="42"/>
    </row>
    <row r="27" spans="1:128" ht="13.5" customHeight="1" x14ac:dyDescent="0.4">
      <c r="A27" s="104">
        <v>23</v>
      </c>
      <c r="B27" s="23" t="s">
        <v>83</v>
      </c>
      <c r="C27" s="164"/>
      <c r="D27" s="164"/>
      <c r="E27" s="24"/>
      <c r="F27" s="29"/>
      <c r="G27" s="25" t="str">
        <f>IF(SUM($F$5:F27)=0,"",SUM($F$5:F27))</f>
        <v/>
      </c>
      <c r="H27" s="43" t="str">
        <f t="shared" si="0"/>
        <v/>
      </c>
      <c r="I27" s="148" t="e">
        <f t="array" aca="1" ref="I27" ca="1">IF($A28="",$G27/($V27-$U$5+INDIRECT(IF(_xlfn.SHEET()&lt;6,"令和8年"&amp;_xlfn.SHEET()+7&amp;"月","令和9年"&amp;_xlfn.SHEET()-5&amp;"月")&amp;"!$U$5")),$G27/($V28-$U$5))</f>
        <v>#VALUE!</v>
      </c>
      <c r="J27" s="26" t="str">
        <f t="shared" si="1"/>
        <v/>
      </c>
      <c r="K27" s="27"/>
      <c r="L27" s="165">
        <f t="shared" si="2"/>
        <v>0</v>
      </c>
      <c r="M27" s="28" t="str">
        <f t="shared" si="3"/>
        <v/>
      </c>
      <c r="N27" s="166" t="str">
        <f t="shared" si="4"/>
        <v/>
      </c>
      <c r="O27" s="167" t="str">
        <f t="shared" si="5"/>
        <v/>
      </c>
      <c r="P27" s="168"/>
      <c r="Q27" s="169" t="str">
        <f t="shared" si="6"/>
        <v/>
      </c>
      <c r="R27" s="170">
        <v>14</v>
      </c>
      <c r="S27" s="171">
        <v>1</v>
      </c>
      <c r="T27" s="24" t="s">
        <v>94</v>
      </c>
      <c r="U27" s="29">
        <v>259903</v>
      </c>
      <c r="V27" s="30">
        <f t="shared" si="41"/>
        <v>7702582</v>
      </c>
      <c r="W27" s="27">
        <v>161</v>
      </c>
      <c r="X27" s="31">
        <f t="shared" si="7"/>
        <v>1614.304347826087</v>
      </c>
      <c r="Y27" s="29">
        <v>294092</v>
      </c>
      <c r="Z27" s="32">
        <f t="shared" si="42"/>
        <v>8793941</v>
      </c>
      <c r="AA27" s="33">
        <f t="shared" si="8"/>
        <v>0.87589648372669315</v>
      </c>
      <c r="AB27" s="158">
        <v>250000</v>
      </c>
      <c r="AC27" s="34">
        <f t="shared" si="43"/>
        <v>8450000</v>
      </c>
      <c r="AD27" s="158"/>
      <c r="AE27" s="25"/>
      <c r="AF27" s="25"/>
      <c r="AG27" s="25"/>
      <c r="AH27" s="25"/>
      <c r="AI27" s="25"/>
      <c r="AJ27" s="25"/>
      <c r="AK27" s="25"/>
      <c r="AL27" s="158"/>
      <c r="AM27" s="25"/>
      <c r="AN27" s="158"/>
      <c r="AO27" s="25"/>
      <c r="AP27" s="25"/>
      <c r="AQ27" s="158"/>
      <c r="AR27" s="35">
        <f t="shared" si="9"/>
        <v>0</v>
      </c>
      <c r="AS27" s="172" t="str">
        <f t="shared" si="10"/>
        <v/>
      </c>
      <c r="AT27" s="36">
        <f t="shared" si="11"/>
        <v>0</v>
      </c>
      <c r="AU27" s="173"/>
      <c r="AV27" s="82">
        <f t="shared" si="12"/>
        <v>23</v>
      </c>
      <c r="AW27" s="37"/>
      <c r="AX27" s="174" t="str">
        <f t="shared" si="13"/>
        <v/>
      </c>
      <c r="AY27" s="37"/>
      <c r="AZ27" s="174" t="str">
        <f t="shared" si="14"/>
        <v/>
      </c>
      <c r="BA27" s="37"/>
      <c r="BB27" s="174" t="str">
        <f t="shared" si="15"/>
        <v/>
      </c>
      <c r="BC27" s="37"/>
      <c r="BD27" s="174" t="str">
        <f t="shared" si="16"/>
        <v/>
      </c>
      <c r="BE27" s="37"/>
      <c r="BF27" s="174" t="str">
        <f t="shared" si="17"/>
        <v/>
      </c>
      <c r="BG27" s="37"/>
      <c r="BH27" s="174" t="str">
        <f t="shared" si="18"/>
        <v/>
      </c>
      <c r="BI27" s="37"/>
      <c r="BJ27" s="174" t="str">
        <f t="shared" si="19"/>
        <v/>
      </c>
      <c r="BK27" s="37"/>
      <c r="BL27" s="174" t="str">
        <f t="shared" si="20"/>
        <v/>
      </c>
      <c r="BM27" s="37"/>
      <c r="BN27" s="174" t="str">
        <f t="shared" si="21"/>
        <v/>
      </c>
      <c r="BO27" s="37"/>
      <c r="BP27" s="174" t="str">
        <f t="shared" si="22"/>
        <v/>
      </c>
      <c r="BQ27" s="37"/>
      <c r="BR27" s="174" t="str">
        <f t="shared" si="23"/>
        <v/>
      </c>
      <c r="BS27" s="37"/>
      <c r="BT27" s="174" t="str">
        <f t="shared" si="24"/>
        <v/>
      </c>
      <c r="BU27" s="37"/>
      <c r="BV27" s="174" t="str">
        <f t="shared" si="25"/>
        <v/>
      </c>
      <c r="BW27" s="37"/>
      <c r="BX27" s="174" t="str">
        <f t="shared" si="26"/>
        <v/>
      </c>
      <c r="BY27" s="37"/>
      <c r="BZ27" s="174" t="str">
        <f t="shared" si="27"/>
        <v/>
      </c>
      <c r="CA27" s="37"/>
      <c r="CB27" s="174" t="str">
        <f t="shared" si="28"/>
        <v/>
      </c>
      <c r="CC27" s="37"/>
      <c r="CD27" s="174" t="str">
        <f t="shared" si="29"/>
        <v/>
      </c>
      <c r="CE27" s="37"/>
      <c r="CF27" s="174" t="str">
        <f t="shared" si="30"/>
        <v/>
      </c>
      <c r="CG27" s="37"/>
      <c r="CH27" s="174" t="str">
        <f t="shared" si="31"/>
        <v/>
      </c>
      <c r="CI27" s="37"/>
      <c r="CJ27" s="174" t="str">
        <f t="shared" si="32"/>
        <v/>
      </c>
      <c r="CK27" s="37"/>
      <c r="CL27" s="174" t="str">
        <f t="shared" si="33"/>
        <v/>
      </c>
      <c r="CM27" s="37"/>
      <c r="CN27" s="174" t="str">
        <f t="shared" si="34"/>
        <v/>
      </c>
      <c r="CO27" s="37"/>
      <c r="CP27" s="174" t="str">
        <f t="shared" si="35"/>
        <v/>
      </c>
      <c r="CQ27" s="37"/>
      <c r="CR27" s="174" t="str">
        <f t="shared" si="36"/>
        <v/>
      </c>
      <c r="CS27" s="37"/>
      <c r="CT27" s="174" t="str">
        <f t="shared" si="37"/>
        <v/>
      </c>
      <c r="CU27" s="38"/>
      <c r="CV27" s="87"/>
      <c r="CW27" s="90"/>
      <c r="CX27" s="38"/>
      <c r="CY27" s="39"/>
      <c r="CZ27" s="37"/>
      <c r="DA27" s="39"/>
      <c r="DB27" s="24">
        <v>23</v>
      </c>
      <c r="DC27" s="96" t="str">
        <f t="shared" si="38"/>
        <v>水</v>
      </c>
      <c r="DF27" s="125"/>
      <c r="DG27" s="40"/>
      <c r="DH27" s="40"/>
      <c r="DI27" s="40"/>
      <c r="DJ27" s="40"/>
      <c r="DK27" s="40"/>
      <c r="DL27" s="40"/>
      <c r="DM27" s="40"/>
      <c r="DN27" s="40"/>
      <c r="DO27" s="40"/>
      <c r="DP27" s="40">
        <f t="shared" si="39"/>
        <v>0</v>
      </c>
      <c r="DQ27" s="172" t="str">
        <f t="shared" si="40"/>
        <v/>
      </c>
      <c r="DS27" s="189"/>
      <c r="DT27" s="190"/>
      <c r="DU27" s="190"/>
      <c r="DV27" s="191"/>
      <c r="DW27" s="41"/>
      <c r="DX27" s="42"/>
    </row>
    <row r="28" spans="1:128" ht="13.5" customHeight="1" x14ac:dyDescent="0.4">
      <c r="A28" s="104">
        <v>24</v>
      </c>
      <c r="B28" s="23" t="s">
        <v>85</v>
      </c>
      <c r="C28" s="164"/>
      <c r="D28" s="164"/>
      <c r="E28" s="24"/>
      <c r="F28" s="29"/>
      <c r="G28" s="25" t="str">
        <f>IF(SUM($F$5:F28)=0,"",SUM($F$5:F28))</f>
        <v/>
      </c>
      <c r="H28" s="43" t="str">
        <f t="shared" si="0"/>
        <v/>
      </c>
      <c r="I28" s="148" t="e">
        <f t="array" aca="1" ref="I28" ca="1">IF($A29="",$G28/($V28-$U$5+INDIRECT(IF(_xlfn.SHEET()&lt;6,"令和8年"&amp;_xlfn.SHEET()+7&amp;"月","令和9年"&amp;_xlfn.SHEET()-5&amp;"月")&amp;"!$U$5")),$G28/($V29-$U$5))</f>
        <v>#VALUE!</v>
      </c>
      <c r="J28" s="26" t="str">
        <f t="shared" si="1"/>
        <v/>
      </c>
      <c r="K28" s="27"/>
      <c r="L28" s="165">
        <f t="shared" si="2"/>
        <v>0</v>
      </c>
      <c r="M28" s="28" t="str">
        <f t="shared" si="3"/>
        <v/>
      </c>
      <c r="N28" s="166" t="str">
        <f t="shared" si="4"/>
        <v/>
      </c>
      <c r="O28" s="167" t="str">
        <f t="shared" si="5"/>
        <v/>
      </c>
      <c r="P28" s="168"/>
      <c r="Q28" s="169" t="str">
        <f t="shared" si="6"/>
        <v/>
      </c>
      <c r="R28" s="170">
        <v>15</v>
      </c>
      <c r="S28" s="171">
        <v>6</v>
      </c>
      <c r="T28" s="24" t="s">
        <v>93</v>
      </c>
      <c r="U28" s="29">
        <v>321758</v>
      </c>
      <c r="V28" s="30">
        <f t="shared" si="41"/>
        <v>8024340</v>
      </c>
      <c r="W28" s="27">
        <v>182</v>
      </c>
      <c r="X28" s="31">
        <f t="shared" si="7"/>
        <v>1767.901098901099</v>
      </c>
      <c r="Y28" s="29">
        <v>300387</v>
      </c>
      <c r="Z28" s="32">
        <f t="shared" si="42"/>
        <v>9094328</v>
      </c>
      <c r="AA28" s="33">
        <f t="shared" si="8"/>
        <v>0.88234556747898252</v>
      </c>
      <c r="AB28" s="158">
        <v>250000</v>
      </c>
      <c r="AC28" s="34">
        <f t="shared" si="43"/>
        <v>8700000</v>
      </c>
      <c r="AD28" s="158"/>
      <c r="AE28" s="25"/>
      <c r="AF28" s="25"/>
      <c r="AG28" s="25"/>
      <c r="AH28" s="25"/>
      <c r="AI28" s="25"/>
      <c r="AJ28" s="25"/>
      <c r="AK28" s="25"/>
      <c r="AL28" s="158"/>
      <c r="AM28" s="25"/>
      <c r="AN28" s="158"/>
      <c r="AO28" s="25"/>
      <c r="AP28" s="25"/>
      <c r="AQ28" s="158"/>
      <c r="AR28" s="35">
        <f t="shared" si="9"/>
        <v>0</v>
      </c>
      <c r="AS28" s="172" t="str">
        <f t="shared" si="10"/>
        <v/>
      </c>
      <c r="AT28" s="36">
        <f t="shared" si="11"/>
        <v>0</v>
      </c>
      <c r="AU28" s="173"/>
      <c r="AV28" s="82">
        <f t="shared" si="12"/>
        <v>24</v>
      </c>
      <c r="AW28" s="37"/>
      <c r="AX28" s="174" t="str">
        <f t="shared" si="13"/>
        <v/>
      </c>
      <c r="AY28" s="37"/>
      <c r="AZ28" s="174" t="str">
        <f t="shared" si="14"/>
        <v/>
      </c>
      <c r="BA28" s="37"/>
      <c r="BB28" s="174" t="str">
        <f t="shared" si="15"/>
        <v/>
      </c>
      <c r="BC28" s="37"/>
      <c r="BD28" s="174" t="str">
        <f t="shared" si="16"/>
        <v/>
      </c>
      <c r="BE28" s="37"/>
      <c r="BF28" s="174" t="str">
        <f t="shared" si="17"/>
        <v/>
      </c>
      <c r="BG28" s="37"/>
      <c r="BH28" s="174" t="str">
        <f t="shared" si="18"/>
        <v/>
      </c>
      <c r="BI28" s="37"/>
      <c r="BJ28" s="174" t="str">
        <f t="shared" si="19"/>
        <v/>
      </c>
      <c r="BK28" s="37"/>
      <c r="BL28" s="174" t="str">
        <f t="shared" si="20"/>
        <v/>
      </c>
      <c r="BM28" s="37"/>
      <c r="BN28" s="174" t="str">
        <f t="shared" si="21"/>
        <v/>
      </c>
      <c r="BO28" s="37"/>
      <c r="BP28" s="174" t="str">
        <f t="shared" si="22"/>
        <v/>
      </c>
      <c r="BQ28" s="37"/>
      <c r="BR28" s="174" t="str">
        <f t="shared" si="23"/>
        <v/>
      </c>
      <c r="BS28" s="37"/>
      <c r="BT28" s="174" t="str">
        <f t="shared" si="24"/>
        <v/>
      </c>
      <c r="BU28" s="37"/>
      <c r="BV28" s="174" t="str">
        <f t="shared" si="25"/>
        <v/>
      </c>
      <c r="BW28" s="37"/>
      <c r="BX28" s="174" t="str">
        <f t="shared" si="26"/>
        <v/>
      </c>
      <c r="BY28" s="37"/>
      <c r="BZ28" s="174" t="str">
        <f t="shared" si="27"/>
        <v/>
      </c>
      <c r="CA28" s="37"/>
      <c r="CB28" s="174" t="str">
        <f t="shared" si="28"/>
        <v/>
      </c>
      <c r="CC28" s="37"/>
      <c r="CD28" s="174" t="str">
        <f t="shared" si="29"/>
        <v/>
      </c>
      <c r="CE28" s="37"/>
      <c r="CF28" s="174" t="str">
        <f t="shared" si="30"/>
        <v/>
      </c>
      <c r="CG28" s="37"/>
      <c r="CH28" s="174" t="str">
        <f t="shared" si="31"/>
        <v/>
      </c>
      <c r="CI28" s="37"/>
      <c r="CJ28" s="174" t="str">
        <f t="shared" si="32"/>
        <v/>
      </c>
      <c r="CK28" s="37"/>
      <c r="CL28" s="174" t="str">
        <f t="shared" si="33"/>
        <v/>
      </c>
      <c r="CM28" s="37"/>
      <c r="CN28" s="174" t="str">
        <f t="shared" si="34"/>
        <v/>
      </c>
      <c r="CO28" s="37"/>
      <c r="CP28" s="174" t="str">
        <f t="shared" si="35"/>
        <v/>
      </c>
      <c r="CQ28" s="37"/>
      <c r="CR28" s="174" t="str">
        <f t="shared" si="36"/>
        <v/>
      </c>
      <c r="CS28" s="37"/>
      <c r="CT28" s="174" t="str">
        <f t="shared" si="37"/>
        <v/>
      </c>
      <c r="CU28" s="38"/>
      <c r="CV28" s="87"/>
      <c r="CW28" s="90"/>
      <c r="CX28" s="38"/>
      <c r="CY28" s="39"/>
      <c r="CZ28" s="37"/>
      <c r="DA28" s="39"/>
      <c r="DB28" s="24">
        <v>24</v>
      </c>
      <c r="DC28" s="96" t="str">
        <f t="shared" si="38"/>
        <v>木</v>
      </c>
      <c r="DF28" s="125"/>
      <c r="DG28" s="40"/>
      <c r="DH28" s="40"/>
      <c r="DI28" s="40"/>
      <c r="DJ28" s="40"/>
      <c r="DK28" s="40"/>
      <c r="DL28" s="40"/>
      <c r="DM28" s="40"/>
      <c r="DN28" s="40"/>
      <c r="DO28" s="40"/>
      <c r="DP28" s="40">
        <f t="shared" si="39"/>
        <v>0</v>
      </c>
      <c r="DQ28" s="172" t="str">
        <f t="shared" si="40"/>
        <v/>
      </c>
      <c r="DS28" s="189"/>
      <c r="DT28" s="190"/>
      <c r="DU28" s="190"/>
      <c r="DV28" s="191"/>
      <c r="DW28" s="138"/>
      <c r="DX28" s="42"/>
    </row>
    <row r="29" spans="1:128" ht="13.5" customHeight="1" x14ac:dyDescent="0.4">
      <c r="A29" s="104">
        <v>25</v>
      </c>
      <c r="B29" s="23" t="s">
        <v>86</v>
      </c>
      <c r="C29" s="164"/>
      <c r="D29" s="164"/>
      <c r="E29" s="24"/>
      <c r="F29" s="29"/>
      <c r="G29" s="25" t="str">
        <f>IF(SUM($F$5:F29)=0,"",SUM($F$5:F29))</f>
        <v/>
      </c>
      <c r="H29" s="43" t="str">
        <f t="shared" si="0"/>
        <v/>
      </c>
      <c r="I29" s="148" t="e">
        <f t="array" aca="1" ref="I29" ca="1">IF($A30="",$G29/($V29-$U$5+INDIRECT(IF(_xlfn.SHEET()&lt;6,"令和8年"&amp;_xlfn.SHEET()+7&amp;"月","令和9年"&amp;_xlfn.SHEET()-5&amp;"月")&amp;"!$U$5")),$G29/($V30-$U$5))</f>
        <v>#VALUE!</v>
      </c>
      <c r="J29" s="26" t="str">
        <f t="shared" si="1"/>
        <v/>
      </c>
      <c r="K29" s="27"/>
      <c r="L29" s="165">
        <f t="shared" si="2"/>
        <v>0</v>
      </c>
      <c r="M29" s="28" t="str">
        <f t="shared" si="3"/>
        <v/>
      </c>
      <c r="N29" s="166" t="str">
        <f t="shared" si="4"/>
        <v/>
      </c>
      <c r="O29" s="167" t="str">
        <f t="shared" si="5"/>
        <v/>
      </c>
      <c r="P29" s="168"/>
      <c r="Q29" s="169" t="str">
        <f t="shared" si="6"/>
        <v/>
      </c>
      <c r="R29" s="170">
        <v>17</v>
      </c>
      <c r="S29" s="171">
        <v>6</v>
      </c>
      <c r="T29" s="24" t="s">
        <v>93</v>
      </c>
      <c r="U29" s="29">
        <v>250887</v>
      </c>
      <c r="V29" s="30">
        <f t="shared" si="41"/>
        <v>8275227</v>
      </c>
      <c r="W29" s="27">
        <v>167</v>
      </c>
      <c r="X29" s="31">
        <f t="shared" si="7"/>
        <v>1502.3173652694611</v>
      </c>
      <c r="Y29" s="29">
        <v>264499</v>
      </c>
      <c r="Z29" s="32">
        <f t="shared" si="42"/>
        <v>9358827</v>
      </c>
      <c r="AA29" s="33">
        <f t="shared" si="8"/>
        <v>0.88421625915298996</v>
      </c>
      <c r="AB29" s="158">
        <v>250000</v>
      </c>
      <c r="AC29" s="34">
        <f t="shared" si="43"/>
        <v>8950000</v>
      </c>
      <c r="AD29" s="158"/>
      <c r="AE29" s="25"/>
      <c r="AF29" s="25"/>
      <c r="AG29" s="25"/>
      <c r="AH29" s="25"/>
      <c r="AI29" s="25"/>
      <c r="AJ29" s="25"/>
      <c r="AK29" s="25"/>
      <c r="AL29" s="158"/>
      <c r="AM29" s="25"/>
      <c r="AN29" s="158"/>
      <c r="AO29" s="25"/>
      <c r="AP29" s="25"/>
      <c r="AQ29" s="158"/>
      <c r="AR29" s="35">
        <f t="shared" si="9"/>
        <v>0</v>
      </c>
      <c r="AS29" s="172" t="str">
        <f t="shared" si="10"/>
        <v/>
      </c>
      <c r="AT29" s="36">
        <f t="shared" si="11"/>
        <v>0</v>
      </c>
      <c r="AU29" s="173"/>
      <c r="AV29" s="82">
        <f t="shared" si="12"/>
        <v>25</v>
      </c>
      <c r="AW29" s="37"/>
      <c r="AX29" s="174" t="str">
        <f t="shared" si="13"/>
        <v/>
      </c>
      <c r="AY29" s="37"/>
      <c r="AZ29" s="174" t="str">
        <f t="shared" si="14"/>
        <v/>
      </c>
      <c r="BA29" s="37"/>
      <c r="BB29" s="174" t="str">
        <f t="shared" si="15"/>
        <v/>
      </c>
      <c r="BC29" s="37"/>
      <c r="BD29" s="174" t="str">
        <f t="shared" si="16"/>
        <v/>
      </c>
      <c r="BE29" s="37"/>
      <c r="BF29" s="174" t="str">
        <f t="shared" si="17"/>
        <v/>
      </c>
      <c r="BG29" s="37"/>
      <c r="BH29" s="174" t="str">
        <f t="shared" si="18"/>
        <v/>
      </c>
      <c r="BI29" s="37"/>
      <c r="BJ29" s="174" t="str">
        <f t="shared" si="19"/>
        <v/>
      </c>
      <c r="BK29" s="37"/>
      <c r="BL29" s="174" t="str">
        <f t="shared" si="20"/>
        <v/>
      </c>
      <c r="BM29" s="37"/>
      <c r="BN29" s="174" t="str">
        <f t="shared" si="21"/>
        <v/>
      </c>
      <c r="BO29" s="37"/>
      <c r="BP29" s="174" t="str">
        <f t="shared" si="22"/>
        <v/>
      </c>
      <c r="BQ29" s="37"/>
      <c r="BR29" s="174" t="str">
        <f t="shared" si="23"/>
        <v/>
      </c>
      <c r="BS29" s="37"/>
      <c r="BT29" s="174" t="str">
        <f t="shared" si="24"/>
        <v/>
      </c>
      <c r="BU29" s="37"/>
      <c r="BV29" s="174" t="str">
        <f t="shared" si="25"/>
        <v/>
      </c>
      <c r="BW29" s="37"/>
      <c r="BX29" s="174" t="str">
        <f t="shared" si="26"/>
        <v/>
      </c>
      <c r="BY29" s="37"/>
      <c r="BZ29" s="174" t="str">
        <f t="shared" si="27"/>
        <v/>
      </c>
      <c r="CA29" s="37"/>
      <c r="CB29" s="174" t="str">
        <f t="shared" si="28"/>
        <v/>
      </c>
      <c r="CC29" s="37"/>
      <c r="CD29" s="174" t="str">
        <f t="shared" si="29"/>
        <v/>
      </c>
      <c r="CE29" s="37"/>
      <c r="CF29" s="174" t="str">
        <f t="shared" si="30"/>
        <v/>
      </c>
      <c r="CG29" s="37"/>
      <c r="CH29" s="174" t="str">
        <f t="shared" si="31"/>
        <v/>
      </c>
      <c r="CI29" s="37"/>
      <c r="CJ29" s="174" t="str">
        <f t="shared" si="32"/>
        <v/>
      </c>
      <c r="CK29" s="37"/>
      <c r="CL29" s="174" t="str">
        <f t="shared" si="33"/>
        <v/>
      </c>
      <c r="CM29" s="37"/>
      <c r="CN29" s="174" t="str">
        <f t="shared" si="34"/>
        <v/>
      </c>
      <c r="CO29" s="37"/>
      <c r="CP29" s="174" t="str">
        <f t="shared" si="35"/>
        <v/>
      </c>
      <c r="CQ29" s="37"/>
      <c r="CR29" s="174" t="str">
        <f t="shared" si="36"/>
        <v/>
      </c>
      <c r="CS29" s="37"/>
      <c r="CT29" s="174" t="str">
        <f t="shared" si="37"/>
        <v/>
      </c>
      <c r="CU29" s="38"/>
      <c r="CV29" s="87"/>
      <c r="CW29" s="90"/>
      <c r="CX29" s="38"/>
      <c r="CY29" s="39"/>
      <c r="CZ29" s="37"/>
      <c r="DA29" s="39"/>
      <c r="DB29" s="24">
        <v>25</v>
      </c>
      <c r="DC29" s="96" t="str">
        <f t="shared" si="38"/>
        <v>金</v>
      </c>
      <c r="DF29" s="125"/>
      <c r="DG29" s="40"/>
      <c r="DH29" s="40"/>
      <c r="DI29" s="40"/>
      <c r="DJ29" s="40"/>
      <c r="DK29" s="40"/>
      <c r="DL29" s="40"/>
      <c r="DM29" s="40"/>
      <c r="DN29" s="40"/>
      <c r="DO29" s="40"/>
      <c r="DP29" s="40">
        <f t="shared" si="39"/>
        <v>0</v>
      </c>
      <c r="DQ29" s="172" t="str">
        <f t="shared" si="40"/>
        <v/>
      </c>
      <c r="DS29" s="189"/>
      <c r="DT29" s="190"/>
      <c r="DU29" s="190"/>
      <c r="DV29" s="191"/>
      <c r="DW29" s="41"/>
      <c r="DX29" s="42"/>
    </row>
    <row r="30" spans="1:128" ht="13.5" customHeight="1" x14ac:dyDescent="0.4">
      <c r="A30" s="104">
        <v>26</v>
      </c>
      <c r="B30" s="23" t="s">
        <v>88</v>
      </c>
      <c r="C30" s="164"/>
      <c r="D30" s="164"/>
      <c r="E30" s="24"/>
      <c r="F30" s="29"/>
      <c r="G30" s="25" t="str">
        <f>IF(SUM($F$5:F30)=0,"",SUM($F$5:F30))</f>
        <v/>
      </c>
      <c r="H30" s="43" t="str">
        <f t="shared" si="0"/>
        <v/>
      </c>
      <c r="I30" s="148" t="e">
        <f t="array" aca="1" ref="I30" ca="1">IF($A31="",$G30/($V30-$U$5+INDIRECT(IF(_xlfn.SHEET()&lt;6,"令和8年"&amp;_xlfn.SHEET()+7&amp;"月","令和9年"&amp;_xlfn.SHEET()-5&amp;"月")&amp;"!$U$5")),$G30/($V31-$U$5))</f>
        <v>#VALUE!</v>
      </c>
      <c r="J30" s="26" t="str">
        <f t="shared" si="1"/>
        <v/>
      </c>
      <c r="K30" s="27"/>
      <c r="L30" s="165">
        <f t="shared" si="2"/>
        <v>0</v>
      </c>
      <c r="M30" s="28" t="str">
        <f t="shared" si="3"/>
        <v/>
      </c>
      <c r="N30" s="166" t="str">
        <f t="shared" si="4"/>
        <v/>
      </c>
      <c r="O30" s="167" t="str">
        <f t="shared" si="5"/>
        <v/>
      </c>
      <c r="P30" s="168"/>
      <c r="Q30" s="169" t="str">
        <f t="shared" si="6"/>
        <v/>
      </c>
      <c r="R30" s="170">
        <v>6</v>
      </c>
      <c r="S30" s="171">
        <v>0</v>
      </c>
      <c r="T30" s="24" t="s">
        <v>84</v>
      </c>
      <c r="U30" s="29">
        <v>347681</v>
      </c>
      <c r="V30" s="30">
        <f t="shared" si="41"/>
        <v>8622908</v>
      </c>
      <c r="W30" s="27">
        <v>203</v>
      </c>
      <c r="X30" s="31">
        <f t="shared" si="7"/>
        <v>1712.7142857142858</v>
      </c>
      <c r="Y30" s="29">
        <v>364187</v>
      </c>
      <c r="Z30" s="32">
        <f t="shared" si="42"/>
        <v>9723014</v>
      </c>
      <c r="AA30" s="33">
        <f t="shared" si="8"/>
        <v>0.88685545449178615</v>
      </c>
      <c r="AB30" s="158">
        <v>800000</v>
      </c>
      <c r="AC30" s="34">
        <f t="shared" si="43"/>
        <v>9750000</v>
      </c>
      <c r="AD30" s="158"/>
      <c r="AE30" s="25"/>
      <c r="AF30" s="25"/>
      <c r="AG30" s="25"/>
      <c r="AH30" s="25"/>
      <c r="AI30" s="25"/>
      <c r="AJ30" s="25"/>
      <c r="AK30" s="25"/>
      <c r="AL30" s="158"/>
      <c r="AM30" s="25"/>
      <c r="AN30" s="158"/>
      <c r="AO30" s="25"/>
      <c r="AP30" s="25"/>
      <c r="AQ30" s="158"/>
      <c r="AR30" s="35">
        <f t="shared" si="9"/>
        <v>0</v>
      </c>
      <c r="AS30" s="172" t="str">
        <f t="shared" si="10"/>
        <v/>
      </c>
      <c r="AT30" s="36">
        <f t="shared" si="11"/>
        <v>0</v>
      </c>
      <c r="AU30" s="173"/>
      <c r="AV30" s="82">
        <f t="shared" si="12"/>
        <v>26</v>
      </c>
      <c r="AW30" s="37"/>
      <c r="AX30" s="174" t="str">
        <f t="shared" si="13"/>
        <v/>
      </c>
      <c r="AY30" s="37"/>
      <c r="AZ30" s="174" t="str">
        <f t="shared" si="14"/>
        <v/>
      </c>
      <c r="BA30" s="37"/>
      <c r="BB30" s="174" t="str">
        <f t="shared" si="15"/>
        <v/>
      </c>
      <c r="BC30" s="37"/>
      <c r="BD30" s="174" t="str">
        <f t="shared" si="16"/>
        <v/>
      </c>
      <c r="BE30" s="37"/>
      <c r="BF30" s="174" t="str">
        <f t="shared" si="17"/>
        <v/>
      </c>
      <c r="BG30" s="37"/>
      <c r="BH30" s="174" t="str">
        <f t="shared" si="18"/>
        <v/>
      </c>
      <c r="BI30" s="37"/>
      <c r="BJ30" s="174" t="str">
        <f t="shared" si="19"/>
        <v/>
      </c>
      <c r="BK30" s="37"/>
      <c r="BL30" s="174" t="str">
        <f t="shared" si="20"/>
        <v/>
      </c>
      <c r="BM30" s="37"/>
      <c r="BN30" s="174" t="str">
        <f t="shared" si="21"/>
        <v/>
      </c>
      <c r="BO30" s="37"/>
      <c r="BP30" s="174" t="str">
        <f t="shared" si="22"/>
        <v/>
      </c>
      <c r="BQ30" s="37"/>
      <c r="BR30" s="174" t="str">
        <f t="shared" si="23"/>
        <v/>
      </c>
      <c r="BS30" s="37"/>
      <c r="BT30" s="174" t="str">
        <f t="shared" si="24"/>
        <v/>
      </c>
      <c r="BU30" s="37"/>
      <c r="BV30" s="174" t="str">
        <f t="shared" si="25"/>
        <v/>
      </c>
      <c r="BW30" s="37"/>
      <c r="BX30" s="174" t="str">
        <f t="shared" si="26"/>
        <v/>
      </c>
      <c r="BY30" s="37"/>
      <c r="BZ30" s="174" t="str">
        <f t="shared" si="27"/>
        <v/>
      </c>
      <c r="CA30" s="37"/>
      <c r="CB30" s="174" t="str">
        <f t="shared" si="28"/>
        <v/>
      </c>
      <c r="CC30" s="37"/>
      <c r="CD30" s="174" t="str">
        <f t="shared" si="29"/>
        <v/>
      </c>
      <c r="CE30" s="37"/>
      <c r="CF30" s="174" t="str">
        <f t="shared" si="30"/>
        <v/>
      </c>
      <c r="CG30" s="37"/>
      <c r="CH30" s="174" t="str">
        <f t="shared" si="31"/>
        <v/>
      </c>
      <c r="CI30" s="37"/>
      <c r="CJ30" s="174" t="str">
        <f t="shared" si="32"/>
        <v/>
      </c>
      <c r="CK30" s="37"/>
      <c r="CL30" s="174" t="str">
        <f t="shared" si="33"/>
        <v/>
      </c>
      <c r="CM30" s="37"/>
      <c r="CN30" s="174" t="str">
        <f t="shared" si="34"/>
        <v/>
      </c>
      <c r="CO30" s="37"/>
      <c r="CP30" s="174" t="str">
        <f t="shared" si="35"/>
        <v/>
      </c>
      <c r="CQ30" s="37"/>
      <c r="CR30" s="174" t="str">
        <f t="shared" si="36"/>
        <v/>
      </c>
      <c r="CS30" s="37"/>
      <c r="CT30" s="174" t="str">
        <f t="shared" si="37"/>
        <v/>
      </c>
      <c r="CU30" s="38"/>
      <c r="CV30" s="87"/>
      <c r="CW30" s="90"/>
      <c r="CX30" s="38"/>
      <c r="CY30" s="39"/>
      <c r="CZ30" s="37"/>
      <c r="DA30" s="39"/>
      <c r="DB30" s="24">
        <v>26</v>
      </c>
      <c r="DC30" s="96" t="str">
        <f t="shared" si="38"/>
        <v>土</v>
      </c>
      <c r="DF30" s="125"/>
      <c r="DG30" s="40"/>
      <c r="DH30" s="40"/>
      <c r="DI30" s="40"/>
      <c r="DJ30" s="40"/>
      <c r="DK30" s="40"/>
      <c r="DL30" s="40"/>
      <c r="DM30" s="40"/>
      <c r="DN30" s="40"/>
      <c r="DO30" s="40"/>
      <c r="DP30" s="40">
        <f t="shared" si="39"/>
        <v>0</v>
      </c>
      <c r="DQ30" s="172" t="str">
        <f t="shared" si="40"/>
        <v/>
      </c>
      <c r="DS30" s="189"/>
      <c r="DT30" s="190"/>
      <c r="DU30" s="190"/>
      <c r="DV30" s="191"/>
      <c r="DW30" s="41"/>
      <c r="DX30" s="42"/>
    </row>
    <row r="31" spans="1:128" ht="13.5" customHeight="1" x14ac:dyDescent="0.4">
      <c r="A31" s="104">
        <v>27</v>
      </c>
      <c r="B31" s="23" t="s">
        <v>89</v>
      </c>
      <c r="C31" s="164"/>
      <c r="D31" s="164"/>
      <c r="E31" s="24"/>
      <c r="F31" s="29"/>
      <c r="G31" s="25" t="str">
        <f>IF(SUM($F$5:F31)=0,"",SUM($F$5:F31))</f>
        <v/>
      </c>
      <c r="H31" s="43" t="str">
        <f t="shared" si="0"/>
        <v/>
      </c>
      <c r="I31" s="148" t="e">
        <f t="array" aca="1" ref="I31" ca="1">IF($A32="",$G31/($V31-$U$5+INDIRECT(IF(_xlfn.SHEET()&lt;6,"令和8年"&amp;_xlfn.SHEET()+7&amp;"月","令和9年"&amp;_xlfn.SHEET()-5&amp;"月")&amp;"!$U$5")),$G31/($V32-$U$5))</f>
        <v>#VALUE!</v>
      </c>
      <c r="J31" s="26" t="str">
        <f t="shared" si="1"/>
        <v/>
      </c>
      <c r="K31" s="27"/>
      <c r="L31" s="165">
        <f t="shared" si="2"/>
        <v>0</v>
      </c>
      <c r="M31" s="28" t="str">
        <f t="shared" si="3"/>
        <v/>
      </c>
      <c r="N31" s="166" t="str">
        <f t="shared" si="4"/>
        <v/>
      </c>
      <c r="O31" s="167" t="str">
        <f t="shared" si="5"/>
        <v/>
      </c>
      <c r="P31" s="168"/>
      <c r="Q31" s="169" t="str">
        <f t="shared" si="6"/>
        <v/>
      </c>
      <c r="R31" s="170">
        <v>15</v>
      </c>
      <c r="S31" s="171">
        <v>0</v>
      </c>
      <c r="T31" s="24" t="s">
        <v>84</v>
      </c>
      <c r="U31" s="29">
        <v>695108</v>
      </c>
      <c r="V31" s="30">
        <f t="shared" si="41"/>
        <v>9318016</v>
      </c>
      <c r="W31" s="27">
        <v>324</v>
      </c>
      <c r="X31" s="31">
        <f t="shared" si="7"/>
        <v>2145.3950617283949</v>
      </c>
      <c r="Y31" s="29">
        <v>442139</v>
      </c>
      <c r="Z31" s="32">
        <f t="shared" si="42"/>
        <v>10165153</v>
      </c>
      <c r="AA31" s="33">
        <f t="shared" si="8"/>
        <v>0.91666264147721144</v>
      </c>
      <c r="AB31" s="158">
        <v>800000</v>
      </c>
      <c r="AC31" s="34">
        <f t="shared" si="43"/>
        <v>10550000</v>
      </c>
      <c r="AD31" s="158"/>
      <c r="AE31" s="25"/>
      <c r="AF31" s="25"/>
      <c r="AG31" s="25"/>
      <c r="AH31" s="25"/>
      <c r="AI31" s="25"/>
      <c r="AJ31" s="25"/>
      <c r="AK31" s="25"/>
      <c r="AL31" s="158"/>
      <c r="AM31" s="25"/>
      <c r="AN31" s="158"/>
      <c r="AO31" s="25"/>
      <c r="AP31" s="25"/>
      <c r="AQ31" s="158"/>
      <c r="AR31" s="35">
        <f t="shared" si="9"/>
        <v>0</v>
      </c>
      <c r="AS31" s="172" t="str">
        <f t="shared" si="10"/>
        <v/>
      </c>
      <c r="AT31" s="36">
        <f t="shared" si="11"/>
        <v>0</v>
      </c>
      <c r="AU31" s="173"/>
      <c r="AV31" s="82">
        <f t="shared" si="12"/>
        <v>27</v>
      </c>
      <c r="AW31" s="37"/>
      <c r="AX31" s="174" t="str">
        <f t="shared" si="13"/>
        <v/>
      </c>
      <c r="AY31" s="37"/>
      <c r="AZ31" s="174" t="str">
        <f t="shared" si="14"/>
        <v/>
      </c>
      <c r="BA31" s="37"/>
      <c r="BB31" s="174" t="str">
        <f t="shared" si="15"/>
        <v/>
      </c>
      <c r="BC31" s="37"/>
      <c r="BD31" s="174" t="str">
        <f t="shared" si="16"/>
        <v/>
      </c>
      <c r="BE31" s="37"/>
      <c r="BF31" s="174" t="str">
        <f t="shared" si="17"/>
        <v/>
      </c>
      <c r="BG31" s="37"/>
      <c r="BH31" s="174" t="str">
        <f t="shared" si="18"/>
        <v/>
      </c>
      <c r="BI31" s="37"/>
      <c r="BJ31" s="174" t="str">
        <f t="shared" si="19"/>
        <v/>
      </c>
      <c r="BK31" s="37"/>
      <c r="BL31" s="174" t="str">
        <f t="shared" si="20"/>
        <v/>
      </c>
      <c r="BM31" s="37"/>
      <c r="BN31" s="174" t="str">
        <f t="shared" si="21"/>
        <v/>
      </c>
      <c r="BO31" s="37"/>
      <c r="BP31" s="174" t="str">
        <f t="shared" si="22"/>
        <v/>
      </c>
      <c r="BQ31" s="37"/>
      <c r="BR31" s="174" t="str">
        <f t="shared" si="23"/>
        <v/>
      </c>
      <c r="BS31" s="37"/>
      <c r="BT31" s="174" t="str">
        <f t="shared" si="24"/>
        <v/>
      </c>
      <c r="BU31" s="37"/>
      <c r="BV31" s="174" t="str">
        <f t="shared" si="25"/>
        <v/>
      </c>
      <c r="BW31" s="37"/>
      <c r="BX31" s="174" t="str">
        <f t="shared" si="26"/>
        <v/>
      </c>
      <c r="BY31" s="37"/>
      <c r="BZ31" s="174" t="str">
        <f t="shared" si="27"/>
        <v/>
      </c>
      <c r="CA31" s="37"/>
      <c r="CB31" s="174" t="str">
        <f t="shared" si="28"/>
        <v/>
      </c>
      <c r="CC31" s="37"/>
      <c r="CD31" s="174" t="str">
        <f t="shared" si="29"/>
        <v/>
      </c>
      <c r="CE31" s="37"/>
      <c r="CF31" s="174" t="str">
        <f t="shared" si="30"/>
        <v/>
      </c>
      <c r="CG31" s="37"/>
      <c r="CH31" s="174" t="str">
        <f t="shared" si="31"/>
        <v/>
      </c>
      <c r="CI31" s="37"/>
      <c r="CJ31" s="174" t="str">
        <f t="shared" si="32"/>
        <v/>
      </c>
      <c r="CK31" s="37"/>
      <c r="CL31" s="174" t="str">
        <f t="shared" si="33"/>
        <v/>
      </c>
      <c r="CM31" s="37"/>
      <c r="CN31" s="174" t="str">
        <f t="shared" si="34"/>
        <v/>
      </c>
      <c r="CO31" s="37"/>
      <c r="CP31" s="174" t="str">
        <f t="shared" si="35"/>
        <v/>
      </c>
      <c r="CQ31" s="37"/>
      <c r="CR31" s="174" t="str">
        <f t="shared" si="36"/>
        <v/>
      </c>
      <c r="CS31" s="37"/>
      <c r="CT31" s="174" t="str">
        <f t="shared" si="37"/>
        <v/>
      </c>
      <c r="CU31" s="38"/>
      <c r="CV31" s="87"/>
      <c r="CW31" s="90"/>
      <c r="CX31" s="38"/>
      <c r="CY31" s="39"/>
      <c r="CZ31" s="37"/>
      <c r="DA31" s="39"/>
      <c r="DB31" s="24">
        <v>27</v>
      </c>
      <c r="DC31" s="96" t="str">
        <f t="shared" si="38"/>
        <v>日</v>
      </c>
      <c r="DF31" s="125"/>
      <c r="DG31" s="40"/>
      <c r="DH31" s="40"/>
      <c r="DI31" s="40"/>
      <c r="DJ31" s="40"/>
      <c r="DK31" s="40"/>
      <c r="DL31" s="40"/>
      <c r="DM31" s="40"/>
      <c r="DN31" s="40"/>
      <c r="DO31" s="40"/>
      <c r="DP31" s="40">
        <f t="shared" si="39"/>
        <v>0</v>
      </c>
      <c r="DQ31" s="172" t="str">
        <f t="shared" si="40"/>
        <v/>
      </c>
      <c r="DS31" s="189"/>
      <c r="DT31" s="190"/>
      <c r="DU31" s="190"/>
      <c r="DV31" s="191"/>
      <c r="DW31" s="138"/>
      <c r="DX31" s="42"/>
    </row>
    <row r="32" spans="1:128" ht="13.5" customHeight="1" x14ac:dyDescent="0.4">
      <c r="A32" s="104">
        <v>28</v>
      </c>
      <c r="B32" s="23" t="s">
        <v>90</v>
      </c>
      <c r="C32" s="164"/>
      <c r="D32" s="164"/>
      <c r="E32" s="24"/>
      <c r="F32" s="29"/>
      <c r="G32" s="25" t="str">
        <f>IF(SUM($F$5:F32)=0,"",SUM($F$5:F32))</f>
        <v/>
      </c>
      <c r="H32" s="43" t="str">
        <f t="shared" si="0"/>
        <v/>
      </c>
      <c r="I32" s="148" t="e">
        <f t="array" aca="1" ref="I32" ca="1">IF($A33="",$G32/($V32-$U$5+INDIRECT(IF(_xlfn.SHEET()&lt;6,"令和8年"&amp;_xlfn.SHEET()+7&amp;"月","令和9年"&amp;_xlfn.SHEET()-5&amp;"月")&amp;"!$U$5")),$G32/($V33-$U$5))</f>
        <v>#VALUE!</v>
      </c>
      <c r="J32" s="26" t="str">
        <f t="shared" si="1"/>
        <v/>
      </c>
      <c r="K32" s="27"/>
      <c r="L32" s="165">
        <f t="shared" si="2"/>
        <v>0</v>
      </c>
      <c r="M32" s="28" t="str">
        <f t="shared" si="3"/>
        <v/>
      </c>
      <c r="N32" s="166" t="str">
        <f t="shared" si="4"/>
        <v/>
      </c>
      <c r="O32" s="167" t="str">
        <f t="shared" si="5"/>
        <v/>
      </c>
      <c r="P32" s="168"/>
      <c r="Q32" s="169" t="str">
        <f t="shared" si="6"/>
        <v/>
      </c>
      <c r="R32" s="170">
        <v>11</v>
      </c>
      <c r="S32" s="171">
        <v>1</v>
      </c>
      <c r="T32" s="24" t="s">
        <v>84</v>
      </c>
      <c r="U32" s="29">
        <v>788439</v>
      </c>
      <c r="V32" s="30">
        <f t="shared" si="41"/>
        <v>10106455</v>
      </c>
      <c r="W32" s="27">
        <v>371</v>
      </c>
      <c r="X32" s="31">
        <f t="shared" si="7"/>
        <v>2125.1725067385446</v>
      </c>
      <c r="Y32" s="29">
        <v>694977</v>
      </c>
      <c r="Z32" s="32">
        <f t="shared" si="42"/>
        <v>10860130</v>
      </c>
      <c r="AA32" s="33">
        <f t="shared" si="8"/>
        <v>0.93060165946448159</v>
      </c>
      <c r="AB32" s="158">
        <v>800000</v>
      </c>
      <c r="AC32" s="34">
        <f t="shared" si="43"/>
        <v>11350000</v>
      </c>
      <c r="AD32" s="158"/>
      <c r="AE32" s="25"/>
      <c r="AF32" s="25"/>
      <c r="AG32" s="25"/>
      <c r="AH32" s="25"/>
      <c r="AI32" s="25"/>
      <c r="AJ32" s="25"/>
      <c r="AK32" s="25"/>
      <c r="AL32" s="158"/>
      <c r="AM32" s="25"/>
      <c r="AN32" s="158"/>
      <c r="AO32" s="25"/>
      <c r="AP32" s="25"/>
      <c r="AQ32" s="158"/>
      <c r="AR32" s="35">
        <f t="shared" si="9"/>
        <v>0</v>
      </c>
      <c r="AS32" s="172" t="str">
        <f t="shared" si="10"/>
        <v/>
      </c>
      <c r="AT32" s="36">
        <f t="shared" si="11"/>
        <v>0</v>
      </c>
      <c r="AU32" s="173"/>
      <c r="AV32" s="82">
        <f t="shared" si="12"/>
        <v>28</v>
      </c>
      <c r="AW32" s="37"/>
      <c r="AX32" s="174" t="str">
        <f t="shared" si="13"/>
        <v/>
      </c>
      <c r="AY32" s="37"/>
      <c r="AZ32" s="174" t="str">
        <f t="shared" si="14"/>
        <v/>
      </c>
      <c r="BA32" s="37"/>
      <c r="BB32" s="174" t="str">
        <f t="shared" si="15"/>
        <v/>
      </c>
      <c r="BC32" s="37"/>
      <c r="BD32" s="174" t="str">
        <f t="shared" si="16"/>
        <v/>
      </c>
      <c r="BE32" s="37"/>
      <c r="BF32" s="174" t="str">
        <f t="shared" si="17"/>
        <v/>
      </c>
      <c r="BG32" s="37"/>
      <c r="BH32" s="174" t="str">
        <f t="shared" si="18"/>
        <v/>
      </c>
      <c r="BI32" s="37"/>
      <c r="BJ32" s="174" t="str">
        <f t="shared" si="19"/>
        <v/>
      </c>
      <c r="BK32" s="37"/>
      <c r="BL32" s="174" t="str">
        <f t="shared" si="20"/>
        <v/>
      </c>
      <c r="BM32" s="37"/>
      <c r="BN32" s="174" t="str">
        <f t="shared" si="21"/>
        <v/>
      </c>
      <c r="BO32" s="37"/>
      <c r="BP32" s="174" t="str">
        <f t="shared" si="22"/>
        <v/>
      </c>
      <c r="BQ32" s="37"/>
      <c r="BR32" s="174" t="str">
        <f t="shared" si="23"/>
        <v/>
      </c>
      <c r="BS32" s="37"/>
      <c r="BT32" s="174" t="str">
        <f t="shared" si="24"/>
        <v/>
      </c>
      <c r="BU32" s="37"/>
      <c r="BV32" s="174" t="str">
        <f t="shared" si="25"/>
        <v/>
      </c>
      <c r="BW32" s="37"/>
      <c r="BX32" s="174" t="str">
        <f t="shared" si="26"/>
        <v/>
      </c>
      <c r="BY32" s="37"/>
      <c r="BZ32" s="174" t="str">
        <f t="shared" si="27"/>
        <v/>
      </c>
      <c r="CA32" s="37"/>
      <c r="CB32" s="174" t="str">
        <f t="shared" si="28"/>
        <v/>
      </c>
      <c r="CC32" s="37"/>
      <c r="CD32" s="174" t="str">
        <f t="shared" si="29"/>
        <v/>
      </c>
      <c r="CE32" s="37"/>
      <c r="CF32" s="174" t="str">
        <f t="shared" si="30"/>
        <v/>
      </c>
      <c r="CG32" s="37"/>
      <c r="CH32" s="174" t="str">
        <f t="shared" si="31"/>
        <v/>
      </c>
      <c r="CI32" s="37"/>
      <c r="CJ32" s="174" t="str">
        <f t="shared" si="32"/>
        <v/>
      </c>
      <c r="CK32" s="37"/>
      <c r="CL32" s="174" t="str">
        <f t="shared" si="33"/>
        <v/>
      </c>
      <c r="CM32" s="37"/>
      <c r="CN32" s="174" t="str">
        <f t="shared" si="34"/>
        <v/>
      </c>
      <c r="CO32" s="37"/>
      <c r="CP32" s="174" t="str">
        <f t="shared" si="35"/>
        <v/>
      </c>
      <c r="CQ32" s="37"/>
      <c r="CR32" s="174" t="str">
        <f t="shared" si="36"/>
        <v/>
      </c>
      <c r="CS32" s="37"/>
      <c r="CT32" s="174" t="str">
        <f t="shared" si="37"/>
        <v/>
      </c>
      <c r="CU32" s="38"/>
      <c r="CV32" s="87"/>
      <c r="CW32" s="90"/>
      <c r="CX32" s="38"/>
      <c r="CY32" s="39"/>
      <c r="CZ32" s="37"/>
      <c r="DA32" s="39"/>
      <c r="DB32" s="24">
        <v>28</v>
      </c>
      <c r="DC32" s="96" t="str">
        <f t="shared" si="38"/>
        <v>月</v>
      </c>
      <c r="DF32" s="125"/>
      <c r="DG32" s="40"/>
      <c r="DH32" s="40"/>
      <c r="DI32" s="40"/>
      <c r="DJ32" s="40"/>
      <c r="DK32" s="40"/>
      <c r="DL32" s="40"/>
      <c r="DM32" s="40"/>
      <c r="DN32" s="40"/>
      <c r="DO32" s="40"/>
      <c r="DP32" s="40">
        <f t="shared" si="39"/>
        <v>0</v>
      </c>
      <c r="DQ32" s="172" t="str">
        <f t="shared" si="40"/>
        <v/>
      </c>
      <c r="DS32" s="189"/>
      <c r="DT32" s="190"/>
      <c r="DU32" s="190"/>
      <c r="DV32" s="191"/>
      <c r="DW32" s="41"/>
      <c r="DX32" s="42"/>
    </row>
    <row r="33" spans="1:128" ht="13.5" customHeight="1" x14ac:dyDescent="0.4">
      <c r="A33" s="104">
        <v>29</v>
      </c>
      <c r="B33" s="23" t="s">
        <v>91</v>
      </c>
      <c r="C33" s="164"/>
      <c r="D33" s="164"/>
      <c r="E33" s="24"/>
      <c r="F33" s="29"/>
      <c r="G33" s="25" t="str">
        <f>IF(SUM($F$5:F33)=0,"",SUM($F$5:F33))</f>
        <v/>
      </c>
      <c r="H33" s="43" t="str">
        <f t="shared" si="0"/>
        <v/>
      </c>
      <c r="I33" s="148" t="e">
        <f t="array" aca="1" ref="I33" ca="1">IF($A34="",$G33/($V33-$U$5+INDIRECT(IF(_xlfn.SHEET()&lt;6,"令和8年"&amp;_xlfn.SHEET()+7&amp;"月","令和9年"&amp;_xlfn.SHEET()-5&amp;"月")&amp;"!$U$5")),$G33/($V34-$U$5))</f>
        <v>#VALUE!</v>
      </c>
      <c r="J33" s="26" t="str">
        <f t="shared" si="1"/>
        <v/>
      </c>
      <c r="K33" s="27"/>
      <c r="L33" s="165">
        <f t="shared" si="2"/>
        <v>0</v>
      </c>
      <c r="M33" s="28" t="str">
        <f t="shared" si="3"/>
        <v/>
      </c>
      <c r="N33" s="166" t="str">
        <f t="shared" si="4"/>
        <v/>
      </c>
      <c r="O33" s="167" t="str">
        <f t="shared" si="5"/>
        <v/>
      </c>
      <c r="P33" s="168"/>
      <c r="Q33" s="169" t="str">
        <f t="shared" si="6"/>
        <v/>
      </c>
      <c r="R33" s="170">
        <v>14</v>
      </c>
      <c r="S33" s="171">
        <v>-1</v>
      </c>
      <c r="T33" s="24" t="s">
        <v>84</v>
      </c>
      <c r="U33" s="29">
        <v>628947</v>
      </c>
      <c r="V33" s="30">
        <f t="shared" si="41"/>
        <v>10735402</v>
      </c>
      <c r="W33" s="27">
        <v>312</v>
      </c>
      <c r="X33" s="31">
        <f t="shared" si="7"/>
        <v>2015.8557692307693</v>
      </c>
      <c r="Y33" s="29">
        <v>894752</v>
      </c>
      <c r="Z33" s="32">
        <f t="shared" si="42"/>
        <v>11754882</v>
      </c>
      <c r="AA33" s="33">
        <f t="shared" si="8"/>
        <v>0.91327177933389714</v>
      </c>
      <c r="AB33" s="158">
        <v>800000</v>
      </c>
      <c r="AC33" s="34">
        <f t="shared" si="43"/>
        <v>12150000</v>
      </c>
      <c r="AD33" s="158"/>
      <c r="AE33" s="25"/>
      <c r="AF33" s="25"/>
      <c r="AG33" s="25"/>
      <c r="AH33" s="25"/>
      <c r="AI33" s="25"/>
      <c r="AJ33" s="25"/>
      <c r="AK33" s="25"/>
      <c r="AL33" s="158"/>
      <c r="AM33" s="25"/>
      <c r="AN33" s="158"/>
      <c r="AO33" s="25"/>
      <c r="AP33" s="25"/>
      <c r="AQ33" s="158"/>
      <c r="AR33" s="35">
        <f t="shared" si="9"/>
        <v>0</v>
      </c>
      <c r="AS33" s="172" t="str">
        <f t="shared" si="10"/>
        <v/>
      </c>
      <c r="AT33" s="36">
        <f t="shared" si="11"/>
        <v>0</v>
      </c>
      <c r="AU33" s="173"/>
      <c r="AV33" s="82">
        <f t="shared" si="12"/>
        <v>29</v>
      </c>
      <c r="AW33" s="37"/>
      <c r="AX33" s="174" t="str">
        <f t="shared" si="13"/>
        <v/>
      </c>
      <c r="AY33" s="37"/>
      <c r="AZ33" s="174" t="str">
        <f t="shared" si="14"/>
        <v/>
      </c>
      <c r="BA33" s="37"/>
      <c r="BB33" s="174" t="str">
        <f t="shared" si="15"/>
        <v/>
      </c>
      <c r="BC33" s="37"/>
      <c r="BD33" s="174" t="str">
        <f t="shared" si="16"/>
        <v/>
      </c>
      <c r="BE33" s="37"/>
      <c r="BF33" s="174" t="str">
        <f t="shared" si="17"/>
        <v/>
      </c>
      <c r="BG33" s="37"/>
      <c r="BH33" s="174" t="str">
        <f t="shared" si="18"/>
        <v/>
      </c>
      <c r="BI33" s="37"/>
      <c r="BJ33" s="174" t="str">
        <f t="shared" si="19"/>
        <v/>
      </c>
      <c r="BK33" s="37"/>
      <c r="BL33" s="174" t="str">
        <f t="shared" si="20"/>
        <v/>
      </c>
      <c r="BM33" s="37"/>
      <c r="BN33" s="174" t="str">
        <f t="shared" si="21"/>
        <v/>
      </c>
      <c r="BO33" s="37"/>
      <c r="BP33" s="174" t="str">
        <f t="shared" si="22"/>
        <v/>
      </c>
      <c r="BQ33" s="37"/>
      <c r="BR33" s="174" t="str">
        <f t="shared" si="23"/>
        <v/>
      </c>
      <c r="BS33" s="37"/>
      <c r="BT33" s="174" t="str">
        <f t="shared" si="24"/>
        <v/>
      </c>
      <c r="BU33" s="37"/>
      <c r="BV33" s="174" t="str">
        <f t="shared" si="25"/>
        <v/>
      </c>
      <c r="BW33" s="37"/>
      <c r="BX33" s="174" t="str">
        <f t="shared" si="26"/>
        <v/>
      </c>
      <c r="BY33" s="37"/>
      <c r="BZ33" s="174" t="str">
        <f t="shared" si="27"/>
        <v/>
      </c>
      <c r="CA33" s="37"/>
      <c r="CB33" s="174" t="str">
        <f t="shared" si="28"/>
        <v/>
      </c>
      <c r="CC33" s="37"/>
      <c r="CD33" s="174" t="str">
        <f t="shared" si="29"/>
        <v/>
      </c>
      <c r="CE33" s="37"/>
      <c r="CF33" s="174" t="str">
        <f t="shared" si="30"/>
        <v/>
      </c>
      <c r="CG33" s="37"/>
      <c r="CH33" s="174" t="str">
        <f t="shared" si="31"/>
        <v/>
      </c>
      <c r="CI33" s="37"/>
      <c r="CJ33" s="174" t="str">
        <f t="shared" si="32"/>
        <v/>
      </c>
      <c r="CK33" s="37"/>
      <c r="CL33" s="174" t="str">
        <f t="shared" si="33"/>
        <v/>
      </c>
      <c r="CM33" s="37"/>
      <c r="CN33" s="174" t="str">
        <f t="shared" si="34"/>
        <v/>
      </c>
      <c r="CO33" s="37"/>
      <c r="CP33" s="174" t="str">
        <f t="shared" si="35"/>
        <v/>
      </c>
      <c r="CQ33" s="37"/>
      <c r="CR33" s="174" t="str">
        <f t="shared" si="36"/>
        <v/>
      </c>
      <c r="CS33" s="37"/>
      <c r="CT33" s="174" t="str">
        <f t="shared" si="37"/>
        <v/>
      </c>
      <c r="CU33" s="38"/>
      <c r="CV33" s="87"/>
      <c r="CW33" s="90"/>
      <c r="CX33" s="38"/>
      <c r="CY33" s="39"/>
      <c r="CZ33" s="37"/>
      <c r="DA33" s="39"/>
      <c r="DB33" s="24">
        <v>29</v>
      </c>
      <c r="DC33" s="96" t="str">
        <f t="shared" si="38"/>
        <v>火</v>
      </c>
      <c r="DF33" s="125"/>
      <c r="DG33" s="40"/>
      <c r="DH33" s="40"/>
      <c r="DI33" s="40"/>
      <c r="DJ33" s="40"/>
      <c r="DK33" s="40"/>
      <c r="DL33" s="40"/>
      <c r="DM33" s="40"/>
      <c r="DN33" s="40"/>
      <c r="DO33" s="40"/>
      <c r="DP33" s="40">
        <f t="shared" si="39"/>
        <v>0</v>
      </c>
      <c r="DQ33" s="172" t="str">
        <f t="shared" si="40"/>
        <v/>
      </c>
      <c r="DS33" s="189"/>
      <c r="DT33" s="190"/>
      <c r="DU33" s="190"/>
      <c r="DV33" s="191"/>
      <c r="DW33" s="41"/>
      <c r="DX33" s="42"/>
    </row>
    <row r="34" spans="1:128" ht="13.5" customHeight="1" x14ac:dyDescent="0.4">
      <c r="A34" s="104">
        <v>30</v>
      </c>
      <c r="B34" s="23" t="s">
        <v>83</v>
      </c>
      <c r="C34" s="164"/>
      <c r="D34" s="164"/>
      <c r="E34" s="24"/>
      <c r="F34" s="29"/>
      <c r="G34" s="25" t="str">
        <f>IF(SUM($F$5:F34)=0,"",SUM($F$5:F34))</f>
        <v/>
      </c>
      <c r="H34" s="43" t="str">
        <f t="shared" si="0"/>
        <v/>
      </c>
      <c r="I34" s="148" t="e">
        <f t="array" aca="1" ref="I34" ca="1">IF($A35="",$G34/($V34-$U$5+INDIRECT(IF(_xlfn.SHEET()&lt;6,"令和8年"&amp;_xlfn.SHEET()+7&amp;"月","令和9年"&amp;_xlfn.SHEET()-5&amp;"月")&amp;"!$U$5")),$G34/($V35-$U$5))</f>
        <v>#VALUE!</v>
      </c>
      <c r="J34" s="26" t="str">
        <f t="shared" si="1"/>
        <v/>
      </c>
      <c r="K34" s="27"/>
      <c r="L34" s="165">
        <f t="shared" si="2"/>
        <v>0</v>
      </c>
      <c r="M34" s="28" t="str">
        <f t="shared" si="3"/>
        <v/>
      </c>
      <c r="N34" s="166" t="str">
        <f t="shared" si="4"/>
        <v/>
      </c>
      <c r="O34" s="167" t="str">
        <f t="shared" si="5"/>
        <v/>
      </c>
      <c r="P34" s="168"/>
      <c r="Q34" s="169" t="str">
        <f t="shared" si="6"/>
        <v/>
      </c>
      <c r="R34" s="170">
        <v>16</v>
      </c>
      <c r="S34" s="171">
        <v>3</v>
      </c>
      <c r="T34" s="24" t="s">
        <v>84</v>
      </c>
      <c r="U34" s="29">
        <v>745398</v>
      </c>
      <c r="V34" s="30">
        <f t="shared" si="41"/>
        <v>11480800</v>
      </c>
      <c r="W34" s="27">
        <v>401</v>
      </c>
      <c r="X34" s="31">
        <f t="shared" si="7"/>
        <v>1858.847880299252</v>
      </c>
      <c r="Y34" s="29">
        <v>866135</v>
      </c>
      <c r="Z34" s="32">
        <f t="shared" si="42"/>
        <v>12621017</v>
      </c>
      <c r="AA34" s="33">
        <f t="shared" si="8"/>
        <v>0.90965728039190508</v>
      </c>
      <c r="AB34" s="158">
        <v>800000</v>
      </c>
      <c r="AC34" s="34">
        <f t="shared" si="43"/>
        <v>12950000</v>
      </c>
      <c r="AD34" s="158"/>
      <c r="AE34" s="25"/>
      <c r="AF34" s="25"/>
      <c r="AG34" s="25"/>
      <c r="AH34" s="25"/>
      <c r="AI34" s="25"/>
      <c r="AJ34" s="25"/>
      <c r="AK34" s="25"/>
      <c r="AL34" s="158"/>
      <c r="AM34" s="25"/>
      <c r="AN34" s="158"/>
      <c r="AO34" s="25"/>
      <c r="AP34" s="25"/>
      <c r="AQ34" s="158"/>
      <c r="AR34" s="35">
        <f t="shared" si="9"/>
        <v>0</v>
      </c>
      <c r="AS34" s="172" t="str">
        <f t="shared" si="10"/>
        <v/>
      </c>
      <c r="AT34" s="36">
        <f t="shared" si="11"/>
        <v>0</v>
      </c>
      <c r="AU34" s="173"/>
      <c r="AV34" s="82">
        <f t="shared" si="12"/>
        <v>30</v>
      </c>
      <c r="AW34" s="37"/>
      <c r="AX34" s="174" t="str">
        <f t="shared" si="13"/>
        <v/>
      </c>
      <c r="AY34" s="37"/>
      <c r="AZ34" s="174" t="str">
        <f t="shared" si="14"/>
        <v/>
      </c>
      <c r="BA34" s="37"/>
      <c r="BB34" s="174" t="str">
        <f t="shared" si="15"/>
        <v/>
      </c>
      <c r="BC34" s="37"/>
      <c r="BD34" s="174" t="str">
        <f t="shared" si="16"/>
        <v/>
      </c>
      <c r="BE34" s="37"/>
      <c r="BF34" s="174" t="str">
        <f t="shared" si="17"/>
        <v/>
      </c>
      <c r="BG34" s="37"/>
      <c r="BH34" s="174" t="str">
        <f t="shared" si="18"/>
        <v/>
      </c>
      <c r="BI34" s="37"/>
      <c r="BJ34" s="174" t="str">
        <f t="shared" si="19"/>
        <v/>
      </c>
      <c r="BK34" s="37"/>
      <c r="BL34" s="174" t="str">
        <f t="shared" si="20"/>
        <v/>
      </c>
      <c r="BM34" s="37"/>
      <c r="BN34" s="174" t="str">
        <f t="shared" si="21"/>
        <v/>
      </c>
      <c r="BO34" s="37"/>
      <c r="BP34" s="174" t="str">
        <f t="shared" si="22"/>
        <v/>
      </c>
      <c r="BQ34" s="37"/>
      <c r="BR34" s="174" t="str">
        <f t="shared" si="23"/>
        <v/>
      </c>
      <c r="BS34" s="37"/>
      <c r="BT34" s="174" t="str">
        <f t="shared" si="24"/>
        <v/>
      </c>
      <c r="BU34" s="37"/>
      <c r="BV34" s="174" t="str">
        <f t="shared" si="25"/>
        <v/>
      </c>
      <c r="BW34" s="37"/>
      <c r="BX34" s="174" t="str">
        <f t="shared" si="26"/>
        <v/>
      </c>
      <c r="BY34" s="37"/>
      <c r="BZ34" s="174" t="str">
        <f t="shared" si="27"/>
        <v/>
      </c>
      <c r="CA34" s="37"/>
      <c r="CB34" s="174" t="str">
        <f t="shared" si="28"/>
        <v/>
      </c>
      <c r="CC34" s="37"/>
      <c r="CD34" s="174" t="str">
        <f t="shared" si="29"/>
        <v/>
      </c>
      <c r="CE34" s="37"/>
      <c r="CF34" s="174" t="str">
        <f t="shared" si="30"/>
        <v/>
      </c>
      <c r="CG34" s="37"/>
      <c r="CH34" s="174" t="str">
        <f t="shared" si="31"/>
        <v/>
      </c>
      <c r="CI34" s="37"/>
      <c r="CJ34" s="174" t="str">
        <f t="shared" si="32"/>
        <v/>
      </c>
      <c r="CK34" s="37"/>
      <c r="CL34" s="174" t="str">
        <f t="shared" si="33"/>
        <v/>
      </c>
      <c r="CM34" s="37"/>
      <c r="CN34" s="174" t="str">
        <f t="shared" si="34"/>
        <v/>
      </c>
      <c r="CO34" s="37"/>
      <c r="CP34" s="174" t="str">
        <f t="shared" si="35"/>
        <v/>
      </c>
      <c r="CQ34" s="37"/>
      <c r="CR34" s="174" t="str">
        <f t="shared" si="36"/>
        <v/>
      </c>
      <c r="CS34" s="37"/>
      <c r="CT34" s="174" t="str">
        <f t="shared" si="37"/>
        <v/>
      </c>
      <c r="CU34" s="38"/>
      <c r="CV34" s="87"/>
      <c r="CW34" s="90"/>
      <c r="CX34" s="38"/>
      <c r="CY34" s="39"/>
      <c r="CZ34" s="37"/>
      <c r="DA34" s="39"/>
      <c r="DB34" s="24">
        <v>30</v>
      </c>
      <c r="DC34" s="96" t="str">
        <f t="shared" si="38"/>
        <v>水</v>
      </c>
      <c r="DF34" s="125"/>
      <c r="DG34" s="40"/>
      <c r="DH34" s="40"/>
      <c r="DI34" s="40"/>
      <c r="DJ34" s="40"/>
      <c r="DK34" s="40"/>
      <c r="DL34" s="40"/>
      <c r="DM34" s="40"/>
      <c r="DN34" s="40"/>
      <c r="DO34" s="40"/>
      <c r="DP34" s="40">
        <f t="shared" si="39"/>
        <v>0</v>
      </c>
      <c r="DQ34" s="172" t="str">
        <f t="shared" si="40"/>
        <v/>
      </c>
      <c r="DS34" s="189"/>
      <c r="DT34" s="190"/>
      <c r="DU34" s="190"/>
      <c r="DV34" s="191"/>
      <c r="DW34" s="41"/>
      <c r="DX34" s="42"/>
    </row>
    <row r="35" spans="1:128" ht="13.5" customHeight="1" thickBot="1" x14ac:dyDescent="0.45">
      <c r="A35" s="105">
        <v>31</v>
      </c>
      <c r="B35" s="23" t="s">
        <v>85</v>
      </c>
      <c r="C35" s="175"/>
      <c r="D35" s="175"/>
      <c r="E35" s="24"/>
      <c r="F35" s="29"/>
      <c r="G35" s="25" t="str">
        <f>IF(SUM($F$5:F35)=0,"",SUM($F$5:F35))</f>
        <v/>
      </c>
      <c r="H35" s="43" t="str">
        <f t="shared" si="0"/>
        <v/>
      </c>
      <c r="I35" s="148" t="e">
        <f t="array" aca="1" ref="I35" ca="1">IF($A36="",$G35/($V35-$U$5+INDIRECT(IF(_xlfn.SHEET()&lt;6,"令和8年"&amp;_xlfn.SHEET()+7&amp;"月","令和9年"&amp;_xlfn.SHEET()-5&amp;"月")&amp;"!$U$5")),$G35/($V36-$U$5))</f>
        <v>#VALUE!</v>
      </c>
      <c r="J35" s="26" t="str">
        <f t="shared" si="1"/>
        <v/>
      </c>
      <c r="K35" s="27"/>
      <c r="L35" s="165">
        <f t="shared" si="2"/>
        <v>0</v>
      </c>
      <c r="M35" s="28" t="str">
        <f t="shared" si="3"/>
        <v/>
      </c>
      <c r="N35" s="166" t="str">
        <f t="shared" si="4"/>
        <v/>
      </c>
      <c r="O35" s="167" t="str">
        <f t="shared" si="5"/>
        <v/>
      </c>
      <c r="P35" s="168"/>
      <c r="Q35" s="169" t="str">
        <f t="shared" si="6"/>
        <v/>
      </c>
      <c r="R35" s="170">
        <v>15</v>
      </c>
      <c r="S35" s="176">
        <v>3</v>
      </c>
      <c r="T35" s="24" t="s">
        <v>84</v>
      </c>
      <c r="U35" s="29">
        <v>562867</v>
      </c>
      <c r="V35" s="30">
        <f t="shared" si="41"/>
        <v>12043667</v>
      </c>
      <c r="W35" s="27">
        <v>293</v>
      </c>
      <c r="X35" s="31">
        <f t="shared" si="7"/>
        <v>1921.0477815699658</v>
      </c>
      <c r="Y35" s="29">
        <v>1095024</v>
      </c>
      <c r="Z35" s="32">
        <f t="shared" si="42"/>
        <v>13716041</v>
      </c>
      <c r="AA35" s="33">
        <f t="shared" si="8"/>
        <v>0.87807166805640202</v>
      </c>
      <c r="AB35" s="158">
        <v>500000</v>
      </c>
      <c r="AC35" s="34">
        <f t="shared" si="43"/>
        <v>13450000</v>
      </c>
      <c r="AD35" s="158"/>
      <c r="AE35" s="25"/>
      <c r="AF35" s="25"/>
      <c r="AG35" s="25"/>
      <c r="AH35" s="25"/>
      <c r="AI35" s="25"/>
      <c r="AJ35" s="25"/>
      <c r="AK35" s="25"/>
      <c r="AL35" s="158"/>
      <c r="AM35" s="25"/>
      <c r="AN35" s="158"/>
      <c r="AO35" s="25"/>
      <c r="AP35" s="25"/>
      <c r="AQ35" s="158"/>
      <c r="AR35" s="35">
        <f t="shared" si="9"/>
        <v>0</v>
      </c>
      <c r="AS35" s="172" t="str">
        <f t="shared" si="10"/>
        <v/>
      </c>
      <c r="AT35" s="36">
        <f t="shared" si="11"/>
        <v>0</v>
      </c>
      <c r="AU35" s="173"/>
      <c r="AV35" s="82">
        <f t="shared" si="12"/>
        <v>31</v>
      </c>
      <c r="AW35" s="37"/>
      <c r="AX35" s="174" t="str">
        <f t="shared" si="13"/>
        <v/>
      </c>
      <c r="AY35" s="37"/>
      <c r="AZ35" s="174" t="str">
        <f t="shared" si="14"/>
        <v/>
      </c>
      <c r="BA35" s="37"/>
      <c r="BB35" s="174" t="str">
        <f t="shared" si="15"/>
        <v/>
      </c>
      <c r="BC35" s="37"/>
      <c r="BD35" s="174" t="str">
        <f t="shared" si="16"/>
        <v/>
      </c>
      <c r="BE35" s="37"/>
      <c r="BF35" s="174" t="str">
        <f t="shared" si="17"/>
        <v/>
      </c>
      <c r="BG35" s="37"/>
      <c r="BH35" s="174" t="str">
        <f t="shared" si="18"/>
        <v/>
      </c>
      <c r="BI35" s="37"/>
      <c r="BJ35" s="174" t="str">
        <f t="shared" si="19"/>
        <v/>
      </c>
      <c r="BK35" s="37"/>
      <c r="BL35" s="174" t="str">
        <f t="shared" si="20"/>
        <v/>
      </c>
      <c r="BM35" s="37"/>
      <c r="BN35" s="174" t="str">
        <f t="shared" si="21"/>
        <v/>
      </c>
      <c r="BO35" s="37"/>
      <c r="BP35" s="174" t="str">
        <f t="shared" si="22"/>
        <v/>
      </c>
      <c r="BQ35" s="37"/>
      <c r="BR35" s="174" t="str">
        <f t="shared" si="23"/>
        <v/>
      </c>
      <c r="BS35" s="37"/>
      <c r="BT35" s="174" t="str">
        <f t="shared" si="24"/>
        <v/>
      </c>
      <c r="BU35" s="37"/>
      <c r="BV35" s="174" t="str">
        <f t="shared" si="25"/>
        <v/>
      </c>
      <c r="BW35" s="37"/>
      <c r="BX35" s="174" t="str">
        <f t="shared" si="26"/>
        <v/>
      </c>
      <c r="BY35" s="37"/>
      <c r="BZ35" s="174" t="str">
        <f t="shared" si="27"/>
        <v/>
      </c>
      <c r="CA35" s="37"/>
      <c r="CB35" s="174" t="str">
        <f t="shared" si="28"/>
        <v/>
      </c>
      <c r="CC35" s="37"/>
      <c r="CD35" s="174" t="str">
        <f t="shared" si="29"/>
        <v/>
      </c>
      <c r="CE35" s="37"/>
      <c r="CF35" s="174" t="str">
        <f t="shared" si="30"/>
        <v/>
      </c>
      <c r="CG35" s="37"/>
      <c r="CH35" s="174" t="str">
        <f t="shared" si="31"/>
        <v/>
      </c>
      <c r="CI35" s="37"/>
      <c r="CJ35" s="174" t="str">
        <f t="shared" si="32"/>
        <v/>
      </c>
      <c r="CK35" s="37"/>
      <c r="CL35" s="174" t="str">
        <f t="shared" si="33"/>
        <v/>
      </c>
      <c r="CM35" s="37"/>
      <c r="CN35" s="174" t="str">
        <f t="shared" si="34"/>
        <v/>
      </c>
      <c r="CO35" s="37"/>
      <c r="CP35" s="174" t="str">
        <f t="shared" si="35"/>
        <v/>
      </c>
      <c r="CQ35" s="37"/>
      <c r="CR35" s="174" t="str">
        <f t="shared" si="36"/>
        <v/>
      </c>
      <c r="CS35" s="37"/>
      <c r="CT35" s="174" t="str">
        <f t="shared" si="37"/>
        <v/>
      </c>
      <c r="CU35" s="38"/>
      <c r="CV35" s="87"/>
      <c r="CW35" s="90"/>
      <c r="CX35" s="38"/>
      <c r="CY35" s="39"/>
      <c r="CZ35" s="37"/>
      <c r="DA35" s="39"/>
      <c r="DB35" s="24">
        <v>31</v>
      </c>
      <c r="DC35" s="96" t="str">
        <f t="shared" si="38"/>
        <v>木</v>
      </c>
      <c r="DF35" s="125"/>
      <c r="DG35" s="40"/>
      <c r="DH35" s="40"/>
      <c r="DI35" s="40"/>
      <c r="DJ35" s="40"/>
      <c r="DK35" s="40"/>
      <c r="DL35" s="40"/>
      <c r="DM35" s="40"/>
      <c r="DN35" s="40"/>
      <c r="DO35" s="40"/>
      <c r="DP35" s="40">
        <f t="shared" si="39"/>
        <v>0</v>
      </c>
      <c r="DQ35" s="172" t="str">
        <f t="shared" si="40"/>
        <v/>
      </c>
      <c r="DS35" s="189"/>
      <c r="DT35" s="190"/>
      <c r="DU35" s="190"/>
      <c r="DV35" s="191"/>
      <c r="DW35" s="41"/>
      <c r="DX35" s="42"/>
    </row>
    <row r="36" spans="1:128" ht="18.75" customHeight="1" thickTop="1" thickBot="1" x14ac:dyDescent="0.45">
      <c r="A36" s="62"/>
      <c r="B36" s="103"/>
      <c r="C36" s="103"/>
      <c r="D36" s="103"/>
      <c r="E36" s="44" t="s">
        <v>95</v>
      </c>
      <c r="F36" s="25">
        <f>SUM(F5:F35)</f>
        <v>0</v>
      </c>
      <c r="G36" s="25"/>
      <c r="H36" s="43"/>
      <c r="I36" s="148"/>
      <c r="J36" s="26"/>
      <c r="K36" s="45">
        <f>SUM(K4:K35)</f>
        <v>0</v>
      </c>
      <c r="L36" s="165">
        <f t="shared" si="2"/>
        <v>0</v>
      </c>
      <c r="M36" s="46"/>
      <c r="N36" s="47" t="str">
        <f t="shared" si="4"/>
        <v/>
      </c>
      <c r="O36" s="48"/>
      <c r="P36" s="177"/>
      <c r="Q36" s="178"/>
      <c r="R36" s="49"/>
      <c r="S36" s="128"/>
      <c r="T36" s="50" t="s">
        <v>95</v>
      </c>
      <c r="U36" s="51">
        <f>SUM(U5:U35)</f>
        <v>12043667</v>
      </c>
      <c r="V36" s="30"/>
      <c r="W36" s="52">
        <f>SUM(W5:W35)</f>
        <v>6522</v>
      </c>
      <c r="X36" s="53"/>
      <c r="Y36" s="25">
        <f>SUM(Y5:Y35)</f>
        <v>13716041</v>
      </c>
      <c r="Z36" s="32"/>
      <c r="AA36" s="54"/>
      <c r="AB36" s="55"/>
      <c r="AC36" s="54"/>
      <c r="AD36" s="158">
        <f t="shared" ref="AD36:AR36" si="44">SUM(AD5:AD35)</f>
        <v>0</v>
      </c>
      <c r="AE36" s="25">
        <f t="shared" si="44"/>
        <v>0</v>
      </c>
      <c r="AF36" s="25">
        <f t="shared" si="44"/>
        <v>0</v>
      </c>
      <c r="AG36" s="25">
        <f t="shared" si="44"/>
        <v>0</v>
      </c>
      <c r="AH36" s="25">
        <f t="shared" si="44"/>
        <v>0</v>
      </c>
      <c r="AI36" s="25">
        <f t="shared" si="44"/>
        <v>0</v>
      </c>
      <c r="AJ36" s="25">
        <f t="shared" si="44"/>
        <v>0</v>
      </c>
      <c r="AK36" s="25">
        <f t="shared" si="44"/>
        <v>0</v>
      </c>
      <c r="AL36" s="25">
        <f t="shared" si="44"/>
        <v>0</v>
      </c>
      <c r="AM36" s="25">
        <f t="shared" si="44"/>
        <v>0</v>
      </c>
      <c r="AN36" s="25">
        <f t="shared" si="44"/>
        <v>0</v>
      </c>
      <c r="AO36" s="25">
        <f t="shared" si="44"/>
        <v>0</v>
      </c>
      <c r="AP36" s="25">
        <f t="shared" si="44"/>
        <v>0</v>
      </c>
      <c r="AQ36" s="158">
        <f t="shared" si="44"/>
        <v>0</v>
      </c>
      <c r="AR36" s="56">
        <f t="shared" si="44"/>
        <v>0</v>
      </c>
      <c r="AS36" s="179" t="str">
        <f>IF(ISERROR((AR36/$F36)),"",AR36/$F36)</f>
        <v/>
      </c>
      <c r="AT36" s="77">
        <f>SUM(AT5:AT35)</f>
        <v>0</v>
      </c>
      <c r="AU36" s="173"/>
      <c r="AV36" s="83" t="s">
        <v>95</v>
      </c>
      <c r="AW36" s="57">
        <f>SUM(AW5:AW35)</f>
        <v>0</v>
      </c>
      <c r="AX36" s="57"/>
      <c r="AY36" s="57">
        <f>SUM(AY5:AY35)</f>
        <v>0</v>
      </c>
      <c r="AZ36" s="57"/>
      <c r="BA36" s="57">
        <f>SUM(BA5:BA35)</f>
        <v>0</v>
      </c>
      <c r="BB36" s="57"/>
      <c r="BC36" s="57">
        <f>SUM(BC5:BC35)</f>
        <v>0</v>
      </c>
      <c r="BD36" s="57"/>
      <c r="BE36" s="57">
        <f>SUM(BE5:BE35)</f>
        <v>0</v>
      </c>
      <c r="BF36" s="57"/>
      <c r="BG36" s="57">
        <f>SUM(BG5:BG35)</f>
        <v>0</v>
      </c>
      <c r="BH36" s="57"/>
      <c r="BI36" s="57">
        <f>SUM(BI5:BI35)</f>
        <v>0</v>
      </c>
      <c r="BJ36" s="57"/>
      <c r="BK36" s="57">
        <f>SUM(BK5:BK35)</f>
        <v>0</v>
      </c>
      <c r="BL36" s="57"/>
      <c r="BM36" s="57">
        <f>SUM(BM5:BM35)</f>
        <v>0</v>
      </c>
      <c r="BN36" s="57"/>
      <c r="BO36" s="57">
        <f>SUM(BO5:BO35)</f>
        <v>0</v>
      </c>
      <c r="BP36" s="57"/>
      <c r="BQ36" s="57">
        <f>SUM(BQ5:BQ35)</f>
        <v>0</v>
      </c>
      <c r="BR36" s="57"/>
      <c r="BS36" s="57">
        <f>SUM(BS5:BS35)</f>
        <v>0</v>
      </c>
      <c r="BT36" s="57"/>
      <c r="BU36" s="57">
        <f>SUM(BU5:BU35)</f>
        <v>0</v>
      </c>
      <c r="BV36" s="57"/>
      <c r="BW36" s="57">
        <f>SUM(BW5:BW35)</f>
        <v>0</v>
      </c>
      <c r="BX36" s="57"/>
      <c r="BY36" s="57">
        <f>SUM(BY5:BY35)</f>
        <v>0</v>
      </c>
      <c r="BZ36" s="57"/>
      <c r="CA36" s="57">
        <f>SUM(CA5:CA35)</f>
        <v>0</v>
      </c>
      <c r="CB36" s="57"/>
      <c r="CC36" s="57">
        <f>SUM(CC5:CC35)</f>
        <v>0</v>
      </c>
      <c r="CD36" s="58"/>
      <c r="CE36" s="57">
        <f>SUM(CE5:CE35)</f>
        <v>0</v>
      </c>
      <c r="CF36" s="58"/>
      <c r="CG36" s="57">
        <f>SUM(CG5:CG35)</f>
        <v>0</v>
      </c>
      <c r="CH36" s="57"/>
      <c r="CI36" s="57">
        <f>SUM(CI5:CI35)</f>
        <v>0</v>
      </c>
      <c r="CJ36" s="58"/>
      <c r="CK36" s="57">
        <f>SUM(CK5:CK35)</f>
        <v>0</v>
      </c>
      <c r="CL36" s="58"/>
      <c r="CM36" s="57">
        <f>SUM(CM5:CM35)</f>
        <v>0</v>
      </c>
      <c r="CN36" s="57"/>
      <c r="CO36" s="57">
        <f>SUM(CO5:CO35)</f>
        <v>0</v>
      </c>
      <c r="CP36" s="58"/>
      <c r="CQ36" s="57">
        <f>SUM(CQ5:CQ35)</f>
        <v>0</v>
      </c>
      <c r="CR36" s="58"/>
      <c r="CS36" s="57">
        <f>SUM(CS5:CS35)</f>
        <v>0</v>
      </c>
      <c r="CT36" s="60"/>
      <c r="CU36" s="59">
        <f>SUM(CU5:CU35)</f>
        <v>0</v>
      </c>
      <c r="CV36" s="60">
        <f>SUM(CV5:CV35)</f>
        <v>0</v>
      </c>
      <c r="CW36" s="91"/>
      <c r="CX36" s="59">
        <f>SUM(CX5:CX35)</f>
        <v>0</v>
      </c>
      <c r="CY36" s="39">
        <f>SUM(CY5:CY35)</f>
        <v>0</v>
      </c>
      <c r="CZ36" s="57">
        <f>SUM(CZ5:CZ35)</f>
        <v>0</v>
      </c>
      <c r="DA36" s="61">
        <f>SUM(DA5:DA35)</f>
        <v>0</v>
      </c>
      <c r="DB36" s="44"/>
      <c r="DC36" s="96"/>
      <c r="DF36" s="125">
        <f t="shared" ref="DF36:DP36" si="45">SUM(DF5:DF35)</f>
        <v>0</v>
      </c>
      <c r="DG36" s="40">
        <f t="shared" si="45"/>
        <v>0</v>
      </c>
      <c r="DH36" s="40">
        <f t="shared" si="45"/>
        <v>0</v>
      </c>
      <c r="DI36" s="40">
        <f t="shared" si="45"/>
        <v>0</v>
      </c>
      <c r="DJ36" s="40">
        <f t="shared" si="45"/>
        <v>0</v>
      </c>
      <c r="DK36" s="40">
        <f t="shared" si="45"/>
        <v>0</v>
      </c>
      <c r="DL36" s="40">
        <f t="shared" si="45"/>
        <v>0</v>
      </c>
      <c r="DM36" s="40">
        <f t="shared" si="45"/>
        <v>0</v>
      </c>
      <c r="DN36" s="40">
        <f t="shared" si="45"/>
        <v>0</v>
      </c>
      <c r="DO36" s="40">
        <f t="shared" si="45"/>
        <v>0</v>
      </c>
      <c r="DP36" s="40">
        <f t="shared" si="45"/>
        <v>0</v>
      </c>
      <c r="DQ36" s="179" t="str">
        <f>IF(ISERROR((DP36/$F36)),"",DP36/$F36)</f>
        <v/>
      </c>
      <c r="DS36" s="198" t="s">
        <v>96</v>
      </c>
      <c r="DT36" s="199"/>
      <c r="DU36" s="199"/>
      <c r="DV36" s="199"/>
      <c r="DW36" s="199"/>
      <c r="DX36" s="199"/>
    </row>
    <row r="37" spans="1:128" ht="19.149999999999999" customHeight="1" thickTop="1" thickBot="1" x14ac:dyDescent="0.45">
      <c r="E37" s="62" t="s">
        <v>97</v>
      </c>
      <c r="F37" s="66" t="str">
        <f>IF(ISERROR(AVERAGE(F5:F35)),"",AVERAGE(F5:F35))</f>
        <v/>
      </c>
      <c r="G37" s="66"/>
      <c r="H37" s="100" t="str">
        <f>IF(ISERROR(F37/U37),"",(F37/U37))</f>
        <v/>
      </c>
      <c r="I37" s="149"/>
      <c r="J37" s="101" t="str">
        <f>IF(ISERROR(F37/AC5),"",(F37/AC5))</f>
        <v/>
      </c>
      <c r="K37" s="102" t="str">
        <f>IF(ISERROR(AVERAGE(K4:K35)),"",AVERAGE(K4:K35))</f>
        <v/>
      </c>
      <c r="L37" s="180" t="str">
        <f t="shared" si="2"/>
        <v/>
      </c>
      <c r="M37" s="102" t="str">
        <f>IF(ISERROR(AVERAGE(M4:M35)),"",AVERAGE(M4:M35))</f>
        <v/>
      </c>
      <c r="N37" s="181" t="str">
        <f t="shared" si="4"/>
        <v/>
      </c>
      <c r="O37" s="182" t="e">
        <f>AVERAGE(O4:O35)</f>
        <v>#DIV/0!</v>
      </c>
      <c r="P37" s="183"/>
      <c r="Q37" s="184" t="e">
        <f>AVERAGE(Q4:Q35)</f>
        <v>#DIV/0!</v>
      </c>
      <c r="T37" s="62" t="s">
        <v>97</v>
      </c>
      <c r="U37" s="63">
        <f>IF(ISERROR(AVERAGE(U5:U35)),"",AVERAGE(U5:U35))</f>
        <v>388505.38709677418</v>
      </c>
      <c r="V37" s="64"/>
      <c r="W37" s="65">
        <f>IF(ISERROR(AVERAGE(W5:W35)),"",AVERAGE(W5:W35))</f>
        <v>210.38709677419354</v>
      </c>
      <c r="X37" s="65">
        <f>IF(ISERROR(AVERAGE(X5:X35)),"",AVERAGE(X5:X35))</f>
        <v>1828.8108793911695</v>
      </c>
      <c r="Y37" s="66">
        <f>IF(ISERROR(AVERAGE(Y5:Y35)),"",AVERAGE(Y5:Y35))</f>
        <v>442452.93548387097</v>
      </c>
      <c r="Z37" s="66"/>
      <c r="AA37" s="67"/>
      <c r="AB37" s="201" t="s">
        <v>98</v>
      </c>
      <c r="AC37" s="202"/>
      <c r="AD37" s="68" t="str">
        <f t="shared" ref="AD37:AQ37" si="46">IF(ISERROR(AVERAGE(AD5:AD35)),"",AVERAGE(AD5:AD35))</f>
        <v/>
      </c>
      <c r="AE37" s="66" t="str">
        <f t="shared" si="46"/>
        <v/>
      </c>
      <c r="AF37" s="66" t="str">
        <f t="shared" si="46"/>
        <v/>
      </c>
      <c r="AG37" s="66" t="str">
        <f t="shared" si="46"/>
        <v/>
      </c>
      <c r="AH37" s="66" t="str">
        <f t="shared" si="46"/>
        <v/>
      </c>
      <c r="AI37" s="66" t="str">
        <f t="shared" si="46"/>
        <v/>
      </c>
      <c r="AJ37" s="66" t="str">
        <f t="shared" si="46"/>
        <v/>
      </c>
      <c r="AK37" s="66" t="str">
        <f t="shared" si="46"/>
        <v/>
      </c>
      <c r="AL37" s="66" t="str">
        <f t="shared" si="46"/>
        <v/>
      </c>
      <c r="AM37" s="66" t="str">
        <f t="shared" si="46"/>
        <v/>
      </c>
      <c r="AN37" s="66" t="str">
        <f t="shared" si="46"/>
        <v/>
      </c>
      <c r="AO37" s="66" t="str">
        <f t="shared" si="46"/>
        <v/>
      </c>
      <c r="AP37" s="66" t="str">
        <f t="shared" si="46"/>
        <v/>
      </c>
      <c r="AQ37" s="69" t="str">
        <f t="shared" si="46"/>
        <v/>
      </c>
      <c r="AR37" s="70"/>
      <c r="AS37" s="185"/>
      <c r="AT37" s="185"/>
      <c r="AU37" s="186"/>
      <c r="AV37" s="84" t="s">
        <v>97</v>
      </c>
      <c r="AW37" s="72" t="str">
        <f>IF(ISERROR(AVERAGE(AW5:AW35)),"",AVERAGE(AW5:AW35))</f>
        <v/>
      </c>
      <c r="AX37" s="187" t="e">
        <f>AVERAGE(AX5:AX35)</f>
        <v>#DIV/0!</v>
      </c>
      <c r="AY37" s="72" t="str">
        <f>IF(ISERROR(AVERAGE(AY5:AY35)),"",AVERAGE(AY5:AY35))</f>
        <v/>
      </c>
      <c r="AZ37" s="187" t="e">
        <f>AVERAGE(AZ5:AZ35)</f>
        <v>#DIV/0!</v>
      </c>
      <c r="BA37" s="72" t="str">
        <f>IF(ISERROR(AVERAGE(BA5:BA35)),"",AVERAGE(BA5:BA35))</f>
        <v/>
      </c>
      <c r="BB37" s="187" t="e">
        <f>AVERAGE(BB5:BB35)</f>
        <v>#DIV/0!</v>
      </c>
      <c r="BC37" s="72" t="str">
        <f>IF(ISERROR(AVERAGE(BC5:BC35)),"",AVERAGE(BC5:BC35))</f>
        <v/>
      </c>
      <c r="BD37" s="187" t="e">
        <f>AVERAGE(BD5:BD35)</f>
        <v>#DIV/0!</v>
      </c>
      <c r="BE37" s="72" t="str">
        <f>IF(ISERROR(AVERAGE(BE5:BE35)),"",AVERAGE(BE5:BE35))</f>
        <v/>
      </c>
      <c r="BF37" s="187" t="e">
        <f>AVERAGE(BF5:BF35)</f>
        <v>#DIV/0!</v>
      </c>
      <c r="BG37" s="72" t="str">
        <f>IF(ISERROR(AVERAGE(BG5:BG35)),"",AVERAGE(BG5:BG35))</f>
        <v/>
      </c>
      <c r="BH37" s="187" t="e">
        <f>AVERAGE(BH5:BH35)</f>
        <v>#DIV/0!</v>
      </c>
      <c r="BI37" s="72" t="str">
        <f>IF(ISERROR(AVERAGE(BI5:BI35)),"",AVERAGE(BI5:BI35))</f>
        <v/>
      </c>
      <c r="BJ37" s="187" t="e">
        <f>AVERAGE(BJ5:BJ35)</f>
        <v>#DIV/0!</v>
      </c>
      <c r="BK37" s="72" t="str">
        <f>IF(ISERROR(AVERAGE(BK5:BK35)),"",AVERAGE(BK5:BK35))</f>
        <v/>
      </c>
      <c r="BL37" s="187" t="e">
        <f>AVERAGE(BL5:BL35)</f>
        <v>#DIV/0!</v>
      </c>
      <c r="BM37" s="72" t="str">
        <f>IF(ISERROR(AVERAGE(BM5:BM35)),"",AVERAGE(BM5:BM35))</f>
        <v/>
      </c>
      <c r="BN37" s="187" t="e">
        <f>AVERAGE(BN5:BN35)</f>
        <v>#DIV/0!</v>
      </c>
      <c r="BO37" s="72" t="str">
        <f>IF(ISERROR(AVERAGE(BO5:BO35)),"",AVERAGE(BO5:BO35))</f>
        <v/>
      </c>
      <c r="BP37" s="187" t="e">
        <f>AVERAGE(BP5:BP35)</f>
        <v>#DIV/0!</v>
      </c>
      <c r="BQ37" s="72" t="str">
        <f>IF(ISERROR(AVERAGE(BQ5:BQ35)),"",AVERAGE(BQ5:BQ35))</f>
        <v/>
      </c>
      <c r="BR37" s="187" t="e">
        <f>AVERAGE(BR5:BR35)</f>
        <v>#DIV/0!</v>
      </c>
      <c r="BS37" s="72" t="str">
        <f>IF(ISERROR(AVERAGE(BS5:BS35)),"",AVERAGE(BS5:BS35))</f>
        <v/>
      </c>
      <c r="BT37" s="187" t="e">
        <f>AVERAGE(BT5:BT35)</f>
        <v>#DIV/0!</v>
      </c>
      <c r="BU37" s="72" t="str">
        <f>IF(ISERROR(AVERAGE(BU5:BU35)),"",AVERAGE(BU5:BU35))</f>
        <v/>
      </c>
      <c r="BV37" s="187" t="e">
        <f>AVERAGE(BV5:BV35)</f>
        <v>#DIV/0!</v>
      </c>
      <c r="BW37" s="72" t="str">
        <f>IF(ISERROR(AVERAGE(BW5:BW35)),"",AVERAGE(BW5:BW35))</f>
        <v/>
      </c>
      <c r="BX37" s="187" t="e">
        <f>AVERAGE(BX5:BX35)</f>
        <v>#DIV/0!</v>
      </c>
      <c r="BY37" s="72" t="str">
        <f>IF(ISERROR(AVERAGE(BY5:BY35)),"",AVERAGE(BY5:BY35))</f>
        <v/>
      </c>
      <c r="BZ37" s="187" t="e">
        <f>AVERAGE(BZ5:BZ35)</f>
        <v>#DIV/0!</v>
      </c>
      <c r="CA37" s="72" t="str">
        <f>IF(ISERROR(AVERAGE(CA5:CA35)),"",AVERAGE(CA5:CA35))</f>
        <v/>
      </c>
      <c r="CB37" s="187" t="e">
        <f>AVERAGE(CB5:CB35)</f>
        <v>#DIV/0!</v>
      </c>
      <c r="CC37" s="72" t="str">
        <f>IF(ISERROR(AVERAGE(CC5:CC35)),"",AVERAGE(CC5:CC35))</f>
        <v/>
      </c>
      <c r="CD37" s="187" t="e">
        <f>AVERAGE(CD5:CD35)</f>
        <v>#DIV/0!</v>
      </c>
      <c r="CE37" s="72" t="str">
        <f>IF(ISERROR(AVERAGE(CE5:CE35)),"",AVERAGE(CE5:CE35))</f>
        <v/>
      </c>
      <c r="CF37" s="187" t="e">
        <f>AVERAGE(CF5:CF35)</f>
        <v>#DIV/0!</v>
      </c>
      <c r="CG37" s="72" t="str">
        <f>IF(ISERROR(AVERAGE(CG5:CG35)),"",AVERAGE(CG5:CG35))</f>
        <v/>
      </c>
      <c r="CH37" s="187" t="e">
        <f>AVERAGE(CH5:CH35)</f>
        <v>#DIV/0!</v>
      </c>
      <c r="CI37" s="72" t="str">
        <f>IF(ISERROR(AVERAGE(CI5:CI35)),"",AVERAGE(CI5:CI35))</f>
        <v/>
      </c>
      <c r="CJ37" s="187" t="e">
        <f>AVERAGE(CJ5:CJ35)</f>
        <v>#DIV/0!</v>
      </c>
      <c r="CK37" s="72" t="str">
        <f>IF(ISERROR(AVERAGE(CK5:CK35)),"",AVERAGE(CK5:CK35))</f>
        <v/>
      </c>
      <c r="CL37" s="187" t="e">
        <f>AVERAGE(CL5:CL35)</f>
        <v>#DIV/0!</v>
      </c>
      <c r="CM37" s="72" t="str">
        <f>IF(ISERROR(AVERAGE(CM5:CM35)),"",AVERAGE(CM5:CM35))</f>
        <v/>
      </c>
      <c r="CN37" s="187" t="e">
        <f>AVERAGE(CN5:CN35)</f>
        <v>#DIV/0!</v>
      </c>
      <c r="CO37" s="72" t="str">
        <f>IF(ISERROR(AVERAGE(CO5:CO35)),"",AVERAGE(CO5:CO35))</f>
        <v/>
      </c>
      <c r="CP37" s="187" t="e">
        <f>AVERAGE(CP5:CP35)</f>
        <v>#DIV/0!</v>
      </c>
      <c r="CQ37" s="72" t="str">
        <f>IF(ISERROR(AVERAGE(CQ5:CQ35)),"",AVERAGE(CQ5:CQ35))</f>
        <v/>
      </c>
      <c r="CR37" s="187" t="e">
        <f>AVERAGE(CR5:CR35)</f>
        <v>#DIV/0!</v>
      </c>
      <c r="CS37" s="72" t="str">
        <f>IF(ISERROR(AVERAGE(CS5:CS35)),"",AVERAGE(CS5:CS35))</f>
        <v/>
      </c>
      <c r="CT37" s="188" t="e">
        <f>AVERAGE(CT5:CT35)</f>
        <v>#DIV/0!</v>
      </c>
      <c r="CU37" s="71" t="str">
        <f>IF(ISERROR(AVERAGE(CU5:CU35)),"",AVERAGE(CU5:CU35))</f>
        <v/>
      </c>
      <c r="CV37" s="88" t="str">
        <f>IF(ISERROR(AVERAGE(CV5:CV35)),"",AVERAGE(CV5:CV35))</f>
        <v/>
      </c>
      <c r="CW37" s="92"/>
      <c r="CX37" s="71" t="str">
        <f>IF(ISERROR(AVERAGE(CX5:CX35)),"",AVERAGE(CX5:CX35))</f>
        <v/>
      </c>
      <c r="CY37" s="154" t="str">
        <f>IF(ISERROR(AVERAGE(CY5:CY35)),"",AVERAGE(CY5:CY35))</f>
        <v/>
      </c>
      <c r="CZ37" s="72" t="str">
        <f>IF(ISERROR(AVERAGE(CZ5:CZ35)),"",AVERAGE(CZ5:CZ35))</f>
        <v/>
      </c>
      <c r="DA37" s="72" t="str">
        <f>IF(ISERROR(AVERAGE(DA5:DA35)),"",AVERAGE(DA5:DA35))</f>
        <v/>
      </c>
      <c r="DB37" s="98"/>
      <c r="DC37" s="99"/>
      <c r="DF37" s="126" t="e">
        <f t="shared" ref="DF37:DP37" si="47">AVERAGE(DF5:DF35)</f>
        <v>#DIV/0!</v>
      </c>
      <c r="DG37" s="127" t="e">
        <f t="shared" si="47"/>
        <v>#DIV/0!</v>
      </c>
      <c r="DH37" s="127" t="e">
        <f t="shared" si="47"/>
        <v>#DIV/0!</v>
      </c>
      <c r="DI37" s="127" t="e">
        <f t="shared" si="47"/>
        <v>#DIV/0!</v>
      </c>
      <c r="DJ37" s="127" t="e">
        <f t="shared" si="47"/>
        <v>#DIV/0!</v>
      </c>
      <c r="DK37" s="127" t="e">
        <f t="shared" si="47"/>
        <v>#DIV/0!</v>
      </c>
      <c r="DL37" s="127" t="e">
        <f t="shared" si="47"/>
        <v>#DIV/0!</v>
      </c>
      <c r="DM37" s="127" t="e">
        <f t="shared" si="47"/>
        <v>#DIV/0!</v>
      </c>
      <c r="DN37" s="127" t="e">
        <f t="shared" si="47"/>
        <v>#DIV/0!</v>
      </c>
      <c r="DO37" s="127" t="e">
        <f t="shared" si="47"/>
        <v>#DIV/0!</v>
      </c>
      <c r="DP37" s="127">
        <f t="shared" si="47"/>
        <v>0</v>
      </c>
      <c r="DQ37" s="188"/>
      <c r="DS37" s="198" t="s">
        <v>99</v>
      </c>
      <c r="DT37" s="199"/>
      <c r="DU37" s="199"/>
      <c r="DV37" s="199"/>
      <c r="DW37" s="199"/>
      <c r="DX37" s="199"/>
    </row>
    <row r="38" spans="1:128" ht="19.149999999999999" customHeight="1" thickTop="1" thickBot="1" x14ac:dyDescent="0.45">
      <c r="DS38" s="198" t="s">
        <v>100</v>
      </c>
      <c r="DT38" s="199"/>
      <c r="DU38" s="199"/>
      <c r="DV38" s="199"/>
      <c r="DW38" s="199"/>
      <c r="DX38" s="199"/>
    </row>
    <row r="39" spans="1:128" ht="18.75" customHeight="1" thickTop="1" x14ac:dyDescent="0.4">
      <c r="E39" s="196" t="s">
        <v>101</v>
      </c>
      <c r="F39" s="197"/>
      <c r="H39" s="137" t="s">
        <v>12</v>
      </c>
      <c r="T39" s="200" t="s">
        <v>102</v>
      </c>
      <c r="U39" s="197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 spans="1:128" ht="18.75" customHeight="1" thickBot="1" x14ac:dyDescent="0.45">
      <c r="E40" s="133" t="s">
        <v>95</v>
      </c>
      <c r="F40" s="135" t="e">
        <f>(令和8年11月!G34-令和8年11月!G19)+令和8年12月!G19</f>
        <v>#VALUE!</v>
      </c>
      <c r="H40" s="142" t="str">
        <f>IF(ISERROR(F40/U40),"",(F40/U40))</f>
        <v/>
      </c>
      <c r="I40" s="146"/>
      <c r="T40" s="133" t="s">
        <v>95</v>
      </c>
      <c r="U40" s="135">
        <f>(令和8年11月!V34-令和8年11月!V19)+令和8年12月!V19</f>
        <v>10174946</v>
      </c>
    </row>
    <row r="41" spans="1:128" ht="18.75" customHeight="1" thickTop="1" thickBot="1" x14ac:dyDescent="0.45">
      <c r="E41" s="134" t="s">
        <v>97</v>
      </c>
      <c r="F41" s="136" t="e">
        <f>F40/30</f>
        <v>#VALUE!</v>
      </c>
      <c r="T41" s="134" t="s">
        <v>97</v>
      </c>
      <c r="U41" s="136">
        <f>U40/30</f>
        <v>339164.86666666664</v>
      </c>
    </row>
    <row r="42" spans="1:128" ht="13.9" customHeight="1" thickTop="1" x14ac:dyDescent="0.4"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</row>
  </sheetData>
  <mergeCells count="44">
    <mergeCell ref="DS36:DX36"/>
    <mergeCell ref="T39:U39"/>
    <mergeCell ref="DS12:DV12"/>
    <mergeCell ref="DS21:DV21"/>
    <mergeCell ref="DS31:DV31"/>
    <mergeCell ref="AX1:BC2"/>
    <mergeCell ref="DS14:DV14"/>
    <mergeCell ref="DS23:DV23"/>
    <mergeCell ref="M1:M2"/>
    <mergeCell ref="DS17:DV17"/>
    <mergeCell ref="DS6:DV6"/>
    <mergeCell ref="DS5:DV5"/>
    <mergeCell ref="E39:F39"/>
    <mergeCell ref="DS8:DV8"/>
    <mergeCell ref="DS27:DV27"/>
    <mergeCell ref="DS29:DV29"/>
    <mergeCell ref="DS19:DV19"/>
    <mergeCell ref="DS10:DV10"/>
    <mergeCell ref="DS13:DV13"/>
    <mergeCell ref="DS9:DV9"/>
    <mergeCell ref="DS34:DV34"/>
    <mergeCell ref="DS28:DV28"/>
    <mergeCell ref="DS24:DV24"/>
    <mergeCell ref="DS15:DV15"/>
    <mergeCell ref="DS38:DX38"/>
    <mergeCell ref="DS35:DV35"/>
    <mergeCell ref="DS37:DX37"/>
    <mergeCell ref="AB37:AC37"/>
    <mergeCell ref="A1:E2"/>
    <mergeCell ref="G1:G2"/>
    <mergeCell ref="DS30:DV30"/>
    <mergeCell ref="DS33:DV33"/>
    <mergeCell ref="DS4:DV4"/>
    <mergeCell ref="DS20:DV20"/>
    <mergeCell ref="DS16:DV16"/>
    <mergeCell ref="DS7:DV7"/>
    <mergeCell ref="DS25:DV25"/>
    <mergeCell ref="DS32:DV32"/>
    <mergeCell ref="DS26:DV26"/>
    <mergeCell ref="DS22:DV22"/>
    <mergeCell ref="F1:F2"/>
    <mergeCell ref="DS18:DV18"/>
    <mergeCell ref="H1:K2"/>
    <mergeCell ref="DS11:DV11"/>
  </mergeCells>
  <phoneticPr fontId="3"/>
  <conditionalFormatting sqref="B5:D35">
    <cfRule type="expression" dxfId="222" priority="42" stopIfTrue="1">
      <formula>(B5)="土"</formula>
    </cfRule>
    <cfRule type="expression" dxfId="221" priority="43" stopIfTrue="1">
      <formula>(B5)="日"</formula>
    </cfRule>
  </conditionalFormatting>
  <conditionalFormatting sqref="R5:S35">
    <cfRule type="expression" dxfId="220" priority="1" stopIfTrue="1">
      <formula>(R5)="土"</formula>
    </cfRule>
    <cfRule type="expression" dxfId="219" priority="2" stopIfTrue="1">
      <formula>(R5)="日"</formula>
    </cfRule>
  </conditionalFormatting>
  <conditionalFormatting sqref="AX5:AX34">
    <cfRule type="cellIs" dxfId="218" priority="31" operator="equal">
      <formula>0</formula>
    </cfRule>
  </conditionalFormatting>
  <conditionalFormatting sqref="AZ5:AZ34">
    <cfRule type="cellIs" dxfId="217" priority="30" operator="equal">
      <formula>0</formula>
    </cfRule>
  </conditionalFormatting>
  <conditionalFormatting sqref="BB5:BB34">
    <cfRule type="cellIs" dxfId="216" priority="29" operator="equal">
      <formula>0</formula>
    </cfRule>
  </conditionalFormatting>
  <conditionalFormatting sqref="BD5:BD34">
    <cfRule type="cellIs" dxfId="215" priority="28" operator="equal">
      <formula>0</formula>
    </cfRule>
  </conditionalFormatting>
  <conditionalFormatting sqref="BF5:BF34">
    <cfRule type="cellIs" dxfId="214" priority="27" operator="equal">
      <formula>0</formula>
    </cfRule>
  </conditionalFormatting>
  <conditionalFormatting sqref="BH5:BH34">
    <cfRule type="cellIs" dxfId="213" priority="26" operator="equal">
      <formula>0</formula>
    </cfRule>
  </conditionalFormatting>
  <conditionalFormatting sqref="BJ5:BJ34">
    <cfRule type="cellIs" dxfId="212" priority="25" operator="equal">
      <formula>0</formula>
    </cfRule>
  </conditionalFormatting>
  <conditionalFormatting sqref="BL5:BL34">
    <cfRule type="cellIs" dxfId="211" priority="24" operator="equal">
      <formula>0</formula>
    </cfRule>
  </conditionalFormatting>
  <conditionalFormatting sqref="BN5:BN34">
    <cfRule type="cellIs" dxfId="210" priority="23" operator="equal">
      <formula>0</formula>
    </cfRule>
  </conditionalFormatting>
  <conditionalFormatting sqref="BP5:BP34">
    <cfRule type="cellIs" dxfId="209" priority="22" operator="equal">
      <formula>0</formula>
    </cfRule>
  </conditionalFormatting>
  <conditionalFormatting sqref="BR5:BR34">
    <cfRule type="cellIs" dxfId="208" priority="21" operator="equal">
      <formula>0</formula>
    </cfRule>
  </conditionalFormatting>
  <conditionalFormatting sqref="BT5:BT34">
    <cfRule type="cellIs" dxfId="207" priority="20" operator="equal">
      <formula>0</formula>
    </cfRule>
  </conditionalFormatting>
  <conditionalFormatting sqref="BV5:BV34">
    <cfRule type="cellIs" dxfId="206" priority="19" operator="equal">
      <formula>0</formula>
    </cfRule>
  </conditionalFormatting>
  <conditionalFormatting sqref="BX5:BX34">
    <cfRule type="cellIs" dxfId="205" priority="18" operator="equal">
      <formula>0</formula>
    </cfRule>
  </conditionalFormatting>
  <conditionalFormatting sqref="BZ5:BZ34">
    <cfRule type="cellIs" dxfId="204" priority="17" operator="equal">
      <formula>0</formula>
    </cfRule>
  </conditionalFormatting>
  <conditionalFormatting sqref="CB5:CB34">
    <cfRule type="cellIs" dxfId="203" priority="16" operator="equal">
      <formula>0</formula>
    </cfRule>
  </conditionalFormatting>
  <conditionalFormatting sqref="CD5:CD34">
    <cfRule type="cellIs" dxfId="202" priority="15" operator="equal">
      <formula>0</formula>
    </cfRule>
  </conditionalFormatting>
  <conditionalFormatting sqref="CF5:CF34">
    <cfRule type="cellIs" dxfId="201" priority="14" operator="equal">
      <formula>0</formula>
    </cfRule>
  </conditionalFormatting>
  <conditionalFormatting sqref="CH5:CH34">
    <cfRule type="cellIs" dxfId="200" priority="13" operator="equal">
      <formula>0</formula>
    </cfRule>
  </conditionalFormatting>
  <conditionalFormatting sqref="CJ5:CJ34">
    <cfRule type="cellIs" dxfId="199" priority="12" operator="equal">
      <formula>0</formula>
    </cfRule>
  </conditionalFormatting>
  <conditionalFormatting sqref="CL5:CL34">
    <cfRule type="cellIs" dxfId="198" priority="11" operator="equal">
      <formula>0</formula>
    </cfRule>
  </conditionalFormatting>
  <conditionalFormatting sqref="CN5:CN34">
    <cfRule type="cellIs" dxfId="197" priority="10" operator="equal">
      <formula>0</formula>
    </cfRule>
  </conditionalFormatting>
  <conditionalFormatting sqref="CP5:CP34">
    <cfRule type="cellIs" dxfId="196" priority="9" operator="equal">
      <formula>0</formula>
    </cfRule>
  </conditionalFormatting>
  <conditionalFormatting sqref="CR5:CR34">
    <cfRule type="cellIs" dxfId="195" priority="8" operator="equal">
      <formula>0</formula>
    </cfRule>
  </conditionalFormatting>
  <conditionalFormatting sqref="CT5:CT34">
    <cfRule type="cellIs" dxfId="194" priority="7" operator="equal">
      <formula>0</formula>
    </cfRule>
  </conditionalFormatting>
  <conditionalFormatting sqref="DC5:DC36">
    <cfRule type="expression" dxfId="193" priority="3" stopIfTrue="1">
      <formula>(DC5)="土"</formula>
    </cfRule>
    <cfRule type="expression" dxfId="192" priority="4" stopIfTrue="1">
      <formula>(DC5)="日"</formula>
    </cfRule>
  </conditionalFormatting>
  <pageMargins left="0.12" right="0.18" top="0.75" bottom="0.75" header="0.3" footer="0.3"/>
  <pageSetup paperSize="9" orientation="landscape" horizontalDpi="429496729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B42"/>
  <sheetViews>
    <sheetView topLeftCell="CQ1" zoomScale="80" zoomScaleNormal="80" workbookViewId="0">
      <pane ySplit="4" topLeftCell="A5" activePane="bottomLeft" state="frozen"/>
      <selection pane="bottomLeft" activeCell="DD4" sqref="DD4"/>
    </sheetView>
  </sheetViews>
  <sheetFormatPr defaultRowHeight="13.5" x14ac:dyDescent="0.4"/>
  <cols>
    <col min="1" max="4" width="3.125" style="5" customWidth="1"/>
    <col min="5" max="5" width="5.625" style="5" customWidth="1"/>
    <col min="6" max="6" width="10.625" style="73" customWidth="1"/>
    <col min="7" max="7" width="12.5" style="73" customWidth="1"/>
    <col min="8" max="10" width="8.625" style="2" customWidth="1"/>
    <col min="11" max="11" width="5.625" style="2" customWidth="1"/>
    <col min="12" max="12" width="4.625" style="2" customWidth="1"/>
    <col min="13" max="13" width="5.625" style="2" customWidth="1"/>
    <col min="14" max="17" width="4.625" style="2" customWidth="1"/>
    <col min="18" max="19" width="3.125" style="5" customWidth="1"/>
    <col min="20" max="20" width="5.625" style="5" customWidth="1"/>
    <col min="21" max="21" width="7.625" style="73" customWidth="1"/>
    <col min="22" max="22" width="8.625" style="73" customWidth="1"/>
    <col min="23" max="24" width="5.625" style="2" customWidth="1"/>
    <col min="25" max="25" width="6.625" style="2" customWidth="1"/>
    <col min="26" max="26" width="9.875" style="2" customWidth="1"/>
    <col min="27" max="38" width="8.625" style="73" customWidth="1"/>
    <col min="39" max="43" width="8.625" style="73" hidden="1" customWidth="1"/>
    <col min="44" max="44" width="12.5" style="2" customWidth="1"/>
    <col min="45" max="45" width="6.75" style="2" customWidth="1"/>
    <col min="46" max="46" width="12.625" style="2" customWidth="1"/>
    <col min="47" max="47" width="8.625" style="161" customWidth="1"/>
    <col min="48" max="48" width="5.5" style="2" bestFit="1" customWidth="1"/>
    <col min="49" max="98" width="6.75" style="2" customWidth="1"/>
    <col min="99" max="100" width="8.625" style="2" customWidth="1"/>
    <col min="101" max="101" width="2.875" style="2" customWidth="1"/>
    <col min="102" max="102" width="10.625" style="2" customWidth="1"/>
    <col min="103" max="103" width="6.625" style="2" customWidth="1"/>
    <col min="104" max="104" width="10.625" style="2" customWidth="1"/>
    <col min="105" max="105" width="6.625" style="2" customWidth="1"/>
    <col min="106" max="107" width="3.125" style="5" customWidth="1"/>
    <col min="108" max="108" width="1.125" style="2" customWidth="1"/>
    <col min="109" max="109" width="2.375" style="2" customWidth="1"/>
    <col min="110" max="120" width="7.625" style="6" hidden="1" customWidth="1"/>
    <col min="121" max="121" width="6.75" style="2" hidden="1" customWidth="1"/>
    <col min="122" max="122" width="8.75" style="2" customWidth="1"/>
    <col min="123" max="126" width="8.625" style="2" customWidth="1"/>
    <col min="127" max="127" width="12.625" style="2" customWidth="1"/>
    <col min="128" max="128" width="8.625" style="2" customWidth="1"/>
    <col min="129" max="303" width="9" style="2" customWidth="1"/>
    <col min="304" max="305" width="3.125" style="2" customWidth="1"/>
    <col min="306" max="306" width="5.875" style="2" bestFit="1" customWidth="1"/>
    <col min="307" max="307" width="5.625" style="2" customWidth="1"/>
    <col min="308" max="308" width="10.625" style="2" customWidth="1"/>
    <col min="309" max="309" width="12.625" style="2" customWidth="1"/>
    <col min="310" max="310" width="8.625" style="2" customWidth="1"/>
    <col min="311" max="311" width="5.625" style="2" customWidth="1"/>
    <col min="312" max="312" width="4.625" style="2" customWidth="1"/>
    <col min="313" max="313" width="5.625" style="2" customWidth="1"/>
    <col min="314" max="317" width="4.625" style="2" customWidth="1"/>
    <col min="318" max="318" width="7.625" style="2" customWidth="1"/>
    <col min="319" max="319" width="8.625" style="2" customWidth="1"/>
    <col min="320" max="321" width="5.625" style="2" customWidth="1"/>
    <col min="322" max="322" width="6.625" style="2" customWidth="1"/>
    <col min="323" max="323" width="9.875" style="2" customWidth="1"/>
    <col min="324" max="325" width="8.625" style="2" customWidth="1"/>
    <col min="326" max="326" width="5.5" style="2" bestFit="1" customWidth="1"/>
    <col min="327" max="368" width="6.75" style="2" customWidth="1"/>
    <col min="369" max="369" width="9" style="2" customWidth="1"/>
    <col min="370" max="370" width="9.875" style="2" customWidth="1"/>
    <col min="371" max="371" width="2.875" style="2" customWidth="1"/>
    <col min="372" max="372" width="12.25" style="2" customWidth="1"/>
    <col min="373" max="373" width="6.375" style="2" customWidth="1"/>
    <col min="374" max="375" width="3.125" style="2" customWidth="1"/>
    <col min="376" max="376" width="1.125" style="2" customWidth="1"/>
    <col min="377" max="377" width="9" style="2" customWidth="1"/>
    <col min="378" max="378" width="2.375" style="2" customWidth="1"/>
    <col min="379" max="396" width="7.625" style="2" customWidth="1"/>
    <col min="397" max="559" width="9" style="2" customWidth="1"/>
    <col min="560" max="561" width="3.125" style="2" customWidth="1"/>
    <col min="562" max="562" width="5.875" style="2" bestFit="1" customWidth="1"/>
    <col min="563" max="563" width="5.625" style="2" customWidth="1"/>
    <col min="564" max="564" width="10.625" style="2" customWidth="1"/>
    <col min="565" max="565" width="12.625" style="2" customWidth="1"/>
    <col min="566" max="566" width="8.625" style="2" customWidth="1"/>
    <col min="567" max="567" width="5.625" style="2" customWidth="1"/>
    <col min="568" max="568" width="4.625" style="2" customWidth="1"/>
    <col min="569" max="569" width="5.625" style="2" customWidth="1"/>
    <col min="570" max="573" width="4.625" style="2" customWidth="1"/>
    <col min="574" max="574" width="7.625" style="2" customWidth="1"/>
    <col min="575" max="575" width="8.625" style="2" customWidth="1"/>
    <col min="576" max="577" width="5.625" style="2" customWidth="1"/>
    <col min="578" max="578" width="6.625" style="2" customWidth="1"/>
    <col min="579" max="579" width="9.875" style="2" customWidth="1"/>
    <col min="580" max="581" width="8.625" style="2" customWidth="1"/>
    <col min="582" max="582" width="5.5" style="2" bestFit="1" customWidth="1"/>
    <col min="583" max="624" width="6.75" style="2" customWidth="1"/>
    <col min="625" max="625" width="9" style="2" customWidth="1"/>
    <col min="626" max="626" width="9.875" style="2" customWidth="1"/>
    <col min="627" max="627" width="2.875" style="2" customWidth="1"/>
    <col min="628" max="628" width="12.25" style="2" customWidth="1"/>
    <col min="629" max="629" width="6.375" style="2" customWidth="1"/>
    <col min="630" max="631" width="3.125" style="2" customWidth="1"/>
    <col min="632" max="632" width="1.125" style="2" customWidth="1"/>
    <col min="633" max="633" width="9" style="2" customWidth="1"/>
    <col min="634" max="634" width="2.375" style="2" customWidth="1"/>
    <col min="635" max="652" width="7.625" style="2" customWidth="1"/>
    <col min="653" max="815" width="9" style="2" customWidth="1"/>
    <col min="816" max="817" width="3.125" style="2" customWidth="1"/>
    <col min="818" max="818" width="5.875" style="2" bestFit="1" customWidth="1"/>
    <col min="819" max="819" width="5.625" style="2" customWidth="1"/>
    <col min="820" max="820" width="10.625" style="2" customWidth="1"/>
    <col min="821" max="821" width="12.625" style="2" customWidth="1"/>
    <col min="822" max="822" width="8.625" style="2" customWidth="1"/>
    <col min="823" max="823" width="5.625" style="2" customWidth="1"/>
    <col min="824" max="824" width="4.625" style="2" customWidth="1"/>
    <col min="825" max="825" width="5.625" style="2" customWidth="1"/>
    <col min="826" max="829" width="4.625" style="2" customWidth="1"/>
    <col min="830" max="830" width="7.625" style="2" customWidth="1"/>
    <col min="831" max="831" width="8.625" style="2" customWidth="1"/>
    <col min="832" max="833" width="5.625" style="2" customWidth="1"/>
    <col min="834" max="834" width="6.625" style="2" customWidth="1"/>
    <col min="835" max="835" width="9.875" style="2" customWidth="1"/>
    <col min="836" max="837" width="8.625" style="2" customWidth="1"/>
    <col min="838" max="838" width="5.5" style="2" bestFit="1" customWidth="1"/>
    <col min="839" max="880" width="6.75" style="2" customWidth="1"/>
    <col min="881" max="881" width="9" style="2" customWidth="1"/>
    <col min="882" max="882" width="9.875" style="2" customWidth="1"/>
    <col min="883" max="883" width="2.875" style="2" customWidth="1"/>
    <col min="884" max="884" width="12.25" style="2" customWidth="1"/>
    <col min="885" max="885" width="6.375" style="2" customWidth="1"/>
    <col min="886" max="887" width="3.125" style="2" customWidth="1"/>
    <col min="888" max="888" width="1.125" style="2" customWidth="1"/>
    <col min="889" max="889" width="9" style="2" customWidth="1"/>
    <col min="890" max="890" width="2.375" style="2" customWidth="1"/>
    <col min="891" max="908" width="7.625" style="2" customWidth="1"/>
    <col min="909" max="1071" width="9" style="2" customWidth="1"/>
    <col min="1072" max="1073" width="3.125" style="2" customWidth="1"/>
    <col min="1074" max="1074" width="5.875" style="2" bestFit="1" customWidth="1"/>
    <col min="1075" max="1075" width="5.625" style="2" customWidth="1"/>
    <col min="1076" max="1076" width="10.625" style="2" customWidth="1"/>
    <col min="1077" max="1077" width="12.625" style="2" customWidth="1"/>
    <col min="1078" max="1078" width="8.625" style="2" customWidth="1"/>
    <col min="1079" max="1079" width="5.625" style="2" customWidth="1"/>
    <col min="1080" max="1080" width="4.625" style="2" customWidth="1"/>
    <col min="1081" max="1081" width="5.625" style="2" customWidth="1"/>
    <col min="1082" max="1085" width="4.625" style="2" customWidth="1"/>
    <col min="1086" max="1086" width="7.625" style="2" customWidth="1"/>
    <col min="1087" max="1087" width="8.625" style="2" customWidth="1"/>
    <col min="1088" max="1089" width="5.625" style="2" customWidth="1"/>
    <col min="1090" max="1090" width="6.625" style="2" customWidth="1"/>
    <col min="1091" max="1091" width="9.875" style="2" customWidth="1"/>
    <col min="1092" max="1093" width="8.625" style="2" customWidth="1"/>
    <col min="1094" max="1094" width="5.5" style="2" bestFit="1" customWidth="1"/>
    <col min="1095" max="1136" width="6.75" style="2" customWidth="1"/>
    <col min="1137" max="1137" width="9" style="2" customWidth="1"/>
    <col min="1138" max="1138" width="9.875" style="2" customWidth="1"/>
    <col min="1139" max="1139" width="2.875" style="2" customWidth="1"/>
    <col min="1140" max="1140" width="12.25" style="2" customWidth="1"/>
    <col min="1141" max="1141" width="6.375" style="2" customWidth="1"/>
    <col min="1142" max="1143" width="3.125" style="2" customWidth="1"/>
    <col min="1144" max="1144" width="1.125" style="2" customWidth="1"/>
    <col min="1145" max="1145" width="9" style="2" customWidth="1"/>
    <col min="1146" max="1146" width="2.375" style="2" customWidth="1"/>
    <col min="1147" max="1164" width="7.625" style="2" customWidth="1"/>
    <col min="1165" max="1327" width="9" style="2" customWidth="1"/>
    <col min="1328" max="1329" width="3.125" style="2" customWidth="1"/>
    <col min="1330" max="1330" width="5.875" style="2" bestFit="1" customWidth="1"/>
    <col min="1331" max="1331" width="5.625" style="2" customWidth="1"/>
    <col min="1332" max="1332" width="10.625" style="2" customWidth="1"/>
    <col min="1333" max="1333" width="12.625" style="2" customWidth="1"/>
    <col min="1334" max="1334" width="8.625" style="2" customWidth="1"/>
    <col min="1335" max="1335" width="5.625" style="2" customWidth="1"/>
    <col min="1336" max="1336" width="4.625" style="2" customWidth="1"/>
    <col min="1337" max="1337" width="5.625" style="2" customWidth="1"/>
    <col min="1338" max="1341" width="4.625" style="2" customWidth="1"/>
    <col min="1342" max="1342" width="7.625" style="2" customWidth="1"/>
    <col min="1343" max="1343" width="8.625" style="2" customWidth="1"/>
    <col min="1344" max="1345" width="5.625" style="2" customWidth="1"/>
    <col min="1346" max="1346" width="6.625" style="2" customWidth="1"/>
    <col min="1347" max="1347" width="9.875" style="2" customWidth="1"/>
    <col min="1348" max="1349" width="8.625" style="2" customWidth="1"/>
    <col min="1350" max="1350" width="5.5" style="2" bestFit="1" customWidth="1"/>
    <col min="1351" max="1392" width="6.75" style="2" customWidth="1"/>
    <col min="1393" max="1393" width="9" style="2" customWidth="1"/>
    <col min="1394" max="1394" width="9.875" style="2" customWidth="1"/>
    <col min="1395" max="1395" width="2.875" style="2" customWidth="1"/>
    <col min="1396" max="1396" width="12.25" style="2" customWidth="1"/>
    <col min="1397" max="1397" width="6.375" style="2" customWidth="1"/>
    <col min="1398" max="1399" width="3.125" style="2" customWidth="1"/>
    <col min="1400" max="1400" width="1.125" style="2" customWidth="1"/>
    <col min="1401" max="1401" width="9" style="2" customWidth="1"/>
    <col min="1402" max="1402" width="2.375" style="2" customWidth="1"/>
    <col min="1403" max="1420" width="7.625" style="2" customWidth="1"/>
    <col min="1421" max="1583" width="9" style="2" customWidth="1"/>
    <col min="1584" max="1585" width="3.125" style="2" customWidth="1"/>
    <col min="1586" max="1586" width="5.875" style="2" bestFit="1" customWidth="1"/>
    <col min="1587" max="1587" width="5.625" style="2" customWidth="1"/>
    <col min="1588" max="1588" width="10.625" style="2" customWidth="1"/>
    <col min="1589" max="1589" width="12.625" style="2" customWidth="1"/>
    <col min="1590" max="1590" width="8.625" style="2" customWidth="1"/>
    <col min="1591" max="1591" width="5.625" style="2" customWidth="1"/>
    <col min="1592" max="1592" width="4.625" style="2" customWidth="1"/>
    <col min="1593" max="1593" width="5.625" style="2" customWidth="1"/>
    <col min="1594" max="1597" width="4.625" style="2" customWidth="1"/>
    <col min="1598" max="1598" width="7.625" style="2" customWidth="1"/>
    <col min="1599" max="1599" width="8.625" style="2" customWidth="1"/>
    <col min="1600" max="1601" width="5.625" style="2" customWidth="1"/>
    <col min="1602" max="1602" width="6.625" style="2" customWidth="1"/>
    <col min="1603" max="1603" width="9.875" style="2" customWidth="1"/>
    <col min="1604" max="1605" width="8.625" style="2" customWidth="1"/>
    <col min="1606" max="1606" width="5.5" style="2" bestFit="1" customWidth="1"/>
    <col min="1607" max="1648" width="6.75" style="2" customWidth="1"/>
    <col min="1649" max="1649" width="9" style="2" customWidth="1"/>
    <col min="1650" max="1650" width="9.875" style="2" customWidth="1"/>
    <col min="1651" max="1651" width="2.875" style="2" customWidth="1"/>
    <col min="1652" max="1652" width="12.25" style="2" customWidth="1"/>
    <col min="1653" max="1653" width="6.375" style="2" customWidth="1"/>
    <col min="1654" max="1655" width="3.125" style="2" customWidth="1"/>
    <col min="1656" max="1656" width="1.125" style="2" customWidth="1"/>
    <col min="1657" max="1657" width="9" style="2" customWidth="1"/>
    <col min="1658" max="1658" width="2.375" style="2" customWidth="1"/>
    <col min="1659" max="1676" width="7.625" style="2" customWidth="1"/>
    <col min="1677" max="1839" width="9" style="2" customWidth="1"/>
    <col min="1840" max="1841" width="3.125" style="2" customWidth="1"/>
    <col min="1842" max="1842" width="5.875" style="2" bestFit="1" customWidth="1"/>
    <col min="1843" max="1843" width="5.625" style="2" customWidth="1"/>
    <col min="1844" max="1844" width="10.625" style="2" customWidth="1"/>
    <col min="1845" max="1845" width="12.625" style="2" customWidth="1"/>
    <col min="1846" max="1846" width="8.625" style="2" customWidth="1"/>
    <col min="1847" max="1847" width="5.625" style="2" customWidth="1"/>
    <col min="1848" max="1848" width="4.625" style="2" customWidth="1"/>
    <col min="1849" max="1849" width="5.625" style="2" customWidth="1"/>
    <col min="1850" max="1853" width="4.625" style="2" customWidth="1"/>
    <col min="1854" max="1854" width="7.625" style="2" customWidth="1"/>
    <col min="1855" max="1855" width="8.625" style="2" customWidth="1"/>
    <col min="1856" max="1857" width="5.625" style="2" customWidth="1"/>
    <col min="1858" max="1858" width="6.625" style="2" customWidth="1"/>
    <col min="1859" max="1859" width="9.875" style="2" customWidth="1"/>
    <col min="1860" max="1861" width="8.625" style="2" customWidth="1"/>
    <col min="1862" max="1862" width="5.5" style="2" bestFit="1" customWidth="1"/>
    <col min="1863" max="1904" width="6.75" style="2" customWidth="1"/>
    <col min="1905" max="1905" width="9" style="2" customWidth="1"/>
    <col min="1906" max="1906" width="9.875" style="2" customWidth="1"/>
    <col min="1907" max="1907" width="2.875" style="2" customWidth="1"/>
    <col min="1908" max="1908" width="12.25" style="2" customWidth="1"/>
    <col min="1909" max="1909" width="6.375" style="2" customWidth="1"/>
    <col min="1910" max="1911" width="3.125" style="2" customWidth="1"/>
    <col min="1912" max="1912" width="1.125" style="2" customWidth="1"/>
    <col min="1913" max="1913" width="9" style="2" customWidth="1"/>
    <col min="1914" max="1914" width="2.375" style="2" customWidth="1"/>
    <col min="1915" max="1932" width="7.625" style="2" customWidth="1"/>
    <col min="1933" max="2095" width="9" style="2" customWidth="1"/>
    <col min="2096" max="2097" width="3.125" style="2" customWidth="1"/>
    <col min="2098" max="2098" width="5.875" style="2" bestFit="1" customWidth="1"/>
    <col min="2099" max="2099" width="5.625" style="2" customWidth="1"/>
    <col min="2100" max="2100" width="10.625" style="2" customWidth="1"/>
    <col min="2101" max="2101" width="12.625" style="2" customWidth="1"/>
    <col min="2102" max="2102" width="8.625" style="2" customWidth="1"/>
    <col min="2103" max="2103" width="5.625" style="2" customWidth="1"/>
    <col min="2104" max="2104" width="4.625" style="2" customWidth="1"/>
    <col min="2105" max="2105" width="5.625" style="2" customWidth="1"/>
    <col min="2106" max="2109" width="4.625" style="2" customWidth="1"/>
    <col min="2110" max="2110" width="7.625" style="2" customWidth="1"/>
    <col min="2111" max="2111" width="8.625" style="2" customWidth="1"/>
    <col min="2112" max="2113" width="5.625" style="2" customWidth="1"/>
    <col min="2114" max="2114" width="6.625" style="2" customWidth="1"/>
    <col min="2115" max="2115" width="9.875" style="2" customWidth="1"/>
    <col min="2116" max="2117" width="8.625" style="2" customWidth="1"/>
    <col min="2118" max="2118" width="5.5" style="2" bestFit="1" customWidth="1"/>
    <col min="2119" max="2160" width="6.75" style="2" customWidth="1"/>
    <col min="2161" max="2161" width="9" style="2" customWidth="1"/>
    <col min="2162" max="2162" width="9.875" style="2" customWidth="1"/>
    <col min="2163" max="2163" width="2.875" style="2" customWidth="1"/>
    <col min="2164" max="2164" width="12.25" style="2" customWidth="1"/>
    <col min="2165" max="2165" width="6.375" style="2" customWidth="1"/>
    <col min="2166" max="2167" width="3.125" style="2" customWidth="1"/>
    <col min="2168" max="2168" width="1.125" style="2" customWidth="1"/>
    <col min="2169" max="2169" width="9" style="2" customWidth="1"/>
    <col min="2170" max="2170" width="2.375" style="2" customWidth="1"/>
    <col min="2171" max="2188" width="7.625" style="2" customWidth="1"/>
    <col min="2189" max="2351" width="9" style="2" customWidth="1"/>
    <col min="2352" max="2353" width="3.125" style="2" customWidth="1"/>
    <col min="2354" max="2354" width="5.875" style="2" bestFit="1" customWidth="1"/>
    <col min="2355" max="2355" width="5.625" style="2" customWidth="1"/>
    <col min="2356" max="2356" width="10.625" style="2" customWidth="1"/>
    <col min="2357" max="2357" width="12.625" style="2" customWidth="1"/>
    <col min="2358" max="2358" width="8.625" style="2" customWidth="1"/>
    <col min="2359" max="2359" width="5.625" style="2" customWidth="1"/>
    <col min="2360" max="2360" width="4.625" style="2" customWidth="1"/>
    <col min="2361" max="2361" width="5.625" style="2" customWidth="1"/>
    <col min="2362" max="2365" width="4.625" style="2" customWidth="1"/>
    <col min="2366" max="2366" width="7.625" style="2" customWidth="1"/>
    <col min="2367" max="2367" width="8.625" style="2" customWidth="1"/>
    <col min="2368" max="2369" width="5.625" style="2" customWidth="1"/>
    <col min="2370" max="2370" width="6.625" style="2" customWidth="1"/>
    <col min="2371" max="2371" width="9.875" style="2" customWidth="1"/>
    <col min="2372" max="2373" width="8.625" style="2" customWidth="1"/>
    <col min="2374" max="2374" width="5.5" style="2" bestFit="1" customWidth="1"/>
    <col min="2375" max="2416" width="6.75" style="2" customWidth="1"/>
    <col min="2417" max="2417" width="9" style="2" customWidth="1"/>
    <col min="2418" max="2418" width="9.875" style="2" customWidth="1"/>
    <col min="2419" max="2419" width="2.875" style="2" customWidth="1"/>
    <col min="2420" max="2420" width="12.25" style="2" customWidth="1"/>
    <col min="2421" max="2421" width="6.375" style="2" customWidth="1"/>
    <col min="2422" max="2423" width="3.125" style="2" customWidth="1"/>
    <col min="2424" max="2424" width="1.125" style="2" customWidth="1"/>
    <col min="2425" max="2425" width="9" style="2" customWidth="1"/>
    <col min="2426" max="2426" width="2.375" style="2" customWidth="1"/>
    <col min="2427" max="2444" width="7.625" style="2" customWidth="1"/>
    <col min="2445" max="2607" width="9" style="2" customWidth="1"/>
    <col min="2608" max="2609" width="3.125" style="2" customWidth="1"/>
    <col min="2610" max="2610" width="5.875" style="2" bestFit="1" customWidth="1"/>
    <col min="2611" max="2611" width="5.625" style="2" customWidth="1"/>
    <col min="2612" max="2612" width="10.625" style="2" customWidth="1"/>
    <col min="2613" max="2613" width="12.625" style="2" customWidth="1"/>
    <col min="2614" max="2614" width="8.625" style="2" customWidth="1"/>
    <col min="2615" max="2615" width="5.625" style="2" customWidth="1"/>
    <col min="2616" max="2616" width="4.625" style="2" customWidth="1"/>
    <col min="2617" max="2617" width="5.625" style="2" customWidth="1"/>
    <col min="2618" max="2621" width="4.625" style="2" customWidth="1"/>
    <col min="2622" max="2622" width="7.625" style="2" customWidth="1"/>
    <col min="2623" max="2623" width="8.625" style="2" customWidth="1"/>
    <col min="2624" max="2625" width="5.625" style="2" customWidth="1"/>
    <col min="2626" max="2626" width="6.625" style="2" customWidth="1"/>
    <col min="2627" max="2627" width="9.875" style="2" customWidth="1"/>
    <col min="2628" max="2629" width="8.625" style="2" customWidth="1"/>
    <col min="2630" max="2630" width="5.5" style="2" bestFit="1" customWidth="1"/>
    <col min="2631" max="2672" width="6.75" style="2" customWidth="1"/>
    <col min="2673" max="2673" width="9" style="2" customWidth="1"/>
    <col min="2674" max="2674" width="9.875" style="2" customWidth="1"/>
    <col min="2675" max="2675" width="2.875" style="2" customWidth="1"/>
    <col min="2676" max="2676" width="12.25" style="2" customWidth="1"/>
    <col min="2677" max="2677" width="6.375" style="2" customWidth="1"/>
    <col min="2678" max="2679" width="3.125" style="2" customWidth="1"/>
    <col min="2680" max="2680" width="1.125" style="2" customWidth="1"/>
    <col min="2681" max="2681" width="9" style="2" customWidth="1"/>
    <col min="2682" max="2682" width="2.375" style="2" customWidth="1"/>
    <col min="2683" max="2700" width="7.625" style="2" customWidth="1"/>
    <col min="2701" max="2863" width="9" style="2" customWidth="1"/>
    <col min="2864" max="2865" width="3.125" style="2" customWidth="1"/>
    <col min="2866" max="2866" width="5.875" style="2" bestFit="1" customWidth="1"/>
    <col min="2867" max="2867" width="5.625" style="2" customWidth="1"/>
    <col min="2868" max="2868" width="10.625" style="2" customWidth="1"/>
    <col min="2869" max="2869" width="12.625" style="2" customWidth="1"/>
    <col min="2870" max="2870" width="8.625" style="2" customWidth="1"/>
    <col min="2871" max="2871" width="5.625" style="2" customWidth="1"/>
    <col min="2872" max="2872" width="4.625" style="2" customWidth="1"/>
    <col min="2873" max="2873" width="5.625" style="2" customWidth="1"/>
    <col min="2874" max="2877" width="4.625" style="2" customWidth="1"/>
    <col min="2878" max="2878" width="7.625" style="2" customWidth="1"/>
    <col min="2879" max="2879" width="8.625" style="2" customWidth="1"/>
    <col min="2880" max="2881" width="5.625" style="2" customWidth="1"/>
    <col min="2882" max="2882" width="6.625" style="2" customWidth="1"/>
    <col min="2883" max="2883" width="9.875" style="2" customWidth="1"/>
    <col min="2884" max="2885" width="8.625" style="2" customWidth="1"/>
    <col min="2886" max="2886" width="5.5" style="2" bestFit="1" customWidth="1"/>
    <col min="2887" max="2928" width="6.75" style="2" customWidth="1"/>
    <col min="2929" max="2929" width="9" style="2" customWidth="1"/>
    <col min="2930" max="2930" width="9.875" style="2" customWidth="1"/>
    <col min="2931" max="2931" width="2.875" style="2" customWidth="1"/>
    <col min="2932" max="2932" width="12.25" style="2" customWidth="1"/>
    <col min="2933" max="2933" width="6.375" style="2" customWidth="1"/>
    <col min="2934" max="2935" width="3.125" style="2" customWidth="1"/>
    <col min="2936" max="2936" width="1.125" style="2" customWidth="1"/>
    <col min="2937" max="2937" width="9" style="2" customWidth="1"/>
    <col min="2938" max="2938" width="2.375" style="2" customWidth="1"/>
    <col min="2939" max="2956" width="7.625" style="2" customWidth="1"/>
    <col min="2957" max="3119" width="9" style="2" customWidth="1"/>
    <col min="3120" max="3121" width="3.125" style="2" customWidth="1"/>
    <col min="3122" max="3122" width="5.875" style="2" bestFit="1" customWidth="1"/>
    <col min="3123" max="3123" width="5.625" style="2" customWidth="1"/>
    <col min="3124" max="3124" width="10.625" style="2" customWidth="1"/>
    <col min="3125" max="3125" width="12.625" style="2" customWidth="1"/>
    <col min="3126" max="3126" width="8.625" style="2" customWidth="1"/>
    <col min="3127" max="3127" width="5.625" style="2" customWidth="1"/>
    <col min="3128" max="3128" width="4.625" style="2" customWidth="1"/>
    <col min="3129" max="3129" width="5.625" style="2" customWidth="1"/>
    <col min="3130" max="3133" width="4.625" style="2" customWidth="1"/>
    <col min="3134" max="3134" width="7.625" style="2" customWidth="1"/>
    <col min="3135" max="3135" width="8.625" style="2" customWidth="1"/>
    <col min="3136" max="3137" width="5.625" style="2" customWidth="1"/>
    <col min="3138" max="3138" width="6.625" style="2" customWidth="1"/>
    <col min="3139" max="3139" width="9.875" style="2" customWidth="1"/>
    <col min="3140" max="3141" width="8.625" style="2" customWidth="1"/>
    <col min="3142" max="3142" width="5.5" style="2" bestFit="1" customWidth="1"/>
    <col min="3143" max="3184" width="6.75" style="2" customWidth="1"/>
    <col min="3185" max="3185" width="9" style="2" customWidth="1"/>
    <col min="3186" max="3186" width="9.875" style="2" customWidth="1"/>
    <col min="3187" max="3187" width="2.875" style="2" customWidth="1"/>
    <col min="3188" max="3188" width="12.25" style="2" customWidth="1"/>
    <col min="3189" max="3189" width="6.375" style="2" customWidth="1"/>
    <col min="3190" max="3191" width="3.125" style="2" customWidth="1"/>
    <col min="3192" max="3192" width="1.125" style="2" customWidth="1"/>
    <col min="3193" max="3193" width="9" style="2" customWidth="1"/>
    <col min="3194" max="3194" width="2.375" style="2" customWidth="1"/>
    <col min="3195" max="3212" width="7.625" style="2" customWidth="1"/>
    <col min="3213" max="3375" width="9" style="2" customWidth="1"/>
    <col min="3376" max="3377" width="3.125" style="2" customWidth="1"/>
    <col min="3378" max="3378" width="5.875" style="2" bestFit="1" customWidth="1"/>
    <col min="3379" max="3379" width="5.625" style="2" customWidth="1"/>
    <col min="3380" max="3380" width="10.625" style="2" customWidth="1"/>
    <col min="3381" max="3381" width="12.625" style="2" customWidth="1"/>
    <col min="3382" max="3382" width="8.625" style="2" customWidth="1"/>
    <col min="3383" max="3383" width="5.625" style="2" customWidth="1"/>
    <col min="3384" max="3384" width="4.625" style="2" customWidth="1"/>
    <col min="3385" max="3385" width="5.625" style="2" customWidth="1"/>
    <col min="3386" max="3389" width="4.625" style="2" customWidth="1"/>
    <col min="3390" max="3390" width="7.625" style="2" customWidth="1"/>
    <col min="3391" max="3391" width="8.625" style="2" customWidth="1"/>
    <col min="3392" max="3393" width="5.625" style="2" customWidth="1"/>
    <col min="3394" max="3394" width="6.625" style="2" customWidth="1"/>
    <col min="3395" max="3395" width="9.875" style="2" customWidth="1"/>
    <col min="3396" max="3397" width="8.625" style="2" customWidth="1"/>
    <col min="3398" max="3398" width="5.5" style="2" bestFit="1" customWidth="1"/>
    <col min="3399" max="3440" width="6.75" style="2" customWidth="1"/>
    <col min="3441" max="3441" width="9" style="2" customWidth="1"/>
    <col min="3442" max="3442" width="9.875" style="2" customWidth="1"/>
    <col min="3443" max="3443" width="2.875" style="2" customWidth="1"/>
    <col min="3444" max="3444" width="12.25" style="2" customWidth="1"/>
    <col min="3445" max="3445" width="6.375" style="2" customWidth="1"/>
    <col min="3446" max="3447" width="3.125" style="2" customWidth="1"/>
    <col min="3448" max="3448" width="1.125" style="2" customWidth="1"/>
    <col min="3449" max="3449" width="9" style="2" customWidth="1"/>
    <col min="3450" max="3450" width="2.375" style="2" customWidth="1"/>
    <col min="3451" max="3468" width="7.625" style="2" customWidth="1"/>
    <col min="3469" max="3631" width="9" style="2" customWidth="1"/>
    <col min="3632" max="3633" width="3.125" style="2" customWidth="1"/>
    <col min="3634" max="3634" width="5.875" style="2" bestFit="1" customWidth="1"/>
    <col min="3635" max="3635" width="5.625" style="2" customWidth="1"/>
    <col min="3636" max="3636" width="10.625" style="2" customWidth="1"/>
    <col min="3637" max="3637" width="12.625" style="2" customWidth="1"/>
    <col min="3638" max="3638" width="8.625" style="2" customWidth="1"/>
    <col min="3639" max="3639" width="5.625" style="2" customWidth="1"/>
    <col min="3640" max="3640" width="4.625" style="2" customWidth="1"/>
    <col min="3641" max="3641" width="5.625" style="2" customWidth="1"/>
    <col min="3642" max="3645" width="4.625" style="2" customWidth="1"/>
    <col min="3646" max="3646" width="7.625" style="2" customWidth="1"/>
    <col min="3647" max="3647" width="8.625" style="2" customWidth="1"/>
    <col min="3648" max="3649" width="5.625" style="2" customWidth="1"/>
    <col min="3650" max="3650" width="6.625" style="2" customWidth="1"/>
    <col min="3651" max="3651" width="9.875" style="2" customWidth="1"/>
    <col min="3652" max="3653" width="8.625" style="2" customWidth="1"/>
    <col min="3654" max="3654" width="5.5" style="2" bestFit="1" customWidth="1"/>
    <col min="3655" max="3696" width="6.75" style="2" customWidth="1"/>
    <col min="3697" max="3697" width="9" style="2" customWidth="1"/>
    <col min="3698" max="3698" width="9.875" style="2" customWidth="1"/>
    <col min="3699" max="3699" width="2.875" style="2" customWidth="1"/>
    <col min="3700" max="3700" width="12.25" style="2" customWidth="1"/>
    <col min="3701" max="3701" width="6.375" style="2" customWidth="1"/>
    <col min="3702" max="3703" width="3.125" style="2" customWidth="1"/>
    <col min="3704" max="3704" width="1.125" style="2" customWidth="1"/>
    <col min="3705" max="3705" width="9" style="2" customWidth="1"/>
    <col min="3706" max="3706" width="2.375" style="2" customWidth="1"/>
    <col min="3707" max="3724" width="7.625" style="2" customWidth="1"/>
    <col min="3725" max="3887" width="9" style="2" customWidth="1"/>
    <col min="3888" max="3889" width="3.125" style="2" customWidth="1"/>
    <col min="3890" max="3890" width="5.875" style="2" bestFit="1" customWidth="1"/>
    <col min="3891" max="3891" width="5.625" style="2" customWidth="1"/>
    <col min="3892" max="3892" width="10.625" style="2" customWidth="1"/>
    <col min="3893" max="3893" width="12.625" style="2" customWidth="1"/>
    <col min="3894" max="3894" width="8.625" style="2" customWidth="1"/>
    <col min="3895" max="3895" width="5.625" style="2" customWidth="1"/>
    <col min="3896" max="3896" width="4.625" style="2" customWidth="1"/>
    <col min="3897" max="3897" width="5.625" style="2" customWidth="1"/>
    <col min="3898" max="3901" width="4.625" style="2" customWidth="1"/>
    <col min="3902" max="3902" width="7.625" style="2" customWidth="1"/>
    <col min="3903" max="3903" width="8.625" style="2" customWidth="1"/>
    <col min="3904" max="3905" width="5.625" style="2" customWidth="1"/>
    <col min="3906" max="3906" width="6.625" style="2" customWidth="1"/>
    <col min="3907" max="3907" width="9.875" style="2" customWidth="1"/>
    <col min="3908" max="3909" width="8.625" style="2" customWidth="1"/>
    <col min="3910" max="3910" width="5.5" style="2" bestFit="1" customWidth="1"/>
    <col min="3911" max="3952" width="6.75" style="2" customWidth="1"/>
    <col min="3953" max="3953" width="9" style="2" customWidth="1"/>
    <col min="3954" max="3954" width="9.875" style="2" customWidth="1"/>
    <col min="3955" max="3955" width="2.875" style="2" customWidth="1"/>
    <col min="3956" max="3956" width="12.25" style="2" customWidth="1"/>
    <col min="3957" max="3957" width="6.375" style="2" customWidth="1"/>
    <col min="3958" max="3959" width="3.125" style="2" customWidth="1"/>
    <col min="3960" max="3960" width="1.125" style="2" customWidth="1"/>
    <col min="3961" max="3961" width="9" style="2" customWidth="1"/>
    <col min="3962" max="3962" width="2.375" style="2" customWidth="1"/>
    <col min="3963" max="3980" width="7.625" style="2" customWidth="1"/>
    <col min="3981" max="4143" width="9" style="2" customWidth="1"/>
    <col min="4144" max="4145" width="3.125" style="2" customWidth="1"/>
    <col min="4146" max="4146" width="5.875" style="2" bestFit="1" customWidth="1"/>
    <col min="4147" max="4147" width="5.625" style="2" customWidth="1"/>
    <col min="4148" max="4148" width="10.625" style="2" customWidth="1"/>
    <col min="4149" max="4149" width="12.625" style="2" customWidth="1"/>
    <col min="4150" max="4150" width="8.625" style="2" customWidth="1"/>
    <col min="4151" max="4151" width="5.625" style="2" customWidth="1"/>
    <col min="4152" max="4152" width="4.625" style="2" customWidth="1"/>
    <col min="4153" max="4153" width="5.625" style="2" customWidth="1"/>
    <col min="4154" max="4157" width="4.625" style="2" customWidth="1"/>
    <col min="4158" max="4158" width="7.625" style="2" customWidth="1"/>
    <col min="4159" max="4159" width="8.625" style="2" customWidth="1"/>
    <col min="4160" max="4161" width="5.625" style="2" customWidth="1"/>
    <col min="4162" max="4162" width="6.625" style="2" customWidth="1"/>
    <col min="4163" max="4163" width="9.875" style="2" customWidth="1"/>
    <col min="4164" max="4165" width="8.625" style="2" customWidth="1"/>
    <col min="4166" max="4166" width="5.5" style="2" bestFit="1" customWidth="1"/>
    <col min="4167" max="4208" width="6.75" style="2" customWidth="1"/>
    <col min="4209" max="4209" width="9" style="2" customWidth="1"/>
    <col min="4210" max="4210" width="9.875" style="2" customWidth="1"/>
    <col min="4211" max="4211" width="2.875" style="2" customWidth="1"/>
    <col min="4212" max="4212" width="12.25" style="2" customWidth="1"/>
    <col min="4213" max="4213" width="6.375" style="2" customWidth="1"/>
    <col min="4214" max="4215" width="3.125" style="2" customWidth="1"/>
    <col min="4216" max="4216" width="1.125" style="2" customWidth="1"/>
    <col min="4217" max="4217" width="9" style="2" customWidth="1"/>
    <col min="4218" max="4218" width="2.375" style="2" customWidth="1"/>
    <col min="4219" max="4236" width="7.625" style="2" customWidth="1"/>
    <col min="4237" max="4399" width="9" style="2" customWidth="1"/>
    <col min="4400" max="4401" width="3.125" style="2" customWidth="1"/>
    <col min="4402" max="4402" width="5.875" style="2" bestFit="1" customWidth="1"/>
    <col min="4403" max="4403" width="5.625" style="2" customWidth="1"/>
    <col min="4404" max="4404" width="10.625" style="2" customWidth="1"/>
    <col min="4405" max="4405" width="12.625" style="2" customWidth="1"/>
    <col min="4406" max="4406" width="8.625" style="2" customWidth="1"/>
    <col min="4407" max="4407" width="5.625" style="2" customWidth="1"/>
    <col min="4408" max="4408" width="4.625" style="2" customWidth="1"/>
    <col min="4409" max="4409" width="5.625" style="2" customWidth="1"/>
    <col min="4410" max="4413" width="4.625" style="2" customWidth="1"/>
    <col min="4414" max="4414" width="7.625" style="2" customWidth="1"/>
    <col min="4415" max="4415" width="8.625" style="2" customWidth="1"/>
    <col min="4416" max="4417" width="5.625" style="2" customWidth="1"/>
    <col min="4418" max="4418" width="6.625" style="2" customWidth="1"/>
    <col min="4419" max="4419" width="9.875" style="2" customWidth="1"/>
    <col min="4420" max="4421" width="8.625" style="2" customWidth="1"/>
    <col min="4422" max="4422" width="5.5" style="2" bestFit="1" customWidth="1"/>
    <col min="4423" max="4464" width="6.75" style="2" customWidth="1"/>
    <col min="4465" max="4465" width="9" style="2" customWidth="1"/>
    <col min="4466" max="4466" width="9.875" style="2" customWidth="1"/>
    <col min="4467" max="4467" width="2.875" style="2" customWidth="1"/>
    <col min="4468" max="4468" width="12.25" style="2" customWidth="1"/>
    <col min="4469" max="4469" width="6.375" style="2" customWidth="1"/>
    <col min="4470" max="4471" width="3.125" style="2" customWidth="1"/>
    <col min="4472" max="4472" width="1.125" style="2" customWidth="1"/>
    <col min="4473" max="4473" width="9" style="2" customWidth="1"/>
    <col min="4474" max="4474" width="2.375" style="2" customWidth="1"/>
    <col min="4475" max="4492" width="7.625" style="2" customWidth="1"/>
    <col min="4493" max="4655" width="9" style="2" customWidth="1"/>
    <col min="4656" max="4657" width="3.125" style="2" customWidth="1"/>
    <col min="4658" max="4658" width="5.875" style="2" bestFit="1" customWidth="1"/>
    <col min="4659" max="4659" width="5.625" style="2" customWidth="1"/>
    <col min="4660" max="4660" width="10.625" style="2" customWidth="1"/>
    <col min="4661" max="4661" width="12.625" style="2" customWidth="1"/>
    <col min="4662" max="4662" width="8.625" style="2" customWidth="1"/>
    <col min="4663" max="4663" width="5.625" style="2" customWidth="1"/>
    <col min="4664" max="4664" width="4.625" style="2" customWidth="1"/>
    <col min="4665" max="4665" width="5.625" style="2" customWidth="1"/>
    <col min="4666" max="4669" width="4.625" style="2" customWidth="1"/>
    <col min="4670" max="4670" width="7.625" style="2" customWidth="1"/>
    <col min="4671" max="4671" width="8.625" style="2" customWidth="1"/>
    <col min="4672" max="4673" width="5.625" style="2" customWidth="1"/>
    <col min="4674" max="4674" width="6.625" style="2" customWidth="1"/>
    <col min="4675" max="4675" width="9.875" style="2" customWidth="1"/>
    <col min="4676" max="4677" width="8.625" style="2" customWidth="1"/>
    <col min="4678" max="4678" width="5.5" style="2" bestFit="1" customWidth="1"/>
    <col min="4679" max="4720" width="6.75" style="2" customWidth="1"/>
    <col min="4721" max="4721" width="9" style="2" customWidth="1"/>
    <col min="4722" max="4722" width="9.875" style="2" customWidth="1"/>
    <col min="4723" max="4723" width="2.875" style="2" customWidth="1"/>
    <col min="4724" max="4724" width="12.25" style="2" customWidth="1"/>
    <col min="4725" max="4725" width="6.375" style="2" customWidth="1"/>
    <col min="4726" max="4727" width="3.125" style="2" customWidth="1"/>
    <col min="4728" max="4728" width="1.125" style="2" customWidth="1"/>
    <col min="4729" max="4729" width="9" style="2" customWidth="1"/>
    <col min="4730" max="4730" width="2.375" style="2" customWidth="1"/>
    <col min="4731" max="4748" width="7.625" style="2" customWidth="1"/>
    <col min="4749" max="4911" width="9" style="2" customWidth="1"/>
    <col min="4912" max="4913" width="3.125" style="2" customWidth="1"/>
    <col min="4914" max="4914" width="5.875" style="2" bestFit="1" customWidth="1"/>
    <col min="4915" max="4915" width="5.625" style="2" customWidth="1"/>
    <col min="4916" max="4916" width="10.625" style="2" customWidth="1"/>
    <col min="4917" max="4917" width="12.625" style="2" customWidth="1"/>
    <col min="4918" max="4918" width="8.625" style="2" customWidth="1"/>
    <col min="4919" max="4919" width="5.625" style="2" customWidth="1"/>
    <col min="4920" max="4920" width="4.625" style="2" customWidth="1"/>
    <col min="4921" max="4921" width="5.625" style="2" customWidth="1"/>
    <col min="4922" max="4925" width="4.625" style="2" customWidth="1"/>
    <col min="4926" max="4926" width="7.625" style="2" customWidth="1"/>
    <col min="4927" max="4927" width="8.625" style="2" customWidth="1"/>
    <col min="4928" max="4929" width="5.625" style="2" customWidth="1"/>
    <col min="4930" max="4930" width="6.625" style="2" customWidth="1"/>
    <col min="4931" max="4931" width="9.875" style="2" customWidth="1"/>
    <col min="4932" max="4933" width="8.625" style="2" customWidth="1"/>
    <col min="4934" max="4934" width="5.5" style="2" bestFit="1" customWidth="1"/>
    <col min="4935" max="4976" width="6.75" style="2" customWidth="1"/>
    <col min="4977" max="4977" width="9" style="2" customWidth="1"/>
    <col min="4978" max="4978" width="9.875" style="2" customWidth="1"/>
    <col min="4979" max="4979" width="2.875" style="2" customWidth="1"/>
    <col min="4980" max="4980" width="12.25" style="2" customWidth="1"/>
    <col min="4981" max="4981" width="6.375" style="2" customWidth="1"/>
    <col min="4982" max="4983" width="3.125" style="2" customWidth="1"/>
    <col min="4984" max="4984" width="1.125" style="2" customWidth="1"/>
    <col min="4985" max="4985" width="9" style="2" customWidth="1"/>
    <col min="4986" max="4986" width="2.375" style="2" customWidth="1"/>
    <col min="4987" max="5004" width="7.625" style="2" customWidth="1"/>
    <col min="5005" max="5167" width="9" style="2" customWidth="1"/>
    <col min="5168" max="5169" width="3.125" style="2" customWidth="1"/>
    <col min="5170" max="5170" width="5.875" style="2" bestFit="1" customWidth="1"/>
    <col min="5171" max="5171" width="5.625" style="2" customWidth="1"/>
    <col min="5172" max="5172" width="10.625" style="2" customWidth="1"/>
    <col min="5173" max="5173" width="12.625" style="2" customWidth="1"/>
    <col min="5174" max="5174" width="8.625" style="2" customWidth="1"/>
    <col min="5175" max="5175" width="5.625" style="2" customWidth="1"/>
    <col min="5176" max="5176" width="4.625" style="2" customWidth="1"/>
    <col min="5177" max="5177" width="5.625" style="2" customWidth="1"/>
    <col min="5178" max="5181" width="4.625" style="2" customWidth="1"/>
    <col min="5182" max="5182" width="7.625" style="2" customWidth="1"/>
    <col min="5183" max="5183" width="8.625" style="2" customWidth="1"/>
    <col min="5184" max="5185" width="5.625" style="2" customWidth="1"/>
    <col min="5186" max="5186" width="6.625" style="2" customWidth="1"/>
    <col min="5187" max="5187" width="9.875" style="2" customWidth="1"/>
    <col min="5188" max="5189" width="8.625" style="2" customWidth="1"/>
    <col min="5190" max="5190" width="5.5" style="2" bestFit="1" customWidth="1"/>
    <col min="5191" max="5232" width="6.75" style="2" customWidth="1"/>
    <col min="5233" max="5233" width="9" style="2" customWidth="1"/>
    <col min="5234" max="5234" width="9.875" style="2" customWidth="1"/>
    <col min="5235" max="5235" width="2.875" style="2" customWidth="1"/>
    <col min="5236" max="5236" width="12.25" style="2" customWidth="1"/>
    <col min="5237" max="5237" width="6.375" style="2" customWidth="1"/>
    <col min="5238" max="5239" width="3.125" style="2" customWidth="1"/>
    <col min="5240" max="5240" width="1.125" style="2" customWidth="1"/>
    <col min="5241" max="5241" width="9" style="2" customWidth="1"/>
    <col min="5242" max="5242" width="2.375" style="2" customWidth="1"/>
    <col min="5243" max="5260" width="7.625" style="2" customWidth="1"/>
    <col min="5261" max="5423" width="9" style="2" customWidth="1"/>
    <col min="5424" max="5425" width="3.125" style="2" customWidth="1"/>
    <col min="5426" max="5426" width="5.875" style="2" bestFit="1" customWidth="1"/>
    <col min="5427" max="5427" width="5.625" style="2" customWidth="1"/>
    <col min="5428" max="5428" width="10.625" style="2" customWidth="1"/>
    <col min="5429" max="5429" width="12.625" style="2" customWidth="1"/>
    <col min="5430" max="5430" width="8.625" style="2" customWidth="1"/>
    <col min="5431" max="5431" width="5.625" style="2" customWidth="1"/>
    <col min="5432" max="5432" width="4.625" style="2" customWidth="1"/>
    <col min="5433" max="5433" width="5.625" style="2" customWidth="1"/>
    <col min="5434" max="5437" width="4.625" style="2" customWidth="1"/>
    <col min="5438" max="5438" width="7.625" style="2" customWidth="1"/>
    <col min="5439" max="5439" width="8.625" style="2" customWidth="1"/>
    <col min="5440" max="5441" width="5.625" style="2" customWidth="1"/>
    <col min="5442" max="5442" width="6.625" style="2" customWidth="1"/>
    <col min="5443" max="5443" width="9.875" style="2" customWidth="1"/>
    <col min="5444" max="5445" width="8.625" style="2" customWidth="1"/>
    <col min="5446" max="5446" width="5.5" style="2" bestFit="1" customWidth="1"/>
    <col min="5447" max="5488" width="6.75" style="2" customWidth="1"/>
    <col min="5489" max="5489" width="9" style="2" customWidth="1"/>
    <col min="5490" max="5490" width="9.875" style="2" customWidth="1"/>
    <col min="5491" max="5491" width="2.875" style="2" customWidth="1"/>
    <col min="5492" max="5492" width="12.25" style="2" customWidth="1"/>
    <col min="5493" max="5493" width="6.375" style="2" customWidth="1"/>
    <col min="5494" max="5495" width="3.125" style="2" customWidth="1"/>
    <col min="5496" max="5496" width="1.125" style="2" customWidth="1"/>
    <col min="5497" max="5497" width="9" style="2" customWidth="1"/>
    <col min="5498" max="5498" width="2.375" style="2" customWidth="1"/>
    <col min="5499" max="5516" width="7.625" style="2" customWidth="1"/>
    <col min="5517" max="5679" width="9" style="2" customWidth="1"/>
    <col min="5680" max="5681" width="3.125" style="2" customWidth="1"/>
    <col min="5682" max="5682" width="5.875" style="2" bestFit="1" customWidth="1"/>
    <col min="5683" max="5683" width="5.625" style="2" customWidth="1"/>
    <col min="5684" max="5684" width="10.625" style="2" customWidth="1"/>
    <col min="5685" max="5685" width="12.625" style="2" customWidth="1"/>
    <col min="5686" max="5686" width="8.625" style="2" customWidth="1"/>
    <col min="5687" max="5687" width="5.625" style="2" customWidth="1"/>
    <col min="5688" max="5688" width="4.625" style="2" customWidth="1"/>
    <col min="5689" max="5689" width="5.625" style="2" customWidth="1"/>
    <col min="5690" max="5693" width="4.625" style="2" customWidth="1"/>
    <col min="5694" max="5694" width="7.625" style="2" customWidth="1"/>
    <col min="5695" max="5695" width="8.625" style="2" customWidth="1"/>
    <col min="5696" max="5697" width="5.625" style="2" customWidth="1"/>
    <col min="5698" max="5698" width="6.625" style="2" customWidth="1"/>
    <col min="5699" max="5699" width="9.875" style="2" customWidth="1"/>
    <col min="5700" max="5701" width="8.625" style="2" customWidth="1"/>
    <col min="5702" max="5702" width="5.5" style="2" bestFit="1" customWidth="1"/>
    <col min="5703" max="5744" width="6.75" style="2" customWidth="1"/>
    <col min="5745" max="5745" width="9" style="2" customWidth="1"/>
    <col min="5746" max="5746" width="9.875" style="2" customWidth="1"/>
    <col min="5747" max="5747" width="2.875" style="2" customWidth="1"/>
    <col min="5748" max="5748" width="12.25" style="2" customWidth="1"/>
    <col min="5749" max="5749" width="6.375" style="2" customWidth="1"/>
    <col min="5750" max="5751" width="3.125" style="2" customWidth="1"/>
    <col min="5752" max="5752" width="1.125" style="2" customWidth="1"/>
    <col min="5753" max="5753" width="9" style="2" customWidth="1"/>
    <col min="5754" max="5754" width="2.375" style="2" customWidth="1"/>
    <col min="5755" max="5772" width="7.625" style="2" customWidth="1"/>
    <col min="5773" max="5935" width="9" style="2" customWidth="1"/>
    <col min="5936" max="5937" width="3.125" style="2" customWidth="1"/>
    <col min="5938" max="5938" width="5.875" style="2" bestFit="1" customWidth="1"/>
    <col min="5939" max="5939" width="5.625" style="2" customWidth="1"/>
    <col min="5940" max="5940" width="10.625" style="2" customWidth="1"/>
    <col min="5941" max="5941" width="12.625" style="2" customWidth="1"/>
    <col min="5942" max="5942" width="8.625" style="2" customWidth="1"/>
    <col min="5943" max="5943" width="5.625" style="2" customWidth="1"/>
    <col min="5944" max="5944" width="4.625" style="2" customWidth="1"/>
    <col min="5945" max="5945" width="5.625" style="2" customWidth="1"/>
    <col min="5946" max="5949" width="4.625" style="2" customWidth="1"/>
    <col min="5950" max="5950" width="7.625" style="2" customWidth="1"/>
    <col min="5951" max="5951" width="8.625" style="2" customWidth="1"/>
    <col min="5952" max="5953" width="5.625" style="2" customWidth="1"/>
    <col min="5954" max="5954" width="6.625" style="2" customWidth="1"/>
    <col min="5955" max="5955" width="9.875" style="2" customWidth="1"/>
    <col min="5956" max="5957" width="8.625" style="2" customWidth="1"/>
    <col min="5958" max="5958" width="5.5" style="2" bestFit="1" customWidth="1"/>
    <col min="5959" max="6000" width="6.75" style="2" customWidth="1"/>
    <col min="6001" max="6001" width="9" style="2" customWidth="1"/>
    <col min="6002" max="6002" width="9.875" style="2" customWidth="1"/>
    <col min="6003" max="6003" width="2.875" style="2" customWidth="1"/>
    <col min="6004" max="6004" width="12.25" style="2" customWidth="1"/>
    <col min="6005" max="6005" width="6.375" style="2" customWidth="1"/>
    <col min="6006" max="6007" width="3.125" style="2" customWidth="1"/>
    <col min="6008" max="6008" width="1.125" style="2" customWidth="1"/>
    <col min="6009" max="6009" width="9" style="2" customWidth="1"/>
    <col min="6010" max="6010" width="2.375" style="2" customWidth="1"/>
    <col min="6011" max="6028" width="7.625" style="2" customWidth="1"/>
    <col min="6029" max="6191" width="9" style="2" customWidth="1"/>
    <col min="6192" max="6193" width="3.125" style="2" customWidth="1"/>
    <col min="6194" max="6194" width="5.875" style="2" bestFit="1" customWidth="1"/>
    <col min="6195" max="6195" width="5.625" style="2" customWidth="1"/>
    <col min="6196" max="6196" width="10.625" style="2" customWidth="1"/>
    <col min="6197" max="6197" width="12.625" style="2" customWidth="1"/>
    <col min="6198" max="6198" width="8.625" style="2" customWidth="1"/>
    <col min="6199" max="6199" width="5.625" style="2" customWidth="1"/>
    <col min="6200" max="6200" width="4.625" style="2" customWidth="1"/>
    <col min="6201" max="6201" width="5.625" style="2" customWidth="1"/>
    <col min="6202" max="6205" width="4.625" style="2" customWidth="1"/>
    <col min="6206" max="6206" width="7.625" style="2" customWidth="1"/>
    <col min="6207" max="6207" width="8.625" style="2" customWidth="1"/>
    <col min="6208" max="6209" width="5.625" style="2" customWidth="1"/>
    <col min="6210" max="6210" width="6.625" style="2" customWidth="1"/>
    <col min="6211" max="6211" width="9.875" style="2" customWidth="1"/>
    <col min="6212" max="6213" width="8.625" style="2" customWidth="1"/>
    <col min="6214" max="6214" width="5.5" style="2" bestFit="1" customWidth="1"/>
    <col min="6215" max="6256" width="6.75" style="2" customWidth="1"/>
    <col min="6257" max="6257" width="9" style="2" customWidth="1"/>
    <col min="6258" max="6258" width="9.875" style="2" customWidth="1"/>
    <col min="6259" max="6259" width="2.875" style="2" customWidth="1"/>
    <col min="6260" max="6260" width="12.25" style="2" customWidth="1"/>
    <col min="6261" max="6261" width="6.375" style="2" customWidth="1"/>
    <col min="6262" max="6263" width="3.125" style="2" customWidth="1"/>
    <col min="6264" max="6264" width="1.125" style="2" customWidth="1"/>
    <col min="6265" max="6265" width="9" style="2" customWidth="1"/>
    <col min="6266" max="6266" width="2.375" style="2" customWidth="1"/>
    <col min="6267" max="6284" width="7.625" style="2" customWidth="1"/>
    <col min="6285" max="6447" width="9" style="2" customWidth="1"/>
    <col min="6448" max="6449" width="3.125" style="2" customWidth="1"/>
    <col min="6450" max="6450" width="5.875" style="2" bestFit="1" customWidth="1"/>
    <col min="6451" max="6451" width="5.625" style="2" customWidth="1"/>
    <col min="6452" max="6452" width="10.625" style="2" customWidth="1"/>
    <col min="6453" max="6453" width="12.625" style="2" customWidth="1"/>
    <col min="6454" max="6454" width="8.625" style="2" customWidth="1"/>
    <col min="6455" max="6455" width="5.625" style="2" customWidth="1"/>
    <col min="6456" max="6456" width="4.625" style="2" customWidth="1"/>
    <col min="6457" max="6457" width="5.625" style="2" customWidth="1"/>
    <col min="6458" max="6461" width="4.625" style="2" customWidth="1"/>
    <col min="6462" max="6462" width="7.625" style="2" customWidth="1"/>
    <col min="6463" max="6463" width="8.625" style="2" customWidth="1"/>
    <col min="6464" max="6465" width="5.625" style="2" customWidth="1"/>
    <col min="6466" max="6466" width="6.625" style="2" customWidth="1"/>
    <col min="6467" max="6467" width="9.875" style="2" customWidth="1"/>
    <col min="6468" max="6469" width="8.625" style="2" customWidth="1"/>
    <col min="6470" max="6470" width="5.5" style="2" bestFit="1" customWidth="1"/>
    <col min="6471" max="6512" width="6.75" style="2" customWidth="1"/>
    <col min="6513" max="6513" width="9" style="2" customWidth="1"/>
    <col min="6514" max="6514" width="9.875" style="2" customWidth="1"/>
    <col min="6515" max="6515" width="2.875" style="2" customWidth="1"/>
    <col min="6516" max="6516" width="12.25" style="2" customWidth="1"/>
    <col min="6517" max="6517" width="6.375" style="2" customWidth="1"/>
    <col min="6518" max="6519" width="3.125" style="2" customWidth="1"/>
    <col min="6520" max="6520" width="1.125" style="2" customWidth="1"/>
    <col min="6521" max="6521" width="9" style="2" customWidth="1"/>
    <col min="6522" max="6522" width="2.375" style="2" customWidth="1"/>
    <col min="6523" max="6540" width="7.625" style="2" customWidth="1"/>
    <col min="6541" max="6703" width="9" style="2" customWidth="1"/>
    <col min="6704" max="6705" width="3.125" style="2" customWidth="1"/>
    <col min="6706" max="6706" width="5.875" style="2" bestFit="1" customWidth="1"/>
    <col min="6707" max="6707" width="5.625" style="2" customWidth="1"/>
    <col min="6708" max="6708" width="10.625" style="2" customWidth="1"/>
    <col min="6709" max="6709" width="12.625" style="2" customWidth="1"/>
    <col min="6710" max="6710" width="8.625" style="2" customWidth="1"/>
    <col min="6711" max="6711" width="5.625" style="2" customWidth="1"/>
    <col min="6712" max="6712" width="4.625" style="2" customWidth="1"/>
    <col min="6713" max="6713" width="5.625" style="2" customWidth="1"/>
    <col min="6714" max="6717" width="4.625" style="2" customWidth="1"/>
    <col min="6718" max="6718" width="7.625" style="2" customWidth="1"/>
    <col min="6719" max="6719" width="8.625" style="2" customWidth="1"/>
    <col min="6720" max="6721" width="5.625" style="2" customWidth="1"/>
    <col min="6722" max="6722" width="6.625" style="2" customWidth="1"/>
    <col min="6723" max="6723" width="9.875" style="2" customWidth="1"/>
    <col min="6724" max="6725" width="8.625" style="2" customWidth="1"/>
    <col min="6726" max="6726" width="5.5" style="2" bestFit="1" customWidth="1"/>
    <col min="6727" max="6768" width="6.75" style="2" customWidth="1"/>
    <col min="6769" max="6769" width="9" style="2" customWidth="1"/>
    <col min="6770" max="6770" width="9.875" style="2" customWidth="1"/>
    <col min="6771" max="6771" width="2.875" style="2" customWidth="1"/>
    <col min="6772" max="6772" width="12.25" style="2" customWidth="1"/>
    <col min="6773" max="6773" width="6.375" style="2" customWidth="1"/>
    <col min="6774" max="6775" width="3.125" style="2" customWidth="1"/>
    <col min="6776" max="6776" width="1.125" style="2" customWidth="1"/>
    <col min="6777" max="6777" width="9" style="2" customWidth="1"/>
    <col min="6778" max="6778" width="2.375" style="2" customWidth="1"/>
    <col min="6779" max="6796" width="7.625" style="2" customWidth="1"/>
    <col min="6797" max="6959" width="9" style="2" customWidth="1"/>
    <col min="6960" max="6961" width="3.125" style="2" customWidth="1"/>
    <col min="6962" max="6962" width="5.875" style="2" bestFit="1" customWidth="1"/>
    <col min="6963" max="6963" width="5.625" style="2" customWidth="1"/>
    <col min="6964" max="6964" width="10.625" style="2" customWidth="1"/>
    <col min="6965" max="6965" width="12.625" style="2" customWidth="1"/>
    <col min="6966" max="6966" width="8.625" style="2" customWidth="1"/>
    <col min="6967" max="6967" width="5.625" style="2" customWidth="1"/>
    <col min="6968" max="6968" width="4.625" style="2" customWidth="1"/>
    <col min="6969" max="6969" width="5.625" style="2" customWidth="1"/>
    <col min="6970" max="6973" width="4.625" style="2" customWidth="1"/>
    <col min="6974" max="6974" width="7.625" style="2" customWidth="1"/>
    <col min="6975" max="6975" width="8.625" style="2" customWidth="1"/>
    <col min="6976" max="6977" width="5.625" style="2" customWidth="1"/>
    <col min="6978" max="6978" width="6.625" style="2" customWidth="1"/>
    <col min="6979" max="6979" width="9.875" style="2" customWidth="1"/>
    <col min="6980" max="6981" width="8.625" style="2" customWidth="1"/>
    <col min="6982" max="6982" width="5.5" style="2" bestFit="1" customWidth="1"/>
    <col min="6983" max="7024" width="6.75" style="2" customWidth="1"/>
    <col min="7025" max="7025" width="9" style="2" customWidth="1"/>
    <col min="7026" max="7026" width="9.875" style="2" customWidth="1"/>
    <col min="7027" max="7027" width="2.875" style="2" customWidth="1"/>
    <col min="7028" max="7028" width="12.25" style="2" customWidth="1"/>
    <col min="7029" max="7029" width="6.375" style="2" customWidth="1"/>
    <col min="7030" max="7031" width="3.125" style="2" customWidth="1"/>
    <col min="7032" max="7032" width="1.125" style="2" customWidth="1"/>
    <col min="7033" max="7033" width="9" style="2" customWidth="1"/>
    <col min="7034" max="7034" width="2.375" style="2" customWidth="1"/>
    <col min="7035" max="7052" width="7.625" style="2" customWidth="1"/>
    <col min="7053" max="7215" width="9" style="2" customWidth="1"/>
    <col min="7216" max="7217" width="3.125" style="2" customWidth="1"/>
    <col min="7218" max="7218" width="5.875" style="2" bestFit="1" customWidth="1"/>
    <col min="7219" max="7219" width="5.625" style="2" customWidth="1"/>
    <col min="7220" max="7220" width="10.625" style="2" customWidth="1"/>
    <col min="7221" max="7221" width="12.625" style="2" customWidth="1"/>
    <col min="7222" max="7222" width="8.625" style="2" customWidth="1"/>
    <col min="7223" max="7223" width="5.625" style="2" customWidth="1"/>
    <col min="7224" max="7224" width="4.625" style="2" customWidth="1"/>
    <col min="7225" max="7225" width="5.625" style="2" customWidth="1"/>
    <col min="7226" max="7229" width="4.625" style="2" customWidth="1"/>
    <col min="7230" max="7230" width="7.625" style="2" customWidth="1"/>
    <col min="7231" max="7231" width="8.625" style="2" customWidth="1"/>
    <col min="7232" max="7233" width="5.625" style="2" customWidth="1"/>
    <col min="7234" max="7234" width="6.625" style="2" customWidth="1"/>
    <col min="7235" max="7235" width="9.875" style="2" customWidth="1"/>
    <col min="7236" max="7237" width="8.625" style="2" customWidth="1"/>
    <col min="7238" max="7238" width="5.5" style="2" bestFit="1" customWidth="1"/>
    <col min="7239" max="7280" width="6.75" style="2" customWidth="1"/>
    <col min="7281" max="7281" width="9" style="2" customWidth="1"/>
    <col min="7282" max="7282" width="9.875" style="2" customWidth="1"/>
    <col min="7283" max="7283" width="2.875" style="2" customWidth="1"/>
    <col min="7284" max="7284" width="12.25" style="2" customWidth="1"/>
    <col min="7285" max="7285" width="6.375" style="2" customWidth="1"/>
    <col min="7286" max="7287" width="3.125" style="2" customWidth="1"/>
    <col min="7288" max="7288" width="1.125" style="2" customWidth="1"/>
    <col min="7289" max="7289" width="9" style="2" customWidth="1"/>
    <col min="7290" max="7290" width="2.375" style="2" customWidth="1"/>
    <col min="7291" max="7308" width="7.625" style="2" customWidth="1"/>
    <col min="7309" max="7471" width="9" style="2" customWidth="1"/>
    <col min="7472" max="7473" width="3.125" style="2" customWidth="1"/>
    <col min="7474" max="7474" width="5.875" style="2" bestFit="1" customWidth="1"/>
    <col min="7475" max="7475" width="5.625" style="2" customWidth="1"/>
    <col min="7476" max="7476" width="10.625" style="2" customWidth="1"/>
    <col min="7477" max="7477" width="12.625" style="2" customWidth="1"/>
    <col min="7478" max="7478" width="8.625" style="2" customWidth="1"/>
    <col min="7479" max="7479" width="5.625" style="2" customWidth="1"/>
    <col min="7480" max="7480" width="4.625" style="2" customWidth="1"/>
    <col min="7481" max="7481" width="5.625" style="2" customWidth="1"/>
    <col min="7482" max="7485" width="4.625" style="2" customWidth="1"/>
    <col min="7486" max="7486" width="7.625" style="2" customWidth="1"/>
    <col min="7487" max="7487" width="8.625" style="2" customWidth="1"/>
    <col min="7488" max="7489" width="5.625" style="2" customWidth="1"/>
    <col min="7490" max="7490" width="6.625" style="2" customWidth="1"/>
    <col min="7491" max="7491" width="9.875" style="2" customWidth="1"/>
    <col min="7492" max="7493" width="8.625" style="2" customWidth="1"/>
    <col min="7494" max="7494" width="5.5" style="2" bestFit="1" customWidth="1"/>
    <col min="7495" max="7536" width="6.75" style="2" customWidth="1"/>
    <col min="7537" max="7537" width="9" style="2" customWidth="1"/>
    <col min="7538" max="7538" width="9.875" style="2" customWidth="1"/>
    <col min="7539" max="7539" width="2.875" style="2" customWidth="1"/>
    <col min="7540" max="7540" width="12.25" style="2" customWidth="1"/>
    <col min="7541" max="7541" width="6.375" style="2" customWidth="1"/>
    <col min="7542" max="7543" width="3.125" style="2" customWidth="1"/>
    <col min="7544" max="7544" width="1.125" style="2" customWidth="1"/>
    <col min="7545" max="7545" width="9" style="2" customWidth="1"/>
    <col min="7546" max="7546" width="2.375" style="2" customWidth="1"/>
    <col min="7547" max="7564" width="7.625" style="2" customWidth="1"/>
    <col min="7565" max="7727" width="9" style="2" customWidth="1"/>
    <col min="7728" max="7729" width="3.125" style="2" customWidth="1"/>
    <col min="7730" max="7730" width="5.875" style="2" bestFit="1" customWidth="1"/>
    <col min="7731" max="7731" width="5.625" style="2" customWidth="1"/>
    <col min="7732" max="7732" width="10.625" style="2" customWidth="1"/>
    <col min="7733" max="7733" width="12.625" style="2" customWidth="1"/>
    <col min="7734" max="7734" width="8.625" style="2" customWidth="1"/>
    <col min="7735" max="7735" width="5.625" style="2" customWidth="1"/>
    <col min="7736" max="7736" width="4.625" style="2" customWidth="1"/>
    <col min="7737" max="7737" width="5.625" style="2" customWidth="1"/>
    <col min="7738" max="7741" width="4.625" style="2" customWidth="1"/>
    <col min="7742" max="7742" width="7.625" style="2" customWidth="1"/>
    <col min="7743" max="7743" width="8.625" style="2" customWidth="1"/>
    <col min="7744" max="7745" width="5.625" style="2" customWidth="1"/>
    <col min="7746" max="7746" width="6.625" style="2" customWidth="1"/>
    <col min="7747" max="7747" width="9.875" style="2" customWidth="1"/>
    <col min="7748" max="7749" width="8.625" style="2" customWidth="1"/>
    <col min="7750" max="7750" width="5.5" style="2" bestFit="1" customWidth="1"/>
    <col min="7751" max="7792" width="6.75" style="2" customWidth="1"/>
    <col min="7793" max="7793" width="9" style="2" customWidth="1"/>
    <col min="7794" max="7794" width="9.875" style="2" customWidth="1"/>
    <col min="7795" max="7795" width="2.875" style="2" customWidth="1"/>
    <col min="7796" max="7796" width="12.25" style="2" customWidth="1"/>
    <col min="7797" max="7797" width="6.375" style="2" customWidth="1"/>
    <col min="7798" max="7799" width="3.125" style="2" customWidth="1"/>
    <col min="7800" max="7800" width="1.125" style="2" customWidth="1"/>
    <col min="7801" max="7801" width="9" style="2" customWidth="1"/>
    <col min="7802" max="7802" width="2.375" style="2" customWidth="1"/>
    <col min="7803" max="7820" width="7.625" style="2" customWidth="1"/>
    <col min="7821" max="7983" width="9" style="2" customWidth="1"/>
    <col min="7984" max="7985" width="3.125" style="2" customWidth="1"/>
    <col min="7986" max="7986" width="5.875" style="2" bestFit="1" customWidth="1"/>
    <col min="7987" max="7987" width="5.625" style="2" customWidth="1"/>
    <col min="7988" max="7988" width="10.625" style="2" customWidth="1"/>
    <col min="7989" max="7989" width="12.625" style="2" customWidth="1"/>
    <col min="7990" max="7990" width="8.625" style="2" customWidth="1"/>
    <col min="7991" max="7991" width="5.625" style="2" customWidth="1"/>
    <col min="7992" max="7992" width="4.625" style="2" customWidth="1"/>
    <col min="7993" max="7993" width="5.625" style="2" customWidth="1"/>
    <col min="7994" max="7997" width="4.625" style="2" customWidth="1"/>
    <col min="7998" max="7998" width="7.625" style="2" customWidth="1"/>
    <col min="7999" max="7999" width="8.625" style="2" customWidth="1"/>
    <col min="8000" max="8001" width="5.625" style="2" customWidth="1"/>
    <col min="8002" max="8002" width="6.625" style="2" customWidth="1"/>
    <col min="8003" max="8003" width="9.875" style="2" customWidth="1"/>
    <col min="8004" max="8005" width="8.625" style="2" customWidth="1"/>
    <col min="8006" max="8006" width="5.5" style="2" bestFit="1" customWidth="1"/>
    <col min="8007" max="8048" width="6.75" style="2" customWidth="1"/>
    <col min="8049" max="8049" width="9" style="2" customWidth="1"/>
    <col min="8050" max="8050" width="9.875" style="2" customWidth="1"/>
    <col min="8051" max="8051" width="2.875" style="2" customWidth="1"/>
    <col min="8052" max="8052" width="12.25" style="2" customWidth="1"/>
    <col min="8053" max="8053" width="6.375" style="2" customWidth="1"/>
    <col min="8054" max="8055" width="3.125" style="2" customWidth="1"/>
    <col min="8056" max="8056" width="1.125" style="2" customWidth="1"/>
    <col min="8057" max="8057" width="9" style="2" customWidth="1"/>
    <col min="8058" max="8058" width="2.375" style="2" customWidth="1"/>
    <col min="8059" max="8076" width="7.625" style="2" customWidth="1"/>
    <col min="8077" max="8239" width="9" style="2" customWidth="1"/>
    <col min="8240" max="8241" width="3.125" style="2" customWidth="1"/>
    <col min="8242" max="8242" width="5.875" style="2" bestFit="1" customWidth="1"/>
    <col min="8243" max="8243" width="5.625" style="2" customWidth="1"/>
    <col min="8244" max="8244" width="10.625" style="2" customWidth="1"/>
    <col min="8245" max="8245" width="12.625" style="2" customWidth="1"/>
    <col min="8246" max="8246" width="8.625" style="2" customWidth="1"/>
    <col min="8247" max="8247" width="5.625" style="2" customWidth="1"/>
    <col min="8248" max="8248" width="4.625" style="2" customWidth="1"/>
    <col min="8249" max="8249" width="5.625" style="2" customWidth="1"/>
    <col min="8250" max="8253" width="4.625" style="2" customWidth="1"/>
    <col min="8254" max="8254" width="7.625" style="2" customWidth="1"/>
    <col min="8255" max="8255" width="8.625" style="2" customWidth="1"/>
    <col min="8256" max="8257" width="5.625" style="2" customWidth="1"/>
    <col min="8258" max="8258" width="6.625" style="2" customWidth="1"/>
    <col min="8259" max="8259" width="9.875" style="2" customWidth="1"/>
    <col min="8260" max="8261" width="8.625" style="2" customWidth="1"/>
    <col min="8262" max="8262" width="5.5" style="2" bestFit="1" customWidth="1"/>
    <col min="8263" max="8304" width="6.75" style="2" customWidth="1"/>
    <col min="8305" max="8305" width="9" style="2" customWidth="1"/>
    <col min="8306" max="8306" width="9.875" style="2" customWidth="1"/>
    <col min="8307" max="8307" width="2.875" style="2" customWidth="1"/>
    <col min="8308" max="8308" width="12.25" style="2" customWidth="1"/>
    <col min="8309" max="8309" width="6.375" style="2" customWidth="1"/>
    <col min="8310" max="8311" width="3.125" style="2" customWidth="1"/>
    <col min="8312" max="8312" width="1.125" style="2" customWidth="1"/>
    <col min="8313" max="8313" width="9" style="2" customWidth="1"/>
    <col min="8314" max="8314" width="2.375" style="2" customWidth="1"/>
    <col min="8315" max="8332" width="7.625" style="2" customWidth="1"/>
    <col min="8333" max="8495" width="9" style="2" customWidth="1"/>
    <col min="8496" max="8497" width="3.125" style="2" customWidth="1"/>
    <col min="8498" max="8498" width="5.875" style="2" bestFit="1" customWidth="1"/>
    <col min="8499" max="8499" width="5.625" style="2" customWidth="1"/>
    <col min="8500" max="8500" width="10.625" style="2" customWidth="1"/>
    <col min="8501" max="8501" width="12.625" style="2" customWidth="1"/>
    <col min="8502" max="8502" width="8.625" style="2" customWidth="1"/>
    <col min="8503" max="8503" width="5.625" style="2" customWidth="1"/>
    <col min="8504" max="8504" width="4.625" style="2" customWidth="1"/>
    <col min="8505" max="8505" width="5.625" style="2" customWidth="1"/>
    <col min="8506" max="8509" width="4.625" style="2" customWidth="1"/>
    <col min="8510" max="8510" width="7.625" style="2" customWidth="1"/>
    <col min="8511" max="8511" width="8.625" style="2" customWidth="1"/>
    <col min="8512" max="8513" width="5.625" style="2" customWidth="1"/>
    <col min="8514" max="8514" width="6.625" style="2" customWidth="1"/>
    <col min="8515" max="8515" width="9.875" style="2" customWidth="1"/>
    <col min="8516" max="8517" width="8.625" style="2" customWidth="1"/>
    <col min="8518" max="8518" width="5.5" style="2" bestFit="1" customWidth="1"/>
    <col min="8519" max="8560" width="6.75" style="2" customWidth="1"/>
    <col min="8561" max="8561" width="9" style="2" customWidth="1"/>
    <col min="8562" max="8562" width="9.875" style="2" customWidth="1"/>
    <col min="8563" max="8563" width="2.875" style="2" customWidth="1"/>
    <col min="8564" max="8564" width="12.25" style="2" customWidth="1"/>
    <col min="8565" max="8565" width="6.375" style="2" customWidth="1"/>
    <col min="8566" max="8567" width="3.125" style="2" customWidth="1"/>
    <col min="8568" max="8568" width="1.125" style="2" customWidth="1"/>
    <col min="8569" max="8569" width="9" style="2" customWidth="1"/>
    <col min="8570" max="8570" width="2.375" style="2" customWidth="1"/>
    <col min="8571" max="8588" width="7.625" style="2" customWidth="1"/>
    <col min="8589" max="8751" width="9" style="2" customWidth="1"/>
    <col min="8752" max="8753" width="3.125" style="2" customWidth="1"/>
    <col min="8754" max="8754" width="5.875" style="2" bestFit="1" customWidth="1"/>
    <col min="8755" max="8755" width="5.625" style="2" customWidth="1"/>
    <col min="8756" max="8756" width="10.625" style="2" customWidth="1"/>
    <col min="8757" max="8757" width="12.625" style="2" customWidth="1"/>
    <col min="8758" max="8758" width="8.625" style="2" customWidth="1"/>
    <col min="8759" max="8759" width="5.625" style="2" customWidth="1"/>
    <col min="8760" max="8760" width="4.625" style="2" customWidth="1"/>
    <col min="8761" max="8761" width="5.625" style="2" customWidth="1"/>
    <col min="8762" max="8765" width="4.625" style="2" customWidth="1"/>
    <col min="8766" max="8766" width="7.625" style="2" customWidth="1"/>
    <col min="8767" max="8767" width="8.625" style="2" customWidth="1"/>
    <col min="8768" max="8769" width="5.625" style="2" customWidth="1"/>
    <col min="8770" max="8770" width="6.625" style="2" customWidth="1"/>
    <col min="8771" max="8771" width="9.875" style="2" customWidth="1"/>
    <col min="8772" max="8773" width="8.625" style="2" customWidth="1"/>
    <col min="8774" max="8774" width="5.5" style="2" bestFit="1" customWidth="1"/>
    <col min="8775" max="8816" width="6.75" style="2" customWidth="1"/>
    <col min="8817" max="8817" width="9" style="2" customWidth="1"/>
    <col min="8818" max="8818" width="9.875" style="2" customWidth="1"/>
    <col min="8819" max="8819" width="2.875" style="2" customWidth="1"/>
    <col min="8820" max="8820" width="12.25" style="2" customWidth="1"/>
    <col min="8821" max="8821" width="6.375" style="2" customWidth="1"/>
    <col min="8822" max="8823" width="3.125" style="2" customWidth="1"/>
    <col min="8824" max="8824" width="1.125" style="2" customWidth="1"/>
    <col min="8825" max="8825" width="9" style="2" customWidth="1"/>
    <col min="8826" max="8826" width="2.375" style="2" customWidth="1"/>
    <col min="8827" max="8844" width="7.625" style="2" customWidth="1"/>
    <col min="8845" max="9007" width="9" style="2" customWidth="1"/>
    <col min="9008" max="9009" width="3.125" style="2" customWidth="1"/>
    <col min="9010" max="9010" width="5.875" style="2" bestFit="1" customWidth="1"/>
    <col min="9011" max="9011" width="5.625" style="2" customWidth="1"/>
    <col min="9012" max="9012" width="10.625" style="2" customWidth="1"/>
    <col min="9013" max="9013" width="12.625" style="2" customWidth="1"/>
    <col min="9014" max="9014" width="8.625" style="2" customWidth="1"/>
    <col min="9015" max="9015" width="5.625" style="2" customWidth="1"/>
    <col min="9016" max="9016" width="4.625" style="2" customWidth="1"/>
    <col min="9017" max="9017" width="5.625" style="2" customWidth="1"/>
    <col min="9018" max="9021" width="4.625" style="2" customWidth="1"/>
    <col min="9022" max="9022" width="7.625" style="2" customWidth="1"/>
    <col min="9023" max="9023" width="8.625" style="2" customWidth="1"/>
    <col min="9024" max="9025" width="5.625" style="2" customWidth="1"/>
    <col min="9026" max="9026" width="6.625" style="2" customWidth="1"/>
    <col min="9027" max="9027" width="9.875" style="2" customWidth="1"/>
    <col min="9028" max="9029" width="8.625" style="2" customWidth="1"/>
    <col min="9030" max="9030" width="5.5" style="2" bestFit="1" customWidth="1"/>
    <col min="9031" max="9072" width="6.75" style="2" customWidth="1"/>
    <col min="9073" max="9073" width="9" style="2" customWidth="1"/>
    <col min="9074" max="9074" width="9.875" style="2" customWidth="1"/>
    <col min="9075" max="9075" width="2.875" style="2" customWidth="1"/>
    <col min="9076" max="9076" width="12.25" style="2" customWidth="1"/>
    <col min="9077" max="9077" width="6.375" style="2" customWidth="1"/>
    <col min="9078" max="9079" width="3.125" style="2" customWidth="1"/>
    <col min="9080" max="9080" width="1.125" style="2" customWidth="1"/>
    <col min="9081" max="9081" width="9" style="2" customWidth="1"/>
    <col min="9082" max="9082" width="2.375" style="2" customWidth="1"/>
    <col min="9083" max="9100" width="7.625" style="2" customWidth="1"/>
    <col min="9101" max="9263" width="9" style="2" customWidth="1"/>
    <col min="9264" max="9265" width="3.125" style="2" customWidth="1"/>
    <col min="9266" max="9266" width="5.875" style="2" bestFit="1" customWidth="1"/>
    <col min="9267" max="9267" width="5.625" style="2" customWidth="1"/>
    <col min="9268" max="9268" width="10.625" style="2" customWidth="1"/>
    <col min="9269" max="9269" width="12.625" style="2" customWidth="1"/>
    <col min="9270" max="9270" width="8.625" style="2" customWidth="1"/>
    <col min="9271" max="9271" width="5.625" style="2" customWidth="1"/>
    <col min="9272" max="9272" width="4.625" style="2" customWidth="1"/>
    <col min="9273" max="9273" width="5.625" style="2" customWidth="1"/>
    <col min="9274" max="9277" width="4.625" style="2" customWidth="1"/>
    <col min="9278" max="9278" width="7.625" style="2" customWidth="1"/>
    <col min="9279" max="9279" width="8.625" style="2" customWidth="1"/>
    <col min="9280" max="9281" width="5.625" style="2" customWidth="1"/>
    <col min="9282" max="9282" width="6.625" style="2" customWidth="1"/>
    <col min="9283" max="9283" width="9.875" style="2" customWidth="1"/>
    <col min="9284" max="9285" width="8.625" style="2" customWidth="1"/>
    <col min="9286" max="9286" width="5.5" style="2" bestFit="1" customWidth="1"/>
    <col min="9287" max="9328" width="6.75" style="2" customWidth="1"/>
    <col min="9329" max="9329" width="9" style="2" customWidth="1"/>
    <col min="9330" max="9330" width="9.875" style="2" customWidth="1"/>
    <col min="9331" max="9331" width="2.875" style="2" customWidth="1"/>
    <col min="9332" max="9332" width="12.25" style="2" customWidth="1"/>
    <col min="9333" max="9333" width="6.375" style="2" customWidth="1"/>
    <col min="9334" max="9335" width="3.125" style="2" customWidth="1"/>
    <col min="9336" max="9336" width="1.125" style="2" customWidth="1"/>
    <col min="9337" max="9337" width="9" style="2" customWidth="1"/>
    <col min="9338" max="9338" width="2.375" style="2" customWidth="1"/>
    <col min="9339" max="9356" width="7.625" style="2" customWidth="1"/>
    <col min="9357" max="9519" width="9" style="2" customWidth="1"/>
    <col min="9520" max="9521" width="3.125" style="2" customWidth="1"/>
    <col min="9522" max="9522" width="5.875" style="2" bestFit="1" customWidth="1"/>
    <col min="9523" max="9523" width="5.625" style="2" customWidth="1"/>
    <col min="9524" max="9524" width="10.625" style="2" customWidth="1"/>
    <col min="9525" max="9525" width="12.625" style="2" customWidth="1"/>
    <col min="9526" max="9526" width="8.625" style="2" customWidth="1"/>
    <col min="9527" max="9527" width="5.625" style="2" customWidth="1"/>
    <col min="9528" max="9528" width="4.625" style="2" customWidth="1"/>
    <col min="9529" max="9529" width="5.625" style="2" customWidth="1"/>
    <col min="9530" max="9533" width="4.625" style="2" customWidth="1"/>
    <col min="9534" max="9534" width="7.625" style="2" customWidth="1"/>
    <col min="9535" max="9535" width="8.625" style="2" customWidth="1"/>
    <col min="9536" max="9537" width="5.625" style="2" customWidth="1"/>
    <col min="9538" max="9538" width="6.625" style="2" customWidth="1"/>
    <col min="9539" max="9539" width="9.875" style="2" customWidth="1"/>
    <col min="9540" max="9541" width="8.625" style="2" customWidth="1"/>
    <col min="9542" max="9542" width="5.5" style="2" bestFit="1" customWidth="1"/>
    <col min="9543" max="9584" width="6.75" style="2" customWidth="1"/>
    <col min="9585" max="9585" width="9" style="2" customWidth="1"/>
    <col min="9586" max="9586" width="9.875" style="2" customWidth="1"/>
    <col min="9587" max="9587" width="2.875" style="2" customWidth="1"/>
    <col min="9588" max="9588" width="12.25" style="2" customWidth="1"/>
    <col min="9589" max="9589" width="6.375" style="2" customWidth="1"/>
    <col min="9590" max="9591" width="3.125" style="2" customWidth="1"/>
    <col min="9592" max="9592" width="1.125" style="2" customWidth="1"/>
    <col min="9593" max="9593" width="9" style="2" customWidth="1"/>
    <col min="9594" max="9594" width="2.375" style="2" customWidth="1"/>
    <col min="9595" max="9612" width="7.625" style="2" customWidth="1"/>
    <col min="9613" max="9775" width="9" style="2" customWidth="1"/>
    <col min="9776" max="9777" width="3.125" style="2" customWidth="1"/>
    <col min="9778" max="9778" width="5.875" style="2" bestFit="1" customWidth="1"/>
    <col min="9779" max="9779" width="5.625" style="2" customWidth="1"/>
    <col min="9780" max="9780" width="10.625" style="2" customWidth="1"/>
    <col min="9781" max="9781" width="12.625" style="2" customWidth="1"/>
    <col min="9782" max="9782" width="8.625" style="2" customWidth="1"/>
    <col min="9783" max="9783" width="5.625" style="2" customWidth="1"/>
    <col min="9784" max="9784" width="4.625" style="2" customWidth="1"/>
    <col min="9785" max="9785" width="5.625" style="2" customWidth="1"/>
    <col min="9786" max="9789" width="4.625" style="2" customWidth="1"/>
    <col min="9790" max="9790" width="7.625" style="2" customWidth="1"/>
    <col min="9791" max="9791" width="8.625" style="2" customWidth="1"/>
    <col min="9792" max="9793" width="5.625" style="2" customWidth="1"/>
    <col min="9794" max="9794" width="6.625" style="2" customWidth="1"/>
    <col min="9795" max="9795" width="9.875" style="2" customWidth="1"/>
    <col min="9796" max="9797" width="8.625" style="2" customWidth="1"/>
    <col min="9798" max="9798" width="5.5" style="2" bestFit="1" customWidth="1"/>
    <col min="9799" max="9840" width="6.75" style="2" customWidth="1"/>
    <col min="9841" max="9841" width="9" style="2" customWidth="1"/>
    <col min="9842" max="9842" width="9.875" style="2" customWidth="1"/>
    <col min="9843" max="9843" width="2.875" style="2" customWidth="1"/>
    <col min="9844" max="9844" width="12.25" style="2" customWidth="1"/>
    <col min="9845" max="9845" width="6.375" style="2" customWidth="1"/>
    <col min="9846" max="9847" width="3.125" style="2" customWidth="1"/>
    <col min="9848" max="9848" width="1.125" style="2" customWidth="1"/>
    <col min="9849" max="9849" width="9" style="2" customWidth="1"/>
    <col min="9850" max="9850" width="2.375" style="2" customWidth="1"/>
    <col min="9851" max="9868" width="7.625" style="2" customWidth="1"/>
    <col min="9869" max="10031" width="9" style="2" customWidth="1"/>
    <col min="10032" max="10033" width="3.125" style="2" customWidth="1"/>
    <col min="10034" max="10034" width="5.875" style="2" bestFit="1" customWidth="1"/>
    <col min="10035" max="10035" width="5.625" style="2" customWidth="1"/>
    <col min="10036" max="10036" width="10.625" style="2" customWidth="1"/>
    <col min="10037" max="10037" width="12.625" style="2" customWidth="1"/>
    <col min="10038" max="10038" width="8.625" style="2" customWidth="1"/>
    <col min="10039" max="10039" width="5.625" style="2" customWidth="1"/>
    <col min="10040" max="10040" width="4.625" style="2" customWidth="1"/>
    <col min="10041" max="10041" width="5.625" style="2" customWidth="1"/>
    <col min="10042" max="10045" width="4.625" style="2" customWidth="1"/>
    <col min="10046" max="10046" width="7.625" style="2" customWidth="1"/>
    <col min="10047" max="10047" width="8.625" style="2" customWidth="1"/>
    <col min="10048" max="10049" width="5.625" style="2" customWidth="1"/>
    <col min="10050" max="10050" width="6.625" style="2" customWidth="1"/>
    <col min="10051" max="10051" width="9.875" style="2" customWidth="1"/>
    <col min="10052" max="10053" width="8.625" style="2" customWidth="1"/>
    <col min="10054" max="10054" width="5.5" style="2" bestFit="1" customWidth="1"/>
    <col min="10055" max="10096" width="6.75" style="2" customWidth="1"/>
    <col min="10097" max="10097" width="9" style="2" customWidth="1"/>
    <col min="10098" max="10098" width="9.875" style="2" customWidth="1"/>
    <col min="10099" max="10099" width="2.875" style="2" customWidth="1"/>
    <col min="10100" max="10100" width="12.25" style="2" customWidth="1"/>
    <col min="10101" max="10101" width="6.375" style="2" customWidth="1"/>
    <col min="10102" max="10103" width="3.125" style="2" customWidth="1"/>
    <col min="10104" max="10104" width="1.125" style="2" customWidth="1"/>
    <col min="10105" max="10105" width="9" style="2" customWidth="1"/>
    <col min="10106" max="10106" width="2.375" style="2" customWidth="1"/>
    <col min="10107" max="10124" width="7.625" style="2" customWidth="1"/>
    <col min="10125" max="10287" width="9" style="2" customWidth="1"/>
    <col min="10288" max="10289" width="3.125" style="2" customWidth="1"/>
    <col min="10290" max="10290" width="5.875" style="2" bestFit="1" customWidth="1"/>
    <col min="10291" max="10291" width="5.625" style="2" customWidth="1"/>
    <col min="10292" max="10292" width="10.625" style="2" customWidth="1"/>
    <col min="10293" max="10293" width="12.625" style="2" customWidth="1"/>
    <col min="10294" max="10294" width="8.625" style="2" customWidth="1"/>
    <col min="10295" max="10295" width="5.625" style="2" customWidth="1"/>
    <col min="10296" max="10296" width="4.625" style="2" customWidth="1"/>
    <col min="10297" max="10297" width="5.625" style="2" customWidth="1"/>
    <col min="10298" max="10301" width="4.625" style="2" customWidth="1"/>
    <col min="10302" max="10302" width="7.625" style="2" customWidth="1"/>
    <col min="10303" max="10303" width="8.625" style="2" customWidth="1"/>
    <col min="10304" max="10305" width="5.625" style="2" customWidth="1"/>
    <col min="10306" max="10306" width="6.625" style="2" customWidth="1"/>
    <col min="10307" max="10307" width="9.875" style="2" customWidth="1"/>
    <col min="10308" max="10309" width="8.625" style="2" customWidth="1"/>
    <col min="10310" max="10310" width="5.5" style="2" bestFit="1" customWidth="1"/>
    <col min="10311" max="10352" width="6.75" style="2" customWidth="1"/>
    <col min="10353" max="10353" width="9" style="2" customWidth="1"/>
    <col min="10354" max="10354" width="9.875" style="2" customWidth="1"/>
    <col min="10355" max="10355" width="2.875" style="2" customWidth="1"/>
    <col min="10356" max="10356" width="12.25" style="2" customWidth="1"/>
    <col min="10357" max="10357" width="6.375" style="2" customWidth="1"/>
    <col min="10358" max="10359" width="3.125" style="2" customWidth="1"/>
    <col min="10360" max="10360" width="1.125" style="2" customWidth="1"/>
    <col min="10361" max="10361" width="9" style="2" customWidth="1"/>
    <col min="10362" max="10362" width="2.375" style="2" customWidth="1"/>
    <col min="10363" max="10380" width="7.625" style="2" customWidth="1"/>
    <col min="10381" max="10543" width="9" style="2" customWidth="1"/>
    <col min="10544" max="10545" width="3.125" style="2" customWidth="1"/>
    <col min="10546" max="10546" width="5.875" style="2" bestFit="1" customWidth="1"/>
    <col min="10547" max="10547" width="5.625" style="2" customWidth="1"/>
    <col min="10548" max="10548" width="10.625" style="2" customWidth="1"/>
    <col min="10549" max="10549" width="12.625" style="2" customWidth="1"/>
    <col min="10550" max="10550" width="8.625" style="2" customWidth="1"/>
    <col min="10551" max="10551" width="5.625" style="2" customWidth="1"/>
    <col min="10552" max="10552" width="4.625" style="2" customWidth="1"/>
    <col min="10553" max="10553" width="5.625" style="2" customWidth="1"/>
    <col min="10554" max="10557" width="4.625" style="2" customWidth="1"/>
    <col min="10558" max="10558" width="7.625" style="2" customWidth="1"/>
    <col min="10559" max="10559" width="8.625" style="2" customWidth="1"/>
    <col min="10560" max="10561" width="5.625" style="2" customWidth="1"/>
    <col min="10562" max="10562" width="6.625" style="2" customWidth="1"/>
    <col min="10563" max="10563" width="9.875" style="2" customWidth="1"/>
    <col min="10564" max="10565" width="8.625" style="2" customWidth="1"/>
    <col min="10566" max="10566" width="5.5" style="2" bestFit="1" customWidth="1"/>
    <col min="10567" max="10608" width="6.75" style="2" customWidth="1"/>
    <col min="10609" max="10609" width="9" style="2" customWidth="1"/>
    <col min="10610" max="10610" width="9.875" style="2" customWidth="1"/>
    <col min="10611" max="10611" width="2.875" style="2" customWidth="1"/>
    <col min="10612" max="10612" width="12.25" style="2" customWidth="1"/>
    <col min="10613" max="10613" width="6.375" style="2" customWidth="1"/>
    <col min="10614" max="10615" width="3.125" style="2" customWidth="1"/>
    <col min="10616" max="10616" width="1.125" style="2" customWidth="1"/>
    <col min="10617" max="10617" width="9" style="2" customWidth="1"/>
    <col min="10618" max="10618" width="2.375" style="2" customWidth="1"/>
    <col min="10619" max="10636" width="7.625" style="2" customWidth="1"/>
    <col min="10637" max="10799" width="9" style="2" customWidth="1"/>
    <col min="10800" max="10801" width="3.125" style="2" customWidth="1"/>
    <col min="10802" max="10802" width="5.875" style="2" bestFit="1" customWidth="1"/>
    <col min="10803" max="10803" width="5.625" style="2" customWidth="1"/>
    <col min="10804" max="10804" width="10.625" style="2" customWidth="1"/>
    <col min="10805" max="10805" width="12.625" style="2" customWidth="1"/>
    <col min="10806" max="10806" width="8.625" style="2" customWidth="1"/>
    <col min="10807" max="10807" width="5.625" style="2" customWidth="1"/>
    <col min="10808" max="10808" width="4.625" style="2" customWidth="1"/>
    <col min="10809" max="10809" width="5.625" style="2" customWidth="1"/>
    <col min="10810" max="10813" width="4.625" style="2" customWidth="1"/>
    <col min="10814" max="10814" width="7.625" style="2" customWidth="1"/>
    <col min="10815" max="10815" width="8.625" style="2" customWidth="1"/>
    <col min="10816" max="10817" width="5.625" style="2" customWidth="1"/>
    <col min="10818" max="10818" width="6.625" style="2" customWidth="1"/>
    <col min="10819" max="10819" width="9.875" style="2" customWidth="1"/>
    <col min="10820" max="10821" width="8.625" style="2" customWidth="1"/>
    <col min="10822" max="10822" width="5.5" style="2" bestFit="1" customWidth="1"/>
    <col min="10823" max="10864" width="6.75" style="2" customWidth="1"/>
    <col min="10865" max="10865" width="9" style="2" customWidth="1"/>
    <col min="10866" max="10866" width="9.875" style="2" customWidth="1"/>
    <col min="10867" max="10867" width="2.875" style="2" customWidth="1"/>
    <col min="10868" max="10868" width="12.25" style="2" customWidth="1"/>
    <col min="10869" max="10869" width="6.375" style="2" customWidth="1"/>
    <col min="10870" max="10871" width="3.125" style="2" customWidth="1"/>
    <col min="10872" max="10872" width="1.125" style="2" customWidth="1"/>
    <col min="10873" max="10873" width="9" style="2" customWidth="1"/>
    <col min="10874" max="10874" width="2.375" style="2" customWidth="1"/>
    <col min="10875" max="10892" width="7.625" style="2" customWidth="1"/>
    <col min="10893" max="11055" width="9" style="2" customWidth="1"/>
    <col min="11056" max="11057" width="3.125" style="2" customWidth="1"/>
    <col min="11058" max="11058" width="5.875" style="2" bestFit="1" customWidth="1"/>
    <col min="11059" max="11059" width="5.625" style="2" customWidth="1"/>
    <col min="11060" max="11060" width="10.625" style="2" customWidth="1"/>
    <col min="11061" max="11061" width="12.625" style="2" customWidth="1"/>
    <col min="11062" max="11062" width="8.625" style="2" customWidth="1"/>
    <col min="11063" max="11063" width="5.625" style="2" customWidth="1"/>
    <col min="11064" max="11064" width="4.625" style="2" customWidth="1"/>
    <col min="11065" max="11065" width="5.625" style="2" customWidth="1"/>
    <col min="11066" max="11069" width="4.625" style="2" customWidth="1"/>
    <col min="11070" max="11070" width="7.625" style="2" customWidth="1"/>
    <col min="11071" max="11071" width="8.625" style="2" customWidth="1"/>
    <col min="11072" max="11073" width="5.625" style="2" customWidth="1"/>
    <col min="11074" max="11074" width="6.625" style="2" customWidth="1"/>
    <col min="11075" max="11075" width="9.875" style="2" customWidth="1"/>
    <col min="11076" max="11077" width="8.625" style="2" customWidth="1"/>
    <col min="11078" max="11078" width="5.5" style="2" bestFit="1" customWidth="1"/>
    <col min="11079" max="11120" width="6.75" style="2" customWidth="1"/>
    <col min="11121" max="11121" width="9" style="2" customWidth="1"/>
    <col min="11122" max="11122" width="9.875" style="2" customWidth="1"/>
    <col min="11123" max="11123" width="2.875" style="2" customWidth="1"/>
    <col min="11124" max="11124" width="12.25" style="2" customWidth="1"/>
    <col min="11125" max="11125" width="6.375" style="2" customWidth="1"/>
    <col min="11126" max="11127" width="3.125" style="2" customWidth="1"/>
    <col min="11128" max="11128" width="1.125" style="2" customWidth="1"/>
    <col min="11129" max="11129" width="9" style="2" customWidth="1"/>
    <col min="11130" max="11130" width="2.375" style="2" customWidth="1"/>
    <col min="11131" max="11148" width="7.625" style="2" customWidth="1"/>
    <col min="11149" max="11311" width="9" style="2" customWidth="1"/>
    <col min="11312" max="11313" width="3.125" style="2" customWidth="1"/>
    <col min="11314" max="11314" width="5.875" style="2" bestFit="1" customWidth="1"/>
    <col min="11315" max="11315" width="5.625" style="2" customWidth="1"/>
    <col min="11316" max="11316" width="10.625" style="2" customWidth="1"/>
    <col min="11317" max="11317" width="12.625" style="2" customWidth="1"/>
    <col min="11318" max="11318" width="8.625" style="2" customWidth="1"/>
    <col min="11319" max="11319" width="5.625" style="2" customWidth="1"/>
    <col min="11320" max="11320" width="4.625" style="2" customWidth="1"/>
    <col min="11321" max="11321" width="5.625" style="2" customWidth="1"/>
    <col min="11322" max="11325" width="4.625" style="2" customWidth="1"/>
    <col min="11326" max="11326" width="7.625" style="2" customWidth="1"/>
    <col min="11327" max="11327" width="8.625" style="2" customWidth="1"/>
    <col min="11328" max="11329" width="5.625" style="2" customWidth="1"/>
    <col min="11330" max="11330" width="6.625" style="2" customWidth="1"/>
    <col min="11331" max="11331" width="9.875" style="2" customWidth="1"/>
    <col min="11332" max="11333" width="8.625" style="2" customWidth="1"/>
    <col min="11334" max="11334" width="5.5" style="2" bestFit="1" customWidth="1"/>
    <col min="11335" max="11376" width="6.75" style="2" customWidth="1"/>
    <col min="11377" max="11377" width="9" style="2" customWidth="1"/>
    <col min="11378" max="11378" width="9.875" style="2" customWidth="1"/>
    <col min="11379" max="11379" width="2.875" style="2" customWidth="1"/>
    <col min="11380" max="11380" width="12.25" style="2" customWidth="1"/>
    <col min="11381" max="11381" width="6.375" style="2" customWidth="1"/>
    <col min="11382" max="11383" width="3.125" style="2" customWidth="1"/>
    <col min="11384" max="11384" width="1.125" style="2" customWidth="1"/>
    <col min="11385" max="11385" width="9" style="2" customWidth="1"/>
    <col min="11386" max="11386" width="2.375" style="2" customWidth="1"/>
    <col min="11387" max="11404" width="7.625" style="2" customWidth="1"/>
    <col min="11405" max="11567" width="9" style="2" customWidth="1"/>
    <col min="11568" max="11569" width="3.125" style="2" customWidth="1"/>
    <col min="11570" max="11570" width="5.875" style="2" bestFit="1" customWidth="1"/>
    <col min="11571" max="11571" width="5.625" style="2" customWidth="1"/>
    <col min="11572" max="11572" width="10.625" style="2" customWidth="1"/>
    <col min="11573" max="11573" width="12.625" style="2" customWidth="1"/>
    <col min="11574" max="11574" width="8.625" style="2" customWidth="1"/>
    <col min="11575" max="11575" width="5.625" style="2" customWidth="1"/>
    <col min="11576" max="11576" width="4.625" style="2" customWidth="1"/>
    <col min="11577" max="11577" width="5.625" style="2" customWidth="1"/>
    <col min="11578" max="11581" width="4.625" style="2" customWidth="1"/>
    <col min="11582" max="11582" width="7.625" style="2" customWidth="1"/>
    <col min="11583" max="11583" width="8.625" style="2" customWidth="1"/>
    <col min="11584" max="11585" width="5.625" style="2" customWidth="1"/>
    <col min="11586" max="11586" width="6.625" style="2" customWidth="1"/>
    <col min="11587" max="11587" width="9.875" style="2" customWidth="1"/>
    <col min="11588" max="11589" width="8.625" style="2" customWidth="1"/>
    <col min="11590" max="11590" width="5.5" style="2" bestFit="1" customWidth="1"/>
    <col min="11591" max="11632" width="6.75" style="2" customWidth="1"/>
    <col min="11633" max="11633" width="9" style="2" customWidth="1"/>
    <col min="11634" max="11634" width="9.875" style="2" customWidth="1"/>
    <col min="11635" max="11635" width="2.875" style="2" customWidth="1"/>
    <col min="11636" max="11636" width="12.25" style="2" customWidth="1"/>
    <col min="11637" max="11637" width="6.375" style="2" customWidth="1"/>
    <col min="11638" max="11639" width="3.125" style="2" customWidth="1"/>
    <col min="11640" max="11640" width="1.125" style="2" customWidth="1"/>
    <col min="11641" max="11641" width="9" style="2" customWidth="1"/>
    <col min="11642" max="11642" width="2.375" style="2" customWidth="1"/>
    <col min="11643" max="11660" width="7.625" style="2" customWidth="1"/>
    <col min="11661" max="11823" width="9" style="2" customWidth="1"/>
    <col min="11824" max="11825" width="3.125" style="2" customWidth="1"/>
    <col min="11826" max="11826" width="5.875" style="2" bestFit="1" customWidth="1"/>
    <col min="11827" max="11827" width="5.625" style="2" customWidth="1"/>
    <col min="11828" max="11828" width="10.625" style="2" customWidth="1"/>
    <col min="11829" max="11829" width="12.625" style="2" customWidth="1"/>
    <col min="11830" max="11830" width="8.625" style="2" customWidth="1"/>
    <col min="11831" max="11831" width="5.625" style="2" customWidth="1"/>
    <col min="11832" max="11832" width="4.625" style="2" customWidth="1"/>
    <col min="11833" max="11833" width="5.625" style="2" customWidth="1"/>
    <col min="11834" max="11837" width="4.625" style="2" customWidth="1"/>
    <col min="11838" max="11838" width="7.625" style="2" customWidth="1"/>
    <col min="11839" max="11839" width="8.625" style="2" customWidth="1"/>
    <col min="11840" max="11841" width="5.625" style="2" customWidth="1"/>
    <col min="11842" max="11842" width="6.625" style="2" customWidth="1"/>
    <col min="11843" max="11843" width="9.875" style="2" customWidth="1"/>
    <col min="11844" max="11845" width="8.625" style="2" customWidth="1"/>
    <col min="11846" max="11846" width="5.5" style="2" bestFit="1" customWidth="1"/>
    <col min="11847" max="11888" width="6.75" style="2" customWidth="1"/>
    <col min="11889" max="11889" width="9" style="2" customWidth="1"/>
    <col min="11890" max="11890" width="9.875" style="2" customWidth="1"/>
    <col min="11891" max="11891" width="2.875" style="2" customWidth="1"/>
    <col min="11892" max="11892" width="12.25" style="2" customWidth="1"/>
    <col min="11893" max="11893" width="6.375" style="2" customWidth="1"/>
    <col min="11894" max="11895" width="3.125" style="2" customWidth="1"/>
    <col min="11896" max="11896" width="1.125" style="2" customWidth="1"/>
    <col min="11897" max="11897" width="9" style="2" customWidth="1"/>
    <col min="11898" max="11898" width="2.375" style="2" customWidth="1"/>
    <col min="11899" max="11916" width="7.625" style="2" customWidth="1"/>
    <col min="11917" max="12079" width="9" style="2" customWidth="1"/>
    <col min="12080" max="12081" width="3.125" style="2" customWidth="1"/>
    <col min="12082" max="12082" width="5.875" style="2" bestFit="1" customWidth="1"/>
    <col min="12083" max="12083" width="5.625" style="2" customWidth="1"/>
    <col min="12084" max="12084" width="10.625" style="2" customWidth="1"/>
    <col min="12085" max="12085" width="12.625" style="2" customWidth="1"/>
    <col min="12086" max="12086" width="8.625" style="2" customWidth="1"/>
    <col min="12087" max="12087" width="5.625" style="2" customWidth="1"/>
    <col min="12088" max="12088" width="4.625" style="2" customWidth="1"/>
    <col min="12089" max="12089" width="5.625" style="2" customWidth="1"/>
    <col min="12090" max="12093" width="4.625" style="2" customWidth="1"/>
    <col min="12094" max="12094" width="7.625" style="2" customWidth="1"/>
    <col min="12095" max="12095" width="8.625" style="2" customWidth="1"/>
    <col min="12096" max="12097" width="5.625" style="2" customWidth="1"/>
    <col min="12098" max="12098" width="6.625" style="2" customWidth="1"/>
    <col min="12099" max="12099" width="9.875" style="2" customWidth="1"/>
    <col min="12100" max="12101" width="8.625" style="2" customWidth="1"/>
    <col min="12102" max="12102" width="5.5" style="2" bestFit="1" customWidth="1"/>
    <col min="12103" max="12144" width="6.75" style="2" customWidth="1"/>
    <col min="12145" max="12145" width="9" style="2" customWidth="1"/>
    <col min="12146" max="12146" width="9.875" style="2" customWidth="1"/>
    <col min="12147" max="12147" width="2.875" style="2" customWidth="1"/>
    <col min="12148" max="12148" width="12.25" style="2" customWidth="1"/>
    <col min="12149" max="12149" width="6.375" style="2" customWidth="1"/>
    <col min="12150" max="12151" width="3.125" style="2" customWidth="1"/>
    <col min="12152" max="12152" width="1.125" style="2" customWidth="1"/>
    <col min="12153" max="12153" width="9" style="2" customWidth="1"/>
    <col min="12154" max="12154" width="2.375" style="2" customWidth="1"/>
    <col min="12155" max="12172" width="7.625" style="2" customWidth="1"/>
    <col min="12173" max="12335" width="9" style="2" customWidth="1"/>
    <col min="12336" max="12337" width="3.125" style="2" customWidth="1"/>
    <col min="12338" max="12338" width="5.875" style="2" bestFit="1" customWidth="1"/>
    <col min="12339" max="12339" width="5.625" style="2" customWidth="1"/>
    <col min="12340" max="12340" width="10.625" style="2" customWidth="1"/>
    <col min="12341" max="12341" width="12.625" style="2" customWidth="1"/>
    <col min="12342" max="12342" width="8.625" style="2" customWidth="1"/>
    <col min="12343" max="12343" width="5.625" style="2" customWidth="1"/>
    <col min="12344" max="12344" width="4.625" style="2" customWidth="1"/>
    <col min="12345" max="12345" width="5.625" style="2" customWidth="1"/>
    <col min="12346" max="12349" width="4.625" style="2" customWidth="1"/>
    <col min="12350" max="12350" width="7.625" style="2" customWidth="1"/>
    <col min="12351" max="12351" width="8.625" style="2" customWidth="1"/>
    <col min="12352" max="12353" width="5.625" style="2" customWidth="1"/>
    <col min="12354" max="12354" width="6.625" style="2" customWidth="1"/>
    <col min="12355" max="12355" width="9.875" style="2" customWidth="1"/>
    <col min="12356" max="12357" width="8.625" style="2" customWidth="1"/>
    <col min="12358" max="12358" width="5.5" style="2" bestFit="1" customWidth="1"/>
    <col min="12359" max="12400" width="6.75" style="2" customWidth="1"/>
    <col min="12401" max="12401" width="9" style="2" customWidth="1"/>
    <col min="12402" max="12402" width="9.875" style="2" customWidth="1"/>
    <col min="12403" max="12403" width="2.875" style="2" customWidth="1"/>
    <col min="12404" max="12404" width="12.25" style="2" customWidth="1"/>
    <col min="12405" max="12405" width="6.375" style="2" customWidth="1"/>
    <col min="12406" max="12407" width="3.125" style="2" customWidth="1"/>
    <col min="12408" max="12408" width="1.125" style="2" customWidth="1"/>
    <col min="12409" max="12409" width="9" style="2" customWidth="1"/>
    <col min="12410" max="12410" width="2.375" style="2" customWidth="1"/>
    <col min="12411" max="12428" width="7.625" style="2" customWidth="1"/>
    <col min="12429" max="12591" width="9" style="2" customWidth="1"/>
    <col min="12592" max="12593" width="3.125" style="2" customWidth="1"/>
    <col min="12594" max="12594" width="5.875" style="2" bestFit="1" customWidth="1"/>
    <col min="12595" max="12595" width="5.625" style="2" customWidth="1"/>
    <col min="12596" max="12596" width="10.625" style="2" customWidth="1"/>
    <col min="12597" max="12597" width="12.625" style="2" customWidth="1"/>
    <col min="12598" max="12598" width="8.625" style="2" customWidth="1"/>
    <col min="12599" max="12599" width="5.625" style="2" customWidth="1"/>
    <col min="12600" max="12600" width="4.625" style="2" customWidth="1"/>
    <col min="12601" max="12601" width="5.625" style="2" customWidth="1"/>
    <col min="12602" max="12605" width="4.625" style="2" customWidth="1"/>
    <col min="12606" max="12606" width="7.625" style="2" customWidth="1"/>
    <col min="12607" max="12607" width="8.625" style="2" customWidth="1"/>
    <col min="12608" max="12609" width="5.625" style="2" customWidth="1"/>
    <col min="12610" max="12610" width="6.625" style="2" customWidth="1"/>
    <col min="12611" max="12611" width="9.875" style="2" customWidth="1"/>
    <col min="12612" max="12613" width="8.625" style="2" customWidth="1"/>
    <col min="12614" max="12614" width="5.5" style="2" bestFit="1" customWidth="1"/>
    <col min="12615" max="12656" width="6.75" style="2" customWidth="1"/>
    <col min="12657" max="12657" width="9" style="2" customWidth="1"/>
    <col min="12658" max="12658" width="9.875" style="2" customWidth="1"/>
    <col min="12659" max="12659" width="2.875" style="2" customWidth="1"/>
    <col min="12660" max="12660" width="12.25" style="2" customWidth="1"/>
    <col min="12661" max="12661" width="6.375" style="2" customWidth="1"/>
    <col min="12662" max="12663" width="3.125" style="2" customWidth="1"/>
    <col min="12664" max="12664" width="1.125" style="2" customWidth="1"/>
    <col min="12665" max="12665" width="9" style="2" customWidth="1"/>
    <col min="12666" max="12666" width="2.375" style="2" customWidth="1"/>
    <col min="12667" max="12684" width="7.625" style="2" customWidth="1"/>
    <col min="12685" max="12847" width="9" style="2" customWidth="1"/>
    <col min="12848" max="12849" width="3.125" style="2" customWidth="1"/>
    <col min="12850" max="12850" width="5.875" style="2" bestFit="1" customWidth="1"/>
    <col min="12851" max="12851" width="5.625" style="2" customWidth="1"/>
    <col min="12852" max="12852" width="10.625" style="2" customWidth="1"/>
    <col min="12853" max="12853" width="12.625" style="2" customWidth="1"/>
    <col min="12854" max="12854" width="8.625" style="2" customWidth="1"/>
    <col min="12855" max="12855" width="5.625" style="2" customWidth="1"/>
    <col min="12856" max="12856" width="4.625" style="2" customWidth="1"/>
    <col min="12857" max="12857" width="5.625" style="2" customWidth="1"/>
    <col min="12858" max="12861" width="4.625" style="2" customWidth="1"/>
    <col min="12862" max="12862" width="7.625" style="2" customWidth="1"/>
    <col min="12863" max="12863" width="8.625" style="2" customWidth="1"/>
    <col min="12864" max="12865" width="5.625" style="2" customWidth="1"/>
    <col min="12866" max="12866" width="6.625" style="2" customWidth="1"/>
    <col min="12867" max="12867" width="9.875" style="2" customWidth="1"/>
    <col min="12868" max="12869" width="8.625" style="2" customWidth="1"/>
    <col min="12870" max="12870" width="5.5" style="2" bestFit="1" customWidth="1"/>
    <col min="12871" max="12912" width="6.75" style="2" customWidth="1"/>
    <col min="12913" max="12913" width="9" style="2" customWidth="1"/>
    <col min="12914" max="12914" width="9.875" style="2" customWidth="1"/>
    <col min="12915" max="12915" width="2.875" style="2" customWidth="1"/>
    <col min="12916" max="12916" width="12.25" style="2" customWidth="1"/>
    <col min="12917" max="12917" width="6.375" style="2" customWidth="1"/>
    <col min="12918" max="12919" width="3.125" style="2" customWidth="1"/>
    <col min="12920" max="12920" width="1.125" style="2" customWidth="1"/>
    <col min="12921" max="12921" width="9" style="2" customWidth="1"/>
    <col min="12922" max="12922" width="2.375" style="2" customWidth="1"/>
    <col min="12923" max="12940" width="7.625" style="2" customWidth="1"/>
    <col min="12941" max="13103" width="9" style="2" customWidth="1"/>
    <col min="13104" max="13105" width="3.125" style="2" customWidth="1"/>
    <col min="13106" max="13106" width="5.875" style="2" bestFit="1" customWidth="1"/>
    <col min="13107" max="13107" width="5.625" style="2" customWidth="1"/>
    <col min="13108" max="13108" width="10.625" style="2" customWidth="1"/>
    <col min="13109" max="13109" width="12.625" style="2" customWidth="1"/>
    <col min="13110" max="13110" width="8.625" style="2" customWidth="1"/>
    <col min="13111" max="13111" width="5.625" style="2" customWidth="1"/>
    <col min="13112" max="13112" width="4.625" style="2" customWidth="1"/>
    <col min="13113" max="13113" width="5.625" style="2" customWidth="1"/>
    <col min="13114" max="13117" width="4.625" style="2" customWidth="1"/>
    <col min="13118" max="13118" width="7.625" style="2" customWidth="1"/>
    <col min="13119" max="13119" width="8.625" style="2" customWidth="1"/>
    <col min="13120" max="13121" width="5.625" style="2" customWidth="1"/>
    <col min="13122" max="13122" width="6.625" style="2" customWidth="1"/>
    <col min="13123" max="13123" width="9.875" style="2" customWidth="1"/>
    <col min="13124" max="13125" width="8.625" style="2" customWidth="1"/>
    <col min="13126" max="13126" width="5.5" style="2" bestFit="1" customWidth="1"/>
    <col min="13127" max="13168" width="6.75" style="2" customWidth="1"/>
    <col min="13169" max="13169" width="9" style="2" customWidth="1"/>
    <col min="13170" max="13170" width="9.875" style="2" customWidth="1"/>
    <col min="13171" max="13171" width="2.875" style="2" customWidth="1"/>
    <col min="13172" max="13172" width="12.25" style="2" customWidth="1"/>
    <col min="13173" max="13173" width="6.375" style="2" customWidth="1"/>
    <col min="13174" max="13175" width="3.125" style="2" customWidth="1"/>
    <col min="13176" max="13176" width="1.125" style="2" customWidth="1"/>
    <col min="13177" max="13177" width="9" style="2" customWidth="1"/>
    <col min="13178" max="13178" width="2.375" style="2" customWidth="1"/>
    <col min="13179" max="13196" width="7.625" style="2" customWidth="1"/>
    <col min="13197" max="13359" width="9" style="2" customWidth="1"/>
    <col min="13360" max="13361" width="3.125" style="2" customWidth="1"/>
    <col min="13362" max="13362" width="5.875" style="2" bestFit="1" customWidth="1"/>
    <col min="13363" max="13363" width="5.625" style="2" customWidth="1"/>
    <col min="13364" max="13364" width="10.625" style="2" customWidth="1"/>
    <col min="13365" max="13365" width="12.625" style="2" customWidth="1"/>
    <col min="13366" max="13366" width="8.625" style="2" customWidth="1"/>
    <col min="13367" max="13367" width="5.625" style="2" customWidth="1"/>
    <col min="13368" max="13368" width="4.625" style="2" customWidth="1"/>
    <col min="13369" max="13369" width="5.625" style="2" customWidth="1"/>
    <col min="13370" max="13373" width="4.625" style="2" customWidth="1"/>
    <col min="13374" max="13374" width="7.625" style="2" customWidth="1"/>
    <col min="13375" max="13375" width="8.625" style="2" customWidth="1"/>
    <col min="13376" max="13377" width="5.625" style="2" customWidth="1"/>
    <col min="13378" max="13378" width="6.625" style="2" customWidth="1"/>
    <col min="13379" max="13379" width="9.875" style="2" customWidth="1"/>
    <col min="13380" max="13381" width="8.625" style="2" customWidth="1"/>
    <col min="13382" max="13382" width="5.5" style="2" bestFit="1" customWidth="1"/>
    <col min="13383" max="13424" width="6.75" style="2" customWidth="1"/>
    <col min="13425" max="13425" width="9" style="2" customWidth="1"/>
    <col min="13426" max="13426" width="9.875" style="2" customWidth="1"/>
    <col min="13427" max="13427" width="2.875" style="2" customWidth="1"/>
    <col min="13428" max="13428" width="12.25" style="2" customWidth="1"/>
    <col min="13429" max="13429" width="6.375" style="2" customWidth="1"/>
    <col min="13430" max="13431" width="3.125" style="2" customWidth="1"/>
    <col min="13432" max="13432" width="1.125" style="2" customWidth="1"/>
    <col min="13433" max="13433" width="9" style="2" customWidth="1"/>
    <col min="13434" max="13434" width="2.375" style="2" customWidth="1"/>
    <col min="13435" max="13452" width="7.625" style="2" customWidth="1"/>
    <col min="13453" max="13615" width="9" style="2" customWidth="1"/>
    <col min="13616" max="13617" width="3.125" style="2" customWidth="1"/>
    <col min="13618" max="13618" width="5.875" style="2" bestFit="1" customWidth="1"/>
    <col min="13619" max="13619" width="5.625" style="2" customWidth="1"/>
    <col min="13620" max="13620" width="10.625" style="2" customWidth="1"/>
    <col min="13621" max="13621" width="12.625" style="2" customWidth="1"/>
    <col min="13622" max="13622" width="8.625" style="2" customWidth="1"/>
    <col min="13623" max="13623" width="5.625" style="2" customWidth="1"/>
    <col min="13624" max="13624" width="4.625" style="2" customWidth="1"/>
    <col min="13625" max="13625" width="5.625" style="2" customWidth="1"/>
    <col min="13626" max="13629" width="4.625" style="2" customWidth="1"/>
    <col min="13630" max="13630" width="7.625" style="2" customWidth="1"/>
    <col min="13631" max="13631" width="8.625" style="2" customWidth="1"/>
    <col min="13632" max="13633" width="5.625" style="2" customWidth="1"/>
    <col min="13634" max="13634" width="6.625" style="2" customWidth="1"/>
    <col min="13635" max="13635" width="9.875" style="2" customWidth="1"/>
    <col min="13636" max="13637" width="8.625" style="2" customWidth="1"/>
    <col min="13638" max="13638" width="5.5" style="2" bestFit="1" customWidth="1"/>
    <col min="13639" max="13680" width="6.75" style="2" customWidth="1"/>
    <col min="13681" max="13681" width="9" style="2" customWidth="1"/>
    <col min="13682" max="13682" width="9.875" style="2" customWidth="1"/>
    <col min="13683" max="13683" width="2.875" style="2" customWidth="1"/>
    <col min="13684" max="13684" width="12.25" style="2" customWidth="1"/>
    <col min="13685" max="13685" width="6.375" style="2" customWidth="1"/>
    <col min="13686" max="13687" width="3.125" style="2" customWidth="1"/>
    <col min="13688" max="13688" width="1.125" style="2" customWidth="1"/>
    <col min="13689" max="13689" width="9" style="2" customWidth="1"/>
    <col min="13690" max="13690" width="2.375" style="2" customWidth="1"/>
    <col min="13691" max="13708" width="7.625" style="2" customWidth="1"/>
    <col min="13709" max="13871" width="9" style="2" customWidth="1"/>
    <col min="13872" max="13873" width="3.125" style="2" customWidth="1"/>
    <col min="13874" max="13874" width="5.875" style="2" bestFit="1" customWidth="1"/>
    <col min="13875" max="13875" width="5.625" style="2" customWidth="1"/>
    <col min="13876" max="13876" width="10.625" style="2" customWidth="1"/>
    <col min="13877" max="13877" width="12.625" style="2" customWidth="1"/>
    <col min="13878" max="13878" width="8.625" style="2" customWidth="1"/>
    <col min="13879" max="13879" width="5.625" style="2" customWidth="1"/>
    <col min="13880" max="13880" width="4.625" style="2" customWidth="1"/>
    <col min="13881" max="13881" width="5.625" style="2" customWidth="1"/>
    <col min="13882" max="13885" width="4.625" style="2" customWidth="1"/>
    <col min="13886" max="13886" width="7.625" style="2" customWidth="1"/>
    <col min="13887" max="13887" width="8.625" style="2" customWidth="1"/>
    <col min="13888" max="13889" width="5.625" style="2" customWidth="1"/>
    <col min="13890" max="13890" width="6.625" style="2" customWidth="1"/>
    <col min="13891" max="13891" width="9.875" style="2" customWidth="1"/>
    <col min="13892" max="13893" width="8.625" style="2" customWidth="1"/>
    <col min="13894" max="13894" width="5.5" style="2" bestFit="1" customWidth="1"/>
    <col min="13895" max="13936" width="6.75" style="2" customWidth="1"/>
    <col min="13937" max="13937" width="9" style="2" customWidth="1"/>
    <col min="13938" max="13938" width="9.875" style="2" customWidth="1"/>
    <col min="13939" max="13939" width="2.875" style="2" customWidth="1"/>
    <col min="13940" max="13940" width="12.25" style="2" customWidth="1"/>
    <col min="13941" max="13941" width="6.375" style="2" customWidth="1"/>
    <col min="13942" max="13943" width="3.125" style="2" customWidth="1"/>
    <col min="13944" max="13944" width="1.125" style="2" customWidth="1"/>
    <col min="13945" max="13945" width="9" style="2" customWidth="1"/>
    <col min="13946" max="13946" width="2.375" style="2" customWidth="1"/>
    <col min="13947" max="13964" width="7.625" style="2" customWidth="1"/>
    <col min="13965" max="14127" width="9" style="2" customWidth="1"/>
    <col min="14128" max="14129" width="3.125" style="2" customWidth="1"/>
    <col min="14130" max="14130" width="5.875" style="2" bestFit="1" customWidth="1"/>
    <col min="14131" max="14131" width="5.625" style="2" customWidth="1"/>
    <col min="14132" max="14132" width="10.625" style="2" customWidth="1"/>
    <col min="14133" max="14133" width="12.625" style="2" customWidth="1"/>
    <col min="14134" max="14134" width="8.625" style="2" customWidth="1"/>
    <col min="14135" max="14135" width="5.625" style="2" customWidth="1"/>
    <col min="14136" max="14136" width="4.625" style="2" customWidth="1"/>
    <col min="14137" max="14137" width="5.625" style="2" customWidth="1"/>
    <col min="14138" max="14141" width="4.625" style="2" customWidth="1"/>
    <col min="14142" max="14142" width="7.625" style="2" customWidth="1"/>
    <col min="14143" max="14143" width="8.625" style="2" customWidth="1"/>
    <col min="14144" max="14145" width="5.625" style="2" customWidth="1"/>
    <col min="14146" max="14146" width="6.625" style="2" customWidth="1"/>
    <col min="14147" max="14147" width="9.875" style="2" customWidth="1"/>
    <col min="14148" max="14149" width="8.625" style="2" customWidth="1"/>
    <col min="14150" max="14150" width="5.5" style="2" bestFit="1" customWidth="1"/>
    <col min="14151" max="14192" width="6.75" style="2" customWidth="1"/>
    <col min="14193" max="14193" width="9" style="2" customWidth="1"/>
    <col min="14194" max="14194" width="9.875" style="2" customWidth="1"/>
    <col min="14195" max="14195" width="2.875" style="2" customWidth="1"/>
    <col min="14196" max="14196" width="12.25" style="2" customWidth="1"/>
    <col min="14197" max="14197" width="6.375" style="2" customWidth="1"/>
    <col min="14198" max="14199" width="3.125" style="2" customWidth="1"/>
    <col min="14200" max="14200" width="1.125" style="2" customWidth="1"/>
    <col min="14201" max="14201" width="9" style="2" customWidth="1"/>
    <col min="14202" max="14202" width="2.375" style="2" customWidth="1"/>
    <col min="14203" max="14220" width="7.625" style="2" customWidth="1"/>
    <col min="14221" max="14383" width="9" style="2" customWidth="1"/>
    <col min="14384" max="14385" width="3.125" style="2" customWidth="1"/>
    <col min="14386" max="14386" width="5.875" style="2" bestFit="1" customWidth="1"/>
    <col min="14387" max="14387" width="5.625" style="2" customWidth="1"/>
    <col min="14388" max="14388" width="10.625" style="2" customWidth="1"/>
    <col min="14389" max="14389" width="12.625" style="2" customWidth="1"/>
    <col min="14390" max="14390" width="8.625" style="2" customWidth="1"/>
    <col min="14391" max="14391" width="5.625" style="2" customWidth="1"/>
    <col min="14392" max="14392" width="4.625" style="2" customWidth="1"/>
    <col min="14393" max="14393" width="5.625" style="2" customWidth="1"/>
    <col min="14394" max="14397" width="4.625" style="2" customWidth="1"/>
    <col min="14398" max="14398" width="7.625" style="2" customWidth="1"/>
    <col min="14399" max="14399" width="8.625" style="2" customWidth="1"/>
    <col min="14400" max="14401" width="5.625" style="2" customWidth="1"/>
    <col min="14402" max="14402" width="6.625" style="2" customWidth="1"/>
    <col min="14403" max="14403" width="9.875" style="2" customWidth="1"/>
    <col min="14404" max="14405" width="8.625" style="2" customWidth="1"/>
    <col min="14406" max="14406" width="5.5" style="2" bestFit="1" customWidth="1"/>
    <col min="14407" max="14448" width="6.75" style="2" customWidth="1"/>
    <col min="14449" max="14449" width="9" style="2" customWidth="1"/>
    <col min="14450" max="14450" width="9.875" style="2" customWidth="1"/>
    <col min="14451" max="14451" width="2.875" style="2" customWidth="1"/>
    <col min="14452" max="14452" width="12.25" style="2" customWidth="1"/>
    <col min="14453" max="14453" width="6.375" style="2" customWidth="1"/>
    <col min="14454" max="14455" width="3.125" style="2" customWidth="1"/>
    <col min="14456" max="14456" width="1.125" style="2" customWidth="1"/>
    <col min="14457" max="14457" width="9" style="2" customWidth="1"/>
    <col min="14458" max="14458" width="2.375" style="2" customWidth="1"/>
    <col min="14459" max="14476" width="7.625" style="2" customWidth="1"/>
    <col min="14477" max="14639" width="9" style="2" customWidth="1"/>
    <col min="14640" max="14641" width="3.125" style="2" customWidth="1"/>
    <col min="14642" max="14642" width="5.875" style="2" bestFit="1" customWidth="1"/>
    <col min="14643" max="14643" width="5.625" style="2" customWidth="1"/>
    <col min="14644" max="14644" width="10.625" style="2" customWidth="1"/>
    <col min="14645" max="14645" width="12.625" style="2" customWidth="1"/>
    <col min="14646" max="14646" width="8.625" style="2" customWidth="1"/>
    <col min="14647" max="14647" width="5.625" style="2" customWidth="1"/>
    <col min="14648" max="14648" width="4.625" style="2" customWidth="1"/>
    <col min="14649" max="14649" width="5.625" style="2" customWidth="1"/>
    <col min="14650" max="14653" width="4.625" style="2" customWidth="1"/>
    <col min="14654" max="14654" width="7.625" style="2" customWidth="1"/>
    <col min="14655" max="14655" width="8.625" style="2" customWidth="1"/>
    <col min="14656" max="14657" width="5.625" style="2" customWidth="1"/>
    <col min="14658" max="14658" width="6.625" style="2" customWidth="1"/>
    <col min="14659" max="14659" width="9.875" style="2" customWidth="1"/>
    <col min="14660" max="14661" width="8.625" style="2" customWidth="1"/>
    <col min="14662" max="14662" width="5.5" style="2" bestFit="1" customWidth="1"/>
    <col min="14663" max="14704" width="6.75" style="2" customWidth="1"/>
    <col min="14705" max="14705" width="9" style="2" customWidth="1"/>
    <col min="14706" max="14706" width="9.875" style="2" customWidth="1"/>
    <col min="14707" max="14707" width="2.875" style="2" customWidth="1"/>
    <col min="14708" max="14708" width="12.25" style="2" customWidth="1"/>
    <col min="14709" max="14709" width="6.375" style="2" customWidth="1"/>
    <col min="14710" max="14711" width="3.125" style="2" customWidth="1"/>
    <col min="14712" max="14712" width="1.125" style="2" customWidth="1"/>
    <col min="14713" max="14713" width="9" style="2" customWidth="1"/>
    <col min="14714" max="14714" width="2.375" style="2" customWidth="1"/>
    <col min="14715" max="14732" width="7.625" style="2" customWidth="1"/>
    <col min="14733" max="14895" width="9" style="2" customWidth="1"/>
    <col min="14896" max="14897" width="3.125" style="2" customWidth="1"/>
    <col min="14898" max="14898" width="5.875" style="2" bestFit="1" customWidth="1"/>
    <col min="14899" max="14899" width="5.625" style="2" customWidth="1"/>
    <col min="14900" max="14900" width="10.625" style="2" customWidth="1"/>
    <col min="14901" max="14901" width="12.625" style="2" customWidth="1"/>
    <col min="14902" max="14902" width="8.625" style="2" customWidth="1"/>
    <col min="14903" max="14903" width="5.625" style="2" customWidth="1"/>
    <col min="14904" max="14904" width="4.625" style="2" customWidth="1"/>
    <col min="14905" max="14905" width="5.625" style="2" customWidth="1"/>
    <col min="14906" max="14909" width="4.625" style="2" customWidth="1"/>
    <col min="14910" max="14910" width="7.625" style="2" customWidth="1"/>
    <col min="14911" max="14911" width="8.625" style="2" customWidth="1"/>
    <col min="14912" max="14913" width="5.625" style="2" customWidth="1"/>
    <col min="14914" max="14914" width="6.625" style="2" customWidth="1"/>
    <col min="14915" max="14915" width="9.875" style="2" customWidth="1"/>
    <col min="14916" max="14917" width="8.625" style="2" customWidth="1"/>
    <col min="14918" max="14918" width="5.5" style="2" bestFit="1" customWidth="1"/>
    <col min="14919" max="14960" width="6.75" style="2" customWidth="1"/>
    <col min="14961" max="14961" width="9" style="2" customWidth="1"/>
    <col min="14962" max="14962" width="9.875" style="2" customWidth="1"/>
    <col min="14963" max="14963" width="2.875" style="2" customWidth="1"/>
    <col min="14964" max="14964" width="12.25" style="2" customWidth="1"/>
    <col min="14965" max="14965" width="6.375" style="2" customWidth="1"/>
    <col min="14966" max="14967" width="3.125" style="2" customWidth="1"/>
    <col min="14968" max="14968" width="1.125" style="2" customWidth="1"/>
    <col min="14969" max="14969" width="9" style="2" customWidth="1"/>
    <col min="14970" max="14970" width="2.375" style="2" customWidth="1"/>
    <col min="14971" max="14988" width="7.625" style="2" customWidth="1"/>
    <col min="14989" max="15151" width="9" style="2" customWidth="1"/>
    <col min="15152" max="15153" width="3.125" style="2" customWidth="1"/>
    <col min="15154" max="15154" width="5.875" style="2" bestFit="1" customWidth="1"/>
    <col min="15155" max="15155" width="5.625" style="2" customWidth="1"/>
    <col min="15156" max="15156" width="10.625" style="2" customWidth="1"/>
    <col min="15157" max="15157" width="12.625" style="2" customWidth="1"/>
    <col min="15158" max="15158" width="8.625" style="2" customWidth="1"/>
    <col min="15159" max="15159" width="5.625" style="2" customWidth="1"/>
    <col min="15160" max="15160" width="4.625" style="2" customWidth="1"/>
    <col min="15161" max="15161" width="5.625" style="2" customWidth="1"/>
    <col min="15162" max="15165" width="4.625" style="2" customWidth="1"/>
    <col min="15166" max="15166" width="7.625" style="2" customWidth="1"/>
    <col min="15167" max="15167" width="8.625" style="2" customWidth="1"/>
    <col min="15168" max="15169" width="5.625" style="2" customWidth="1"/>
    <col min="15170" max="15170" width="6.625" style="2" customWidth="1"/>
    <col min="15171" max="15171" width="9.875" style="2" customWidth="1"/>
    <col min="15172" max="15173" width="8.625" style="2" customWidth="1"/>
    <col min="15174" max="15174" width="5.5" style="2" bestFit="1" customWidth="1"/>
    <col min="15175" max="15216" width="6.75" style="2" customWidth="1"/>
    <col min="15217" max="15217" width="9" style="2" customWidth="1"/>
    <col min="15218" max="15218" width="9.875" style="2" customWidth="1"/>
    <col min="15219" max="15219" width="2.875" style="2" customWidth="1"/>
    <col min="15220" max="15220" width="12.25" style="2" customWidth="1"/>
    <col min="15221" max="15221" width="6.375" style="2" customWidth="1"/>
    <col min="15222" max="15223" width="3.125" style="2" customWidth="1"/>
    <col min="15224" max="15224" width="1.125" style="2" customWidth="1"/>
    <col min="15225" max="15225" width="9" style="2" customWidth="1"/>
    <col min="15226" max="15226" width="2.375" style="2" customWidth="1"/>
    <col min="15227" max="15244" width="7.625" style="2" customWidth="1"/>
    <col min="15245" max="15407" width="9" style="2" customWidth="1"/>
    <col min="15408" max="15409" width="3.125" style="2" customWidth="1"/>
    <col min="15410" max="15410" width="5.875" style="2" bestFit="1" customWidth="1"/>
    <col min="15411" max="15411" width="5.625" style="2" customWidth="1"/>
    <col min="15412" max="15412" width="10.625" style="2" customWidth="1"/>
    <col min="15413" max="15413" width="12.625" style="2" customWidth="1"/>
    <col min="15414" max="15414" width="8.625" style="2" customWidth="1"/>
    <col min="15415" max="15415" width="5.625" style="2" customWidth="1"/>
    <col min="15416" max="15416" width="4.625" style="2" customWidth="1"/>
    <col min="15417" max="15417" width="5.625" style="2" customWidth="1"/>
    <col min="15418" max="15421" width="4.625" style="2" customWidth="1"/>
    <col min="15422" max="15422" width="7.625" style="2" customWidth="1"/>
    <col min="15423" max="15423" width="8.625" style="2" customWidth="1"/>
    <col min="15424" max="15425" width="5.625" style="2" customWidth="1"/>
    <col min="15426" max="15426" width="6.625" style="2" customWidth="1"/>
    <col min="15427" max="15427" width="9.875" style="2" customWidth="1"/>
    <col min="15428" max="15429" width="8.625" style="2" customWidth="1"/>
    <col min="15430" max="15430" width="5.5" style="2" bestFit="1" customWidth="1"/>
    <col min="15431" max="15472" width="6.75" style="2" customWidth="1"/>
    <col min="15473" max="15473" width="9" style="2" customWidth="1"/>
    <col min="15474" max="15474" width="9.875" style="2" customWidth="1"/>
    <col min="15475" max="15475" width="2.875" style="2" customWidth="1"/>
    <col min="15476" max="15476" width="12.25" style="2" customWidth="1"/>
    <col min="15477" max="15477" width="6.375" style="2" customWidth="1"/>
    <col min="15478" max="15479" width="3.125" style="2" customWidth="1"/>
    <col min="15480" max="15480" width="1.125" style="2" customWidth="1"/>
    <col min="15481" max="15481" width="9" style="2" customWidth="1"/>
    <col min="15482" max="15482" width="2.375" style="2" customWidth="1"/>
    <col min="15483" max="15500" width="7.625" style="2" customWidth="1"/>
    <col min="15501" max="15663" width="9" style="2" customWidth="1"/>
    <col min="15664" max="15665" width="3.125" style="2" customWidth="1"/>
    <col min="15666" max="15666" width="5.875" style="2" bestFit="1" customWidth="1"/>
    <col min="15667" max="15667" width="5.625" style="2" customWidth="1"/>
    <col min="15668" max="15668" width="10.625" style="2" customWidth="1"/>
    <col min="15669" max="15669" width="12.625" style="2" customWidth="1"/>
    <col min="15670" max="15670" width="8.625" style="2" customWidth="1"/>
    <col min="15671" max="15671" width="5.625" style="2" customWidth="1"/>
    <col min="15672" max="15672" width="4.625" style="2" customWidth="1"/>
    <col min="15673" max="15673" width="5.625" style="2" customWidth="1"/>
    <col min="15674" max="15677" width="4.625" style="2" customWidth="1"/>
    <col min="15678" max="15678" width="7.625" style="2" customWidth="1"/>
    <col min="15679" max="15679" width="8.625" style="2" customWidth="1"/>
    <col min="15680" max="15681" width="5.625" style="2" customWidth="1"/>
    <col min="15682" max="15682" width="6.625" style="2" customWidth="1"/>
    <col min="15683" max="15683" width="9.875" style="2" customWidth="1"/>
    <col min="15684" max="15685" width="8.625" style="2" customWidth="1"/>
    <col min="15686" max="15686" width="5.5" style="2" bestFit="1" customWidth="1"/>
    <col min="15687" max="15728" width="6.75" style="2" customWidth="1"/>
    <col min="15729" max="15729" width="9" style="2" customWidth="1"/>
    <col min="15730" max="15730" width="9.875" style="2" customWidth="1"/>
    <col min="15731" max="15731" width="2.875" style="2" customWidth="1"/>
    <col min="15732" max="15732" width="12.25" style="2" customWidth="1"/>
    <col min="15733" max="15733" width="6.375" style="2" customWidth="1"/>
    <col min="15734" max="15735" width="3.125" style="2" customWidth="1"/>
    <col min="15736" max="15736" width="1.125" style="2" customWidth="1"/>
    <col min="15737" max="15737" width="9" style="2" customWidth="1"/>
    <col min="15738" max="15738" width="2.375" style="2" customWidth="1"/>
    <col min="15739" max="15756" width="7.625" style="2" customWidth="1"/>
    <col min="15757" max="15919" width="9" style="2" customWidth="1"/>
    <col min="15920" max="15921" width="3.125" style="2" customWidth="1"/>
    <col min="15922" max="15922" width="5.875" style="2" bestFit="1" customWidth="1"/>
    <col min="15923" max="15923" width="5.625" style="2" customWidth="1"/>
    <col min="15924" max="15924" width="10.625" style="2" customWidth="1"/>
    <col min="15925" max="15925" width="12.625" style="2" customWidth="1"/>
    <col min="15926" max="15926" width="8.625" style="2" customWidth="1"/>
    <col min="15927" max="15927" width="5.625" style="2" customWidth="1"/>
    <col min="15928" max="15928" width="4.625" style="2" customWidth="1"/>
    <col min="15929" max="15929" width="5.625" style="2" customWidth="1"/>
    <col min="15930" max="15933" width="4.625" style="2" customWidth="1"/>
    <col min="15934" max="15934" width="7.625" style="2" customWidth="1"/>
    <col min="15935" max="15935" width="8.625" style="2" customWidth="1"/>
    <col min="15936" max="15937" width="5.625" style="2" customWidth="1"/>
    <col min="15938" max="15938" width="6.625" style="2" customWidth="1"/>
    <col min="15939" max="15939" width="9.875" style="2" customWidth="1"/>
    <col min="15940" max="15941" width="8.625" style="2" customWidth="1"/>
    <col min="15942" max="15942" width="5.5" style="2" bestFit="1" customWidth="1"/>
    <col min="15943" max="15984" width="6.75" style="2" customWidth="1"/>
    <col min="15985" max="15985" width="9" style="2" customWidth="1"/>
    <col min="15986" max="15986" width="9.875" style="2" customWidth="1"/>
    <col min="15987" max="15987" width="2.875" style="2" customWidth="1"/>
    <col min="15988" max="15988" width="12.25" style="2" customWidth="1"/>
    <col min="15989" max="15989" width="6.375" style="2" customWidth="1"/>
    <col min="15990" max="15991" width="3.125" style="2" customWidth="1"/>
    <col min="15992" max="15992" width="1.125" style="2" customWidth="1"/>
    <col min="15993" max="15993" width="9" style="2" customWidth="1"/>
    <col min="15994" max="15994" width="2.375" style="2" customWidth="1"/>
    <col min="15995" max="16012" width="7.625" style="2" customWidth="1"/>
    <col min="16013" max="16175" width="9" style="2" customWidth="1"/>
    <col min="16176" max="16177" width="3.125" style="2" customWidth="1"/>
    <col min="16178" max="16178" width="5.875" style="2" bestFit="1" customWidth="1"/>
    <col min="16179" max="16179" width="5.625" style="2" customWidth="1"/>
    <col min="16180" max="16180" width="10.625" style="2" customWidth="1"/>
    <col min="16181" max="16181" width="12.625" style="2" customWidth="1"/>
    <col min="16182" max="16182" width="8.625" style="2" customWidth="1"/>
    <col min="16183" max="16183" width="5.625" style="2" customWidth="1"/>
    <col min="16184" max="16184" width="4.625" style="2" customWidth="1"/>
    <col min="16185" max="16185" width="5.625" style="2" customWidth="1"/>
    <col min="16186" max="16189" width="4.625" style="2" customWidth="1"/>
    <col min="16190" max="16190" width="7.625" style="2" customWidth="1"/>
    <col min="16191" max="16191" width="8.625" style="2" customWidth="1"/>
    <col min="16192" max="16193" width="5.625" style="2" customWidth="1"/>
    <col min="16194" max="16194" width="6.625" style="2" customWidth="1"/>
    <col min="16195" max="16195" width="9.875" style="2" customWidth="1"/>
    <col min="16196" max="16197" width="8.625" style="2" customWidth="1"/>
    <col min="16198" max="16198" width="5.5" style="2" bestFit="1" customWidth="1"/>
    <col min="16199" max="16240" width="6.75" style="2" customWidth="1"/>
    <col min="16241" max="16241" width="9" style="2" customWidth="1"/>
    <col min="16242" max="16242" width="9.875" style="2" customWidth="1"/>
    <col min="16243" max="16243" width="2.875" style="2" customWidth="1"/>
    <col min="16244" max="16244" width="12.25" style="2" customWidth="1"/>
    <col min="16245" max="16245" width="6.375" style="2" customWidth="1"/>
    <col min="16246" max="16247" width="3.125" style="2" customWidth="1"/>
    <col min="16248" max="16248" width="1.125" style="2" customWidth="1"/>
    <col min="16249" max="16249" width="9" style="2" customWidth="1"/>
    <col min="16250" max="16250" width="2.375" style="2" customWidth="1"/>
    <col min="16251" max="16268" width="7.625" style="2" customWidth="1"/>
    <col min="16269" max="16384" width="9" style="2" customWidth="1"/>
  </cols>
  <sheetData>
    <row r="1" spans="1:132" ht="13.5" customHeight="1" x14ac:dyDescent="0.4">
      <c r="A1" s="203" t="str">
        <f>令和8年7月!$A$1</f>
        <v>天理</v>
      </c>
      <c r="B1" s="193"/>
      <c r="C1" s="193"/>
      <c r="D1" s="193"/>
      <c r="E1" s="193"/>
      <c r="F1" s="192" t="s">
        <v>0</v>
      </c>
      <c r="G1" s="195" t="s">
        <v>1</v>
      </c>
      <c r="H1" s="194" t="s">
        <v>122</v>
      </c>
      <c r="I1" s="193"/>
      <c r="J1" s="193"/>
      <c r="K1" s="193"/>
      <c r="L1" s="159"/>
      <c r="M1" s="194" t="s">
        <v>123</v>
      </c>
      <c r="N1" s="208" t="s">
        <v>124</v>
      </c>
      <c r="O1" s="193"/>
      <c r="P1" s="157">
        <v>0</v>
      </c>
      <c r="Q1" s="159"/>
      <c r="R1" s="159"/>
      <c r="S1" s="159"/>
      <c r="T1" s="159"/>
      <c r="U1" s="1"/>
      <c r="V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U1" s="162"/>
      <c r="AX1" s="204" t="s">
        <v>4</v>
      </c>
      <c r="AY1" s="199"/>
      <c r="AZ1" s="199"/>
      <c r="BA1" s="199"/>
      <c r="BB1" s="199"/>
      <c r="BC1" s="199"/>
      <c r="BD1" s="4"/>
    </row>
    <row r="2" spans="1:132" ht="13.5" customHeight="1" x14ac:dyDescent="0.4">
      <c r="A2" s="193"/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59"/>
      <c r="M2" s="193"/>
      <c r="N2" s="159"/>
      <c r="O2" s="159"/>
      <c r="P2" s="159"/>
      <c r="Q2" s="159"/>
      <c r="R2" s="159"/>
      <c r="S2" s="159"/>
      <c r="T2" s="159"/>
      <c r="U2" s="1"/>
      <c r="V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U2" s="162"/>
      <c r="AX2" s="199"/>
      <c r="AY2" s="199"/>
      <c r="AZ2" s="199"/>
      <c r="BA2" s="199"/>
      <c r="BB2" s="199"/>
      <c r="BC2" s="199"/>
      <c r="BD2" s="4"/>
    </row>
    <row r="3" spans="1:132" ht="13.9" customHeight="1" thickBot="1" x14ac:dyDescent="0.45">
      <c r="AC3" s="7"/>
      <c r="AV3" s="2">
        <v>95</v>
      </c>
      <c r="AW3" s="2">
        <v>1</v>
      </c>
      <c r="AY3" s="2">
        <v>2</v>
      </c>
      <c r="BA3" s="2">
        <v>3</v>
      </c>
      <c r="BC3" s="2">
        <v>4</v>
      </c>
      <c r="BE3" s="2">
        <v>6</v>
      </c>
      <c r="BG3" s="2">
        <v>7</v>
      </c>
      <c r="BI3" s="2">
        <v>8</v>
      </c>
      <c r="BK3" s="2">
        <v>9</v>
      </c>
      <c r="BM3" s="2">
        <v>10</v>
      </c>
      <c r="BO3" s="2">
        <v>11</v>
      </c>
      <c r="BQ3" s="2">
        <v>12</v>
      </c>
      <c r="BS3" s="2">
        <v>15</v>
      </c>
      <c r="BU3" s="2">
        <v>28</v>
      </c>
      <c r="BW3" s="2">
        <v>33</v>
      </c>
      <c r="BY3" s="2">
        <v>40</v>
      </c>
      <c r="CA3" s="2">
        <v>41</v>
      </c>
      <c r="CC3" s="2">
        <v>45</v>
      </c>
      <c r="CE3" s="2">
        <v>46</v>
      </c>
      <c r="CG3" s="2">
        <v>36</v>
      </c>
      <c r="CI3" s="2">
        <v>47</v>
      </c>
      <c r="CK3" s="2">
        <v>31</v>
      </c>
      <c r="CM3" s="2">
        <v>48</v>
      </c>
    </row>
    <row r="4" spans="1:132" ht="26.45" customHeight="1" thickTop="1" thickBot="1" x14ac:dyDescent="0.45">
      <c r="A4" s="106" t="s">
        <v>5</v>
      </c>
      <c r="B4" s="94" t="s">
        <v>6</v>
      </c>
      <c r="C4" s="131" t="s">
        <v>7</v>
      </c>
      <c r="D4" s="131" t="s">
        <v>8</v>
      </c>
      <c r="E4" s="107" t="s">
        <v>9</v>
      </c>
      <c r="F4" s="108" t="s">
        <v>10</v>
      </c>
      <c r="G4" s="109" t="s">
        <v>11</v>
      </c>
      <c r="H4" s="110" t="s">
        <v>12</v>
      </c>
      <c r="I4" s="147" t="s">
        <v>13</v>
      </c>
      <c r="J4" s="111" t="s">
        <v>14</v>
      </c>
      <c r="K4" s="112" t="s">
        <v>15</v>
      </c>
      <c r="L4" s="113" t="s">
        <v>16</v>
      </c>
      <c r="M4" s="114" t="s">
        <v>17</v>
      </c>
      <c r="N4" s="115" t="s">
        <v>16</v>
      </c>
      <c r="O4" s="116" t="s">
        <v>18</v>
      </c>
      <c r="P4" s="117" t="s">
        <v>19</v>
      </c>
      <c r="Q4" s="118" t="s">
        <v>20</v>
      </c>
      <c r="R4" s="129" t="s">
        <v>21</v>
      </c>
      <c r="S4" s="130" t="s">
        <v>22</v>
      </c>
      <c r="T4" s="8" t="s">
        <v>23</v>
      </c>
      <c r="U4" s="9" t="s">
        <v>24</v>
      </c>
      <c r="V4" s="10" t="s">
        <v>25</v>
      </c>
      <c r="W4" s="11" t="s">
        <v>26</v>
      </c>
      <c r="X4" s="12" t="s">
        <v>27</v>
      </c>
      <c r="Y4" s="13" t="s">
        <v>28</v>
      </c>
      <c r="Z4" s="119" t="s">
        <v>29</v>
      </c>
      <c r="AA4" s="14" t="s">
        <v>30</v>
      </c>
      <c r="AB4" s="15" t="s">
        <v>31</v>
      </c>
      <c r="AC4" s="16" t="s">
        <v>32</v>
      </c>
      <c r="AD4" s="17" t="s">
        <v>33</v>
      </c>
      <c r="AE4" s="18" t="s">
        <v>34</v>
      </c>
      <c r="AF4" s="18" t="s">
        <v>35</v>
      </c>
      <c r="AG4" s="18" t="s">
        <v>36</v>
      </c>
      <c r="AH4" s="18" t="s">
        <v>37</v>
      </c>
      <c r="AI4" s="18" t="s">
        <v>38</v>
      </c>
      <c r="AJ4" s="18" t="s">
        <v>39</v>
      </c>
      <c r="AK4" s="18" t="s">
        <v>40</v>
      </c>
      <c r="AL4" s="17" t="s">
        <v>41</v>
      </c>
      <c r="AM4" s="18" t="str">
        <f>令和8年7月!$AM$4</f>
        <v>フリー①</v>
      </c>
      <c r="AN4" s="132" t="str">
        <f>令和8年7月!$AN$4</f>
        <v>フリー②</v>
      </c>
      <c r="AO4" s="18" t="str">
        <f>令和8年7月!$AO$4</f>
        <v>フリー③</v>
      </c>
      <c r="AP4" s="18" t="str">
        <f>令和8年7月!$AP$4</f>
        <v>フリー④</v>
      </c>
      <c r="AQ4" s="78" t="str">
        <f>令和8年7月!$AQ$4</f>
        <v>フリー⑤</v>
      </c>
      <c r="AR4" s="19" t="s">
        <v>47</v>
      </c>
      <c r="AS4" s="20" t="s">
        <v>48</v>
      </c>
      <c r="AT4" s="21" t="s">
        <v>49</v>
      </c>
      <c r="AU4" s="163"/>
      <c r="AV4" s="80" t="s">
        <v>144</v>
      </c>
      <c r="AW4" s="76" t="s">
        <v>145</v>
      </c>
      <c r="AX4" s="75" t="s">
        <v>146</v>
      </c>
      <c r="AY4" s="76" t="s">
        <v>147</v>
      </c>
      <c r="AZ4" s="75" t="s">
        <v>146</v>
      </c>
      <c r="BA4" s="76" t="s">
        <v>52</v>
      </c>
      <c r="BB4" s="75" t="s">
        <v>146</v>
      </c>
      <c r="BC4" s="76" t="s">
        <v>53</v>
      </c>
      <c r="BD4" s="75" t="s">
        <v>146</v>
      </c>
      <c r="BE4" s="76" t="s">
        <v>148</v>
      </c>
      <c r="BF4" s="75" t="s">
        <v>146</v>
      </c>
      <c r="BG4" s="76" t="s">
        <v>149</v>
      </c>
      <c r="BH4" s="75" t="s">
        <v>146</v>
      </c>
      <c r="BI4" s="76" t="s">
        <v>150</v>
      </c>
      <c r="BJ4" s="75" t="s">
        <v>146</v>
      </c>
      <c r="BK4" s="76" t="s">
        <v>57</v>
      </c>
      <c r="BL4" s="75" t="s">
        <v>146</v>
      </c>
      <c r="BM4" s="76" t="s">
        <v>58</v>
      </c>
      <c r="BN4" s="75" t="s">
        <v>146</v>
      </c>
      <c r="BO4" s="76" t="s">
        <v>151</v>
      </c>
      <c r="BP4" s="75" t="s">
        <v>146</v>
      </c>
      <c r="BQ4" s="76" t="s">
        <v>60</v>
      </c>
      <c r="BR4" s="75" t="s">
        <v>146</v>
      </c>
      <c r="BS4" s="76" t="s">
        <v>152</v>
      </c>
      <c r="BT4" s="75" t="s">
        <v>146</v>
      </c>
      <c r="BU4" s="76" t="s">
        <v>153</v>
      </c>
      <c r="BV4" s="75" t="s">
        <v>146</v>
      </c>
      <c r="BW4" s="76" t="s">
        <v>154</v>
      </c>
      <c r="BX4" s="75" t="s">
        <v>48</v>
      </c>
      <c r="BY4" s="76" t="s">
        <v>155</v>
      </c>
      <c r="BZ4" s="75" t="s">
        <v>156</v>
      </c>
      <c r="CA4" s="76" t="s">
        <v>157</v>
      </c>
      <c r="CB4" s="75" t="s">
        <v>48</v>
      </c>
      <c r="CC4" s="76" t="s">
        <v>158</v>
      </c>
      <c r="CD4" s="81" t="s">
        <v>48</v>
      </c>
      <c r="CE4" s="76" t="s">
        <v>159</v>
      </c>
      <c r="CF4" s="81" t="s">
        <v>48</v>
      </c>
      <c r="CG4" s="76" t="s">
        <v>160</v>
      </c>
      <c r="CH4" s="75" t="s">
        <v>48</v>
      </c>
      <c r="CI4" s="76" t="s">
        <v>161</v>
      </c>
      <c r="CJ4" s="81" t="s">
        <v>48</v>
      </c>
      <c r="CK4" s="76" t="s">
        <v>162</v>
      </c>
      <c r="CL4" s="81" t="s">
        <v>48</v>
      </c>
      <c r="CM4" s="76" t="s">
        <v>163</v>
      </c>
      <c r="CN4" s="75" t="s">
        <v>48</v>
      </c>
      <c r="CO4" s="76" t="s">
        <v>67</v>
      </c>
      <c r="CP4" s="81" t="s">
        <v>48</v>
      </c>
      <c r="CQ4" s="76" t="s">
        <v>68</v>
      </c>
      <c r="CR4" s="81" t="s">
        <v>48</v>
      </c>
      <c r="CS4" s="76" t="s">
        <v>69</v>
      </c>
      <c r="CT4" s="20" t="s">
        <v>48</v>
      </c>
      <c r="CU4" s="85" t="s">
        <v>70</v>
      </c>
      <c r="CV4" s="86" t="s">
        <v>71</v>
      </c>
      <c r="CW4" s="89"/>
      <c r="CX4" s="85" t="s">
        <v>104</v>
      </c>
      <c r="CY4" s="153" t="s">
        <v>15</v>
      </c>
      <c r="CZ4" s="155" t="s">
        <v>105</v>
      </c>
      <c r="DA4" s="93" t="s">
        <v>15</v>
      </c>
      <c r="DB4" s="94" t="s">
        <v>5</v>
      </c>
      <c r="DC4" s="95" t="s">
        <v>6</v>
      </c>
      <c r="DD4" s="2" t="s">
        <v>164</v>
      </c>
      <c r="DF4" s="121" t="s">
        <v>74</v>
      </c>
      <c r="DG4" s="122" t="s">
        <v>75</v>
      </c>
      <c r="DH4" s="122" t="s">
        <v>76</v>
      </c>
      <c r="DI4" s="122" t="s">
        <v>77</v>
      </c>
      <c r="DJ4" s="122" t="s">
        <v>78</v>
      </c>
      <c r="DK4" s="122" t="s">
        <v>42</v>
      </c>
      <c r="DL4" s="122" t="s">
        <v>43</v>
      </c>
      <c r="DM4" s="122" t="s">
        <v>44</v>
      </c>
      <c r="DN4" s="122" t="s">
        <v>45</v>
      </c>
      <c r="DO4" s="122" t="s">
        <v>46</v>
      </c>
      <c r="DP4" s="123" t="s">
        <v>79</v>
      </c>
      <c r="DQ4" s="124" t="s">
        <v>48</v>
      </c>
      <c r="DS4" s="205" t="s">
        <v>80</v>
      </c>
      <c r="DT4" s="206"/>
      <c r="DU4" s="206"/>
      <c r="DV4" s="207"/>
      <c r="DW4" s="160" t="s">
        <v>81</v>
      </c>
      <c r="DX4" s="160" t="s">
        <v>82</v>
      </c>
      <c r="DY4" s="22"/>
      <c r="DZ4" s="22"/>
      <c r="EA4" s="22"/>
    </row>
    <row r="5" spans="1:132" ht="13.5" customHeight="1" x14ac:dyDescent="0.4">
      <c r="A5" s="104">
        <v>1</v>
      </c>
      <c r="B5" s="23" t="s">
        <v>86</v>
      </c>
      <c r="C5" s="164"/>
      <c r="D5" s="164"/>
      <c r="E5" s="24"/>
      <c r="F5" s="29"/>
      <c r="G5" s="25" t="str">
        <f>IF(SUM($F$5:F5)=0,"",SUM($F$5:F5))</f>
        <v/>
      </c>
      <c r="H5" s="43" t="str">
        <f t="shared" ref="H5:H35" si="0">IF(ISERROR(G5/V5),"",(G5/V5))</f>
        <v/>
      </c>
      <c r="I5" s="148" t="e">
        <f t="array" aca="1" ref="I5" ca="1">IF($A6="",$G5/($V5-$U$5+INDIRECT(IF(_xlfn.SHEET()&lt;6,"令和8年"&amp;_xlfn.SHEET()+7&amp;"月","令和9年"&amp;_xlfn.SHEET()-5&amp;"月")&amp;"!$U$5")),$G5/($V6-$U$5))</f>
        <v>#VALUE!</v>
      </c>
      <c r="J5" s="26" t="str">
        <f t="shared" ref="J5:J35" si="1">IFERROR(G5/AC5,"")</f>
        <v/>
      </c>
      <c r="K5" s="27"/>
      <c r="L5" s="165" t="str">
        <f t="shared" ref="L5:L37" si="2">IF(ISERROR(K5/W5),"",(K5/W5))</f>
        <v/>
      </c>
      <c r="M5" s="28" t="str">
        <f t="shared" ref="M5:M35" si="3">IF(ISERROR(F5/K5),"",(F5/K5))</f>
        <v/>
      </c>
      <c r="N5" s="166" t="str">
        <f t="shared" ref="N5:N37" si="4">IF(ISERROR(M5/X5),"",(M5/X5))</f>
        <v/>
      </c>
      <c r="O5" s="167" t="str">
        <f t="shared" ref="O5:O35" si="5">IF(ISERROR(F5/P5),"",(F5/P5))</f>
        <v/>
      </c>
      <c r="P5" s="168"/>
      <c r="Q5" s="169" t="str">
        <f t="shared" ref="Q5:Q35" si="6">IF(ISERROR(P5/K5),"",(P5/K5))</f>
        <v/>
      </c>
      <c r="R5" s="170"/>
      <c r="S5" s="171"/>
      <c r="T5" s="24"/>
      <c r="U5" s="29"/>
      <c r="V5" s="30">
        <f>SUM(U5)</f>
        <v>0</v>
      </c>
      <c r="W5" s="27"/>
      <c r="X5" s="31" t="str">
        <f t="shared" ref="X5:X35" si="7">IF(ISERROR(U5/W5),"",(U5/W5))</f>
        <v/>
      </c>
      <c r="Y5" s="29"/>
      <c r="Z5" s="32">
        <f>SUM(Y5)</f>
        <v>0</v>
      </c>
      <c r="AA5" s="33" t="str">
        <f t="shared" ref="AA5:AA35" si="8">IF(ISERROR(V5/Z5),"",(V5/Z5))</f>
        <v/>
      </c>
      <c r="AB5" s="158"/>
      <c r="AC5" s="34">
        <f>AB5</f>
        <v>0</v>
      </c>
      <c r="AD5" s="158"/>
      <c r="AE5" s="25"/>
      <c r="AF5" s="25"/>
      <c r="AG5" s="25"/>
      <c r="AH5" s="25"/>
      <c r="AI5" s="25"/>
      <c r="AJ5" s="25"/>
      <c r="AK5" s="25"/>
      <c r="AL5" s="158"/>
      <c r="AM5" s="25"/>
      <c r="AN5" s="158"/>
      <c r="AO5" s="25"/>
      <c r="AP5" s="25"/>
      <c r="AQ5" s="158"/>
      <c r="AR5" s="35">
        <f t="shared" ref="AR5:AR35" si="9">SUM(AD5:AQ5)</f>
        <v>0</v>
      </c>
      <c r="AS5" s="172" t="str">
        <f t="shared" ref="AS5:AS35" si="10">IF(ISERROR((AR5/F5)),"",AR5/F5)</f>
        <v/>
      </c>
      <c r="AT5" s="36">
        <f t="shared" ref="AT5:AT35" si="11">F5-AR5+DW5</f>
        <v>0</v>
      </c>
      <c r="AU5" s="173"/>
      <c r="AV5" s="82">
        <f t="shared" ref="AV5:AV35" si="12">A5</f>
        <v>1</v>
      </c>
      <c r="AW5" s="37"/>
      <c r="AX5" s="174" t="str">
        <f t="shared" ref="AX5:AX35" si="13">IF(ISERROR((AW5/$F5)),"",AW5/$F5)</f>
        <v/>
      </c>
      <c r="AY5" s="37"/>
      <c r="AZ5" s="174" t="str">
        <f t="shared" ref="AZ5:AZ35" si="14">IF(ISERROR((AY5/$F5)),"",AY5/$F5)</f>
        <v/>
      </c>
      <c r="BA5" s="37"/>
      <c r="BB5" s="174" t="str">
        <f t="shared" ref="BB5:BB35" si="15">IF(ISERROR((BA5/$F5)),"",BA5/$F5)</f>
        <v/>
      </c>
      <c r="BC5" s="37"/>
      <c r="BD5" s="174" t="str">
        <f t="shared" ref="BD5:BD35" si="16">IF(ISERROR((BC5/$F5)),"",BC5/$F5)</f>
        <v/>
      </c>
      <c r="BE5" s="37"/>
      <c r="BF5" s="174" t="str">
        <f t="shared" ref="BF5:BF35" si="17">IF(ISERROR((BE5/$F5)),"",BE5/$F5)</f>
        <v/>
      </c>
      <c r="BG5" s="37"/>
      <c r="BH5" s="174" t="str">
        <f t="shared" ref="BH5:BH35" si="18">IF(ISERROR((BG5/$F5)),"",BG5/$F5)</f>
        <v/>
      </c>
      <c r="BI5" s="37"/>
      <c r="BJ5" s="174" t="str">
        <f t="shared" ref="BJ5:BJ35" si="19">IF(ISERROR((BI5/$F5)),"",BI5/$F5)</f>
        <v/>
      </c>
      <c r="BK5" s="37"/>
      <c r="BL5" s="174" t="str">
        <f t="shared" ref="BL5:BL35" si="20">IF(ISERROR((BK5/$F5)),"",BK5/$F5)</f>
        <v/>
      </c>
      <c r="BM5" s="37"/>
      <c r="BN5" s="174" t="str">
        <f t="shared" ref="BN5:BN35" si="21">IF(ISERROR((BM5/$F5)),"",BM5/$F5)</f>
        <v/>
      </c>
      <c r="BO5" s="37"/>
      <c r="BP5" s="174" t="str">
        <f t="shared" ref="BP5:BP35" si="22">IF(ISERROR((BO5/$F5)),"",BO5/$F5)</f>
        <v/>
      </c>
      <c r="BQ5" s="37"/>
      <c r="BR5" s="174" t="str">
        <f t="shared" ref="BR5:BR35" si="23">IF(ISERROR((BQ5/$F5)),"",BQ5/$F5)</f>
        <v/>
      </c>
      <c r="BS5" s="37"/>
      <c r="BT5" s="174" t="str">
        <f t="shared" ref="BT5:BT35" si="24">IF(ISERROR((BS5/$F5)),"",BS5/$F5)</f>
        <v/>
      </c>
      <c r="BU5" s="37"/>
      <c r="BV5" s="174" t="str">
        <f t="shared" ref="BV5:BV35" si="25">IF(ISERROR((BU5/$F5)),"",BU5/$F5)</f>
        <v/>
      </c>
      <c r="BW5" s="37"/>
      <c r="BX5" s="174" t="str">
        <f t="shared" ref="BX5:BX35" si="26">IF(ISERROR((BW5/$F5)),"",BW5/$F5)</f>
        <v/>
      </c>
      <c r="BY5" s="37"/>
      <c r="BZ5" s="174" t="str">
        <f t="shared" ref="BZ5:BZ35" si="27">IF(ISERROR((BY5/$F5)),"",BY5/$F5)</f>
        <v/>
      </c>
      <c r="CA5" s="37"/>
      <c r="CB5" s="174" t="str">
        <f t="shared" ref="CB5:CB35" si="28">IF(ISERROR((CA5/$F5)),"",CA5/$F5)</f>
        <v/>
      </c>
      <c r="CC5" s="37"/>
      <c r="CD5" s="174" t="str">
        <f t="shared" ref="CD5:CD35" si="29">IF(ISERROR((CC5/$F5)),"",CC5/$F5)</f>
        <v/>
      </c>
      <c r="CE5" s="37"/>
      <c r="CF5" s="174" t="str">
        <f t="shared" ref="CF5:CF35" si="30">IF(ISERROR((CE5/$F5)),"",CE5/$F5)</f>
        <v/>
      </c>
      <c r="CG5" s="37"/>
      <c r="CH5" s="174" t="str">
        <f t="shared" ref="CH5:CH35" si="31">IF(ISERROR((CG5/$F5)),"",CG5/$F5)</f>
        <v/>
      </c>
      <c r="CI5" s="37"/>
      <c r="CJ5" s="174" t="str">
        <f t="shared" ref="CJ5:CJ35" si="32">IF(ISERROR((CI5/$F5)),"",CI5/$F5)</f>
        <v/>
      </c>
      <c r="CK5" s="37"/>
      <c r="CL5" s="174" t="str">
        <f t="shared" ref="CL5:CL35" si="33">IF(ISERROR((CK5/$F5)),"",CK5/$F5)</f>
        <v/>
      </c>
      <c r="CM5" s="37"/>
      <c r="CN5" s="174" t="str">
        <f t="shared" ref="CN5:CN35" si="34">IF(ISERROR((CM5/$F5)),"",CM5/$F5)</f>
        <v/>
      </c>
      <c r="CO5" s="37"/>
      <c r="CP5" s="174" t="str">
        <f t="shared" ref="CP5:CP35" si="35">IF(ISERROR((CO5/$F5)),"",CO5/$F5)</f>
        <v/>
      </c>
      <c r="CQ5" s="37"/>
      <c r="CR5" s="174" t="str">
        <f t="shared" ref="CR5:CR35" si="36">IF(ISERROR((CQ5/$F5)),"",CQ5/$F5)</f>
        <v/>
      </c>
      <c r="CS5" s="37"/>
      <c r="CT5" s="174" t="str">
        <f t="shared" ref="CT5:CT35" si="37">IF(ISERROR((CS5/$F5)),"",CS5/$F5)</f>
        <v/>
      </c>
      <c r="CU5" s="38"/>
      <c r="CV5" s="87"/>
      <c r="CW5" s="90"/>
      <c r="CX5" s="38"/>
      <c r="CY5" s="39"/>
      <c r="CZ5" s="37"/>
      <c r="DA5" s="39"/>
      <c r="DB5" s="24">
        <v>1</v>
      </c>
      <c r="DC5" s="96" t="str">
        <f t="shared" ref="DC5:DC35" si="38">B5</f>
        <v>金</v>
      </c>
      <c r="DF5" s="125"/>
      <c r="DG5" s="40"/>
      <c r="DH5" s="40"/>
      <c r="DI5" s="40"/>
      <c r="DJ5" s="40"/>
      <c r="DK5" s="40"/>
      <c r="DL5" s="40"/>
      <c r="DM5" s="40"/>
      <c r="DN5" s="40"/>
      <c r="DO5" s="40"/>
      <c r="DP5" s="40">
        <f t="shared" ref="DP5:DP35" si="39">SUM(DF5:DO5)</f>
        <v>0</v>
      </c>
      <c r="DQ5" s="172" t="str">
        <f t="shared" ref="DQ5:DQ35" si="40">IF(ISERROR((DP5/F5)),"",DP5/F5)</f>
        <v/>
      </c>
      <c r="DS5" s="189"/>
      <c r="DT5" s="190"/>
      <c r="DU5" s="190"/>
      <c r="DV5" s="191"/>
      <c r="DW5" s="41"/>
      <c r="DX5" s="42"/>
      <c r="DY5" s="22"/>
      <c r="DZ5" s="22"/>
      <c r="EA5" s="22"/>
    </row>
    <row r="6" spans="1:132" ht="13.5" customHeight="1" x14ac:dyDescent="0.4">
      <c r="A6" s="104">
        <v>2</v>
      </c>
      <c r="B6" s="23" t="s">
        <v>88</v>
      </c>
      <c r="C6" s="164"/>
      <c r="D6" s="164"/>
      <c r="E6" s="24"/>
      <c r="F6" s="29"/>
      <c r="G6" s="25" t="str">
        <f>IF(SUM($F$5:F6)=0,"",SUM($F$5:F6))</f>
        <v/>
      </c>
      <c r="H6" s="43" t="str">
        <f t="shared" si="0"/>
        <v/>
      </c>
      <c r="I6" s="148" t="e">
        <f t="array" aca="1" ref="I6" ca="1">IF($A7="",$G6/($V6-$U$5+INDIRECT(IF(_xlfn.SHEET()&lt;6,"令和8年"&amp;_xlfn.SHEET()+7&amp;"月","令和9年"&amp;_xlfn.SHEET()-5&amp;"月")&amp;"!$U$5")),$G6/($V7-$U$5))</f>
        <v>#VALUE!</v>
      </c>
      <c r="J6" s="26" t="str">
        <f t="shared" si="1"/>
        <v/>
      </c>
      <c r="K6" s="27"/>
      <c r="L6" s="165" t="str">
        <f t="shared" si="2"/>
        <v/>
      </c>
      <c r="M6" s="28" t="str">
        <f t="shared" si="3"/>
        <v/>
      </c>
      <c r="N6" s="166" t="str">
        <f t="shared" si="4"/>
        <v/>
      </c>
      <c r="O6" s="167" t="str">
        <f t="shared" si="5"/>
        <v/>
      </c>
      <c r="P6" s="168"/>
      <c r="Q6" s="169" t="str">
        <f t="shared" si="6"/>
        <v/>
      </c>
      <c r="R6" s="170"/>
      <c r="S6" s="171"/>
      <c r="T6" s="24"/>
      <c r="U6" s="29"/>
      <c r="V6" s="30">
        <f t="shared" ref="V6:V35" si="41">SUM(V5+U6)</f>
        <v>0</v>
      </c>
      <c r="W6" s="27"/>
      <c r="X6" s="31" t="str">
        <f t="shared" si="7"/>
        <v/>
      </c>
      <c r="Y6" s="29"/>
      <c r="Z6" s="32">
        <f t="shared" ref="Z6:Z35" si="42">SUM(Z5+Y6)</f>
        <v>0</v>
      </c>
      <c r="AA6" s="33" t="str">
        <f t="shared" si="8"/>
        <v/>
      </c>
      <c r="AB6" s="158"/>
      <c r="AC6" s="34">
        <f t="shared" ref="AC6:AC35" si="43">AB6+AC5</f>
        <v>0</v>
      </c>
      <c r="AD6" s="158"/>
      <c r="AE6" s="25"/>
      <c r="AF6" s="25"/>
      <c r="AG6" s="25"/>
      <c r="AH6" s="25"/>
      <c r="AI6" s="25"/>
      <c r="AJ6" s="25"/>
      <c r="AK6" s="25"/>
      <c r="AL6" s="158"/>
      <c r="AM6" s="25"/>
      <c r="AN6" s="158"/>
      <c r="AO6" s="25"/>
      <c r="AP6" s="25"/>
      <c r="AQ6" s="158"/>
      <c r="AR6" s="35">
        <f t="shared" si="9"/>
        <v>0</v>
      </c>
      <c r="AS6" s="172" t="str">
        <f t="shared" si="10"/>
        <v/>
      </c>
      <c r="AT6" s="36">
        <f t="shared" si="11"/>
        <v>0</v>
      </c>
      <c r="AU6" s="173"/>
      <c r="AV6" s="82">
        <f t="shared" si="12"/>
        <v>2</v>
      </c>
      <c r="AW6" s="37"/>
      <c r="AX6" s="174" t="str">
        <f t="shared" si="13"/>
        <v/>
      </c>
      <c r="AY6" s="37"/>
      <c r="AZ6" s="174" t="str">
        <f t="shared" si="14"/>
        <v/>
      </c>
      <c r="BA6" s="37"/>
      <c r="BB6" s="174" t="str">
        <f t="shared" si="15"/>
        <v/>
      </c>
      <c r="BC6" s="37"/>
      <c r="BD6" s="174" t="str">
        <f t="shared" si="16"/>
        <v/>
      </c>
      <c r="BE6" s="37"/>
      <c r="BF6" s="174" t="str">
        <f t="shared" si="17"/>
        <v/>
      </c>
      <c r="BG6" s="37"/>
      <c r="BH6" s="174" t="str">
        <f t="shared" si="18"/>
        <v/>
      </c>
      <c r="BI6" s="37"/>
      <c r="BJ6" s="174" t="str">
        <f t="shared" si="19"/>
        <v/>
      </c>
      <c r="BK6" s="37"/>
      <c r="BL6" s="174" t="str">
        <f t="shared" si="20"/>
        <v/>
      </c>
      <c r="BM6" s="37"/>
      <c r="BN6" s="174" t="str">
        <f t="shared" si="21"/>
        <v/>
      </c>
      <c r="BO6" s="37"/>
      <c r="BP6" s="174" t="str">
        <f t="shared" si="22"/>
        <v/>
      </c>
      <c r="BQ6" s="37"/>
      <c r="BR6" s="174" t="str">
        <f t="shared" si="23"/>
        <v/>
      </c>
      <c r="BS6" s="37"/>
      <c r="BT6" s="174" t="str">
        <f t="shared" si="24"/>
        <v/>
      </c>
      <c r="BU6" s="37"/>
      <c r="BV6" s="174" t="str">
        <f t="shared" si="25"/>
        <v/>
      </c>
      <c r="BW6" s="37"/>
      <c r="BX6" s="174" t="str">
        <f t="shared" si="26"/>
        <v/>
      </c>
      <c r="BY6" s="37"/>
      <c r="BZ6" s="174" t="str">
        <f t="shared" si="27"/>
        <v/>
      </c>
      <c r="CA6" s="37"/>
      <c r="CB6" s="174" t="str">
        <f t="shared" si="28"/>
        <v/>
      </c>
      <c r="CC6" s="37"/>
      <c r="CD6" s="174" t="str">
        <f t="shared" si="29"/>
        <v/>
      </c>
      <c r="CE6" s="37"/>
      <c r="CF6" s="174" t="str">
        <f t="shared" si="30"/>
        <v/>
      </c>
      <c r="CG6" s="37"/>
      <c r="CH6" s="174" t="str">
        <f t="shared" si="31"/>
        <v/>
      </c>
      <c r="CI6" s="37"/>
      <c r="CJ6" s="174" t="str">
        <f t="shared" si="32"/>
        <v/>
      </c>
      <c r="CK6" s="37"/>
      <c r="CL6" s="174" t="str">
        <f t="shared" si="33"/>
        <v/>
      </c>
      <c r="CM6" s="37"/>
      <c r="CN6" s="174" t="str">
        <f t="shared" si="34"/>
        <v/>
      </c>
      <c r="CO6" s="37"/>
      <c r="CP6" s="174" t="str">
        <f t="shared" si="35"/>
        <v/>
      </c>
      <c r="CQ6" s="37"/>
      <c r="CR6" s="174" t="str">
        <f t="shared" si="36"/>
        <v/>
      </c>
      <c r="CS6" s="37"/>
      <c r="CT6" s="174" t="str">
        <f t="shared" si="37"/>
        <v/>
      </c>
      <c r="CU6" s="38"/>
      <c r="CV6" s="87"/>
      <c r="CW6" s="90"/>
      <c r="CX6" s="38"/>
      <c r="CY6" s="39"/>
      <c r="CZ6" s="37"/>
      <c r="DA6" s="39"/>
      <c r="DB6" s="24">
        <v>2</v>
      </c>
      <c r="DC6" s="96" t="str">
        <f t="shared" si="38"/>
        <v>土</v>
      </c>
      <c r="DF6" s="125"/>
      <c r="DG6" s="40"/>
      <c r="DH6" s="40"/>
      <c r="DI6" s="40"/>
      <c r="DJ6" s="40"/>
      <c r="DK6" s="40"/>
      <c r="DL6" s="40"/>
      <c r="DM6" s="40"/>
      <c r="DN6" s="40"/>
      <c r="DO6" s="40"/>
      <c r="DP6" s="40">
        <f t="shared" si="39"/>
        <v>0</v>
      </c>
      <c r="DQ6" s="172" t="str">
        <f t="shared" si="40"/>
        <v/>
      </c>
      <c r="DS6" s="189"/>
      <c r="DT6" s="190"/>
      <c r="DU6" s="190"/>
      <c r="DV6" s="191"/>
      <c r="DW6" s="41"/>
      <c r="DX6" s="42"/>
      <c r="DY6" s="22"/>
      <c r="DZ6" s="22"/>
      <c r="EA6" s="22"/>
    </row>
    <row r="7" spans="1:132" ht="13.5" customHeight="1" x14ac:dyDescent="0.4">
      <c r="A7" s="104">
        <v>3</v>
      </c>
      <c r="B7" s="23" t="s">
        <v>89</v>
      </c>
      <c r="C7" s="164"/>
      <c r="D7" s="164"/>
      <c r="E7" s="24"/>
      <c r="F7" s="29"/>
      <c r="G7" s="25" t="str">
        <f>IF(SUM($F$5:F7)=0,"",SUM($F$5:F7))</f>
        <v/>
      </c>
      <c r="H7" s="43" t="str">
        <f t="shared" si="0"/>
        <v/>
      </c>
      <c r="I7" s="148" t="e">
        <f t="array" aca="1" ref="I7" ca="1">IF($A8="",$G7/($V7-$U$5+INDIRECT(IF(_xlfn.SHEET()&lt;6,"令和8年"&amp;_xlfn.SHEET()+7&amp;"月","令和9年"&amp;_xlfn.SHEET()-5&amp;"月")&amp;"!$U$5")),$G7/($V8-$U$5))</f>
        <v>#VALUE!</v>
      </c>
      <c r="J7" s="26" t="str">
        <f t="shared" si="1"/>
        <v/>
      </c>
      <c r="K7" s="27"/>
      <c r="L7" s="165" t="str">
        <f t="shared" si="2"/>
        <v/>
      </c>
      <c r="M7" s="28" t="str">
        <f t="shared" si="3"/>
        <v/>
      </c>
      <c r="N7" s="166" t="str">
        <f t="shared" si="4"/>
        <v/>
      </c>
      <c r="O7" s="167" t="str">
        <f t="shared" si="5"/>
        <v/>
      </c>
      <c r="P7" s="168"/>
      <c r="Q7" s="169" t="str">
        <f t="shared" si="6"/>
        <v/>
      </c>
      <c r="R7" s="170"/>
      <c r="S7" s="171"/>
      <c r="T7" s="24"/>
      <c r="U7" s="29"/>
      <c r="V7" s="30">
        <f t="shared" si="41"/>
        <v>0</v>
      </c>
      <c r="W7" s="27"/>
      <c r="X7" s="31" t="str">
        <f t="shared" si="7"/>
        <v/>
      </c>
      <c r="Y7" s="29"/>
      <c r="Z7" s="32">
        <f t="shared" si="42"/>
        <v>0</v>
      </c>
      <c r="AA7" s="33" t="str">
        <f t="shared" si="8"/>
        <v/>
      </c>
      <c r="AB7" s="158">
        <v>700000</v>
      </c>
      <c r="AC7" s="34">
        <f t="shared" si="43"/>
        <v>700000</v>
      </c>
      <c r="AD7" s="158"/>
      <c r="AE7" s="25"/>
      <c r="AF7" s="25"/>
      <c r="AG7" s="25"/>
      <c r="AH7" s="25"/>
      <c r="AI7" s="25"/>
      <c r="AJ7" s="25"/>
      <c r="AK7" s="25"/>
      <c r="AL7" s="158"/>
      <c r="AM7" s="25"/>
      <c r="AN7" s="158"/>
      <c r="AO7" s="25"/>
      <c r="AP7" s="25"/>
      <c r="AQ7" s="158"/>
      <c r="AR7" s="35">
        <f t="shared" si="9"/>
        <v>0</v>
      </c>
      <c r="AS7" s="172" t="str">
        <f t="shared" si="10"/>
        <v/>
      </c>
      <c r="AT7" s="36">
        <f t="shared" si="11"/>
        <v>0</v>
      </c>
      <c r="AU7" s="173"/>
      <c r="AV7" s="82">
        <f t="shared" si="12"/>
        <v>3</v>
      </c>
      <c r="AW7" s="37"/>
      <c r="AX7" s="174" t="str">
        <f t="shared" si="13"/>
        <v/>
      </c>
      <c r="AY7" s="37"/>
      <c r="AZ7" s="174" t="str">
        <f t="shared" si="14"/>
        <v/>
      </c>
      <c r="BA7" s="37"/>
      <c r="BB7" s="174" t="str">
        <f t="shared" si="15"/>
        <v/>
      </c>
      <c r="BC7" s="37"/>
      <c r="BD7" s="174" t="str">
        <f t="shared" si="16"/>
        <v/>
      </c>
      <c r="BE7" s="37"/>
      <c r="BF7" s="174" t="str">
        <f t="shared" si="17"/>
        <v/>
      </c>
      <c r="BG7" s="37"/>
      <c r="BH7" s="174" t="str">
        <f t="shared" si="18"/>
        <v/>
      </c>
      <c r="BI7" s="37"/>
      <c r="BJ7" s="174" t="str">
        <f t="shared" si="19"/>
        <v/>
      </c>
      <c r="BK7" s="37"/>
      <c r="BL7" s="174" t="str">
        <f t="shared" si="20"/>
        <v/>
      </c>
      <c r="BM7" s="37"/>
      <c r="BN7" s="174" t="str">
        <f t="shared" si="21"/>
        <v/>
      </c>
      <c r="BO7" s="37"/>
      <c r="BP7" s="174" t="str">
        <f t="shared" si="22"/>
        <v/>
      </c>
      <c r="BQ7" s="37"/>
      <c r="BR7" s="174" t="str">
        <f t="shared" si="23"/>
        <v/>
      </c>
      <c r="BS7" s="37"/>
      <c r="BT7" s="174" t="str">
        <f t="shared" si="24"/>
        <v/>
      </c>
      <c r="BU7" s="37"/>
      <c r="BV7" s="174" t="str">
        <f t="shared" si="25"/>
        <v/>
      </c>
      <c r="BW7" s="37"/>
      <c r="BX7" s="174" t="str">
        <f t="shared" si="26"/>
        <v/>
      </c>
      <c r="BY7" s="37"/>
      <c r="BZ7" s="174" t="str">
        <f t="shared" si="27"/>
        <v/>
      </c>
      <c r="CA7" s="37"/>
      <c r="CB7" s="174" t="str">
        <f t="shared" si="28"/>
        <v/>
      </c>
      <c r="CC7" s="37"/>
      <c r="CD7" s="174" t="str">
        <f t="shared" si="29"/>
        <v/>
      </c>
      <c r="CE7" s="37"/>
      <c r="CF7" s="174" t="str">
        <f t="shared" si="30"/>
        <v/>
      </c>
      <c r="CG7" s="37"/>
      <c r="CH7" s="174" t="str">
        <f t="shared" si="31"/>
        <v/>
      </c>
      <c r="CI7" s="37"/>
      <c r="CJ7" s="174" t="str">
        <f t="shared" si="32"/>
        <v/>
      </c>
      <c r="CK7" s="37"/>
      <c r="CL7" s="174" t="str">
        <f t="shared" si="33"/>
        <v/>
      </c>
      <c r="CM7" s="37"/>
      <c r="CN7" s="174" t="str">
        <f t="shared" si="34"/>
        <v/>
      </c>
      <c r="CO7" s="37"/>
      <c r="CP7" s="174" t="str">
        <f t="shared" si="35"/>
        <v/>
      </c>
      <c r="CQ7" s="37"/>
      <c r="CR7" s="174" t="str">
        <f t="shared" si="36"/>
        <v/>
      </c>
      <c r="CS7" s="37"/>
      <c r="CT7" s="174" t="str">
        <f t="shared" si="37"/>
        <v/>
      </c>
      <c r="CU7" s="38"/>
      <c r="CV7" s="87"/>
      <c r="CW7" s="90"/>
      <c r="CX7" s="38"/>
      <c r="CY7" s="39"/>
      <c r="CZ7" s="37"/>
      <c r="DA7" s="39"/>
      <c r="DB7" s="24">
        <v>3</v>
      </c>
      <c r="DC7" s="96" t="str">
        <f t="shared" si="38"/>
        <v>日</v>
      </c>
      <c r="DF7" s="125"/>
      <c r="DG7" s="40"/>
      <c r="DH7" s="40"/>
      <c r="DI7" s="40"/>
      <c r="DJ7" s="40"/>
      <c r="DK7" s="40"/>
      <c r="DL7" s="40"/>
      <c r="DM7" s="40"/>
      <c r="DN7" s="40"/>
      <c r="DO7" s="40"/>
      <c r="DP7" s="40">
        <f t="shared" si="39"/>
        <v>0</v>
      </c>
      <c r="DQ7" s="172" t="str">
        <f t="shared" si="40"/>
        <v/>
      </c>
      <c r="DS7" s="189"/>
      <c r="DT7" s="190"/>
      <c r="DU7" s="190"/>
      <c r="DV7" s="191"/>
      <c r="DW7" s="138"/>
      <c r="DX7" s="42"/>
      <c r="DY7" s="139"/>
      <c r="DZ7" s="139"/>
      <c r="EA7" s="139"/>
      <c r="EB7" s="139"/>
    </row>
    <row r="8" spans="1:132" ht="13.5" customHeight="1" x14ac:dyDescent="0.4">
      <c r="A8" s="104">
        <v>4</v>
      </c>
      <c r="B8" s="23" t="s">
        <v>90</v>
      </c>
      <c r="C8" s="164"/>
      <c r="D8" s="164"/>
      <c r="E8" s="24"/>
      <c r="F8" s="29"/>
      <c r="G8" s="25" t="str">
        <f>IF(SUM($F$5:F8)=0,"",SUM($F$5:F8))</f>
        <v/>
      </c>
      <c r="H8" s="43" t="str">
        <f t="shared" si="0"/>
        <v/>
      </c>
      <c r="I8" s="148" t="e">
        <f t="array" aca="1" ref="I8" ca="1">IF($A9="",$G8/($V8-$U$5+INDIRECT(IF(_xlfn.SHEET()&lt;6,"令和8年"&amp;_xlfn.SHEET()+7&amp;"月","令和9年"&amp;_xlfn.SHEET()-5&amp;"月")&amp;"!$U$5")),$G8/($V9-$U$5))</f>
        <v>#VALUE!</v>
      </c>
      <c r="J8" s="26" t="str">
        <f t="shared" si="1"/>
        <v/>
      </c>
      <c r="K8" s="27"/>
      <c r="L8" s="165">
        <f t="shared" si="2"/>
        <v>0</v>
      </c>
      <c r="M8" s="28" t="str">
        <f t="shared" si="3"/>
        <v/>
      </c>
      <c r="N8" s="166" t="str">
        <f t="shared" si="4"/>
        <v/>
      </c>
      <c r="O8" s="167" t="str">
        <f t="shared" si="5"/>
        <v/>
      </c>
      <c r="P8" s="168"/>
      <c r="Q8" s="169" t="str">
        <f t="shared" si="6"/>
        <v/>
      </c>
      <c r="R8" s="170">
        <v>11</v>
      </c>
      <c r="S8" s="171">
        <v>2</v>
      </c>
      <c r="T8" s="24" t="s">
        <v>84</v>
      </c>
      <c r="U8" s="29">
        <v>424675</v>
      </c>
      <c r="V8" s="30">
        <f t="shared" si="41"/>
        <v>424675</v>
      </c>
      <c r="W8" s="27">
        <v>258</v>
      </c>
      <c r="X8" s="31">
        <f t="shared" si="7"/>
        <v>1646.0271317829458</v>
      </c>
      <c r="Y8" s="29"/>
      <c r="Z8" s="32">
        <f t="shared" si="42"/>
        <v>0</v>
      </c>
      <c r="AA8" s="33" t="str">
        <f t="shared" si="8"/>
        <v/>
      </c>
      <c r="AB8" s="158">
        <v>180000</v>
      </c>
      <c r="AC8" s="34">
        <f t="shared" si="43"/>
        <v>880000</v>
      </c>
      <c r="AD8" s="158"/>
      <c r="AE8" s="25"/>
      <c r="AF8" s="25"/>
      <c r="AG8" s="25"/>
      <c r="AH8" s="25"/>
      <c r="AI8" s="25"/>
      <c r="AJ8" s="25"/>
      <c r="AK8" s="79"/>
      <c r="AL8" s="120"/>
      <c r="AM8" s="79"/>
      <c r="AN8" s="120"/>
      <c r="AO8" s="79"/>
      <c r="AP8" s="79"/>
      <c r="AQ8" s="158"/>
      <c r="AR8" s="35">
        <f t="shared" si="9"/>
        <v>0</v>
      </c>
      <c r="AS8" s="172" t="str">
        <f t="shared" si="10"/>
        <v/>
      </c>
      <c r="AT8" s="36">
        <f t="shared" si="11"/>
        <v>0</v>
      </c>
      <c r="AU8" s="173"/>
      <c r="AV8" s="82">
        <f t="shared" si="12"/>
        <v>4</v>
      </c>
      <c r="AW8" s="37"/>
      <c r="AX8" s="174" t="str">
        <f t="shared" si="13"/>
        <v/>
      </c>
      <c r="AY8" s="37"/>
      <c r="AZ8" s="174" t="str">
        <f t="shared" si="14"/>
        <v/>
      </c>
      <c r="BA8" s="37"/>
      <c r="BB8" s="174" t="str">
        <f t="shared" si="15"/>
        <v/>
      </c>
      <c r="BC8" s="37"/>
      <c r="BD8" s="174" t="str">
        <f t="shared" si="16"/>
        <v/>
      </c>
      <c r="BE8" s="37"/>
      <c r="BF8" s="174" t="str">
        <f t="shared" si="17"/>
        <v/>
      </c>
      <c r="BG8" s="37"/>
      <c r="BH8" s="174" t="str">
        <f t="shared" si="18"/>
        <v/>
      </c>
      <c r="BI8" s="37"/>
      <c r="BJ8" s="174" t="str">
        <f t="shared" si="19"/>
        <v/>
      </c>
      <c r="BK8" s="37"/>
      <c r="BL8" s="174" t="str">
        <f t="shared" si="20"/>
        <v/>
      </c>
      <c r="BM8" s="37"/>
      <c r="BN8" s="174" t="str">
        <f t="shared" si="21"/>
        <v/>
      </c>
      <c r="BO8" s="37"/>
      <c r="BP8" s="174" t="str">
        <f t="shared" si="22"/>
        <v/>
      </c>
      <c r="BQ8" s="37"/>
      <c r="BR8" s="174" t="str">
        <f t="shared" si="23"/>
        <v/>
      </c>
      <c r="BS8" s="37"/>
      <c r="BT8" s="174" t="str">
        <f t="shared" si="24"/>
        <v/>
      </c>
      <c r="BU8" s="37"/>
      <c r="BV8" s="174" t="str">
        <f t="shared" si="25"/>
        <v/>
      </c>
      <c r="BW8" s="37"/>
      <c r="BX8" s="174" t="str">
        <f t="shared" si="26"/>
        <v/>
      </c>
      <c r="BY8" s="37"/>
      <c r="BZ8" s="174" t="str">
        <f t="shared" si="27"/>
        <v/>
      </c>
      <c r="CA8" s="37"/>
      <c r="CB8" s="174" t="str">
        <f t="shared" si="28"/>
        <v/>
      </c>
      <c r="CC8" s="37"/>
      <c r="CD8" s="174" t="str">
        <f t="shared" si="29"/>
        <v/>
      </c>
      <c r="CE8" s="37"/>
      <c r="CF8" s="174" t="str">
        <f t="shared" si="30"/>
        <v/>
      </c>
      <c r="CG8" s="37"/>
      <c r="CH8" s="174" t="str">
        <f t="shared" si="31"/>
        <v/>
      </c>
      <c r="CI8" s="37"/>
      <c r="CJ8" s="174" t="str">
        <f t="shared" si="32"/>
        <v/>
      </c>
      <c r="CK8" s="37"/>
      <c r="CL8" s="174" t="str">
        <f t="shared" si="33"/>
        <v/>
      </c>
      <c r="CM8" s="37"/>
      <c r="CN8" s="174" t="str">
        <f t="shared" si="34"/>
        <v/>
      </c>
      <c r="CO8" s="37"/>
      <c r="CP8" s="174" t="str">
        <f t="shared" si="35"/>
        <v/>
      </c>
      <c r="CQ8" s="37"/>
      <c r="CR8" s="174" t="str">
        <f t="shared" si="36"/>
        <v/>
      </c>
      <c r="CS8" s="37"/>
      <c r="CT8" s="174" t="str">
        <f t="shared" si="37"/>
        <v/>
      </c>
      <c r="CU8" s="38"/>
      <c r="CV8" s="87"/>
      <c r="CW8" s="90"/>
      <c r="CX8" s="38"/>
      <c r="CY8" s="39"/>
      <c r="CZ8" s="37"/>
      <c r="DA8" s="39"/>
      <c r="DB8" s="24">
        <v>4</v>
      </c>
      <c r="DC8" s="96" t="str">
        <f t="shared" si="38"/>
        <v>月</v>
      </c>
      <c r="DF8" s="125"/>
      <c r="DG8" s="40"/>
      <c r="DH8" s="40"/>
      <c r="DI8" s="40"/>
      <c r="DJ8" s="40"/>
      <c r="DK8" s="40"/>
      <c r="DL8" s="40"/>
      <c r="DM8" s="40"/>
      <c r="DN8" s="40"/>
      <c r="DO8" s="40"/>
      <c r="DP8" s="40">
        <f t="shared" si="39"/>
        <v>0</v>
      </c>
      <c r="DQ8" s="172" t="str">
        <f t="shared" si="40"/>
        <v/>
      </c>
      <c r="DS8" s="189"/>
      <c r="DT8" s="190"/>
      <c r="DU8" s="190"/>
      <c r="DV8" s="191"/>
      <c r="DW8" s="41"/>
      <c r="DX8" s="42"/>
      <c r="DY8" s="139"/>
      <c r="DZ8" s="139"/>
      <c r="EA8" s="139"/>
      <c r="EB8" s="139"/>
    </row>
    <row r="9" spans="1:132" ht="13.5" customHeight="1" x14ac:dyDescent="0.4">
      <c r="A9" s="104">
        <v>5</v>
      </c>
      <c r="B9" s="23" t="s">
        <v>91</v>
      </c>
      <c r="C9" s="164"/>
      <c r="D9" s="164"/>
      <c r="E9" s="24"/>
      <c r="F9" s="29"/>
      <c r="G9" s="25" t="str">
        <f>IF(SUM($F$5:F9)=0,"",SUM($F$5:F9))</f>
        <v/>
      </c>
      <c r="H9" s="43" t="str">
        <f t="shared" si="0"/>
        <v/>
      </c>
      <c r="I9" s="148" t="e">
        <f t="array" aca="1" ref="I9" ca="1">IF($A10="",$G9/($V9-$U$5+INDIRECT(IF(_xlfn.SHEET()&lt;6,"令和8年"&amp;_xlfn.SHEET()+7&amp;"月","令和9年"&amp;_xlfn.SHEET()-5&amp;"月")&amp;"!$U$5")),$G9/($V10-$U$5))</f>
        <v>#VALUE!</v>
      </c>
      <c r="J9" s="26" t="str">
        <f t="shared" si="1"/>
        <v/>
      </c>
      <c r="K9" s="27"/>
      <c r="L9" s="165">
        <f t="shared" si="2"/>
        <v>0</v>
      </c>
      <c r="M9" s="28" t="str">
        <f t="shared" si="3"/>
        <v/>
      </c>
      <c r="N9" s="166" t="str">
        <f t="shared" si="4"/>
        <v/>
      </c>
      <c r="O9" s="167" t="str">
        <f t="shared" si="5"/>
        <v/>
      </c>
      <c r="P9" s="168"/>
      <c r="Q9" s="169" t="str">
        <f t="shared" si="6"/>
        <v/>
      </c>
      <c r="R9" s="170">
        <v>11</v>
      </c>
      <c r="S9" s="171">
        <v>5</v>
      </c>
      <c r="T9" s="24" t="s">
        <v>84</v>
      </c>
      <c r="U9" s="29">
        <v>207733</v>
      </c>
      <c r="V9" s="30">
        <f t="shared" si="41"/>
        <v>632408</v>
      </c>
      <c r="W9" s="27">
        <v>127</v>
      </c>
      <c r="X9" s="31">
        <f t="shared" si="7"/>
        <v>1635.6929133858268</v>
      </c>
      <c r="Y9" s="29">
        <v>562202</v>
      </c>
      <c r="Z9" s="32">
        <f t="shared" si="42"/>
        <v>562202</v>
      </c>
      <c r="AA9" s="33">
        <f t="shared" si="8"/>
        <v>1.1248768236327868</v>
      </c>
      <c r="AB9" s="158">
        <v>180000</v>
      </c>
      <c r="AC9" s="34">
        <f t="shared" si="43"/>
        <v>1060000</v>
      </c>
      <c r="AD9" s="158"/>
      <c r="AE9" s="25"/>
      <c r="AF9" s="25"/>
      <c r="AG9" s="25"/>
      <c r="AH9" s="25"/>
      <c r="AI9" s="25"/>
      <c r="AJ9" s="25"/>
      <c r="AK9" s="25"/>
      <c r="AL9" s="158"/>
      <c r="AM9" s="25"/>
      <c r="AN9" s="158"/>
      <c r="AO9" s="25"/>
      <c r="AP9" s="25"/>
      <c r="AQ9" s="158"/>
      <c r="AR9" s="35">
        <f t="shared" si="9"/>
        <v>0</v>
      </c>
      <c r="AS9" s="172" t="str">
        <f t="shared" si="10"/>
        <v/>
      </c>
      <c r="AT9" s="36">
        <f t="shared" si="11"/>
        <v>0</v>
      </c>
      <c r="AU9" s="173"/>
      <c r="AV9" s="82">
        <f t="shared" si="12"/>
        <v>5</v>
      </c>
      <c r="AW9" s="37"/>
      <c r="AX9" s="174" t="str">
        <f t="shared" si="13"/>
        <v/>
      </c>
      <c r="AY9" s="37"/>
      <c r="AZ9" s="174" t="str">
        <f t="shared" si="14"/>
        <v/>
      </c>
      <c r="BA9" s="37"/>
      <c r="BB9" s="174" t="str">
        <f t="shared" si="15"/>
        <v/>
      </c>
      <c r="BC9" s="37"/>
      <c r="BD9" s="174" t="str">
        <f t="shared" si="16"/>
        <v/>
      </c>
      <c r="BE9" s="37"/>
      <c r="BF9" s="174" t="str">
        <f t="shared" si="17"/>
        <v/>
      </c>
      <c r="BG9" s="37"/>
      <c r="BH9" s="174" t="str">
        <f t="shared" si="18"/>
        <v/>
      </c>
      <c r="BI9" s="37"/>
      <c r="BJ9" s="174" t="str">
        <f t="shared" si="19"/>
        <v/>
      </c>
      <c r="BK9" s="37"/>
      <c r="BL9" s="174" t="str">
        <f t="shared" si="20"/>
        <v/>
      </c>
      <c r="BM9" s="37"/>
      <c r="BN9" s="174" t="str">
        <f t="shared" si="21"/>
        <v/>
      </c>
      <c r="BO9" s="37"/>
      <c r="BP9" s="174" t="str">
        <f t="shared" si="22"/>
        <v/>
      </c>
      <c r="BQ9" s="37"/>
      <c r="BR9" s="174" t="str">
        <f t="shared" si="23"/>
        <v/>
      </c>
      <c r="BS9" s="37"/>
      <c r="BT9" s="174" t="str">
        <f t="shared" si="24"/>
        <v/>
      </c>
      <c r="BU9" s="37"/>
      <c r="BV9" s="174" t="str">
        <f t="shared" si="25"/>
        <v/>
      </c>
      <c r="BW9" s="37"/>
      <c r="BX9" s="174" t="str">
        <f t="shared" si="26"/>
        <v/>
      </c>
      <c r="BY9" s="37"/>
      <c r="BZ9" s="174" t="str">
        <f t="shared" si="27"/>
        <v/>
      </c>
      <c r="CA9" s="37"/>
      <c r="CB9" s="174" t="str">
        <f t="shared" si="28"/>
        <v/>
      </c>
      <c r="CC9" s="37"/>
      <c r="CD9" s="174" t="str">
        <f t="shared" si="29"/>
        <v/>
      </c>
      <c r="CE9" s="37"/>
      <c r="CF9" s="174" t="str">
        <f t="shared" si="30"/>
        <v/>
      </c>
      <c r="CG9" s="37"/>
      <c r="CH9" s="174" t="str">
        <f t="shared" si="31"/>
        <v/>
      </c>
      <c r="CI9" s="37"/>
      <c r="CJ9" s="174" t="str">
        <f t="shared" si="32"/>
        <v/>
      </c>
      <c r="CK9" s="37"/>
      <c r="CL9" s="174" t="str">
        <f t="shared" si="33"/>
        <v/>
      </c>
      <c r="CM9" s="37"/>
      <c r="CN9" s="174" t="str">
        <f t="shared" si="34"/>
        <v/>
      </c>
      <c r="CO9" s="37"/>
      <c r="CP9" s="174" t="str">
        <f t="shared" si="35"/>
        <v/>
      </c>
      <c r="CQ9" s="37"/>
      <c r="CR9" s="174" t="str">
        <f t="shared" si="36"/>
        <v/>
      </c>
      <c r="CS9" s="37"/>
      <c r="CT9" s="174" t="str">
        <f t="shared" si="37"/>
        <v/>
      </c>
      <c r="CU9" s="38"/>
      <c r="CV9" s="87"/>
      <c r="CW9" s="90"/>
      <c r="CX9" s="38"/>
      <c r="CY9" s="39"/>
      <c r="CZ9" s="37"/>
      <c r="DA9" s="39"/>
      <c r="DB9" s="24">
        <v>5</v>
      </c>
      <c r="DC9" s="96" t="str">
        <f t="shared" si="38"/>
        <v>火</v>
      </c>
      <c r="DF9" s="125"/>
      <c r="DG9" s="40"/>
      <c r="DH9" s="40"/>
      <c r="DI9" s="40"/>
      <c r="DJ9" s="40"/>
      <c r="DK9" s="40"/>
      <c r="DL9" s="40"/>
      <c r="DM9" s="40"/>
      <c r="DN9" s="40"/>
      <c r="DO9" s="40"/>
      <c r="DP9" s="40">
        <f t="shared" si="39"/>
        <v>0</v>
      </c>
      <c r="DQ9" s="172" t="str">
        <f t="shared" si="40"/>
        <v/>
      </c>
      <c r="DS9" s="189"/>
      <c r="DT9" s="190"/>
      <c r="DU9" s="190"/>
      <c r="DV9" s="191"/>
      <c r="DW9" s="41"/>
      <c r="DX9" s="42"/>
      <c r="DY9" s="139"/>
      <c r="DZ9" s="139"/>
      <c r="EA9" s="139"/>
      <c r="EB9" s="139"/>
    </row>
    <row r="10" spans="1:132" ht="13.5" customHeight="1" x14ac:dyDescent="0.4">
      <c r="A10" s="104">
        <v>6</v>
      </c>
      <c r="B10" s="23" t="s">
        <v>83</v>
      </c>
      <c r="C10" s="164"/>
      <c r="D10" s="164"/>
      <c r="E10" s="24"/>
      <c r="F10" s="29"/>
      <c r="G10" s="25" t="str">
        <f>IF(SUM($F$5:F10)=0,"",SUM($F$5:F10))</f>
        <v/>
      </c>
      <c r="H10" s="43" t="str">
        <f t="shared" si="0"/>
        <v/>
      </c>
      <c r="I10" s="148" t="e">
        <f t="array" aca="1" ref="I10" ca="1">IF($A11="",$G10/($V10-$U$5+INDIRECT(IF(_xlfn.SHEET()&lt;6,"令和8年"&amp;_xlfn.SHEET()+7&amp;"月","令和9年"&amp;_xlfn.SHEET()-5&amp;"月")&amp;"!$U$5")),$G10/($V11-$U$5))</f>
        <v>#VALUE!</v>
      </c>
      <c r="J10" s="26" t="str">
        <f t="shared" si="1"/>
        <v/>
      </c>
      <c r="K10" s="27"/>
      <c r="L10" s="165">
        <f t="shared" si="2"/>
        <v>0</v>
      </c>
      <c r="M10" s="28" t="str">
        <f t="shared" si="3"/>
        <v/>
      </c>
      <c r="N10" s="166" t="str">
        <f t="shared" si="4"/>
        <v/>
      </c>
      <c r="O10" s="167" t="str">
        <f t="shared" si="5"/>
        <v/>
      </c>
      <c r="P10" s="168"/>
      <c r="Q10" s="169" t="str">
        <f t="shared" si="6"/>
        <v/>
      </c>
      <c r="R10" s="170">
        <v>11</v>
      </c>
      <c r="S10" s="171">
        <v>3</v>
      </c>
      <c r="T10" s="24" t="s">
        <v>84</v>
      </c>
      <c r="U10" s="29">
        <v>158394</v>
      </c>
      <c r="V10" s="30">
        <f t="shared" si="41"/>
        <v>790802</v>
      </c>
      <c r="W10" s="27">
        <v>111</v>
      </c>
      <c r="X10" s="31">
        <f t="shared" si="7"/>
        <v>1426.9729729729729</v>
      </c>
      <c r="Y10" s="29">
        <v>195523</v>
      </c>
      <c r="Z10" s="32">
        <f t="shared" si="42"/>
        <v>757725</v>
      </c>
      <c r="AA10" s="33">
        <f t="shared" si="8"/>
        <v>1.0436530403510509</v>
      </c>
      <c r="AB10" s="158">
        <v>180000</v>
      </c>
      <c r="AC10" s="34">
        <f t="shared" si="43"/>
        <v>1240000</v>
      </c>
      <c r="AD10" s="158"/>
      <c r="AE10" s="25"/>
      <c r="AF10" s="25"/>
      <c r="AG10" s="25"/>
      <c r="AH10" s="25"/>
      <c r="AI10" s="25"/>
      <c r="AJ10" s="25"/>
      <c r="AK10" s="25"/>
      <c r="AL10" s="158"/>
      <c r="AM10" s="25"/>
      <c r="AN10" s="158"/>
      <c r="AO10" s="25"/>
      <c r="AP10" s="25"/>
      <c r="AQ10" s="158"/>
      <c r="AR10" s="35">
        <f t="shared" si="9"/>
        <v>0</v>
      </c>
      <c r="AS10" s="172" t="str">
        <f t="shared" si="10"/>
        <v/>
      </c>
      <c r="AT10" s="36">
        <f t="shared" si="11"/>
        <v>0</v>
      </c>
      <c r="AU10" s="173"/>
      <c r="AV10" s="82">
        <f t="shared" si="12"/>
        <v>6</v>
      </c>
      <c r="AW10" s="37"/>
      <c r="AX10" s="174" t="str">
        <f t="shared" si="13"/>
        <v/>
      </c>
      <c r="AY10" s="37"/>
      <c r="AZ10" s="174" t="str">
        <f t="shared" si="14"/>
        <v/>
      </c>
      <c r="BA10" s="37"/>
      <c r="BB10" s="174" t="str">
        <f t="shared" si="15"/>
        <v/>
      </c>
      <c r="BC10" s="37"/>
      <c r="BD10" s="174" t="str">
        <f t="shared" si="16"/>
        <v/>
      </c>
      <c r="BE10" s="37"/>
      <c r="BF10" s="174" t="str">
        <f t="shared" si="17"/>
        <v/>
      </c>
      <c r="BG10" s="37"/>
      <c r="BH10" s="174" t="str">
        <f t="shared" si="18"/>
        <v/>
      </c>
      <c r="BI10" s="37"/>
      <c r="BJ10" s="174" t="str">
        <f t="shared" si="19"/>
        <v/>
      </c>
      <c r="BK10" s="37"/>
      <c r="BL10" s="174" t="str">
        <f t="shared" si="20"/>
        <v/>
      </c>
      <c r="BM10" s="37"/>
      <c r="BN10" s="174" t="str">
        <f t="shared" si="21"/>
        <v/>
      </c>
      <c r="BO10" s="37"/>
      <c r="BP10" s="174" t="str">
        <f t="shared" si="22"/>
        <v/>
      </c>
      <c r="BQ10" s="37"/>
      <c r="BR10" s="174" t="str">
        <f t="shared" si="23"/>
        <v/>
      </c>
      <c r="BS10" s="37"/>
      <c r="BT10" s="174" t="str">
        <f t="shared" si="24"/>
        <v/>
      </c>
      <c r="BU10" s="37"/>
      <c r="BV10" s="174" t="str">
        <f t="shared" si="25"/>
        <v/>
      </c>
      <c r="BW10" s="37"/>
      <c r="BX10" s="174" t="str">
        <f t="shared" si="26"/>
        <v/>
      </c>
      <c r="BY10" s="37"/>
      <c r="BZ10" s="174" t="str">
        <f t="shared" si="27"/>
        <v/>
      </c>
      <c r="CA10" s="37"/>
      <c r="CB10" s="174" t="str">
        <f t="shared" si="28"/>
        <v/>
      </c>
      <c r="CC10" s="37"/>
      <c r="CD10" s="174" t="str">
        <f t="shared" si="29"/>
        <v/>
      </c>
      <c r="CE10" s="37"/>
      <c r="CF10" s="174" t="str">
        <f t="shared" si="30"/>
        <v/>
      </c>
      <c r="CG10" s="37"/>
      <c r="CH10" s="174" t="str">
        <f t="shared" si="31"/>
        <v/>
      </c>
      <c r="CI10" s="37"/>
      <c r="CJ10" s="174" t="str">
        <f t="shared" si="32"/>
        <v/>
      </c>
      <c r="CK10" s="37"/>
      <c r="CL10" s="174" t="str">
        <f t="shared" si="33"/>
        <v/>
      </c>
      <c r="CM10" s="37"/>
      <c r="CN10" s="174" t="str">
        <f t="shared" si="34"/>
        <v/>
      </c>
      <c r="CO10" s="37"/>
      <c r="CP10" s="174" t="str">
        <f t="shared" si="35"/>
        <v/>
      </c>
      <c r="CQ10" s="37"/>
      <c r="CR10" s="174" t="str">
        <f t="shared" si="36"/>
        <v/>
      </c>
      <c r="CS10" s="37"/>
      <c r="CT10" s="174" t="str">
        <f t="shared" si="37"/>
        <v/>
      </c>
      <c r="CU10" s="38"/>
      <c r="CV10" s="87"/>
      <c r="CW10" s="90"/>
      <c r="CX10" s="38"/>
      <c r="CY10" s="39"/>
      <c r="CZ10" s="37"/>
      <c r="DA10" s="39"/>
      <c r="DB10" s="24">
        <v>6</v>
      </c>
      <c r="DC10" s="96" t="str">
        <f t="shared" si="38"/>
        <v>水</v>
      </c>
      <c r="DF10" s="125"/>
      <c r="DG10" s="40"/>
      <c r="DH10" s="40"/>
      <c r="DI10" s="40"/>
      <c r="DJ10" s="40"/>
      <c r="DK10" s="40"/>
      <c r="DL10" s="40"/>
      <c r="DM10" s="40"/>
      <c r="DN10" s="40"/>
      <c r="DO10" s="40"/>
      <c r="DP10" s="40">
        <f t="shared" si="39"/>
        <v>0</v>
      </c>
      <c r="DQ10" s="172" t="str">
        <f t="shared" si="40"/>
        <v/>
      </c>
      <c r="DS10" s="189"/>
      <c r="DT10" s="190"/>
      <c r="DU10" s="190"/>
      <c r="DV10" s="191"/>
      <c r="DW10" s="138"/>
      <c r="DX10" s="42"/>
      <c r="DY10" s="139"/>
      <c r="DZ10" s="139"/>
      <c r="EA10" s="139"/>
      <c r="EB10" s="139"/>
    </row>
    <row r="11" spans="1:132" ht="13.5" customHeight="1" x14ac:dyDescent="0.4">
      <c r="A11" s="104">
        <v>7</v>
      </c>
      <c r="B11" s="23" t="s">
        <v>85</v>
      </c>
      <c r="C11" s="164"/>
      <c r="D11" s="164"/>
      <c r="E11" s="24"/>
      <c r="F11" s="29"/>
      <c r="G11" s="25" t="str">
        <f>IF(SUM($F$5:F11)=0,"",SUM($F$5:F11))</f>
        <v/>
      </c>
      <c r="H11" s="43" t="str">
        <f t="shared" si="0"/>
        <v/>
      </c>
      <c r="I11" s="148" t="e">
        <f t="array" aca="1" ref="I11" ca="1">IF($A12="",$G11/($V11-$U$5+INDIRECT(IF(_xlfn.SHEET()&lt;6,"令和8年"&amp;_xlfn.SHEET()+7&amp;"月","令和9年"&amp;_xlfn.SHEET()-5&amp;"月")&amp;"!$U$5")),$G11/($V12-$U$5))</f>
        <v>#VALUE!</v>
      </c>
      <c r="J11" s="26" t="str">
        <f t="shared" si="1"/>
        <v/>
      </c>
      <c r="K11" s="27"/>
      <c r="L11" s="165">
        <f t="shared" si="2"/>
        <v>0</v>
      </c>
      <c r="M11" s="28" t="str">
        <f t="shared" si="3"/>
        <v/>
      </c>
      <c r="N11" s="166" t="str">
        <f t="shared" si="4"/>
        <v/>
      </c>
      <c r="O11" s="167" t="str">
        <f t="shared" si="5"/>
        <v/>
      </c>
      <c r="P11" s="168"/>
      <c r="Q11" s="169" t="str">
        <f t="shared" si="6"/>
        <v/>
      </c>
      <c r="R11" s="170">
        <v>13</v>
      </c>
      <c r="S11" s="171">
        <v>2</v>
      </c>
      <c r="T11" s="24" t="s">
        <v>84</v>
      </c>
      <c r="U11" s="29">
        <v>181564</v>
      </c>
      <c r="V11" s="30">
        <f t="shared" si="41"/>
        <v>972366</v>
      </c>
      <c r="W11" s="27">
        <v>106</v>
      </c>
      <c r="X11" s="31">
        <f t="shared" si="7"/>
        <v>1712.867924528302</v>
      </c>
      <c r="Y11" s="29">
        <v>138463</v>
      </c>
      <c r="Z11" s="32">
        <f t="shared" si="42"/>
        <v>896188</v>
      </c>
      <c r="AA11" s="33">
        <f t="shared" si="8"/>
        <v>1.08500225399135</v>
      </c>
      <c r="AB11" s="158">
        <v>180000</v>
      </c>
      <c r="AC11" s="34">
        <f t="shared" si="43"/>
        <v>1420000</v>
      </c>
      <c r="AD11" s="158"/>
      <c r="AE11" s="25"/>
      <c r="AF11" s="25"/>
      <c r="AG11" s="25"/>
      <c r="AH11" s="25"/>
      <c r="AI11" s="25"/>
      <c r="AJ11" s="25"/>
      <c r="AK11" s="25"/>
      <c r="AL11" s="158"/>
      <c r="AM11" s="25"/>
      <c r="AN11" s="158"/>
      <c r="AO11" s="25"/>
      <c r="AP11" s="25"/>
      <c r="AQ11" s="158"/>
      <c r="AR11" s="35">
        <f t="shared" si="9"/>
        <v>0</v>
      </c>
      <c r="AS11" s="172" t="str">
        <f t="shared" si="10"/>
        <v/>
      </c>
      <c r="AT11" s="36">
        <f t="shared" si="11"/>
        <v>0</v>
      </c>
      <c r="AU11" s="173"/>
      <c r="AV11" s="82">
        <f t="shared" si="12"/>
        <v>7</v>
      </c>
      <c r="AW11" s="37"/>
      <c r="AX11" s="174" t="str">
        <f t="shared" si="13"/>
        <v/>
      </c>
      <c r="AY11" s="37"/>
      <c r="AZ11" s="174" t="str">
        <f t="shared" si="14"/>
        <v/>
      </c>
      <c r="BA11" s="37"/>
      <c r="BB11" s="174" t="str">
        <f t="shared" si="15"/>
        <v/>
      </c>
      <c r="BC11" s="37"/>
      <c r="BD11" s="174" t="str">
        <f t="shared" si="16"/>
        <v/>
      </c>
      <c r="BE11" s="37"/>
      <c r="BF11" s="174" t="str">
        <f t="shared" si="17"/>
        <v/>
      </c>
      <c r="BG11" s="37"/>
      <c r="BH11" s="174" t="str">
        <f t="shared" si="18"/>
        <v/>
      </c>
      <c r="BI11" s="37"/>
      <c r="BJ11" s="174" t="str">
        <f t="shared" si="19"/>
        <v/>
      </c>
      <c r="BK11" s="37"/>
      <c r="BL11" s="174" t="str">
        <f t="shared" si="20"/>
        <v/>
      </c>
      <c r="BM11" s="37"/>
      <c r="BN11" s="174" t="str">
        <f t="shared" si="21"/>
        <v/>
      </c>
      <c r="BO11" s="37"/>
      <c r="BP11" s="174" t="str">
        <f t="shared" si="22"/>
        <v/>
      </c>
      <c r="BQ11" s="37"/>
      <c r="BR11" s="174" t="str">
        <f t="shared" si="23"/>
        <v/>
      </c>
      <c r="BS11" s="37"/>
      <c r="BT11" s="174" t="str">
        <f t="shared" si="24"/>
        <v/>
      </c>
      <c r="BU11" s="37"/>
      <c r="BV11" s="174" t="str">
        <f t="shared" si="25"/>
        <v/>
      </c>
      <c r="BW11" s="37"/>
      <c r="BX11" s="174" t="str">
        <f t="shared" si="26"/>
        <v/>
      </c>
      <c r="BY11" s="37"/>
      <c r="BZ11" s="174" t="str">
        <f t="shared" si="27"/>
        <v/>
      </c>
      <c r="CA11" s="37"/>
      <c r="CB11" s="174" t="str">
        <f t="shared" si="28"/>
        <v/>
      </c>
      <c r="CC11" s="37"/>
      <c r="CD11" s="174" t="str">
        <f t="shared" si="29"/>
        <v/>
      </c>
      <c r="CE11" s="37"/>
      <c r="CF11" s="174" t="str">
        <f t="shared" si="30"/>
        <v/>
      </c>
      <c r="CG11" s="37"/>
      <c r="CH11" s="174" t="str">
        <f t="shared" si="31"/>
        <v/>
      </c>
      <c r="CI11" s="37"/>
      <c r="CJ11" s="174" t="str">
        <f t="shared" si="32"/>
        <v/>
      </c>
      <c r="CK11" s="37"/>
      <c r="CL11" s="174" t="str">
        <f t="shared" si="33"/>
        <v/>
      </c>
      <c r="CM11" s="37"/>
      <c r="CN11" s="174" t="str">
        <f t="shared" si="34"/>
        <v/>
      </c>
      <c r="CO11" s="37"/>
      <c r="CP11" s="174" t="str">
        <f t="shared" si="35"/>
        <v/>
      </c>
      <c r="CQ11" s="37"/>
      <c r="CR11" s="174" t="str">
        <f t="shared" si="36"/>
        <v/>
      </c>
      <c r="CS11" s="37"/>
      <c r="CT11" s="174" t="str">
        <f t="shared" si="37"/>
        <v/>
      </c>
      <c r="CU11" s="38"/>
      <c r="CV11" s="87"/>
      <c r="CW11" s="90"/>
      <c r="CX11" s="38"/>
      <c r="CY11" s="39"/>
      <c r="CZ11" s="37"/>
      <c r="DA11" s="39"/>
      <c r="DB11" s="24">
        <v>7</v>
      </c>
      <c r="DC11" s="96" t="str">
        <f t="shared" si="38"/>
        <v>木</v>
      </c>
      <c r="DF11" s="125"/>
      <c r="DG11" s="40"/>
      <c r="DH11" s="40"/>
      <c r="DI11" s="40"/>
      <c r="DJ11" s="40"/>
      <c r="DK11" s="40"/>
      <c r="DL11" s="40"/>
      <c r="DM11" s="40"/>
      <c r="DN11" s="40"/>
      <c r="DO11" s="40"/>
      <c r="DP11" s="40">
        <f t="shared" si="39"/>
        <v>0</v>
      </c>
      <c r="DQ11" s="172" t="str">
        <f t="shared" si="40"/>
        <v/>
      </c>
      <c r="DS11" s="189"/>
      <c r="DT11" s="190"/>
      <c r="DU11" s="190"/>
      <c r="DV11" s="191"/>
      <c r="DW11" s="41"/>
      <c r="DX11" s="42"/>
    </row>
    <row r="12" spans="1:132" ht="13.5" customHeight="1" x14ac:dyDescent="0.4">
      <c r="A12" s="104">
        <v>8</v>
      </c>
      <c r="B12" s="23" t="s">
        <v>86</v>
      </c>
      <c r="C12" s="164"/>
      <c r="D12" s="164"/>
      <c r="E12" s="24"/>
      <c r="F12" s="29"/>
      <c r="G12" s="25" t="str">
        <f>IF(SUM($F$5:F12)=0,"",SUM($F$5:F12))</f>
        <v/>
      </c>
      <c r="H12" s="43" t="str">
        <f t="shared" si="0"/>
        <v/>
      </c>
      <c r="I12" s="148" t="e">
        <f t="array" aca="1" ref="I12" ca="1">IF($A13="",$G12/($V12-$U$5+INDIRECT(IF(_xlfn.SHEET()&lt;6,"令和8年"&amp;_xlfn.SHEET()+7&amp;"月","令和9年"&amp;_xlfn.SHEET()-5&amp;"月")&amp;"!$U$5")),$G12/($V13-$U$5))</f>
        <v>#VALUE!</v>
      </c>
      <c r="J12" s="26" t="str">
        <f t="shared" si="1"/>
        <v/>
      </c>
      <c r="K12" s="27"/>
      <c r="L12" s="165">
        <f t="shared" si="2"/>
        <v>0</v>
      </c>
      <c r="M12" s="28" t="str">
        <f t="shared" si="3"/>
        <v/>
      </c>
      <c r="N12" s="166" t="str">
        <f t="shared" si="4"/>
        <v/>
      </c>
      <c r="O12" s="167" t="str">
        <f t="shared" si="5"/>
        <v/>
      </c>
      <c r="P12" s="168"/>
      <c r="Q12" s="169" t="str">
        <f t="shared" si="6"/>
        <v/>
      </c>
      <c r="R12" s="170">
        <v>8</v>
      </c>
      <c r="S12" s="171">
        <v>1</v>
      </c>
      <c r="T12" s="24" t="s">
        <v>84</v>
      </c>
      <c r="U12" s="29">
        <v>124087</v>
      </c>
      <c r="V12" s="30">
        <f t="shared" si="41"/>
        <v>1096453</v>
      </c>
      <c r="W12" s="27">
        <v>84</v>
      </c>
      <c r="X12" s="31">
        <f t="shared" si="7"/>
        <v>1477.2261904761904</v>
      </c>
      <c r="Y12" s="29">
        <v>171010</v>
      </c>
      <c r="Z12" s="32">
        <f t="shared" si="42"/>
        <v>1067198</v>
      </c>
      <c r="AA12" s="33">
        <f t="shared" si="8"/>
        <v>1.0274129074454788</v>
      </c>
      <c r="AB12" s="158">
        <v>180000</v>
      </c>
      <c r="AC12" s="34">
        <f t="shared" si="43"/>
        <v>1600000</v>
      </c>
      <c r="AD12" s="158"/>
      <c r="AE12" s="25"/>
      <c r="AF12" s="25"/>
      <c r="AG12" s="25"/>
      <c r="AH12" s="25"/>
      <c r="AI12" s="25"/>
      <c r="AJ12" s="25"/>
      <c r="AK12" s="25"/>
      <c r="AL12" s="158"/>
      <c r="AM12" s="25"/>
      <c r="AN12" s="158"/>
      <c r="AO12" s="25"/>
      <c r="AP12" s="25"/>
      <c r="AQ12" s="158"/>
      <c r="AR12" s="35">
        <f t="shared" si="9"/>
        <v>0</v>
      </c>
      <c r="AS12" s="172" t="str">
        <f t="shared" si="10"/>
        <v/>
      </c>
      <c r="AT12" s="36">
        <f t="shared" si="11"/>
        <v>0</v>
      </c>
      <c r="AU12" s="173"/>
      <c r="AV12" s="82">
        <f t="shared" si="12"/>
        <v>8</v>
      </c>
      <c r="AW12" s="37"/>
      <c r="AX12" s="174" t="str">
        <f t="shared" si="13"/>
        <v/>
      </c>
      <c r="AY12" s="37"/>
      <c r="AZ12" s="174" t="str">
        <f t="shared" si="14"/>
        <v/>
      </c>
      <c r="BA12" s="37"/>
      <c r="BB12" s="174" t="str">
        <f t="shared" si="15"/>
        <v/>
      </c>
      <c r="BC12" s="37"/>
      <c r="BD12" s="174" t="str">
        <f t="shared" si="16"/>
        <v/>
      </c>
      <c r="BE12" s="37"/>
      <c r="BF12" s="174" t="str">
        <f t="shared" si="17"/>
        <v/>
      </c>
      <c r="BG12" s="37"/>
      <c r="BH12" s="174" t="str">
        <f t="shared" si="18"/>
        <v/>
      </c>
      <c r="BI12" s="37"/>
      <c r="BJ12" s="174" t="str">
        <f t="shared" si="19"/>
        <v/>
      </c>
      <c r="BK12" s="37"/>
      <c r="BL12" s="174" t="str">
        <f t="shared" si="20"/>
        <v/>
      </c>
      <c r="BM12" s="37"/>
      <c r="BN12" s="174" t="str">
        <f t="shared" si="21"/>
        <v/>
      </c>
      <c r="BO12" s="37"/>
      <c r="BP12" s="174" t="str">
        <f t="shared" si="22"/>
        <v/>
      </c>
      <c r="BQ12" s="37"/>
      <c r="BR12" s="174" t="str">
        <f t="shared" si="23"/>
        <v/>
      </c>
      <c r="BS12" s="37"/>
      <c r="BT12" s="174" t="str">
        <f t="shared" si="24"/>
        <v/>
      </c>
      <c r="BU12" s="37"/>
      <c r="BV12" s="174" t="str">
        <f t="shared" si="25"/>
        <v/>
      </c>
      <c r="BW12" s="37"/>
      <c r="BX12" s="174" t="str">
        <f t="shared" si="26"/>
        <v/>
      </c>
      <c r="BY12" s="37"/>
      <c r="BZ12" s="174" t="str">
        <f t="shared" si="27"/>
        <v/>
      </c>
      <c r="CA12" s="37"/>
      <c r="CB12" s="174" t="str">
        <f t="shared" si="28"/>
        <v/>
      </c>
      <c r="CC12" s="37"/>
      <c r="CD12" s="174" t="str">
        <f t="shared" si="29"/>
        <v/>
      </c>
      <c r="CE12" s="37"/>
      <c r="CF12" s="174" t="str">
        <f t="shared" si="30"/>
        <v/>
      </c>
      <c r="CG12" s="37"/>
      <c r="CH12" s="174" t="str">
        <f t="shared" si="31"/>
        <v/>
      </c>
      <c r="CI12" s="37"/>
      <c r="CJ12" s="174" t="str">
        <f t="shared" si="32"/>
        <v/>
      </c>
      <c r="CK12" s="37"/>
      <c r="CL12" s="174" t="str">
        <f t="shared" si="33"/>
        <v/>
      </c>
      <c r="CM12" s="37"/>
      <c r="CN12" s="174" t="str">
        <f t="shared" si="34"/>
        <v/>
      </c>
      <c r="CO12" s="37"/>
      <c r="CP12" s="174" t="str">
        <f t="shared" si="35"/>
        <v/>
      </c>
      <c r="CQ12" s="37"/>
      <c r="CR12" s="174" t="str">
        <f t="shared" si="36"/>
        <v/>
      </c>
      <c r="CS12" s="37"/>
      <c r="CT12" s="174" t="str">
        <f t="shared" si="37"/>
        <v/>
      </c>
      <c r="CU12" s="38"/>
      <c r="CV12" s="87"/>
      <c r="CW12" s="90"/>
      <c r="CX12" s="38"/>
      <c r="CY12" s="39"/>
      <c r="CZ12" s="37"/>
      <c r="DA12" s="39"/>
      <c r="DB12" s="24">
        <v>8</v>
      </c>
      <c r="DC12" s="96" t="str">
        <f t="shared" si="38"/>
        <v>金</v>
      </c>
      <c r="DF12" s="125"/>
      <c r="DG12" s="40"/>
      <c r="DH12" s="40"/>
      <c r="DI12" s="40"/>
      <c r="DJ12" s="40"/>
      <c r="DK12" s="40"/>
      <c r="DL12" s="40"/>
      <c r="DM12" s="40"/>
      <c r="DN12" s="40"/>
      <c r="DO12" s="40"/>
      <c r="DP12" s="40">
        <f t="shared" si="39"/>
        <v>0</v>
      </c>
      <c r="DQ12" s="172" t="str">
        <f t="shared" si="40"/>
        <v/>
      </c>
      <c r="DS12" s="189"/>
      <c r="DT12" s="190"/>
      <c r="DU12" s="190"/>
      <c r="DV12" s="191"/>
      <c r="DW12" s="41"/>
      <c r="DX12" s="42"/>
    </row>
    <row r="13" spans="1:132" ht="13.5" customHeight="1" x14ac:dyDescent="0.4">
      <c r="A13" s="104">
        <v>9</v>
      </c>
      <c r="B13" s="140" t="s">
        <v>88</v>
      </c>
      <c r="C13" s="164"/>
      <c r="D13" s="164"/>
      <c r="E13" s="24"/>
      <c r="F13" s="29"/>
      <c r="G13" s="25" t="str">
        <f>IF(SUM($F$5:F13)=0,"",SUM($F$5:F13))</f>
        <v/>
      </c>
      <c r="H13" s="43" t="str">
        <f t="shared" si="0"/>
        <v/>
      </c>
      <c r="I13" s="148" t="e">
        <f t="array" aca="1" ref="I13" ca="1">IF($A14="",$G13/($V13-$U$5+INDIRECT(IF(_xlfn.SHEET()&lt;6,"令和8年"&amp;_xlfn.SHEET()+7&amp;"月","令和9年"&amp;_xlfn.SHEET()-5&amp;"月")&amp;"!$U$5")),$G13/($V14-$U$5))</f>
        <v>#VALUE!</v>
      </c>
      <c r="J13" s="26" t="str">
        <f t="shared" si="1"/>
        <v/>
      </c>
      <c r="K13" s="27"/>
      <c r="L13" s="165">
        <f t="shared" si="2"/>
        <v>0</v>
      </c>
      <c r="M13" s="28" t="str">
        <f t="shared" si="3"/>
        <v/>
      </c>
      <c r="N13" s="166" t="str">
        <f t="shared" si="4"/>
        <v/>
      </c>
      <c r="O13" s="167" t="str">
        <f t="shared" si="5"/>
        <v/>
      </c>
      <c r="P13" s="168"/>
      <c r="Q13" s="169" t="str">
        <f t="shared" si="6"/>
        <v/>
      </c>
      <c r="R13" s="170">
        <v>7</v>
      </c>
      <c r="S13" s="171">
        <v>0</v>
      </c>
      <c r="T13" s="24" t="s">
        <v>84</v>
      </c>
      <c r="U13" s="29">
        <v>96403</v>
      </c>
      <c r="V13" s="30">
        <f t="shared" si="41"/>
        <v>1192856</v>
      </c>
      <c r="W13" s="27">
        <v>87</v>
      </c>
      <c r="X13" s="31">
        <f t="shared" si="7"/>
        <v>1108.0804597701149</v>
      </c>
      <c r="Y13" s="29">
        <v>172854</v>
      </c>
      <c r="Z13" s="32">
        <f t="shared" si="42"/>
        <v>1240052</v>
      </c>
      <c r="AA13" s="33">
        <f t="shared" si="8"/>
        <v>0.9619403057291146</v>
      </c>
      <c r="AB13" s="158">
        <v>500000</v>
      </c>
      <c r="AC13" s="34">
        <f t="shared" si="43"/>
        <v>2100000</v>
      </c>
      <c r="AD13" s="158"/>
      <c r="AE13" s="25"/>
      <c r="AF13" s="25"/>
      <c r="AG13" s="25"/>
      <c r="AH13" s="25"/>
      <c r="AI13" s="25"/>
      <c r="AJ13" s="25"/>
      <c r="AK13" s="25"/>
      <c r="AL13" s="158"/>
      <c r="AM13" s="25"/>
      <c r="AN13" s="158"/>
      <c r="AO13" s="25"/>
      <c r="AP13" s="25"/>
      <c r="AQ13" s="158"/>
      <c r="AR13" s="35">
        <f t="shared" si="9"/>
        <v>0</v>
      </c>
      <c r="AS13" s="172" t="str">
        <f t="shared" si="10"/>
        <v/>
      </c>
      <c r="AT13" s="36">
        <f t="shared" si="11"/>
        <v>0</v>
      </c>
      <c r="AU13" s="173"/>
      <c r="AV13" s="82">
        <f t="shared" si="12"/>
        <v>9</v>
      </c>
      <c r="AW13" s="37"/>
      <c r="AX13" s="174" t="str">
        <f t="shared" si="13"/>
        <v/>
      </c>
      <c r="AY13" s="37"/>
      <c r="AZ13" s="174" t="str">
        <f t="shared" si="14"/>
        <v/>
      </c>
      <c r="BA13" s="37"/>
      <c r="BB13" s="174" t="str">
        <f t="shared" si="15"/>
        <v/>
      </c>
      <c r="BC13" s="37"/>
      <c r="BD13" s="174" t="str">
        <f t="shared" si="16"/>
        <v/>
      </c>
      <c r="BE13" s="37"/>
      <c r="BF13" s="174" t="str">
        <f t="shared" si="17"/>
        <v/>
      </c>
      <c r="BG13" s="37"/>
      <c r="BH13" s="174" t="str">
        <f t="shared" si="18"/>
        <v/>
      </c>
      <c r="BI13" s="37"/>
      <c r="BJ13" s="174" t="str">
        <f t="shared" si="19"/>
        <v/>
      </c>
      <c r="BK13" s="37"/>
      <c r="BL13" s="174" t="str">
        <f t="shared" si="20"/>
        <v/>
      </c>
      <c r="BM13" s="37"/>
      <c r="BN13" s="174" t="str">
        <f t="shared" si="21"/>
        <v/>
      </c>
      <c r="BO13" s="37"/>
      <c r="BP13" s="174" t="str">
        <f t="shared" si="22"/>
        <v/>
      </c>
      <c r="BQ13" s="37"/>
      <c r="BR13" s="174" t="str">
        <f t="shared" si="23"/>
        <v/>
      </c>
      <c r="BS13" s="37"/>
      <c r="BT13" s="174" t="str">
        <f t="shared" si="24"/>
        <v/>
      </c>
      <c r="BU13" s="37"/>
      <c r="BV13" s="174" t="str">
        <f t="shared" si="25"/>
        <v/>
      </c>
      <c r="BW13" s="37"/>
      <c r="BX13" s="174" t="str">
        <f t="shared" si="26"/>
        <v/>
      </c>
      <c r="BY13" s="37"/>
      <c r="BZ13" s="174" t="str">
        <f t="shared" si="27"/>
        <v/>
      </c>
      <c r="CA13" s="37"/>
      <c r="CB13" s="174" t="str">
        <f t="shared" si="28"/>
        <v/>
      </c>
      <c r="CC13" s="37"/>
      <c r="CD13" s="174" t="str">
        <f t="shared" si="29"/>
        <v/>
      </c>
      <c r="CE13" s="37"/>
      <c r="CF13" s="174" t="str">
        <f t="shared" si="30"/>
        <v/>
      </c>
      <c r="CG13" s="37"/>
      <c r="CH13" s="174" t="str">
        <f t="shared" si="31"/>
        <v/>
      </c>
      <c r="CI13" s="37"/>
      <c r="CJ13" s="174" t="str">
        <f t="shared" si="32"/>
        <v/>
      </c>
      <c r="CK13" s="37"/>
      <c r="CL13" s="174" t="str">
        <f t="shared" si="33"/>
        <v/>
      </c>
      <c r="CM13" s="37"/>
      <c r="CN13" s="174" t="str">
        <f t="shared" si="34"/>
        <v/>
      </c>
      <c r="CO13" s="37"/>
      <c r="CP13" s="174" t="str">
        <f t="shared" si="35"/>
        <v/>
      </c>
      <c r="CQ13" s="37"/>
      <c r="CR13" s="174" t="str">
        <f t="shared" si="36"/>
        <v/>
      </c>
      <c r="CS13" s="37"/>
      <c r="CT13" s="174" t="str">
        <f t="shared" si="37"/>
        <v/>
      </c>
      <c r="CU13" s="38"/>
      <c r="CV13" s="87"/>
      <c r="CW13" s="90"/>
      <c r="CX13" s="38"/>
      <c r="CY13" s="39"/>
      <c r="CZ13" s="37"/>
      <c r="DA13" s="39"/>
      <c r="DB13" s="24">
        <v>9</v>
      </c>
      <c r="DC13" s="96" t="str">
        <f t="shared" si="38"/>
        <v>土</v>
      </c>
      <c r="DF13" s="125"/>
      <c r="DG13" s="40"/>
      <c r="DH13" s="40"/>
      <c r="DI13" s="40"/>
      <c r="DJ13" s="40"/>
      <c r="DK13" s="40"/>
      <c r="DL13" s="40"/>
      <c r="DM13" s="40"/>
      <c r="DN13" s="40"/>
      <c r="DO13" s="40"/>
      <c r="DP13" s="40">
        <f t="shared" si="39"/>
        <v>0</v>
      </c>
      <c r="DQ13" s="172" t="str">
        <f t="shared" si="40"/>
        <v/>
      </c>
      <c r="DS13" s="189"/>
      <c r="DT13" s="190"/>
      <c r="DU13" s="190"/>
      <c r="DV13" s="191"/>
      <c r="DW13" s="138"/>
      <c r="DX13" s="42"/>
    </row>
    <row r="14" spans="1:132" ht="13.5" customHeight="1" x14ac:dyDescent="0.4">
      <c r="A14" s="104">
        <v>10</v>
      </c>
      <c r="B14" s="23" t="s">
        <v>89</v>
      </c>
      <c r="C14" s="164"/>
      <c r="D14" s="164"/>
      <c r="E14" s="24"/>
      <c r="F14" s="29"/>
      <c r="G14" s="25" t="str">
        <f>IF(SUM($F$5:F14)=0,"",SUM($F$5:F14))</f>
        <v/>
      </c>
      <c r="H14" s="43" t="str">
        <f t="shared" si="0"/>
        <v/>
      </c>
      <c r="I14" s="148" t="e">
        <f t="array" aca="1" ref="I14" ca="1">IF($A15="",$G14/($V14-$U$5+INDIRECT(IF(_xlfn.SHEET()&lt;6,"令和8年"&amp;_xlfn.SHEET()+7&amp;"月","令和9年"&amp;_xlfn.SHEET()-5&amp;"月")&amp;"!$U$5")),$G14/($V15-$U$5))</f>
        <v>#VALUE!</v>
      </c>
      <c r="J14" s="26" t="str">
        <f t="shared" si="1"/>
        <v/>
      </c>
      <c r="K14" s="27"/>
      <c r="L14" s="165">
        <f t="shared" si="2"/>
        <v>0</v>
      </c>
      <c r="M14" s="28" t="str">
        <f t="shared" si="3"/>
        <v/>
      </c>
      <c r="N14" s="166" t="str">
        <f t="shared" si="4"/>
        <v/>
      </c>
      <c r="O14" s="167" t="str">
        <f t="shared" si="5"/>
        <v/>
      </c>
      <c r="P14" s="168"/>
      <c r="Q14" s="169" t="str">
        <f t="shared" si="6"/>
        <v/>
      </c>
      <c r="R14" s="170">
        <v>16</v>
      </c>
      <c r="S14" s="171">
        <v>1</v>
      </c>
      <c r="T14" s="24" t="s">
        <v>84</v>
      </c>
      <c r="U14" s="29">
        <v>350518</v>
      </c>
      <c r="V14" s="30">
        <f t="shared" si="41"/>
        <v>1543374</v>
      </c>
      <c r="W14" s="27">
        <v>230</v>
      </c>
      <c r="X14" s="31">
        <f t="shared" si="7"/>
        <v>1523.9913043478261</v>
      </c>
      <c r="Y14" s="29">
        <v>153719</v>
      </c>
      <c r="Z14" s="32">
        <f t="shared" si="42"/>
        <v>1393771</v>
      </c>
      <c r="AA14" s="33">
        <f t="shared" si="8"/>
        <v>1.1073368580634839</v>
      </c>
      <c r="AB14" s="158">
        <v>500000</v>
      </c>
      <c r="AC14" s="34">
        <f t="shared" si="43"/>
        <v>2600000</v>
      </c>
      <c r="AD14" s="158"/>
      <c r="AE14" s="25"/>
      <c r="AF14" s="25"/>
      <c r="AG14" s="25"/>
      <c r="AH14" s="25"/>
      <c r="AI14" s="25"/>
      <c r="AJ14" s="25"/>
      <c r="AK14" s="25"/>
      <c r="AL14" s="158"/>
      <c r="AM14" s="25"/>
      <c r="AN14" s="158"/>
      <c r="AO14" s="25"/>
      <c r="AP14" s="25"/>
      <c r="AQ14" s="158"/>
      <c r="AR14" s="35">
        <f t="shared" si="9"/>
        <v>0</v>
      </c>
      <c r="AS14" s="172" t="str">
        <f t="shared" si="10"/>
        <v/>
      </c>
      <c r="AT14" s="36">
        <f t="shared" si="11"/>
        <v>0</v>
      </c>
      <c r="AU14" s="173"/>
      <c r="AV14" s="82">
        <f t="shared" si="12"/>
        <v>10</v>
      </c>
      <c r="AW14" s="37"/>
      <c r="AX14" s="174" t="str">
        <f t="shared" si="13"/>
        <v/>
      </c>
      <c r="AY14" s="37"/>
      <c r="AZ14" s="174" t="str">
        <f t="shared" si="14"/>
        <v/>
      </c>
      <c r="BA14" s="37"/>
      <c r="BB14" s="174" t="str">
        <f t="shared" si="15"/>
        <v/>
      </c>
      <c r="BC14" s="37"/>
      <c r="BD14" s="174" t="str">
        <f t="shared" si="16"/>
        <v/>
      </c>
      <c r="BE14" s="37"/>
      <c r="BF14" s="174" t="str">
        <f t="shared" si="17"/>
        <v/>
      </c>
      <c r="BG14" s="37"/>
      <c r="BH14" s="174" t="str">
        <f t="shared" si="18"/>
        <v/>
      </c>
      <c r="BI14" s="37"/>
      <c r="BJ14" s="174" t="str">
        <f t="shared" si="19"/>
        <v/>
      </c>
      <c r="BK14" s="37"/>
      <c r="BL14" s="174" t="str">
        <f t="shared" si="20"/>
        <v/>
      </c>
      <c r="BM14" s="37"/>
      <c r="BN14" s="174" t="str">
        <f t="shared" si="21"/>
        <v/>
      </c>
      <c r="BO14" s="37"/>
      <c r="BP14" s="174" t="str">
        <f t="shared" si="22"/>
        <v/>
      </c>
      <c r="BQ14" s="37"/>
      <c r="BR14" s="174" t="str">
        <f t="shared" si="23"/>
        <v/>
      </c>
      <c r="BS14" s="37"/>
      <c r="BT14" s="174" t="str">
        <f t="shared" si="24"/>
        <v/>
      </c>
      <c r="BU14" s="37"/>
      <c r="BV14" s="174" t="str">
        <f t="shared" si="25"/>
        <v/>
      </c>
      <c r="BW14" s="37"/>
      <c r="BX14" s="174" t="str">
        <f t="shared" si="26"/>
        <v/>
      </c>
      <c r="BY14" s="37"/>
      <c r="BZ14" s="174" t="str">
        <f t="shared" si="27"/>
        <v/>
      </c>
      <c r="CA14" s="37"/>
      <c r="CB14" s="174" t="str">
        <f t="shared" si="28"/>
        <v/>
      </c>
      <c r="CC14" s="37"/>
      <c r="CD14" s="174" t="str">
        <f t="shared" si="29"/>
        <v/>
      </c>
      <c r="CE14" s="37"/>
      <c r="CF14" s="174" t="str">
        <f t="shared" si="30"/>
        <v/>
      </c>
      <c r="CG14" s="37"/>
      <c r="CH14" s="174" t="str">
        <f t="shared" si="31"/>
        <v/>
      </c>
      <c r="CI14" s="37"/>
      <c r="CJ14" s="174" t="str">
        <f t="shared" si="32"/>
        <v/>
      </c>
      <c r="CK14" s="37"/>
      <c r="CL14" s="174" t="str">
        <f t="shared" si="33"/>
        <v/>
      </c>
      <c r="CM14" s="37"/>
      <c r="CN14" s="174" t="str">
        <f t="shared" si="34"/>
        <v/>
      </c>
      <c r="CO14" s="37"/>
      <c r="CP14" s="174" t="str">
        <f t="shared" si="35"/>
        <v/>
      </c>
      <c r="CQ14" s="37"/>
      <c r="CR14" s="174" t="str">
        <f t="shared" si="36"/>
        <v/>
      </c>
      <c r="CS14" s="37"/>
      <c r="CT14" s="174" t="str">
        <f t="shared" si="37"/>
        <v/>
      </c>
      <c r="CU14" s="38"/>
      <c r="CV14" s="87"/>
      <c r="CW14" s="90"/>
      <c r="CX14" s="38"/>
      <c r="CY14" s="39"/>
      <c r="CZ14" s="37"/>
      <c r="DA14" s="39"/>
      <c r="DB14" s="24">
        <v>10</v>
      </c>
      <c r="DC14" s="96" t="str">
        <f t="shared" si="38"/>
        <v>日</v>
      </c>
      <c r="DF14" s="125"/>
      <c r="DG14" s="40"/>
      <c r="DH14" s="40"/>
      <c r="DI14" s="40"/>
      <c r="DJ14" s="40"/>
      <c r="DK14" s="40"/>
      <c r="DL14" s="40"/>
      <c r="DM14" s="40"/>
      <c r="DN14" s="40"/>
      <c r="DO14" s="40"/>
      <c r="DP14" s="40">
        <f t="shared" si="39"/>
        <v>0</v>
      </c>
      <c r="DQ14" s="172" t="str">
        <f t="shared" si="40"/>
        <v/>
      </c>
      <c r="DS14" s="189"/>
      <c r="DT14" s="190"/>
      <c r="DU14" s="190"/>
      <c r="DV14" s="191"/>
      <c r="DW14" s="41"/>
      <c r="DX14" s="42"/>
    </row>
    <row r="15" spans="1:132" ht="13.5" customHeight="1" x14ac:dyDescent="0.4">
      <c r="A15" s="104">
        <v>11</v>
      </c>
      <c r="B15" s="140" t="s">
        <v>90</v>
      </c>
      <c r="C15" s="164"/>
      <c r="D15" s="164"/>
      <c r="E15" s="24"/>
      <c r="F15" s="29"/>
      <c r="G15" s="25" t="str">
        <f>IF(SUM($F$5:F15)=0,"",SUM($F$5:F15))</f>
        <v/>
      </c>
      <c r="H15" s="43" t="str">
        <f t="shared" si="0"/>
        <v/>
      </c>
      <c r="I15" s="148" t="e">
        <f t="array" aca="1" ref="I15" ca="1">IF($A16="",$G15/($V15-$U$5+INDIRECT(IF(_xlfn.SHEET()&lt;6,"令和8年"&amp;_xlfn.SHEET()+7&amp;"月","令和9年"&amp;_xlfn.SHEET()-5&amp;"月")&amp;"!$U$5")),$G15/($V16-$U$5))</f>
        <v>#VALUE!</v>
      </c>
      <c r="J15" s="26" t="str">
        <f t="shared" si="1"/>
        <v/>
      </c>
      <c r="K15" s="27"/>
      <c r="L15" s="165">
        <f t="shared" si="2"/>
        <v>0</v>
      </c>
      <c r="M15" s="28" t="str">
        <f t="shared" si="3"/>
        <v/>
      </c>
      <c r="N15" s="166" t="str">
        <f t="shared" si="4"/>
        <v/>
      </c>
      <c r="O15" s="167" t="str">
        <f t="shared" si="5"/>
        <v/>
      </c>
      <c r="P15" s="168"/>
      <c r="Q15" s="169" t="str">
        <f t="shared" si="6"/>
        <v/>
      </c>
      <c r="R15" s="170">
        <v>9</v>
      </c>
      <c r="S15" s="171">
        <v>-2</v>
      </c>
      <c r="T15" s="24" t="s">
        <v>84</v>
      </c>
      <c r="U15" s="29">
        <v>513908</v>
      </c>
      <c r="V15" s="30">
        <f t="shared" si="41"/>
        <v>2057282</v>
      </c>
      <c r="W15" s="27">
        <v>339</v>
      </c>
      <c r="X15" s="31">
        <f t="shared" si="7"/>
        <v>1515.9528023598821</v>
      </c>
      <c r="Y15" s="29">
        <v>538527</v>
      </c>
      <c r="Z15" s="32">
        <f t="shared" si="42"/>
        <v>1932298</v>
      </c>
      <c r="AA15" s="33">
        <f t="shared" si="8"/>
        <v>1.0646815346287166</v>
      </c>
      <c r="AB15" s="158">
        <v>500000</v>
      </c>
      <c r="AC15" s="34">
        <f t="shared" si="43"/>
        <v>3100000</v>
      </c>
      <c r="AD15" s="158"/>
      <c r="AE15" s="25"/>
      <c r="AF15" s="25"/>
      <c r="AG15" s="25"/>
      <c r="AH15" s="25"/>
      <c r="AI15" s="25"/>
      <c r="AJ15" s="25"/>
      <c r="AK15" s="25"/>
      <c r="AL15" s="158"/>
      <c r="AM15" s="25"/>
      <c r="AN15" s="158"/>
      <c r="AO15" s="25"/>
      <c r="AP15" s="25"/>
      <c r="AQ15" s="158"/>
      <c r="AR15" s="35">
        <f t="shared" si="9"/>
        <v>0</v>
      </c>
      <c r="AS15" s="172" t="str">
        <f t="shared" si="10"/>
        <v/>
      </c>
      <c r="AT15" s="36">
        <f t="shared" si="11"/>
        <v>0</v>
      </c>
      <c r="AU15" s="173"/>
      <c r="AV15" s="82">
        <f t="shared" si="12"/>
        <v>11</v>
      </c>
      <c r="AW15" s="37"/>
      <c r="AX15" s="174" t="str">
        <f t="shared" si="13"/>
        <v/>
      </c>
      <c r="AY15" s="37"/>
      <c r="AZ15" s="174" t="str">
        <f t="shared" si="14"/>
        <v/>
      </c>
      <c r="BA15" s="37"/>
      <c r="BB15" s="174" t="str">
        <f t="shared" si="15"/>
        <v/>
      </c>
      <c r="BC15" s="37"/>
      <c r="BD15" s="174" t="str">
        <f t="shared" si="16"/>
        <v/>
      </c>
      <c r="BE15" s="37"/>
      <c r="BF15" s="174" t="str">
        <f t="shared" si="17"/>
        <v/>
      </c>
      <c r="BG15" s="37"/>
      <c r="BH15" s="174" t="str">
        <f t="shared" si="18"/>
        <v/>
      </c>
      <c r="BI15" s="37"/>
      <c r="BJ15" s="174" t="str">
        <f t="shared" si="19"/>
        <v/>
      </c>
      <c r="BK15" s="37"/>
      <c r="BL15" s="174" t="str">
        <f t="shared" si="20"/>
        <v/>
      </c>
      <c r="BM15" s="37"/>
      <c r="BN15" s="174" t="str">
        <f t="shared" si="21"/>
        <v/>
      </c>
      <c r="BO15" s="37"/>
      <c r="BP15" s="174" t="str">
        <f t="shared" si="22"/>
        <v/>
      </c>
      <c r="BQ15" s="37"/>
      <c r="BR15" s="174" t="str">
        <f t="shared" si="23"/>
        <v/>
      </c>
      <c r="BS15" s="37"/>
      <c r="BT15" s="174" t="str">
        <f t="shared" si="24"/>
        <v/>
      </c>
      <c r="BU15" s="37"/>
      <c r="BV15" s="174" t="str">
        <f t="shared" si="25"/>
        <v/>
      </c>
      <c r="BW15" s="37"/>
      <c r="BX15" s="174" t="str">
        <f t="shared" si="26"/>
        <v/>
      </c>
      <c r="BY15" s="37"/>
      <c r="BZ15" s="174" t="str">
        <f t="shared" si="27"/>
        <v/>
      </c>
      <c r="CA15" s="37"/>
      <c r="CB15" s="174" t="str">
        <f t="shared" si="28"/>
        <v/>
      </c>
      <c r="CC15" s="37"/>
      <c r="CD15" s="174" t="str">
        <f t="shared" si="29"/>
        <v/>
      </c>
      <c r="CE15" s="37"/>
      <c r="CF15" s="174" t="str">
        <f t="shared" si="30"/>
        <v/>
      </c>
      <c r="CG15" s="37"/>
      <c r="CH15" s="174" t="str">
        <f t="shared" si="31"/>
        <v/>
      </c>
      <c r="CI15" s="37"/>
      <c r="CJ15" s="174" t="str">
        <f t="shared" si="32"/>
        <v/>
      </c>
      <c r="CK15" s="37"/>
      <c r="CL15" s="174" t="str">
        <f t="shared" si="33"/>
        <v/>
      </c>
      <c r="CM15" s="37"/>
      <c r="CN15" s="174" t="str">
        <f t="shared" si="34"/>
        <v/>
      </c>
      <c r="CO15" s="37"/>
      <c r="CP15" s="174" t="str">
        <f t="shared" si="35"/>
        <v/>
      </c>
      <c r="CQ15" s="37"/>
      <c r="CR15" s="174" t="str">
        <f t="shared" si="36"/>
        <v/>
      </c>
      <c r="CS15" s="37"/>
      <c r="CT15" s="174" t="str">
        <f t="shared" si="37"/>
        <v/>
      </c>
      <c r="CU15" s="38"/>
      <c r="CV15" s="87"/>
      <c r="CW15" s="90"/>
      <c r="CX15" s="38"/>
      <c r="CY15" s="39"/>
      <c r="CZ15" s="37"/>
      <c r="DA15" s="39"/>
      <c r="DB15" s="24">
        <v>11</v>
      </c>
      <c r="DC15" s="96" t="str">
        <f t="shared" si="38"/>
        <v>月</v>
      </c>
      <c r="DF15" s="125"/>
      <c r="DG15" s="40"/>
      <c r="DH15" s="40"/>
      <c r="DI15" s="40"/>
      <c r="DJ15" s="40"/>
      <c r="DK15" s="40"/>
      <c r="DL15" s="40"/>
      <c r="DM15" s="40"/>
      <c r="DN15" s="40"/>
      <c r="DO15" s="40"/>
      <c r="DP15" s="40">
        <f t="shared" si="39"/>
        <v>0</v>
      </c>
      <c r="DQ15" s="172" t="str">
        <f t="shared" si="40"/>
        <v/>
      </c>
      <c r="DS15" s="189"/>
      <c r="DT15" s="190"/>
      <c r="DU15" s="190"/>
      <c r="DV15" s="191"/>
      <c r="DW15" s="41"/>
      <c r="DX15" s="42"/>
    </row>
    <row r="16" spans="1:132" ht="13.5" customHeight="1" x14ac:dyDescent="0.4">
      <c r="A16" s="104">
        <v>12</v>
      </c>
      <c r="B16" s="23" t="s">
        <v>91</v>
      </c>
      <c r="C16" s="164"/>
      <c r="D16" s="164"/>
      <c r="E16" s="24"/>
      <c r="F16" s="29"/>
      <c r="G16" s="25" t="str">
        <f>IF(SUM($F$5:F16)=0,"",SUM($F$5:F16))</f>
        <v/>
      </c>
      <c r="H16" s="43" t="str">
        <f t="shared" si="0"/>
        <v/>
      </c>
      <c r="I16" s="148" t="e">
        <f t="array" aca="1" ref="I16" ca="1">IF($A17="",$G16/($V16-$U$5+INDIRECT(IF(_xlfn.SHEET()&lt;6,"令和8年"&amp;_xlfn.SHEET()+7&amp;"月","令和9年"&amp;_xlfn.SHEET()-5&amp;"月")&amp;"!$U$5")),$G16/($V17-$U$5))</f>
        <v>#VALUE!</v>
      </c>
      <c r="J16" s="26" t="str">
        <f t="shared" si="1"/>
        <v/>
      </c>
      <c r="K16" s="27"/>
      <c r="L16" s="165">
        <f t="shared" si="2"/>
        <v>0</v>
      </c>
      <c r="M16" s="28" t="str">
        <f t="shared" si="3"/>
        <v/>
      </c>
      <c r="N16" s="166" t="str">
        <f t="shared" si="4"/>
        <v/>
      </c>
      <c r="O16" s="167" t="str">
        <f t="shared" si="5"/>
        <v/>
      </c>
      <c r="P16" s="168"/>
      <c r="Q16" s="169" t="str">
        <f t="shared" si="6"/>
        <v/>
      </c>
      <c r="R16" s="170">
        <v>6</v>
      </c>
      <c r="S16" s="171">
        <v>-1</v>
      </c>
      <c r="T16" s="24" t="s">
        <v>84</v>
      </c>
      <c r="U16" s="29">
        <v>355561</v>
      </c>
      <c r="V16" s="30">
        <f t="shared" si="41"/>
        <v>2412843</v>
      </c>
      <c r="W16" s="27">
        <v>202</v>
      </c>
      <c r="X16" s="31">
        <f t="shared" si="7"/>
        <v>1760.2029702970297</v>
      </c>
      <c r="Y16" s="29">
        <v>744904</v>
      </c>
      <c r="Z16" s="32">
        <f t="shared" si="42"/>
        <v>2677202</v>
      </c>
      <c r="AA16" s="33">
        <f t="shared" si="8"/>
        <v>0.90125548987338278</v>
      </c>
      <c r="AB16" s="158">
        <v>180000</v>
      </c>
      <c r="AC16" s="34">
        <f t="shared" si="43"/>
        <v>3280000</v>
      </c>
      <c r="AD16" s="158"/>
      <c r="AE16" s="25"/>
      <c r="AF16" s="25"/>
      <c r="AG16" s="25"/>
      <c r="AH16" s="25"/>
      <c r="AI16" s="25"/>
      <c r="AJ16" s="25"/>
      <c r="AK16" s="25"/>
      <c r="AL16" s="158"/>
      <c r="AM16" s="25"/>
      <c r="AN16" s="158"/>
      <c r="AO16" s="25"/>
      <c r="AP16" s="25"/>
      <c r="AQ16" s="158"/>
      <c r="AR16" s="35">
        <f t="shared" si="9"/>
        <v>0</v>
      </c>
      <c r="AS16" s="172" t="str">
        <f t="shared" si="10"/>
        <v/>
      </c>
      <c r="AT16" s="36">
        <f t="shared" si="11"/>
        <v>0</v>
      </c>
      <c r="AU16" s="173"/>
      <c r="AV16" s="82">
        <f t="shared" si="12"/>
        <v>12</v>
      </c>
      <c r="AW16" s="37"/>
      <c r="AX16" s="174" t="str">
        <f t="shared" si="13"/>
        <v/>
      </c>
      <c r="AY16" s="37"/>
      <c r="AZ16" s="174" t="str">
        <f t="shared" si="14"/>
        <v/>
      </c>
      <c r="BA16" s="37"/>
      <c r="BB16" s="174" t="str">
        <f t="shared" si="15"/>
        <v/>
      </c>
      <c r="BC16" s="37"/>
      <c r="BD16" s="174" t="str">
        <f t="shared" si="16"/>
        <v/>
      </c>
      <c r="BE16" s="37"/>
      <c r="BF16" s="174" t="str">
        <f t="shared" si="17"/>
        <v/>
      </c>
      <c r="BG16" s="37"/>
      <c r="BH16" s="174" t="str">
        <f t="shared" si="18"/>
        <v/>
      </c>
      <c r="BI16" s="37"/>
      <c r="BJ16" s="174" t="str">
        <f t="shared" si="19"/>
        <v/>
      </c>
      <c r="BK16" s="37"/>
      <c r="BL16" s="174" t="str">
        <f t="shared" si="20"/>
        <v/>
      </c>
      <c r="BM16" s="37"/>
      <c r="BN16" s="174" t="str">
        <f t="shared" si="21"/>
        <v/>
      </c>
      <c r="BO16" s="37"/>
      <c r="BP16" s="174" t="str">
        <f t="shared" si="22"/>
        <v/>
      </c>
      <c r="BQ16" s="37"/>
      <c r="BR16" s="174" t="str">
        <f t="shared" si="23"/>
        <v/>
      </c>
      <c r="BS16" s="37"/>
      <c r="BT16" s="174" t="str">
        <f t="shared" si="24"/>
        <v/>
      </c>
      <c r="BU16" s="37"/>
      <c r="BV16" s="174" t="str">
        <f t="shared" si="25"/>
        <v/>
      </c>
      <c r="BW16" s="37"/>
      <c r="BX16" s="174" t="str">
        <f t="shared" si="26"/>
        <v/>
      </c>
      <c r="BY16" s="37"/>
      <c r="BZ16" s="174" t="str">
        <f t="shared" si="27"/>
        <v/>
      </c>
      <c r="CA16" s="37"/>
      <c r="CB16" s="174" t="str">
        <f t="shared" si="28"/>
        <v/>
      </c>
      <c r="CC16" s="37"/>
      <c r="CD16" s="174" t="str">
        <f t="shared" si="29"/>
        <v/>
      </c>
      <c r="CE16" s="37"/>
      <c r="CF16" s="174" t="str">
        <f t="shared" si="30"/>
        <v/>
      </c>
      <c r="CG16" s="37"/>
      <c r="CH16" s="174" t="str">
        <f t="shared" si="31"/>
        <v/>
      </c>
      <c r="CI16" s="37"/>
      <c r="CJ16" s="174" t="str">
        <f t="shared" si="32"/>
        <v/>
      </c>
      <c r="CK16" s="37"/>
      <c r="CL16" s="174" t="str">
        <f t="shared" si="33"/>
        <v/>
      </c>
      <c r="CM16" s="37"/>
      <c r="CN16" s="174" t="str">
        <f t="shared" si="34"/>
        <v/>
      </c>
      <c r="CO16" s="37"/>
      <c r="CP16" s="174" t="str">
        <f t="shared" si="35"/>
        <v/>
      </c>
      <c r="CQ16" s="37"/>
      <c r="CR16" s="174" t="str">
        <f t="shared" si="36"/>
        <v/>
      </c>
      <c r="CS16" s="37"/>
      <c r="CT16" s="174" t="str">
        <f t="shared" si="37"/>
        <v/>
      </c>
      <c r="CU16" s="38"/>
      <c r="CV16" s="87"/>
      <c r="CW16" s="90"/>
      <c r="CX16" s="38"/>
      <c r="CY16" s="39"/>
      <c r="CZ16" s="37"/>
      <c r="DA16" s="39"/>
      <c r="DB16" s="24">
        <v>12</v>
      </c>
      <c r="DC16" s="96" t="str">
        <f t="shared" si="38"/>
        <v>火</v>
      </c>
      <c r="DF16" s="125"/>
      <c r="DG16" s="40"/>
      <c r="DH16" s="40"/>
      <c r="DI16" s="40"/>
      <c r="DJ16" s="40"/>
      <c r="DK16" s="40"/>
      <c r="DL16" s="40"/>
      <c r="DM16" s="40"/>
      <c r="DN16" s="40"/>
      <c r="DO16" s="40"/>
      <c r="DP16" s="40">
        <f t="shared" si="39"/>
        <v>0</v>
      </c>
      <c r="DQ16" s="172" t="str">
        <f t="shared" si="40"/>
        <v/>
      </c>
      <c r="DS16" s="189"/>
      <c r="DT16" s="190"/>
      <c r="DU16" s="190"/>
      <c r="DV16" s="191"/>
      <c r="DW16" s="138"/>
      <c r="DX16" s="42"/>
    </row>
    <row r="17" spans="1:128" ht="13.5" customHeight="1" x14ac:dyDescent="0.4">
      <c r="A17" s="104">
        <v>13</v>
      </c>
      <c r="B17" s="23" t="s">
        <v>83</v>
      </c>
      <c r="C17" s="164"/>
      <c r="D17" s="164"/>
      <c r="E17" s="24"/>
      <c r="F17" s="29"/>
      <c r="G17" s="25" t="str">
        <f>IF(SUM($F$5:F17)=0,"",SUM($F$5:F17))</f>
        <v/>
      </c>
      <c r="H17" s="43" t="str">
        <f t="shared" si="0"/>
        <v/>
      </c>
      <c r="I17" s="148" t="e">
        <f t="array" aca="1" ref="I17" ca="1">IF($A18="",$G17/($V17-$U$5+INDIRECT(IF(_xlfn.SHEET()&lt;6,"令和8年"&amp;_xlfn.SHEET()+7&amp;"月","令和9年"&amp;_xlfn.SHEET()-5&amp;"月")&amp;"!$U$5")),$G17/($V18-$U$5))</f>
        <v>#VALUE!</v>
      </c>
      <c r="J17" s="26" t="str">
        <f t="shared" si="1"/>
        <v/>
      </c>
      <c r="K17" s="27"/>
      <c r="L17" s="165">
        <f t="shared" si="2"/>
        <v>0</v>
      </c>
      <c r="M17" s="28" t="str">
        <f t="shared" si="3"/>
        <v/>
      </c>
      <c r="N17" s="166" t="str">
        <f t="shared" si="4"/>
        <v/>
      </c>
      <c r="O17" s="167" t="str">
        <f t="shared" si="5"/>
        <v/>
      </c>
      <c r="P17" s="168"/>
      <c r="Q17" s="169" t="str">
        <f t="shared" si="6"/>
        <v/>
      </c>
      <c r="R17" s="170">
        <v>12</v>
      </c>
      <c r="S17" s="171">
        <v>2</v>
      </c>
      <c r="T17" s="24" t="s">
        <v>109</v>
      </c>
      <c r="U17" s="29">
        <v>134380</v>
      </c>
      <c r="V17" s="30">
        <f t="shared" si="41"/>
        <v>2547223</v>
      </c>
      <c r="W17" s="27">
        <v>81</v>
      </c>
      <c r="X17" s="31">
        <f t="shared" si="7"/>
        <v>1659.0123456790122</v>
      </c>
      <c r="Y17" s="29">
        <v>516494</v>
      </c>
      <c r="Z17" s="32">
        <f t="shared" si="42"/>
        <v>3193696</v>
      </c>
      <c r="AA17" s="33">
        <f t="shared" si="8"/>
        <v>0.79757841698145349</v>
      </c>
      <c r="AB17" s="158">
        <v>180000</v>
      </c>
      <c r="AC17" s="34">
        <f t="shared" si="43"/>
        <v>3460000</v>
      </c>
      <c r="AD17" s="158"/>
      <c r="AE17" s="25"/>
      <c r="AF17" s="25"/>
      <c r="AG17" s="25"/>
      <c r="AH17" s="25"/>
      <c r="AI17" s="25"/>
      <c r="AJ17" s="25"/>
      <c r="AK17" s="25"/>
      <c r="AL17" s="158"/>
      <c r="AM17" s="25"/>
      <c r="AN17" s="158"/>
      <c r="AO17" s="25"/>
      <c r="AP17" s="25"/>
      <c r="AQ17" s="158"/>
      <c r="AR17" s="35">
        <f t="shared" si="9"/>
        <v>0</v>
      </c>
      <c r="AS17" s="172" t="str">
        <f t="shared" si="10"/>
        <v/>
      </c>
      <c r="AT17" s="36">
        <f t="shared" si="11"/>
        <v>0</v>
      </c>
      <c r="AU17" s="173"/>
      <c r="AV17" s="82">
        <f t="shared" si="12"/>
        <v>13</v>
      </c>
      <c r="AW17" s="37"/>
      <c r="AX17" s="174" t="str">
        <f t="shared" si="13"/>
        <v/>
      </c>
      <c r="AY17" s="37"/>
      <c r="AZ17" s="174" t="str">
        <f t="shared" si="14"/>
        <v/>
      </c>
      <c r="BA17" s="37"/>
      <c r="BB17" s="174" t="str">
        <f t="shared" si="15"/>
        <v/>
      </c>
      <c r="BC17" s="37"/>
      <c r="BD17" s="174" t="str">
        <f t="shared" si="16"/>
        <v/>
      </c>
      <c r="BE17" s="37"/>
      <c r="BF17" s="174" t="str">
        <f t="shared" si="17"/>
        <v/>
      </c>
      <c r="BG17" s="37"/>
      <c r="BH17" s="174" t="str">
        <f t="shared" si="18"/>
        <v/>
      </c>
      <c r="BI17" s="37"/>
      <c r="BJ17" s="174" t="str">
        <f t="shared" si="19"/>
        <v/>
      </c>
      <c r="BK17" s="37"/>
      <c r="BL17" s="174" t="str">
        <f t="shared" si="20"/>
        <v/>
      </c>
      <c r="BM17" s="37"/>
      <c r="BN17" s="174" t="str">
        <f t="shared" si="21"/>
        <v/>
      </c>
      <c r="BO17" s="37"/>
      <c r="BP17" s="174" t="str">
        <f t="shared" si="22"/>
        <v/>
      </c>
      <c r="BQ17" s="37"/>
      <c r="BR17" s="174" t="str">
        <f t="shared" si="23"/>
        <v/>
      </c>
      <c r="BS17" s="37"/>
      <c r="BT17" s="174" t="str">
        <f t="shared" si="24"/>
        <v/>
      </c>
      <c r="BU17" s="37"/>
      <c r="BV17" s="174" t="str">
        <f t="shared" si="25"/>
        <v/>
      </c>
      <c r="BW17" s="37"/>
      <c r="BX17" s="174" t="str">
        <f t="shared" si="26"/>
        <v/>
      </c>
      <c r="BY17" s="37"/>
      <c r="BZ17" s="174" t="str">
        <f t="shared" si="27"/>
        <v/>
      </c>
      <c r="CA17" s="37"/>
      <c r="CB17" s="174" t="str">
        <f t="shared" si="28"/>
        <v/>
      </c>
      <c r="CC17" s="37"/>
      <c r="CD17" s="174" t="str">
        <f t="shared" si="29"/>
        <v/>
      </c>
      <c r="CE17" s="37"/>
      <c r="CF17" s="174" t="str">
        <f t="shared" si="30"/>
        <v/>
      </c>
      <c r="CG17" s="37"/>
      <c r="CH17" s="174" t="str">
        <f t="shared" si="31"/>
        <v/>
      </c>
      <c r="CI17" s="37"/>
      <c r="CJ17" s="174" t="str">
        <f t="shared" si="32"/>
        <v/>
      </c>
      <c r="CK17" s="37"/>
      <c r="CL17" s="174" t="str">
        <f t="shared" si="33"/>
        <v/>
      </c>
      <c r="CM17" s="37"/>
      <c r="CN17" s="174" t="str">
        <f t="shared" si="34"/>
        <v/>
      </c>
      <c r="CO17" s="37"/>
      <c r="CP17" s="174" t="str">
        <f t="shared" si="35"/>
        <v/>
      </c>
      <c r="CQ17" s="37"/>
      <c r="CR17" s="174" t="str">
        <f t="shared" si="36"/>
        <v/>
      </c>
      <c r="CS17" s="37"/>
      <c r="CT17" s="174" t="str">
        <f t="shared" si="37"/>
        <v/>
      </c>
      <c r="CU17" s="38"/>
      <c r="CV17" s="87"/>
      <c r="CW17" s="90"/>
      <c r="CX17" s="38"/>
      <c r="CY17" s="39"/>
      <c r="CZ17" s="37"/>
      <c r="DA17" s="39"/>
      <c r="DB17" s="24">
        <v>13</v>
      </c>
      <c r="DC17" s="96" t="str">
        <f t="shared" si="38"/>
        <v>水</v>
      </c>
      <c r="DF17" s="125"/>
      <c r="DG17" s="40"/>
      <c r="DH17" s="40"/>
      <c r="DI17" s="40"/>
      <c r="DJ17" s="40"/>
      <c r="DK17" s="40"/>
      <c r="DL17" s="40"/>
      <c r="DM17" s="40"/>
      <c r="DN17" s="40"/>
      <c r="DO17" s="40"/>
      <c r="DP17" s="40">
        <f t="shared" si="39"/>
        <v>0</v>
      </c>
      <c r="DQ17" s="172" t="str">
        <f t="shared" si="40"/>
        <v/>
      </c>
      <c r="DS17" s="189"/>
      <c r="DT17" s="190"/>
      <c r="DU17" s="190"/>
      <c r="DV17" s="191"/>
      <c r="DW17" s="41"/>
      <c r="DX17" s="42"/>
    </row>
    <row r="18" spans="1:128" ht="13.5" customHeight="1" x14ac:dyDescent="0.4">
      <c r="A18" s="104">
        <v>14</v>
      </c>
      <c r="B18" s="23" t="s">
        <v>85</v>
      </c>
      <c r="C18" s="164"/>
      <c r="D18" s="164"/>
      <c r="E18" s="24"/>
      <c r="F18" s="29"/>
      <c r="G18" s="25" t="str">
        <f>IF(SUM($F$5:F18)=0,"",SUM($F$5:F18))</f>
        <v/>
      </c>
      <c r="H18" s="43" t="str">
        <f t="shared" si="0"/>
        <v/>
      </c>
      <c r="I18" s="148" t="e">
        <f t="array" aca="1" ref="I18" ca="1">IF($A19="",$G18/($V18-$U$5+INDIRECT(IF(_xlfn.SHEET()&lt;6,"令和8年"&amp;_xlfn.SHEET()+7&amp;"月","令和9年"&amp;_xlfn.SHEET()-5&amp;"月")&amp;"!$U$5")),$G18/($V19-$U$5))</f>
        <v>#VALUE!</v>
      </c>
      <c r="J18" s="26" t="str">
        <f t="shared" si="1"/>
        <v/>
      </c>
      <c r="K18" s="27"/>
      <c r="L18" s="165">
        <f t="shared" si="2"/>
        <v>0</v>
      </c>
      <c r="M18" s="28" t="str">
        <f t="shared" si="3"/>
        <v/>
      </c>
      <c r="N18" s="166" t="str">
        <f t="shared" si="4"/>
        <v/>
      </c>
      <c r="O18" s="167" t="str">
        <f t="shared" si="5"/>
        <v/>
      </c>
      <c r="P18" s="168"/>
      <c r="Q18" s="169" t="str">
        <f t="shared" si="6"/>
        <v/>
      </c>
      <c r="R18" s="170">
        <v>9</v>
      </c>
      <c r="S18" s="171">
        <v>-2</v>
      </c>
      <c r="T18" s="24" t="s">
        <v>84</v>
      </c>
      <c r="U18" s="29">
        <v>149601</v>
      </c>
      <c r="V18" s="30">
        <f t="shared" si="41"/>
        <v>2696824</v>
      </c>
      <c r="W18" s="27">
        <v>101</v>
      </c>
      <c r="X18" s="31">
        <f t="shared" si="7"/>
        <v>1481.1980198019803</v>
      </c>
      <c r="Y18" s="29">
        <v>188972</v>
      </c>
      <c r="Z18" s="32">
        <f t="shared" si="42"/>
        <v>3382668</v>
      </c>
      <c r="AA18" s="33">
        <f t="shared" si="8"/>
        <v>0.79724761637855091</v>
      </c>
      <c r="AB18" s="158">
        <v>180000</v>
      </c>
      <c r="AC18" s="34">
        <f t="shared" si="43"/>
        <v>3640000</v>
      </c>
      <c r="AD18" s="158"/>
      <c r="AE18" s="25"/>
      <c r="AF18" s="25"/>
      <c r="AG18" s="25"/>
      <c r="AH18" s="25"/>
      <c r="AI18" s="25"/>
      <c r="AJ18" s="25"/>
      <c r="AK18" s="25"/>
      <c r="AL18" s="158"/>
      <c r="AM18" s="25"/>
      <c r="AN18" s="158"/>
      <c r="AO18" s="25"/>
      <c r="AP18" s="25"/>
      <c r="AQ18" s="158"/>
      <c r="AR18" s="35">
        <f t="shared" si="9"/>
        <v>0</v>
      </c>
      <c r="AS18" s="172" t="str">
        <f t="shared" si="10"/>
        <v/>
      </c>
      <c r="AT18" s="36">
        <f t="shared" si="11"/>
        <v>0</v>
      </c>
      <c r="AU18" s="173"/>
      <c r="AV18" s="82">
        <f t="shared" si="12"/>
        <v>14</v>
      </c>
      <c r="AW18" s="37"/>
      <c r="AX18" s="174" t="str">
        <f t="shared" si="13"/>
        <v/>
      </c>
      <c r="AY18" s="37"/>
      <c r="AZ18" s="174" t="str">
        <f t="shared" si="14"/>
        <v/>
      </c>
      <c r="BA18" s="37"/>
      <c r="BB18" s="174" t="str">
        <f t="shared" si="15"/>
        <v/>
      </c>
      <c r="BC18" s="37"/>
      <c r="BD18" s="174" t="str">
        <f t="shared" si="16"/>
        <v/>
      </c>
      <c r="BE18" s="37"/>
      <c r="BF18" s="174" t="str">
        <f t="shared" si="17"/>
        <v/>
      </c>
      <c r="BG18" s="37"/>
      <c r="BH18" s="174" t="str">
        <f t="shared" si="18"/>
        <v/>
      </c>
      <c r="BI18" s="37"/>
      <c r="BJ18" s="174" t="str">
        <f t="shared" si="19"/>
        <v/>
      </c>
      <c r="BK18" s="37"/>
      <c r="BL18" s="174" t="str">
        <f t="shared" si="20"/>
        <v/>
      </c>
      <c r="BM18" s="37"/>
      <c r="BN18" s="174" t="str">
        <f t="shared" si="21"/>
        <v/>
      </c>
      <c r="BO18" s="37"/>
      <c r="BP18" s="174" t="str">
        <f t="shared" si="22"/>
        <v/>
      </c>
      <c r="BQ18" s="37"/>
      <c r="BR18" s="174" t="str">
        <f t="shared" si="23"/>
        <v/>
      </c>
      <c r="BS18" s="37"/>
      <c r="BT18" s="174" t="str">
        <f t="shared" si="24"/>
        <v/>
      </c>
      <c r="BU18" s="37"/>
      <c r="BV18" s="174" t="str">
        <f t="shared" si="25"/>
        <v/>
      </c>
      <c r="BW18" s="37"/>
      <c r="BX18" s="174" t="str">
        <f t="shared" si="26"/>
        <v/>
      </c>
      <c r="BY18" s="37"/>
      <c r="BZ18" s="174" t="str">
        <f t="shared" si="27"/>
        <v/>
      </c>
      <c r="CA18" s="37"/>
      <c r="CB18" s="174" t="str">
        <f t="shared" si="28"/>
        <v/>
      </c>
      <c r="CC18" s="37"/>
      <c r="CD18" s="174" t="str">
        <f t="shared" si="29"/>
        <v/>
      </c>
      <c r="CE18" s="37"/>
      <c r="CF18" s="174" t="str">
        <f t="shared" si="30"/>
        <v/>
      </c>
      <c r="CG18" s="37"/>
      <c r="CH18" s="174" t="str">
        <f t="shared" si="31"/>
        <v/>
      </c>
      <c r="CI18" s="37"/>
      <c r="CJ18" s="174" t="str">
        <f t="shared" si="32"/>
        <v/>
      </c>
      <c r="CK18" s="37"/>
      <c r="CL18" s="174" t="str">
        <f t="shared" si="33"/>
        <v/>
      </c>
      <c r="CM18" s="37"/>
      <c r="CN18" s="174" t="str">
        <f t="shared" si="34"/>
        <v/>
      </c>
      <c r="CO18" s="37"/>
      <c r="CP18" s="174" t="str">
        <f t="shared" si="35"/>
        <v/>
      </c>
      <c r="CQ18" s="37"/>
      <c r="CR18" s="174" t="str">
        <f t="shared" si="36"/>
        <v/>
      </c>
      <c r="CS18" s="37"/>
      <c r="CT18" s="174" t="str">
        <f t="shared" si="37"/>
        <v/>
      </c>
      <c r="CU18" s="38"/>
      <c r="CV18" s="87"/>
      <c r="CW18" s="90"/>
      <c r="CX18" s="38"/>
      <c r="CY18" s="39"/>
      <c r="CZ18" s="37"/>
      <c r="DA18" s="39"/>
      <c r="DB18" s="24">
        <v>14</v>
      </c>
      <c r="DC18" s="96" t="str">
        <f t="shared" si="38"/>
        <v>木</v>
      </c>
      <c r="DF18" s="125"/>
      <c r="DG18" s="40"/>
      <c r="DH18" s="40"/>
      <c r="DI18" s="40"/>
      <c r="DJ18" s="40"/>
      <c r="DK18" s="40"/>
      <c r="DL18" s="40"/>
      <c r="DM18" s="40"/>
      <c r="DN18" s="40"/>
      <c r="DO18" s="40"/>
      <c r="DP18" s="40">
        <f t="shared" si="39"/>
        <v>0</v>
      </c>
      <c r="DQ18" s="172" t="str">
        <f t="shared" si="40"/>
        <v/>
      </c>
      <c r="DS18" s="189"/>
      <c r="DT18" s="190"/>
      <c r="DU18" s="190"/>
      <c r="DV18" s="191"/>
      <c r="DW18" s="41"/>
      <c r="DX18" s="42"/>
    </row>
    <row r="19" spans="1:128" ht="13.5" customHeight="1" x14ac:dyDescent="0.4">
      <c r="A19" s="104">
        <v>15</v>
      </c>
      <c r="B19" s="23" t="s">
        <v>86</v>
      </c>
      <c r="C19" s="164"/>
      <c r="D19" s="164"/>
      <c r="E19" s="24"/>
      <c r="F19" s="29"/>
      <c r="G19" s="25" t="str">
        <f>IF(SUM($F$5:F19)=0,"",SUM($F$5:F19))</f>
        <v/>
      </c>
      <c r="H19" s="43" t="str">
        <f t="shared" si="0"/>
        <v/>
      </c>
      <c r="I19" s="148" t="e">
        <f t="array" aca="1" ref="I19" ca="1">IF($A20="",$G19/($V19-$U$5+INDIRECT(IF(_xlfn.SHEET()&lt;6,"令和8年"&amp;_xlfn.SHEET()+7&amp;"月","令和9年"&amp;_xlfn.SHEET()-5&amp;"月")&amp;"!$U$5")),$G19/($V20-$U$5))</f>
        <v>#VALUE!</v>
      </c>
      <c r="J19" s="26" t="str">
        <f t="shared" si="1"/>
        <v/>
      </c>
      <c r="K19" s="27"/>
      <c r="L19" s="165">
        <f t="shared" si="2"/>
        <v>0</v>
      </c>
      <c r="M19" s="28" t="str">
        <f t="shared" si="3"/>
        <v/>
      </c>
      <c r="N19" s="166" t="str">
        <f t="shared" si="4"/>
        <v/>
      </c>
      <c r="O19" s="167" t="str">
        <f t="shared" si="5"/>
        <v/>
      </c>
      <c r="P19" s="168"/>
      <c r="Q19" s="169" t="str">
        <f t="shared" si="6"/>
        <v/>
      </c>
      <c r="R19" s="170">
        <v>6</v>
      </c>
      <c r="S19" s="171">
        <v>0</v>
      </c>
      <c r="T19" s="24" t="s">
        <v>84</v>
      </c>
      <c r="U19" s="29">
        <v>156104</v>
      </c>
      <c r="V19" s="30">
        <f t="shared" si="41"/>
        <v>2852928</v>
      </c>
      <c r="W19" s="27">
        <v>88</v>
      </c>
      <c r="X19" s="31">
        <f t="shared" si="7"/>
        <v>1773.909090909091</v>
      </c>
      <c r="Y19" s="29">
        <v>143079</v>
      </c>
      <c r="Z19" s="32">
        <f t="shared" si="42"/>
        <v>3525747</v>
      </c>
      <c r="AA19" s="33">
        <f t="shared" si="8"/>
        <v>0.80916980146334949</v>
      </c>
      <c r="AB19" s="158">
        <v>180000</v>
      </c>
      <c r="AC19" s="34">
        <f t="shared" si="43"/>
        <v>3820000</v>
      </c>
      <c r="AD19" s="158"/>
      <c r="AE19" s="25"/>
      <c r="AF19" s="25"/>
      <c r="AG19" s="25"/>
      <c r="AH19" s="25"/>
      <c r="AI19" s="25"/>
      <c r="AJ19" s="25"/>
      <c r="AK19" s="25"/>
      <c r="AL19" s="158"/>
      <c r="AM19" s="25"/>
      <c r="AN19" s="158"/>
      <c r="AO19" s="25"/>
      <c r="AP19" s="25"/>
      <c r="AQ19" s="158"/>
      <c r="AR19" s="35">
        <f t="shared" si="9"/>
        <v>0</v>
      </c>
      <c r="AS19" s="172" t="str">
        <f t="shared" si="10"/>
        <v/>
      </c>
      <c r="AT19" s="36">
        <f t="shared" si="11"/>
        <v>0</v>
      </c>
      <c r="AU19" s="173"/>
      <c r="AV19" s="82">
        <f t="shared" si="12"/>
        <v>15</v>
      </c>
      <c r="AW19" s="37"/>
      <c r="AX19" s="174" t="str">
        <f t="shared" si="13"/>
        <v/>
      </c>
      <c r="AY19" s="37"/>
      <c r="AZ19" s="174" t="str">
        <f t="shared" si="14"/>
        <v/>
      </c>
      <c r="BA19" s="37"/>
      <c r="BB19" s="174" t="str">
        <f t="shared" si="15"/>
        <v/>
      </c>
      <c r="BC19" s="37"/>
      <c r="BD19" s="174" t="str">
        <f t="shared" si="16"/>
        <v/>
      </c>
      <c r="BE19" s="37"/>
      <c r="BF19" s="174" t="str">
        <f t="shared" si="17"/>
        <v/>
      </c>
      <c r="BG19" s="37"/>
      <c r="BH19" s="174" t="str">
        <f t="shared" si="18"/>
        <v/>
      </c>
      <c r="BI19" s="37"/>
      <c r="BJ19" s="174" t="str">
        <f t="shared" si="19"/>
        <v/>
      </c>
      <c r="BK19" s="37"/>
      <c r="BL19" s="174" t="str">
        <f t="shared" si="20"/>
        <v/>
      </c>
      <c r="BM19" s="37"/>
      <c r="BN19" s="174" t="str">
        <f t="shared" si="21"/>
        <v/>
      </c>
      <c r="BO19" s="37"/>
      <c r="BP19" s="174" t="str">
        <f t="shared" si="22"/>
        <v/>
      </c>
      <c r="BQ19" s="37"/>
      <c r="BR19" s="174" t="str">
        <f t="shared" si="23"/>
        <v/>
      </c>
      <c r="BS19" s="37"/>
      <c r="BT19" s="174" t="str">
        <f t="shared" si="24"/>
        <v/>
      </c>
      <c r="BU19" s="37"/>
      <c r="BV19" s="174" t="str">
        <f t="shared" si="25"/>
        <v/>
      </c>
      <c r="BW19" s="37"/>
      <c r="BX19" s="174" t="str">
        <f t="shared" si="26"/>
        <v/>
      </c>
      <c r="BY19" s="37"/>
      <c r="BZ19" s="174" t="str">
        <f t="shared" si="27"/>
        <v/>
      </c>
      <c r="CA19" s="37"/>
      <c r="CB19" s="174" t="str">
        <f t="shared" si="28"/>
        <v/>
      </c>
      <c r="CC19" s="37"/>
      <c r="CD19" s="174" t="str">
        <f t="shared" si="29"/>
        <v/>
      </c>
      <c r="CE19" s="37"/>
      <c r="CF19" s="174" t="str">
        <f t="shared" si="30"/>
        <v/>
      </c>
      <c r="CG19" s="37"/>
      <c r="CH19" s="174" t="str">
        <f t="shared" si="31"/>
        <v/>
      </c>
      <c r="CI19" s="37"/>
      <c r="CJ19" s="174" t="str">
        <f t="shared" si="32"/>
        <v/>
      </c>
      <c r="CK19" s="37"/>
      <c r="CL19" s="174" t="str">
        <f t="shared" si="33"/>
        <v/>
      </c>
      <c r="CM19" s="37"/>
      <c r="CN19" s="174" t="str">
        <f t="shared" si="34"/>
        <v/>
      </c>
      <c r="CO19" s="37"/>
      <c r="CP19" s="174" t="str">
        <f t="shared" si="35"/>
        <v/>
      </c>
      <c r="CQ19" s="37"/>
      <c r="CR19" s="174" t="str">
        <f t="shared" si="36"/>
        <v/>
      </c>
      <c r="CS19" s="37"/>
      <c r="CT19" s="174" t="str">
        <f t="shared" si="37"/>
        <v/>
      </c>
      <c r="CU19" s="38"/>
      <c r="CV19" s="87"/>
      <c r="CW19" s="90"/>
      <c r="CX19" s="38"/>
      <c r="CY19" s="39"/>
      <c r="CZ19" s="37"/>
      <c r="DA19" s="39"/>
      <c r="DB19" s="24">
        <v>15</v>
      </c>
      <c r="DC19" s="96" t="str">
        <f t="shared" si="38"/>
        <v>金</v>
      </c>
      <c r="DF19" s="125"/>
      <c r="DG19" s="40"/>
      <c r="DH19" s="40"/>
      <c r="DI19" s="40"/>
      <c r="DJ19" s="40"/>
      <c r="DK19" s="40"/>
      <c r="DL19" s="40"/>
      <c r="DM19" s="40"/>
      <c r="DN19" s="40"/>
      <c r="DO19" s="40"/>
      <c r="DP19" s="40">
        <f t="shared" si="39"/>
        <v>0</v>
      </c>
      <c r="DQ19" s="172" t="str">
        <f t="shared" si="40"/>
        <v/>
      </c>
      <c r="DS19" s="189"/>
      <c r="DT19" s="190"/>
      <c r="DU19" s="190"/>
      <c r="DV19" s="191"/>
      <c r="DW19" s="138"/>
      <c r="DX19" s="42"/>
    </row>
    <row r="20" spans="1:128" ht="13.5" customHeight="1" x14ac:dyDescent="0.4">
      <c r="A20" s="104">
        <v>16</v>
      </c>
      <c r="B20" s="23" t="s">
        <v>88</v>
      </c>
      <c r="C20" s="164"/>
      <c r="D20" s="164"/>
      <c r="E20" s="24"/>
      <c r="F20" s="29"/>
      <c r="G20" s="25" t="str">
        <f>IF(SUM($F$5:F20)=0,"",SUM($F$5:F20))</f>
        <v/>
      </c>
      <c r="H20" s="43" t="str">
        <f t="shared" si="0"/>
        <v/>
      </c>
      <c r="I20" s="148" t="e">
        <f t="array" aca="1" ref="I20" ca="1">IF($A21="",$G20/($V20-$U$5+INDIRECT(IF(_xlfn.SHEET()&lt;6,"令和8年"&amp;_xlfn.SHEET()+7&amp;"月","令和9年"&amp;_xlfn.SHEET()-5&amp;"月")&amp;"!$U$5")),$G20/($V21-$U$5))</f>
        <v>#VALUE!</v>
      </c>
      <c r="J20" s="26" t="str">
        <f t="shared" si="1"/>
        <v/>
      </c>
      <c r="K20" s="27"/>
      <c r="L20" s="165">
        <f t="shared" si="2"/>
        <v>0</v>
      </c>
      <c r="M20" s="28" t="str">
        <f t="shared" si="3"/>
        <v/>
      </c>
      <c r="N20" s="166" t="str">
        <f t="shared" si="4"/>
        <v/>
      </c>
      <c r="O20" s="167" t="str">
        <f t="shared" si="5"/>
        <v/>
      </c>
      <c r="P20" s="168"/>
      <c r="Q20" s="169" t="str">
        <f t="shared" si="6"/>
        <v/>
      </c>
      <c r="R20" s="170">
        <v>16</v>
      </c>
      <c r="S20" s="171">
        <v>5</v>
      </c>
      <c r="T20" s="24" t="s">
        <v>84</v>
      </c>
      <c r="U20" s="29">
        <v>151963</v>
      </c>
      <c r="V20" s="30">
        <f t="shared" si="41"/>
        <v>3004891</v>
      </c>
      <c r="W20" s="27">
        <v>106</v>
      </c>
      <c r="X20" s="31">
        <f t="shared" si="7"/>
        <v>1433.6132075471698</v>
      </c>
      <c r="Y20" s="29">
        <v>137629</v>
      </c>
      <c r="Z20" s="32">
        <f t="shared" si="42"/>
        <v>3663376</v>
      </c>
      <c r="AA20" s="33">
        <f t="shared" si="8"/>
        <v>0.8202518660383209</v>
      </c>
      <c r="AB20" s="158">
        <v>450000</v>
      </c>
      <c r="AC20" s="34">
        <f t="shared" si="43"/>
        <v>4270000</v>
      </c>
      <c r="AD20" s="158"/>
      <c r="AE20" s="25"/>
      <c r="AF20" s="25"/>
      <c r="AG20" s="25"/>
      <c r="AH20" s="25"/>
      <c r="AI20" s="25"/>
      <c r="AJ20" s="25"/>
      <c r="AK20" s="25"/>
      <c r="AL20" s="158"/>
      <c r="AM20" s="25"/>
      <c r="AN20" s="158"/>
      <c r="AO20" s="25"/>
      <c r="AP20" s="25"/>
      <c r="AQ20" s="158"/>
      <c r="AR20" s="35">
        <f t="shared" si="9"/>
        <v>0</v>
      </c>
      <c r="AS20" s="172" t="str">
        <f t="shared" si="10"/>
        <v/>
      </c>
      <c r="AT20" s="36">
        <f t="shared" si="11"/>
        <v>0</v>
      </c>
      <c r="AU20" s="173"/>
      <c r="AV20" s="82">
        <f t="shared" si="12"/>
        <v>16</v>
      </c>
      <c r="AW20" s="37"/>
      <c r="AX20" s="174" t="str">
        <f t="shared" si="13"/>
        <v/>
      </c>
      <c r="AY20" s="37"/>
      <c r="AZ20" s="174" t="str">
        <f t="shared" si="14"/>
        <v/>
      </c>
      <c r="BA20" s="37"/>
      <c r="BB20" s="174" t="str">
        <f t="shared" si="15"/>
        <v/>
      </c>
      <c r="BC20" s="37"/>
      <c r="BD20" s="174" t="str">
        <f t="shared" si="16"/>
        <v/>
      </c>
      <c r="BE20" s="37"/>
      <c r="BF20" s="174" t="str">
        <f t="shared" si="17"/>
        <v/>
      </c>
      <c r="BG20" s="37"/>
      <c r="BH20" s="174" t="str">
        <f t="shared" si="18"/>
        <v/>
      </c>
      <c r="BI20" s="37"/>
      <c r="BJ20" s="174" t="str">
        <f t="shared" si="19"/>
        <v/>
      </c>
      <c r="BK20" s="37"/>
      <c r="BL20" s="174" t="str">
        <f t="shared" si="20"/>
        <v/>
      </c>
      <c r="BM20" s="37"/>
      <c r="BN20" s="174" t="str">
        <f t="shared" si="21"/>
        <v/>
      </c>
      <c r="BO20" s="37"/>
      <c r="BP20" s="174" t="str">
        <f t="shared" si="22"/>
        <v/>
      </c>
      <c r="BQ20" s="37"/>
      <c r="BR20" s="174" t="str">
        <f t="shared" si="23"/>
        <v/>
      </c>
      <c r="BS20" s="37"/>
      <c r="BT20" s="174" t="str">
        <f t="shared" si="24"/>
        <v/>
      </c>
      <c r="BU20" s="37"/>
      <c r="BV20" s="174" t="str">
        <f t="shared" si="25"/>
        <v/>
      </c>
      <c r="BW20" s="37"/>
      <c r="BX20" s="174" t="str">
        <f t="shared" si="26"/>
        <v/>
      </c>
      <c r="BY20" s="37"/>
      <c r="BZ20" s="174" t="str">
        <f t="shared" si="27"/>
        <v/>
      </c>
      <c r="CA20" s="37"/>
      <c r="CB20" s="174" t="str">
        <f t="shared" si="28"/>
        <v/>
      </c>
      <c r="CC20" s="37"/>
      <c r="CD20" s="174" t="str">
        <f t="shared" si="29"/>
        <v/>
      </c>
      <c r="CE20" s="37"/>
      <c r="CF20" s="174" t="str">
        <f t="shared" si="30"/>
        <v/>
      </c>
      <c r="CG20" s="37"/>
      <c r="CH20" s="174" t="str">
        <f t="shared" si="31"/>
        <v/>
      </c>
      <c r="CI20" s="37"/>
      <c r="CJ20" s="174" t="str">
        <f t="shared" si="32"/>
        <v/>
      </c>
      <c r="CK20" s="37"/>
      <c r="CL20" s="174" t="str">
        <f t="shared" si="33"/>
        <v/>
      </c>
      <c r="CM20" s="37"/>
      <c r="CN20" s="174" t="str">
        <f t="shared" si="34"/>
        <v/>
      </c>
      <c r="CO20" s="37"/>
      <c r="CP20" s="174" t="str">
        <f t="shared" si="35"/>
        <v/>
      </c>
      <c r="CQ20" s="37"/>
      <c r="CR20" s="174" t="str">
        <f t="shared" si="36"/>
        <v/>
      </c>
      <c r="CS20" s="37"/>
      <c r="CT20" s="174" t="str">
        <f t="shared" si="37"/>
        <v/>
      </c>
      <c r="CU20" s="38"/>
      <c r="CV20" s="87"/>
      <c r="CW20" s="90"/>
      <c r="CX20" s="38"/>
      <c r="CY20" s="39"/>
      <c r="CZ20" s="37"/>
      <c r="DA20" s="39"/>
      <c r="DB20" s="24">
        <v>16</v>
      </c>
      <c r="DC20" s="96" t="str">
        <f t="shared" si="38"/>
        <v>土</v>
      </c>
      <c r="DF20" s="125"/>
      <c r="DG20" s="40"/>
      <c r="DH20" s="40"/>
      <c r="DI20" s="40"/>
      <c r="DJ20" s="40"/>
      <c r="DK20" s="40"/>
      <c r="DL20" s="40"/>
      <c r="DM20" s="40"/>
      <c r="DN20" s="40"/>
      <c r="DO20" s="40"/>
      <c r="DP20" s="40">
        <f t="shared" si="39"/>
        <v>0</v>
      </c>
      <c r="DQ20" s="172" t="str">
        <f t="shared" si="40"/>
        <v/>
      </c>
      <c r="DS20" s="189"/>
      <c r="DT20" s="190"/>
      <c r="DU20" s="190"/>
      <c r="DV20" s="191"/>
      <c r="DW20" s="41"/>
      <c r="DX20" s="42"/>
    </row>
    <row r="21" spans="1:128" ht="13.5" customHeight="1" x14ac:dyDescent="0.4">
      <c r="A21" s="104">
        <v>17</v>
      </c>
      <c r="B21" s="23" t="s">
        <v>89</v>
      </c>
      <c r="C21" s="164"/>
      <c r="D21" s="164"/>
      <c r="E21" s="24"/>
      <c r="F21" s="29"/>
      <c r="G21" s="25" t="str">
        <f>IF(SUM($F$5:F21)=0,"",SUM($F$5:F21))</f>
        <v/>
      </c>
      <c r="H21" s="43" t="str">
        <f t="shared" si="0"/>
        <v/>
      </c>
      <c r="I21" s="148" t="e">
        <f t="array" aca="1" ref="I21" ca="1">IF($A22="",$G21/($V21-$U$5+INDIRECT(IF(_xlfn.SHEET()&lt;6,"令和8年"&amp;_xlfn.SHEET()+7&amp;"月","令和9年"&amp;_xlfn.SHEET()-5&amp;"月")&amp;"!$U$5")),$G21/($V22-$U$5))</f>
        <v>#VALUE!</v>
      </c>
      <c r="J21" s="26" t="str">
        <f t="shared" si="1"/>
        <v/>
      </c>
      <c r="K21" s="27"/>
      <c r="L21" s="165">
        <f t="shared" si="2"/>
        <v>0</v>
      </c>
      <c r="M21" s="28" t="str">
        <f t="shared" si="3"/>
        <v/>
      </c>
      <c r="N21" s="166" t="str">
        <f t="shared" si="4"/>
        <v/>
      </c>
      <c r="O21" s="167" t="str">
        <f t="shared" si="5"/>
        <v/>
      </c>
      <c r="P21" s="168"/>
      <c r="Q21" s="169" t="str">
        <f t="shared" si="6"/>
        <v/>
      </c>
      <c r="R21" s="170">
        <v>13</v>
      </c>
      <c r="S21" s="171">
        <v>5</v>
      </c>
      <c r="T21" s="24" t="s">
        <v>84</v>
      </c>
      <c r="U21" s="29">
        <v>431425</v>
      </c>
      <c r="V21" s="30">
        <f t="shared" si="41"/>
        <v>3436316</v>
      </c>
      <c r="W21" s="27">
        <v>284</v>
      </c>
      <c r="X21" s="31">
        <f t="shared" si="7"/>
        <v>1519.1021126760563</v>
      </c>
      <c r="Y21" s="29">
        <v>129504</v>
      </c>
      <c r="Z21" s="32">
        <f t="shared" si="42"/>
        <v>3792880</v>
      </c>
      <c r="AA21" s="33">
        <f t="shared" si="8"/>
        <v>0.90599122566493007</v>
      </c>
      <c r="AB21" s="158">
        <v>450000</v>
      </c>
      <c r="AC21" s="34">
        <f t="shared" si="43"/>
        <v>4720000</v>
      </c>
      <c r="AD21" s="158"/>
      <c r="AE21" s="25"/>
      <c r="AF21" s="25"/>
      <c r="AG21" s="25"/>
      <c r="AH21" s="25"/>
      <c r="AI21" s="25"/>
      <c r="AJ21" s="25"/>
      <c r="AK21" s="25"/>
      <c r="AL21" s="158"/>
      <c r="AM21" s="25"/>
      <c r="AN21" s="158"/>
      <c r="AO21" s="25"/>
      <c r="AP21" s="25"/>
      <c r="AQ21" s="158"/>
      <c r="AR21" s="35">
        <f t="shared" si="9"/>
        <v>0</v>
      </c>
      <c r="AS21" s="172" t="str">
        <f t="shared" si="10"/>
        <v/>
      </c>
      <c r="AT21" s="36">
        <f t="shared" si="11"/>
        <v>0</v>
      </c>
      <c r="AU21" s="173"/>
      <c r="AV21" s="82">
        <f t="shared" si="12"/>
        <v>17</v>
      </c>
      <c r="AW21" s="37"/>
      <c r="AX21" s="174" t="str">
        <f t="shared" si="13"/>
        <v/>
      </c>
      <c r="AY21" s="37"/>
      <c r="AZ21" s="174" t="str">
        <f t="shared" si="14"/>
        <v/>
      </c>
      <c r="BA21" s="37"/>
      <c r="BB21" s="174" t="str">
        <f t="shared" si="15"/>
        <v/>
      </c>
      <c r="BC21" s="37"/>
      <c r="BD21" s="174" t="str">
        <f t="shared" si="16"/>
        <v/>
      </c>
      <c r="BE21" s="37"/>
      <c r="BF21" s="174" t="str">
        <f t="shared" si="17"/>
        <v/>
      </c>
      <c r="BG21" s="37"/>
      <c r="BH21" s="174" t="str">
        <f t="shared" si="18"/>
        <v/>
      </c>
      <c r="BI21" s="37"/>
      <c r="BJ21" s="174" t="str">
        <f t="shared" si="19"/>
        <v/>
      </c>
      <c r="BK21" s="37"/>
      <c r="BL21" s="174" t="str">
        <f t="shared" si="20"/>
        <v/>
      </c>
      <c r="BM21" s="37"/>
      <c r="BN21" s="174" t="str">
        <f t="shared" si="21"/>
        <v/>
      </c>
      <c r="BO21" s="37"/>
      <c r="BP21" s="174" t="str">
        <f t="shared" si="22"/>
        <v/>
      </c>
      <c r="BQ21" s="37"/>
      <c r="BR21" s="174" t="str">
        <f t="shared" si="23"/>
        <v/>
      </c>
      <c r="BS21" s="37"/>
      <c r="BT21" s="174" t="str">
        <f t="shared" si="24"/>
        <v/>
      </c>
      <c r="BU21" s="37"/>
      <c r="BV21" s="174" t="str">
        <f t="shared" si="25"/>
        <v/>
      </c>
      <c r="BW21" s="37"/>
      <c r="BX21" s="174" t="str">
        <f t="shared" si="26"/>
        <v/>
      </c>
      <c r="BY21" s="37"/>
      <c r="BZ21" s="174" t="str">
        <f t="shared" si="27"/>
        <v/>
      </c>
      <c r="CA21" s="37"/>
      <c r="CB21" s="174" t="str">
        <f t="shared" si="28"/>
        <v/>
      </c>
      <c r="CC21" s="37"/>
      <c r="CD21" s="174" t="str">
        <f t="shared" si="29"/>
        <v/>
      </c>
      <c r="CE21" s="37"/>
      <c r="CF21" s="174" t="str">
        <f t="shared" si="30"/>
        <v/>
      </c>
      <c r="CG21" s="37"/>
      <c r="CH21" s="174" t="str">
        <f t="shared" si="31"/>
        <v/>
      </c>
      <c r="CI21" s="37"/>
      <c r="CJ21" s="174" t="str">
        <f t="shared" si="32"/>
        <v/>
      </c>
      <c r="CK21" s="37"/>
      <c r="CL21" s="174" t="str">
        <f t="shared" si="33"/>
        <v/>
      </c>
      <c r="CM21" s="37"/>
      <c r="CN21" s="174" t="str">
        <f t="shared" si="34"/>
        <v/>
      </c>
      <c r="CO21" s="37"/>
      <c r="CP21" s="174" t="str">
        <f t="shared" si="35"/>
        <v/>
      </c>
      <c r="CQ21" s="37"/>
      <c r="CR21" s="174" t="str">
        <f t="shared" si="36"/>
        <v/>
      </c>
      <c r="CS21" s="37"/>
      <c r="CT21" s="174" t="str">
        <f t="shared" si="37"/>
        <v/>
      </c>
      <c r="CU21" s="38"/>
      <c r="CV21" s="87"/>
      <c r="CW21" s="90"/>
      <c r="CX21" s="38"/>
      <c r="CY21" s="39"/>
      <c r="CZ21" s="37"/>
      <c r="DA21" s="39"/>
      <c r="DB21" s="24">
        <v>17</v>
      </c>
      <c r="DC21" s="96" t="str">
        <f t="shared" si="38"/>
        <v>日</v>
      </c>
      <c r="DF21" s="125"/>
      <c r="DG21" s="40"/>
      <c r="DH21" s="40"/>
      <c r="DI21" s="40"/>
      <c r="DJ21" s="40"/>
      <c r="DK21" s="40"/>
      <c r="DL21" s="40"/>
      <c r="DM21" s="40"/>
      <c r="DN21" s="40"/>
      <c r="DO21" s="40"/>
      <c r="DP21" s="40">
        <f t="shared" si="39"/>
        <v>0</v>
      </c>
      <c r="DQ21" s="172" t="str">
        <f t="shared" si="40"/>
        <v/>
      </c>
      <c r="DS21" s="189"/>
      <c r="DT21" s="190"/>
      <c r="DU21" s="190"/>
      <c r="DV21" s="191"/>
      <c r="DW21" s="41"/>
      <c r="DX21" s="42"/>
    </row>
    <row r="22" spans="1:128" ht="13.5" customHeight="1" x14ac:dyDescent="0.4">
      <c r="A22" s="104">
        <v>18</v>
      </c>
      <c r="B22" s="23" t="s">
        <v>90</v>
      </c>
      <c r="C22" s="164"/>
      <c r="D22" s="164"/>
      <c r="E22" s="24"/>
      <c r="F22" s="29"/>
      <c r="G22" s="25" t="str">
        <f>IF(SUM($F$5:F22)=0,"",SUM($F$5:F22))</f>
        <v/>
      </c>
      <c r="H22" s="43" t="str">
        <f t="shared" si="0"/>
        <v/>
      </c>
      <c r="I22" s="148" t="e">
        <f t="array" aca="1" ref="I22" ca="1">IF($A23="",$G22/($V22-$U$5+INDIRECT(IF(_xlfn.SHEET()&lt;6,"令和8年"&amp;_xlfn.SHEET()+7&amp;"月","令和9年"&amp;_xlfn.SHEET()-5&amp;"月")&amp;"!$U$5")),$G22/($V23-$U$5))</f>
        <v>#VALUE!</v>
      </c>
      <c r="J22" s="26" t="str">
        <f t="shared" si="1"/>
        <v/>
      </c>
      <c r="K22" s="27"/>
      <c r="L22" s="165">
        <f t="shared" si="2"/>
        <v>0</v>
      </c>
      <c r="M22" s="28" t="str">
        <f t="shared" si="3"/>
        <v/>
      </c>
      <c r="N22" s="166" t="str">
        <f t="shared" si="4"/>
        <v/>
      </c>
      <c r="O22" s="167" t="str">
        <f t="shared" si="5"/>
        <v/>
      </c>
      <c r="P22" s="168"/>
      <c r="Q22" s="169" t="str">
        <f t="shared" si="6"/>
        <v/>
      </c>
      <c r="R22" s="170">
        <v>14</v>
      </c>
      <c r="S22" s="171">
        <v>1</v>
      </c>
      <c r="T22" s="24" t="s">
        <v>84</v>
      </c>
      <c r="U22" s="29">
        <v>509719</v>
      </c>
      <c r="V22" s="30">
        <f t="shared" si="41"/>
        <v>3946035</v>
      </c>
      <c r="W22" s="27">
        <v>337</v>
      </c>
      <c r="X22" s="31">
        <f t="shared" si="7"/>
        <v>1512.519287833828</v>
      </c>
      <c r="Y22" s="29">
        <v>554399</v>
      </c>
      <c r="Z22" s="32">
        <f t="shared" si="42"/>
        <v>4347279</v>
      </c>
      <c r="AA22" s="33">
        <f t="shared" si="8"/>
        <v>0.90770226617615291</v>
      </c>
      <c r="AB22" s="158">
        <v>180000</v>
      </c>
      <c r="AC22" s="34">
        <f t="shared" si="43"/>
        <v>4900000</v>
      </c>
      <c r="AD22" s="158"/>
      <c r="AE22" s="25"/>
      <c r="AF22" s="25"/>
      <c r="AG22" s="25"/>
      <c r="AH22" s="25"/>
      <c r="AI22" s="25"/>
      <c r="AJ22" s="25"/>
      <c r="AK22" s="25"/>
      <c r="AL22" s="158"/>
      <c r="AM22" s="25"/>
      <c r="AN22" s="158"/>
      <c r="AO22" s="25"/>
      <c r="AP22" s="25"/>
      <c r="AQ22" s="158"/>
      <c r="AR22" s="35">
        <f t="shared" si="9"/>
        <v>0</v>
      </c>
      <c r="AS22" s="172" t="str">
        <f t="shared" si="10"/>
        <v/>
      </c>
      <c r="AT22" s="36">
        <f t="shared" si="11"/>
        <v>0</v>
      </c>
      <c r="AU22" s="173"/>
      <c r="AV22" s="82">
        <f t="shared" si="12"/>
        <v>18</v>
      </c>
      <c r="AW22" s="37"/>
      <c r="AX22" s="174" t="str">
        <f t="shared" si="13"/>
        <v/>
      </c>
      <c r="AY22" s="37"/>
      <c r="AZ22" s="174" t="str">
        <f t="shared" si="14"/>
        <v/>
      </c>
      <c r="BA22" s="37"/>
      <c r="BB22" s="174" t="str">
        <f t="shared" si="15"/>
        <v/>
      </c>
      <c r="BC22" s="37"/>
      <c r="BD22" s="174" t="str">
        <f t="shared" si="16"/>
        <v/>
      </c>
      <c r="BE22" s="37"/>
      <c r="BF22" s="174" t="str">
        <f t="shared" si="17"/>
        <v/>
      </c>
      <c r="BG22" s="37"/>
      <c r="BH22" s="174" t="str">
        <f t="shared" si="18"/>
        <v/>
      </c>
      <c r="BI22" s="37"/>
      <c r="BJ22" s="174" t="str">
        <f t="shared" si="19"/>
        <v/>
      </c>
      <c r="BK22" s="37"/>
      <c r="BL22" s="174" t="str">
        <f t="shared" si="20"/>
        <v/>
      </c>
      <c r="BM22" s="37"/>
      <c r="BN22" s="174" t="str">
        <f t="shared" si="21"/>
        <v/>
      </c>
      <c r="BO22" s="37"/>
      <c r="BP22" s="174" t="str">
        <f t="shared" si="22"/>
        <v/>
      </c>
      <c r="BQ22" s="37"/>
      <c r="BR22" s="174" t="str">
        <f t="shared" si="23"/>
        <v/>
      </c>
      <c r="BS22" s="37"/>
      <c r="BT22" s="174" t="str">
        <f t="shared" si="24"/>
        <v/>
      </c>
      <c r="BU22" s="37"/>
      <c r="BV22" s="174" t="str">
        <f t="shared" si="25"/>
        <v/>
      </c>
      <c r="BW22" s="37"/>
      <c r="BX22" s="174" t="str">
        <f t="shared" si="26"/>
        <v/>
      </c>
      <c r="BY22" s="37"/>
      <c r="BZ22" s="174" t="str">
        <f t="shared" si="27"/>
        <v/>
      </c>
      <c r="CA22" s="37"/>
      <c r="CB22" s="174" t="str">
        <f t="shared" si="28"/>
        <v/>
      </c>
      <c r="CC22" s="37"/>
      <c r="CD22" s="174" t="str">
        <f t="shared" si="29"/>
        <v/>
      </c>
      <c r="CE22" s="37"/>
      <c r="CF22" s="174" t="str">
        <f t="shared" si="30"/>
        <v/>
      </c>
      <c r="CG22" s="37"/>
      <c r="CH22" s="174" t="str">
        <f t="shared" si="31"/>
        <v/>
      </c>
      <c r="CI22" s="37"/>
      <c r="CJ22" s="174" t="str">
        <f t="shared" si="32"/>
        <v/>
      </c>
      <c r="CK22" s="37"/>
      <c r="CL22" s="174" t="str">
        <f t="shared" si="33"/>
        <v/>
      </c>
      <c r="CM22" s="37"/>
      <c r="CN22" s="174" t="str">
        <f t="shared" si="34"/>
        <v/>
      </c>
      <c r="CO22" s="37"/>
      <c r="CP22" s="174" t="str">
        <f t="shared" si="35"/>
        <v/>
      </c>
      <c r="CQ22" s="37"/>
      <c r="CR22" s="174" t="str">
        <f t="shared" si="36"/>
        <v/>
      </c>
      <c r="CS22" s="37"/>
      <c r="CT22" s="174" t="str">
        <f t="shared" si="37"/>
        <v/>
      </c>
      <c r="CU22" s="38"/>
      <c r="CV22" s="87"/>
      <c r="CW22" s="90"/>
      <c r="CX22" s="38"/>
      <c r="CY22" s="39"/>
      <c r="CZ22" s="37"/>
      <c r="DA22" s="39"/>
      <c r="DB22" s="24">
        <v>18</v>
      </c>
      <c r="DC22" s="96" t="str">
        <f t="shared" si="38"/>
        <v>月</v>
      </c>
      <c r="DF22" s="125"/>
      <c r="DG22" s="40"/>
      <c r="DH22" s="40"/>
      <c r="DI22" s="40"/>
      <c r="DJ22" s="40"/>
      <c r="DK22" s="40"/>
      <c r="DL22" s="40"/>
      <c r="DM22" s="40"/>
      <c r="DN22" s="40"/>
      <c r="DO22" s="40"/>
      <c r="DP22" s="40">
        <f t="shared" si="39"/>
        <v>0</v>
      </c>
      <c r="DQ22" s="172" t="str">
        <f t="shared" si="40"/>
        <v/>
      </c>
      <c r="DS22" s="189"/>
      <c r="DT22" s="190"/>
      <c r="DU22" s="190"/>
      <c r="DV22" s="191"/>
      <c r="DW22" s="138"/>
      <c r="DX22" s="42"/>
    </row>
    <row r="23" spans="1:128" ht="13.5" customHeight="1" x14ac:dyDescent="0.4">
      <c r="A23" s="104">
        <v>19</v>
      </c>
      <c r="B23" s="23" t="s">
        <v>91</v>
      </c>
      <c r="C23" s="164"/>
      <c r="D23" s="164"/>
      <c r="E23" s="24"/>
      <c r="F23" s="29"/>
      <c r="G23" s="25" t="str">
        <f>IF(SUM($F$5:F23)=0,"",SUM($F$5:F23))</f>
        <v/>
      </c>
      <c r="H23" s="43" t="str">
        <f t="shared" si="0"/>
        <v/>
      </c>
      <c r="I23" s="148" t="e">
        <f t="array" aca="1" ref="I23" ca="1">IF($A24="",$G23/($V23-$U$5+INDIRECT(IF(_xlfn.SHEET()&lt;6,"令和8年"&amp;_xlfn.SHEET()+7&amp;"月","令和9年"&amp;_xlfn.SHEET()-5&amp;"月")&amp;"!$U$5")),$G23/($V24-$U$5))</f>
        <v>#VALUE!</v>
      </c>
      <c r="J23" s="26" t="str">
        <f t="shared" si="1"/>
        <v/>
      </c>
      <c r="K23" s="27"/>
      <c r="L23" s="165">
        <f t="shared" si="2"/>
        <v>0</v>
      </c>
      <c r="M23" s="28" t="str">
        <f t="shared" si="3"/>
        <v/>
      </c>
      <c r="N23" s="166" t="str">
        <f t="shared" si="4"/>
        <v/>
      </c>
      <c r="O23" s="167" t="str">
        <f t="shared" si="5"/>
        <v/>
      </c>
      <c r="P23" s="168"/>
      <c r="Q23" s="169" t="str">
        <f t="shared" si="6"/>
        <v/>
      </c>
      <c r="R23" s="170">
        <v>16</v>
      </c>
      <c r="S23" s="171">
        <v>2</v>
      </c>
      <c r="T23" s="24" t="s">
        <v>84</v>
      </c>
      <c r="U23" s="29">
        <v>121403</v>
      </c>
      <c r="V23" s="30">
        <f t="shared" si="41"/>
        <v>4067438</v>
      </c>
      <c r="W23" s="27">
        <v>83</v>
      </c>
      <c r="X23" s="31">
        <f t="shared" si="7"/>
        <v>1462.6867469879519</v>
      </c>
      <c r="Y23" s="29">
        <v>472082</v>
      </c>
      <c r="Z23" s="32">
        <f t="shared" si="42"/>
        <v>4819361</v>
      </c>
      <c r="AA23" s="33">
        <f t="shared" si="8"/>
        <v>0.84397869344089393</v>
      </c>
      <c r="AB23" s="158">
        <v>180000</v>
      </c>
      <c r="AC23" s="34">
        <f t="shared" si="43"/>
        <v>5080000</v>
      </c>
      <c r="AD23" s="158"/>
      <c r="AE23" s="25"/>
      <c r="AF23" s="25"/>
      <c r="AG23" s="25"/>
      <c r="AH23" s="25"/>
      <c r="AI23" s="25"/>
      <c r="AJ23" s="25"/>
      <c r="AK23" s="25"/>
      <c r="AL23" s="158"/>
      <c r="AM23" s="25"/>
      <c r="AN23" s="158"/>
      <c r="AO23" s="25"/>
      <c r="AP23" s="25"/>
      <c r="AQ23" s="158"/>
      <c r="AR23" s="35">
        <f t="shared" si="9"/>
        <v>0</v>
      </c>
      <c r="AS23" s="172" t="str">
        <f t="shared" si="10"/>
        <v/>
      </c>
      <c r="AT23" s="36">
        <f t="shared" si="11"/>
        <v>0</v>
      </c>
      <c r="AU23" s="173"/>
      <c r="AV23" s="82">
        <f t="shared" si="12"/>
        <v>19</v>
      </c>
      <c r="AW23" s="37"/>
      <c r="AX23" s="174" t="str">
        <f t="shared" si="13"/>
        <v/>
      </c>
      <c r="AY23" s="37"/>
      <c r="AZ23" s="174" t="str">
        <f t="shared" si="14"/>
        <v/>
      </c>
      <c r="BA23" s="37"/>
      <c r="BB23" s="174" t="str">
        <f t="shared" si="15"/>
        <v/>
      </c>
      <c r="BC23" s="37"/>
      <c r="BD23" s="174" t="str">
        <f t="shared" si="16"/>
        <v/>
      </c>
      <c r="BE23" s="37"/>
      <c r="BF23" s="174" t="str">
        <f t="shared" si="17"/>
        <v/>
      </c>
      <c r="BG23" s="37"/>
      <c r="BH23" s="174" t="str">
        <f t="shared" si="18"/>
        <v/>
      </c>
      <c r="BI23" s="37"/>
      <c r="BJ23" s="174" t="str">
        <f t="shared" si="19"/>
        <v/>
      </c>
      <c r="BK23" s="37"/>
      <c r="BL23" s="174" t="str">
        <f t="shared" si="20"/>
        <v/>
      </c>
      <c r="BM23" s="37"/>
      <c r="BN23" s="174" t="str">
        <f t="shared" si="21"/>
        <v/>
      </c>
      <c r="BO23" s="37"/>
      <c r="BP23" s="174" t="str">
        <f t="shared" si="22"/>
        <v/>
      </c>
      <c r="BQ23" s="37"/>
      <c r="BR23" s="174" t="str">
        <f t="shared" si="23"/>
        <v/>
      </c>
      <c r="BS23" s="37"/>
      <c r="BT23" s="174" t="str">
        <f t="shared" si="24"/>
        <v/>
      </c>
      <c r="BU23" s="37"/>
      <c r="BV23" s="174" t="str">
        <f t="shared" si="25"/>
        <v/>
      </c>
      <c r="BW23" s="37"/>
      <c r="BX23" s="174" t="str">
        <f t="shared" si="26"/>
        <v/>
      </c>
      <c r="BY23" s="37"/>
      <c r="BZ23" s="174" t="str">
        <f t="shared" si="27"/>
        <v/>
      </c>
      <c r="CA23" s="37"/>
      <c r="CB23" s="174" t="str">
        <f t="shared" si="28"/>
        <v/>
      </c>
      <c r="CC23" s="37"/>
      <c r="CD23" s="174" t="str">
        <f t="shared" si="29"/>
        <v/>
      </c>
      <c r="CE23" s="37"/>
      <c r="CF23" s="174" t="str">
        <f t="shared" si="30"/>
        <v/>
      </c>
      <c r="CG23" s="37"/>
      <c r="CH23" s="174" t="str">
        <f t="shared" si="31"/>
        <v/>
      </c>
      <c r="CI23" s="37"/>
      <c r="CJ23" s="174" t="str">
        <f t="shared" si="32"/>
        <v/>
      </c>
      <c r="CK23" s="37"/>
      <c r="CL23" s="174" t="str">
        <f t="shared" si="33"/>
        <v/>
      </c>
      <c r="CM23" s="37"/>
      <c r="CN23" s="174" t="str">
        <f t="shared" si="34"/>
        <v/>
      </c>
      <c r="CO23" s="37"/>
      <c r="CP23" s="174" t="str">
        <f t="shared" si="35"/>
        <v/>
      </c>
      <c r="CQ23" s="37"/>
      <c r="CR23" s="174" t="str">
        <f t="shared" si="36"/>
        <v/>
      </c>
      <c r="CS23" s="37"/>
      <c r="CT23" s="174" t="str">
        <f t="shared" si="37"/>
        <v/>
      </c>
      <c r="CU23" s="38"/>
      <c r="CV23" s="87"/>
      <c r="CW23" s="90"/>
      <c r="CX23" s="38"/>
      <c r="CY23" s="39"/>
      <c r="CZ23" s="37"/>
      <c r="DA23" s="39"/>
      <c r="DB23" s="24">
        <v>19</v>
      </c>
      <c r="DC23" s="96" t="str">
        <f t="shared" si="38"/>
        <v>火</v>
      </c>
      <c r="DF23" s="125"/>
      <c r="DG23" s="40"/>
      <c r="DH23" s="40"/>
      <c r="DI23" s="40"/>
      <c r="DJ23" s="40"/>
      <c r="DK23" s="40"/>
      <c r="DL23" s="40"/>
      <c r="DM23" s="40"/>
      <c r="DN23" s="40"/>
      <c r="DO23" s="40"/>
      <c r="DP23" s="40">
        <f t="shared" si="39"/>
        <v>0</v>
      </c>
      <c r="DQ23" s="172" t="str">
        <f t="shared" si="40"/>
        <v/>
      </c>
      <c r="DS23" s="189"/>
      <c r="DT23" s="190"/>
      <c r="DU23" s="190"/>
      <c r="DV23" s="191"/>
      <c r="DW23" s="41"/>
      <c r="DX23" s="42"/>
    </row>
    <row r="24" spans="1:128" ht="13.5" customHeight="1" x14ac:dyDescent="0.4">
      <c r="A24" s="104">
        <v>20</v>
      </c>
      <c r="B24" s="23" t="s">
        <v>83</v>
      </c>
      <c r="C24" s="164"/>
      <c r="D24" s="164"/>
      <c r="E24" s="24"/>
      <c r="F24" s="29"/>
      <c r="G24" s="25" t="str">
        <f>IF(SUM($F$5:F24)=0,"",SUM($F$5:F24))</f>
        <v/>
      </c>
      <c r="H24" s="43" t="str">
        <f t="shared" si="0"/>
        <v/>
      </c>
      <c r="I24" s="148" t="e">
        <f t="array" aca="1" ref="I24" ca="1">IF($A25="",$G24/($V24-$U$5+INDIRECT(IF(_xlfn.SHEET()&lt;6,"令和8年"&amp;_xlfn.SHEET()+7&amp;"月","令和9年"&amp;_xlfn.SHEET()-5&amp;"月")&amp;"!$U$5")),$G24/($V25-$U$5))</f>
        <v>#VALUE!</v>
      </c>
      <c r="J24" s="26" t="str">
        <f t="shared" si="1"/>
        <v/>
      </c>
      <c r="K24" s="27"/>
      <c r="L24" s="165">
        <f t="shared" si="2"/>
        <v>0</v>
      </c>
      <c r="M24" s="28" t="str">
        <f t="shared" si="3"/>
        <v/>
      </c>
      <c r="N24" s="166" t="str">
        <f t="shared" si="4"/>
        <v/>
      </c>
      <c r="O24" s="167" t="str">
        <f t="shared" si="5"/>
        <v/>
      </c>
      <c r="P24" s="168"/>
      <c r="Q24" s="169" t="str">
        <f t="shared" si="6"/>
        <v/>
      </c>
      <c r="R24" s="170">
        <v>11</v>
      </c>
      <c r="S24" s="171">
        <v>0</v>
      </c>
      <c r="T24" s="24" t="s">
        <v>84</v>
      </c>
      <c r="U24" s="29">
        <v>158337</v>
      </c>
      <c r="V24" s="30">
        <f t="shared" si="41"/>
        <v>4225775</v>
      </c>
      <c r="W24" s="27">
        <v>85</v>
      </c>
      <c r="X24" s="31">
        <f t="shared" si="7"/>
        <v>1862.7882352941176</v>
      </c>
      <c r="Y24" s="29">
        <v>204634</v>
      </c>
      <c r="Z24" s="32">
        <f t="shared" si="42"/>
        <v>5023995</v>
      </c>
      <c r="AA24" s="33">
        <f t="shared" si="8"/>
        <v>0.84111847245070903</v>
      </c>
      <c r="AB24" s="158">
        <v>180000</v>
      </c>
      <c r="AC24" s="34">
        <f t="shared" si="43"/>
        <v>5260000</v>
      </c>
      <c r="AD24" s="158"/>
      <c r="AE24" s="25"/>
      <c r="AF24" s="25"/>
      <c r="AG24" s="25"/>
      <c r="AH24" s="25"/>
      <c r="AI24" s="25"/>
      <c r="AJ24" s="25"/>
      <c r="AK24" s="25"/>
      <c r="AL24" s="158"/>
      <c r="AM24" s="25"/>
      <c r="AN24" s="158"/>
      <c r="AO24" s="25"/>
      <c r="AP24" s="25"/>
      <c r="AQ24" s="158"/>
      <c r="AR24" s="35">
        <f t="shared" si="9"/>
        <v>0</v>
      </c>
      <c r="AS24" s="172" t="str">
        <f t="shared" si="10"/>
        <v/>
      </c>
      <c r="AT24" s="36">
        <f t="shared" si="11"/>
        <v>0</v>
      </c>
      <c r="AU24" s="173"/>
      <c r="AV24" s="82">
        <f t="shared" si="12"/>
        <v>20</v>
      </c>
      <c r="AW24" s="37"/>
      <c r="AX24" s="174" t="str">
        <f t="shared" si="13"/>
        <v/>
      </c>
      <c r="AY24" s="37"/>
      <c r="AZ24" s="174" t="str">
        <f t="shared" si="14"/>
        <v/>
      </c>
      <c r="BA24" s="37"/>
      <c r="BB24" s="174" t="str">
        <f t="shared" si="15"/>
        <v/>
      </c>
      <c r="BC24" s="37"/>
      <c r="BD24" s="174" t="str">
        <f t="shared" si="16"/>
        <v/>
      </c>
      <c r="BE24" s="37"/>
      <c r="BF24" s="174" t="str">
        <f t="shared" si="17"/>
        <v/>
      </c>
      <c r="BG24" s="37"/>
      <c r="BH24" s="174" t="str">
        <f t="shared" si="18"/>
        <v/>
      </c>
      <c r="BI24" s="37"/>
      <c r="BJ24" s="174" t="str">
        <f t="shared" si="19"/>
        <v/>
      </c>
      <c r="BK24" s="37"/>
      <c r="BL24" s="174" t="str">
        <f t="shared" si="20"/>
        <v/>
      </c>
      <c r="BM24" s="37"/>
      <c r="BN24" s="174" t="str">
        <f t="shared" si="21"/>
        <v/>
      </c>
      <c r="BO24" s="37"/>
      <c r="BP24" s="174" t="str">
        <f t="shared" si="22"/>
        <v/>
      </c>
      <c r="BQ24" s="37"/>
      <c r="BR24" s="174" t="str">
        <f t="shared" si="23"/>
        <v/>
      </c>
      <c r="BS24" s="37"/>
      <c r="BT24" s="174" t="str">
        <f t="shared" si="24"/>
        <v/>
      </c>
      <c r="BU24" s="37"/>
      <c r="BV24" s="174" t="str">
        <f t="shared" si="25"/>
        <v/>
      </c>
      <c r="BW24" s="37"/>
      <c r="BX24" s="174" t="str">
        <f t="shared" si="26"/>
        <v/>
      </c>
      <c r="BY24" s="37"/>
      <c r="BZ24" s="174" t="str">
        <f t="shared" si="27"/>
        <v/>
      </c>
      <c r="CA24" s="37"/>
      <c r="CB24" s="174" t="str">
        <f t="shared" si="28"/>
        <v/>
      </c>
      <c r="CC24" s="37"/>
      <c r="CD24" s="174" t="str">
        <f t="shared" si="29"/>
        <v/>
      </c>
      <c r="CE24" s="37"/>
      <c r="CF24" s="174" t="str">
        <f t="shared" si="30"/>
        <v/>
      </c>
      <c r="CG24" s="37"/>
      <c r="CH24" s="174" t="str">
        <f t="shared" si="31"/>
        <v/>
      </c>
      <c r="CI24" s="37"/>
      <c r="CJ24" s="174" t="str">
        <f t="shared" si="32"/>
        <v/>
      </c>
      <c r="CK24" s="37"/>
      <c r="CL24" s="174" t="str">
        <f t="shared" si="33"/>
        <v/>
      </c>
      <c r="CM24" s="37"/>
      <c r="CN24" s="174" t="str">
        <f t="shared" si="34"/>
        <v/>
      </c>
      <c r="CO24" s="37"/>
      <c r="CP24" s="174" t="str">
        <f t="shared" si="35"/>
        <v/>
      </c>
      <c r="CQ24" s="37"/>
      <c r="CR24" s="174" t="str">
        <f t="shared" si="36"/>
        <v/>
      </c>
      <c r="CS24" s="37"/>
      <c r="CT24" s="174" t="str">
        <f t="shared" si="37"/>
        <v/>
      </c>
      <c r="CU24" s="38"/>
      <c r="CV24" s="87"/>
      <c r="CW24" s="90"/>
      <c r="CX24" s="38"/>
      <c r="CY24" s="39"/>
      <c r="CZ24" s="37"/>
      <c r="DA24" s="39"/>
      <c r="DB24" s="24">
        <v>20</v>
      </c>
      <c r="DC24" s="96" t="str">
        <f t="shared" si="38"/>
        <v>水</v>
      </c>
      <c r="DF24" s="125"/>
      <c r="DG24" s="40"/>
      <c r="DH24" s="40"/>
      <c r="DI24" s="40"/>
      <c r="DJ24" s="40"/>
      <c r="DK24" s="40"/>
      <c r="DL24" s="40"/>
      <c r="DM24" s="40"/>
      <c r="DN24" s="40"/>
      <c r="DO24" s="40"/>
      <c r="DP24" s="40">
        <f t="shared" si="39"/>
        <v>0</v>
      </c>
      <c r="DQ24" s="172" t="str">
        <f t="shared" si="40"/>
        <v/>
      </c>
      <c r="DS24" s="189"/>
      <c r="DT24" s="190"/>
      <c r="DU24" s="190"/>
      <c r="DV24" s="191"/>
      <c r="DW24" s="41"/>
      <c r="DX24" s="42"/>
    </row>
    <row r="25" spans="1:128" ht="13.5" customHeight="1" x14ac:dyDescent="0.4">
      <c r="A25" s="104">
        <v>21</v>
      </c>
      <c r="B25" s="23" t="s">
        <v>85</v>
      </c>
      <c r="C25" s="164"/>
      <c r="D25" s="164"/>
      <c r="E25" s="24"/>
      <c r="F25" s="29"/>
      <c r="G25" s="25" t="str">
        <f>IF(SUM($F$5:F25)=0,"",SUM($F$5:F25))</f>
        <v/>
      </c>
      <c r="H25" s="43" t="str">
        <f t="shared" si="0"/>
        <v/>
      </c>
      <c r="I25" s="148" t="e">
        <f t="array" aca="1" ref="I25" ca="1">IF($A26="",$G25/($V25-$U$5+INDIRECT(IF(_xlfn.SHEET()&lt;6,"令和8年"&amp;_xlfn.SHEET()+7&amp;"月","令和9年"&amp;_xlfn.SHEET()-5&amp;"月")&amp;"!$U$5")),$G25/($V26-$U$5))</f>
        <v>#VALUE!</v>
      </c>
      <c r="J25" s="26" t="str">
        <f t="shared" si="1"/>
        <v/>
      </c>
      <c r="K25" s="27"/>
      <c r="L25" s="165">
        <f t="shared" si="2"/>
        <v>0</v>
      </c>
      <c r="M25" s="28" t="str">
        <f t="shared" si="3"/>
        <v/>
      </c>
      <c r="N25" s="166" t="str">
        <f t="shared" si="4"/>
        <v/>
      </c>
      <c r="O25" s="167" t="str">
        <f t="shared" si="5"/>
        <v/>
      </c>
      <c r="P25" s="168"/>
      <c r="Q25" s="169" t="str">
        <f t="shared" si="6"/>
        <v/>
      </c>
      <c r="R25" s="170">
        <v>6</v>
      </c>
      <c r="S25" s="171">
        <v>-2</v>
      </c>
      <c r="T25" s="24" t="s">
        <v>125</v>
      </c>
      <c r="U25" s="29">
        <v>123928</v>
      </c>
      <c r="V25" s="30">
        <f t="shared" si="41"/>
        <v>4349703</v>
      </c>
      <c r="W25" s="27">
        <v>101</v>
      </c>
      <c r="X25" s="31">
        <f t="shared" si="7"/>
        <v>1227.0099009900989</v>
      </c>
      <c r="Y25" s="29">
        <v>121934</v>
      </c>
      <c r="Z25" s="32">
        <f t="shared" si="42"/>
        <v>5145929</v>
      </c>
      <c r="AA25" s="33">
        <f t="shared" si="8"/>
        <v>0.84527069844920133</v>
      </c>
      <c r="AB25" s="158">
        <v>180000</v>
      </c>
      <c r="AC25" s="34">
        <f t="shared" si="43"/>
        <v>5440000</v>
      </c>
      <c r="AD25" s="158"/>
      <c r="AE25" s="25"/>
      <c r="AF25" s="25"/>
      <c r="AG25" s="25"/>
      <c r="AH25" s="25"/>
      <c r="AI25" s="25"/>
      <c r="AJ25" s="25"/>
      <c r="AK25" s="25"/>
      <c r="AL25" s="158"/>
      <c r="AM25" s="25"/>
      <c r="AN25" s="158"/>
      <c r="AO25" s="25"/>
      <c r="AP25" s="25"/>
      <c r="AQ25" s="158"/>
      <c r="AR25" s="35">
        <f t="shared" si="9"/>
        <v>0</v>
      </c>
      <c r="AS25" s="172" t="str">
        <f t="shared" si="10"/>
        <v/>
      </c>
      <c r="AT25" s="36">
        <f t="shared" si="11"/>
        <v>0</v>
      </c>
      <c r="AU25" s="173"/>
      <c r="AV25" s="82">
        <f t="shared" si="12"/>
        <v>21</v>
      </c>
      <c r="AW25" s="37"/>
      <c r="AX25" s="174" t="str">
        <f t="shared" si="13"/>
        <v/>
      </c>
      <c r="AY25" s="37"/>
      <c r="AZ25" s="174" t="str">
        <f t="shared" si="14"/>
        <v/>
      </c>
      <c r="BA25" s="37"/>
      <c r="BB25" s="174" t="str">
        <f t="shared" si="15"/>
        <v/>
      </c>
      <c r="BC25" s="37"/>
      <c r="BD25" s="174" t="str">
        <f t="shared" si="16"/>
        <v/>
      </c>
      <c r="BE25" s="37"/>
      <c r="BF25" s="174" t="str">
        <f t="shared" si="17"/>
        <v/>
      </c>
      <c r="BG25" s="37"/>
      <c r="BH25" s="174" t="str">
        <f t="shared" si="18"/>
        <v/>
      </c>
      <c r="BI25" s="37"/>
      <c r="BJ25" s="174" t="str">
        <f t="shared" si="19"/>
        <v/>
      </c>
      <c r="BK25" s="37"/>
      <c r="BL25" s="174" t="str">
        <f t="shared" si="20"/>
        <v/>
      </c>
      <c r="BM25" s="37"/>
      <c r="BN25" s="174" t="str">
        <f t="shared" si="21"/>
        <v/>
      </c>
      <c r="BO25" s="37"/>
      <c r="BP25" s="174" t="str">
        <f t="shared" si="22"/>
        <v/>
      </c>
      <c r="BQ25" s="37"/>
      <c r="BR25" s="174" t="str">
        <f t="shared" si="23"/>
        <v/>
      </c>
      <c r="BS25" s="37"/>
      <c r="BT25" s="174" t="str">
        <f t="shared" si="24"/>
        <v/>
      </c>
      <c r="BU25" s="37"/>
      <c r="BV25" s="174" t="str">
        <f t="shared" si="25"/>
        <v/>
      </c>
      <c r="BW25" s="37"/>
      <c r="BX25" s="174" t="str">
        <f t="shared" si="26"/>
        <v/>
      </c>
      <c r="BY25" s="37"/>
      <c r="BZ25" s="174" t="str">
        <f t="shared" si="27"/>
        <v/>
      </c>
      <c r="CA25" s="37"/>
      <c r="CB25" s="174" t="str">
        <f t="shared" si="28"/>
        <v/>
      </c>
      <c r="CC25" s="37"/>
      <c r="CD25" s="174" t="str">
        <f t="shared" si="29"/>
        <v/>
      </c>
      <c r="CE25" s="37"/>
      <c r="CF25" s="174" t="str">
        <f t="shared" si="30"/>
        <v/>
      </c>
      <c r="CG25" s="37"/>
      <c r="CH25" s="174" t="str">
        <f t="shared" si="31"/>
        <v/>
      </c>
      <c r="CI25" s="37"/>
      <c r="CJ25" s="174" t="str">
        <f t="shared" si="32"/>
        <v/>
      </c>
      <c r="CK25" s="37"/>
      <c r="CL25" s="174" t="str">
        <f t="shared" si="33"/>
        <v/>
      </c>
      <c r="CM25" s="37"/>
      <c r="CN25" s="174" t="str">
        <f t="shared" si="34"/>
        <v/>
      </c>
      <c r="CO25" s="37"/>
      <c r="CP25" s="174" t="str">
        <f t="shared" si="35"/>
        <v/>
      </c>
      <c r="CQ25" s="37"/>
      <c r="CR25" s="174" t="str">
        <f t="shared" si="36"/>
        <v/>
      </c>
      <c r="CS25" s="37"/>
      <c r="CT25" s="174" t="str">
        <f t="shared" si="37"/>
        <v/>
      </c>
      <c r="CU25" s="38"/>
      <c r="CV25" s="87"/>
      <c r="CW25" s="90"/>
      <c r="CX25" s="38"/>
      <c r="CY25" s="39"/>
      <c r="CZ25" s="37"/>
      <c r="DA25" s="39"/>
      <c r="DB25" s="24">
        <v>21</v>
      </c>
      <c r="DC25" s="96" t="str">
        <f t="shared" si="38"/>
        <v>木</v>
      </c>
      <c r="DF25" s="125"/>
      <c r="DG25" s="40"/>
      <c r="DH25" s="40"/>
      <c r="DI25" s="40"/>
      <c r="DJ25" s="40"/>
      <c r="DK25" s="40"/>
      <c r="DL25" s="40"/>
      <c r="DM25" s="40"/>
      <c r="DN25" s="40"/>
      <c r="DO25" s="40"/>
      <c r="DP25" s="40">
        <f t="shared" si="39"/>
        <v>0</v>
      </c>
      <c r="DQ25" s="172" t="str">
        <f t="shared" si="40"/>
        <v/>
      </c>
      <c r="DS25" s="189"/>
      <c r="DT25" s="190"/>
      <c r="DU25" s="190"/>
      <c r="DV25" s="191"/>
      <c r="DW25" s="138"/>
      <c r="DX25" s="42"/>
    </row>
    <row r="26" spans="1:128" ht="13.5" customHeight="1" x14ac:dyDescent="0.4">
      <c r="A26" s="104">
        <v>22</v>
      </c>
      <c r="B26" s="23" t="s">
        <v>86</v>
      </c>
      <c r="C26" s="164"/>
      <c r="D26" s="164"/>
      <c r="E26" s="24"/>
      <c r="F26" s="29"/>
      <c r="G26" s="25" t="str">
        <f>IF(SUM($F$5:F26)=0,"",SUM($F$5:F26))</f>
        <v/>
      </c>
      <c r="H26" s="43" t="str">
        <f t="shared" si="0"/>
        <v/>
      </c>
      <c r="I26" s="148" t="e">
        <f t="array" aca="1" ref="I26" ca="1">IF($A27="",$G26/($V26-$U$5+INDIRECT(IF(_xlfn.SHEET()&lt;6,"令和8年"&amp;_xlfn.SHEET()+7&amp;"月","令和9年"&amp;_xlfn.SHEET()-5&amp;"月")&amp;"!$U$5")),$G26/($V27-$U$5))</f>
        <v>#VALUE!</v>
      </c>
      <c r="J26" s="26" t="str">
        <f t="shared" si="1"/>
        <v/>
      </c>
      <c r="K26" s="27"/>
      <c r="L26" s="165">
        <f t="shared" si="2"/>
        <v>0</v>
      </c>
      <c r="M26" s="28" t="str">
        <f t="shared" si="3"/>
        <v/>
      </c>
      <c r="N26" s="166" t="str">
        <f t="shared" si="4"/>
        <v/>
      </c>
      <c r="O26" s="167" t="str">
        <f t="shared" si="5"/>
        <v/>
      </c>
      <c r="P26" s="168"/>
      <c r="Q26" s="169" t="str">
        <f t="shared" si="6"/>
        <v/>
      </c>
      <c r="R26" s="170">
        <v>6</v>
      </c>
      <c r="S26" s="171">
        <v>-1</v>
      </c>
      <c r="T26" s="24" t="s">
        <v>84</v>
      </c>
      <c r="U26" s="29">
        <v>101913</v>
      </c>
      <c r="V26" s="30">
        <f t="shared" si="41"/>
        <v>4451616</v>
      </c>
      <c r="W26" s="27">
        <v>100</v>
      </c>
      <c r="X26" s="31">
        <f t="shared" si="7"/>
        <v>1019.13</v>
      </c>
      <c r="Y26" s="29">
        <v>171544</v>
      </c>
      <c r="Z26" s="32">
        <f t="shared" si="42"/>
        <v>5317473</v>
      </c>
      <c r="AA26" s="33">
        <f t="shared" si="8"/>
        <v>0.83716757941225084</v>
      </c>
      <c r="AB26" s="158">
        <v>180000</v>
      </c>
      <c r="AC26" s="34">
        <f t="shared" si="43"/>
        <v>5620000</v>
      </c>
      <c r="AD26" s="158"/>
      <c r="AE26" s="25"/>
      <c r="AF26" s="25"/>
      <c r="AG26" s="25"/>
      <c r="AH26" s="25"/>
      <c r="AI26" s="25"/>
      <c r="AJ26" s="25"/>
      <c r="AK26" s="25"/>
      <c r="AL26" s="158"/>
      <c r="AM26" s="25"/>
      <c r="AN26" s="158"/>
      <c r="AO26" s="25"/>
      <c r="AP26" s="25"/>
      <c r="AQ26" s="158"/>
      <c r="AR26" s="35">
        <f t="shared" si="9"/>
        <v>0</v>
      </c>
      <c r="AS26" s="172" t="str">
        <f t="shared" si="10"/>
        <v/>
      </c>
      <c r="AT26" s="36">
        <f t="shared" si="11"/>
        <v>0</v>
      </c>
      <c r="AU26" s="173"/>
      <c r="AV26" s="82">
        <f t="shared" si="12"/>
        <v>22</v>
      </c>
      <c r="AW26" s="37"/>
      <c r="AX26" s="174" t="str">
        <f t="shared" si="13"/>
        <v/>
      </c>
      <c r="AY26" s="37"/>
      <c r="AZ26" s="174" t="str">
        <f t="shared" si="14"/>
        <v/>
      </c>
      <c r="BA26" s="37"/>
      <c r="BB26" s="174" t="str">
        <f t="shared" si="15"/>
        <v/>
      </c>
      <c r="BC26" s="37"/>
      <c r="BD26" s="174" t="str">
        <f t="shared" si="16"/>
        <v/>
      </c>
      <c r="BE26" s="37"/>
      <c r="BF26" s="174" t="str">
        <f t="shared" si="17"/>
        <v/>
      </c>
      <c r="BG26" s="37"/>
      <c r="BH26" s="174" t="str">
        <f t="shared" si="18"/>
        <v/>
      </c>
      <c r="BI26" s="37"/>
      <c r="BJ26" s="174" t="str">
        <f t="shared" si="19"/>
        <v/>
      </c>
      <c r="BK26" s="37"/>
      <c r="BL26" s="174" t="str">
        <f t="shared" si="20"/>
        <v/>
      </c>
      <c r="BM26" s="37"/>
      <c r="BN26" s="174" t="str">
        <f t="shared" si="21"/>
        <v/>
      </c>
      <c r="BO26" s="37"/>
      <c r="BP26" s="174" t="str">
        <f t="shared" si="22"/>
        <v/>
      </c>
      <c r="BQ26" s="37"/>
      <c r="BR26" s="174" t="str">
        <f t="shared" si="23"/>
        <v/>
      </c>
      <c r="BS26" s="37"/>
      <c r="BT26" s="174" t="str">
        <f t="shared" si="24"/>
        <v/>
      </c>
      <c r="BU26" s="37"/>
      <c r="BV26" s="174" t="str">
        <f t="shared" si="25"/>
        <v/>
      </c>
      <c r="BW26" s="37"/>
      <c r="BX26" s="174" t="str">
        <f t="shared" si="26"/>
        <v/>
      </c>
      <c r="BY26" s="37"/>
      <c r="BZ26" s="174" t="str">
        <f t="shared" si="27"/>
        <v/>
      </c>
      <c r="CA26" s="37"/>
      <c r="CB26" s="174" t="str">
        <f t="shared" si="28"/>
        <v/>
      </c>
      <c r="CC26" s="37"/>
      <c r="CD26" s="174" t="str">
        <f t="shared" si="29"/>
        <v/>
      </c>
      <c r="CE26" s="37"/>
      <c r="CF26" s="174" t="str">
        <f t="shared" si="30"/>
        <v/>
      </c>
      <c r="CG26" s="37"/>
      <c r="CH26" s="174" t="str">
        <f t="shared" si="31"/>
        <v/>
      </c>
      <c r="CI26" s="37"/>
      <c r="CJ26" s="174" t="str">
        <f t="shared" si="32"/>
        <v/>
      </c>
      <c r="CK26" s="37"/>
      <c r="CL26" s="174" t="str">
        <f t="shared" si="33"/>
        <v/>
      </c>
      <c r="CM26" s="37"/>
      <c r="CN26" s="174" t="str">
        <f t="shared" si="34"/>
        <v/>
      </c>
      <c r="CO26" s="37"/>
      <c r="CP26" s="174" t="str">
        <f t="shared" si="35"/>
        <v/>
      </c>
      <c r="CQ26" s="37"/>
      <c r="CR26" s="174" t="str">
        <f t="shared" si="36"/>
        <v/>
      </c>
      <c r="CS26" s="37"/>
      <c r="CT26" s="174" t="str">
        <f t="shared" si="37"/>
        <v/>
      </c>
      <c r="CU26" s="38"/>
      <c r="CV26" s="87"/>
      <c r="CW26" s="90"/>
      <c r="CX26" s="38"/>
      <c r="CY26" s="39"/>
      <c r="CZ26" s="37"/>
      <c r="DA26" s="39"/>
      <c r="DB26" s="24">
        <v>22</v>
      </c>
      <c r="DC26" s="96" t="str">
        <f t="shared" si="38"/>
        <v>金</v>
      </c>
      <c r="DF26" s="125"/>
      <c r="DG26" s="40"/>
      <c r="DH26" s="40"/>
      <c r="DI26" s="40"/>
      <c r="DJ26" s="40"/>
      <c r="DK26" s="40"/>
      <c r="DL26" s="40"/>
      <c r="DM26" s="40"/>
      <c r="DN26" s="40"/>
      <c r="DO26" s="40"/>
      <c r="DP26" s="40">
        <f t="shared" si="39"/>
        <v>0</v>
      </c>
      <c r="DQ26" s="172" t="str">
        <f t="shared" si="40"/>
        <v/>
      </c>
      <c r="DS26" s="189"/>
      <c r="DT26" s="190"/>
      <c r="DU26" s="190"/>
      <c r="DV26" s="191"/>
      <c r="DW26" s="41"/>
      <c r="DX26" s="42"/>
    </row>
    <row r="27" spans="1:128" ht="13.5" customHeight="1" x14ac:dyDescent="0.4">
      <c r="A27" s="104">
        <v>23</v>
      </c>
      <c r="B27" s="23" t="s">
        <v>88</v>
      </c>
      <c r="C27" s="164"/>
      <c r="D27" s="164"/>
      <c r="E27" s="24"/>
      <c r="F27" s="29"/>
      <c r="G27" s="25" t="str">
        <f>IF(SUM($F$5:F27)=0,"",SUM($F$5:F27))</f>
        <v/>
      </c>
      <c r="H27" s="43" t="str">
        <f t="shared" si="0"/>
        <v/>
      </c>
      <c r="I27" s="148" t="e">
        <f t="array" aca="1" ref="I27" ca="1">IF($A28="",$G27/($V27-$U$5+INDIRECT(IF(_xlfn.SHEET()&lt;6,"令和8年"&amp;_xlfn.SHEET()+7&amp;"月","令和9年"&amp;_xlfn.SHEET()-5&amp;"月")&amp;"!$U$5")),$G27/($V28-$U$5))</f>
        <v>#VALUE!</v>
      </c>
      <c r="J27" s="26" t="str">
        <f t="shared" si="1"/>
        <v/>
      </c>
      <c r="K27" s="27"/>
      <c r="L27" s="165">
        <f t="shared" si="2"/>
        <v>0</v>
      </c>
      <c r="M27" s="28" t="str">
        <f t="shared" si="3"/>
        <v/>
      </c>
      <c r="N27" s="166" t="str">
        <f t="shared" si="4"/>
        <v/>
      </c>
      <c r="O27" s="167" t="str">
        <f t="shared" si="5"/>
        <v/>
      </c>
      <c r="P27" s="168"/>
      <c r="Q27" s="169" t="str">
        <f t="shared" si="6"/>
        <v/>
      </c>
      <c r="R27" s="170">
        <v>4</v>
      </c>
      <c r="S27" s="171">
        <v>0</v>
      </c>
      <c r="T27" s="24" t="s">
        <v>114</v>
      </c>
      <c r="U27" s="29">
        <v>127741</v>
      </c>
      <c r="V27" s="30">
        <f t="shared" si="41"/>
        <v>4579357</v>
      </c>
      <c r="W27" s="27">
        <v>79</v>
      </c>
      <c r="X27" s="31">
        <f t="shared" si="7"/>
        <v>1616.9746835443038</v>
      </c>
      <c r="Y27" s="29">
        <v>160823</v>
      </c>
      <c r="Z27" s="32">
        <f t="shared" si="42"/>
        <v>5478296</v>
      </c>
      <c r="AA27" s="33">
        <f t="shared" si="8"/>
        <v>0.83590901258347483</v>
      </c>
      <c r="AB27" s="158">
        <v>450000</v>
      </c>
      <c r="AC27" s="34">
        <f t="shared" si="43"/>
        <v>6070000</v>
      </c>
      <c r="AD27" s="158"/>
      <c r="AE27" s="25"/>
      <c r="AF27" s="25"/>
      <c r="AG27" s="25"/>
      <c r="AH27" s="25"/>
      <c r="AI27" s="25"/>
      <c r="AJ27" s="25"/>
      <c r="AK27" s="25"/>
      <c r="AL27" s="158"/>
      <c r="AM27" s="25"/>
      <c r="AN27" s="158"/>
      <c r="AO27" s="25"/>
      <c r="AP27" s="25"/>
      <c r="AQ27" s="158"/>
      <c r="AR27" s="35">
        <f t="shared" si="9"/>
        <v>0</v>
      </c>
      <c r="AS27" s="172" t="str">
        <f t="shared" si="10"/>
        <v/>
      </c>
      <c r="AT27" s="36">
        <f t="shared" si="11"/>
        <v>0</v>
      </c>
      <c r="AU27" s="173"/>
      <c r="AV27" s="82">
        <f t="shared" si="12"/>
        <v>23</v>
      </c>
      <c r="AW27" s="37"/>
      <c r="AX27" s="174" t="str">
        <f t="shared" si="13"/>
        <v/>
      </c>
      <c r="AY27" s="37"/>
      <c r="AZ27" s="174" t="str">
        <f t="shared" si="14"/>
        <v/>
      </c>
      <c r="BA27" s="37"/>
      <c r="BB27" s="174" t="str">
        <f t="shared" si="15"/>
        <v/>
      </c>
      <c r="BC27" s="37"/>
      <c r="BD27" s="174" t="str">
        <f t="shared" si="16"/>
        <v/>
      </c>
      <c r="BE27" s="37"/>
      <c r="BF27" s="174" t="str">
        <f t="shared" si="17"/>
        <v/>
      </c>
      <c r="BG27" s="37"/>
      <c r="BH27" s="174" t="str">
        <f t="shared" si="18"/>
        <v/>
      </c>
      <c r="BI27" s="37"/>
      <c r="BJ27" s="174" t="str">
        <f t="shared" si="19"/>
        <v/>
      </c>
      <c r="BK27" s="37"/>
      <c r="BL27" s="174" t="str">
        <f t="shared" si="20"/>
        <v/>
      </c>
      <c r="BM27" s="37"/>
      <c r="BN27" s="174" t="str">
        <f t="shared" si="21"/>
        <v/>
      </c>
      <c r="BO27" s="37"/>
      <c r="BP27" s="174" t="str">
        <f t="shared" si="22"/>
        <v/>
      </c>
      <c r="BQ27" s="37"/>
      <c r="BR27" s="174" t="str">
        <f t="shared" si="23"/>
        <v/>
      </c>
      <c r="BS27" s="37"/>
      <c r="BT27" s="174" t="str">
        <f t="shared" si="24"/>
        <v/>
      </c>
      <c r="BU27" s="37"/>
      <c r="BV27" s="174" t="str">
        <f t="shared" si="25"/>
        <v/>
      </c>
      <c r="BW27" s="37"/>
      <c r="BX27" s="174" t="str">
        <f t="shared" si="26"/>
        <v/>
      </c>
      <c r="BY27" s="37"/>
      <c r="BZ27" s="174" t="str">
        <f t="shared" si="27"/>
        <v/>
      </c>
      <c r="CA27" s="37"/>
      <c r="CB27" s="174" t="str">
        <f t="shared" si="28"/>
        <v/>
      </c>
      <c r="CC27" s="37"/>
      <c r="CD27" s="174" t="str">
        <f t="shared" si="29"/>
        <v/>
      </c>
      <c r="CE27" s="37"/>
      <c r="CF27" s="174" t="str">
        <f t="shared" si="30"/>
        <v/>
      </c>
      <c r="CG27" s="37"/>
      <c r="CH27" s="174" t="str">
        <f t="shared" si="31"/>
        <v/>
      </c>
      <c r="CI27" s="37"/>
      <c r="CJ27" s="174" t="str">
        <f t="shared" si="32"/>
        <v/>
      </c>
      <c r="CK27" s="37"/>
      <c r="CL27" s="174" t="str">
        <f t="shared" si="33"/>
        <v/>
      </c>
      <c r="CM27" s="37"/>
      <c r="CN27" s="174" t="str">
        <f t="shared" si="34"/>
        <v/>
      </c>
      <c r="CO27" s="37"/>
      <c r="CP27" s="174" t="str">
        <f t="shared" si="35"/>
        <v/>
      </c>
      <c r="CQ27" s="37"/>
      <c r="CR27" s="174" t="str">
        <f t="shared" si="36"/>
        <v/>
      </c>
      <c r="CS27" s="37"/>
      <c r="CT27" s="174" t="str">
        <f t="shared" si="37"/>
        <v/>
      </c>
      <c r="CU27" s="38"/>
      <c r="CV27" s="87"/>
      <c r="CW27" s="90"/>
      <c r="CX27" s="38"/>
      <c r="CY27" s="39"/>
      <c r="CZ27" s="37"/>
      <c r="DA27" s="39"/>
      <c r="DB27" s="24">
        <v>23</v>
      </c>
      <c r="DC27" s="96" t="str">
        <f t="shared" si="38"/>
        <v>土</v>
      </c>
      <c r="DF27" s="125"/>
      <c r="DG27" s="40"/>
      <c r="DH27" s="40"/>
      <c r="DI27" s="40"/>
      <c r="DJ27" s="40"/>
      <c r="DK27" s="40"/>
      <c r="DL27" s="40"/>
      <c r="DM27" s="40"/>
      <c r="DN27" s="40"/>
      <c r="DO27" s="40"/>
      <c r="DP27" s="40">
        <f t="shared" si="39"/>
        <v>0</v>
      </c>
      <c r="DQ27" s="172" t="str">
        <f t="shared" si="40"/>
        <v/>
      </c>
      <c r="DS27" s="189"/>
      <c r="DT27" s="190"/>
      <c r="DU27" s="190"/>
      <c r="DV27" s="191"/>
      <c r="DW27" s="41"/>
      <c r="DX27" s="42"/>
    </row>
    <row r="28" spans="1:128" ht="13.5" customHeight="1" x14ac:dyDescent="0.4">
      <c r="A28" s="104">
        <v>24</v>
      </c>
      <c r="B28" s="23" t="s">
        <v>89</v>
      </c>
      <c r="C28" s="164"/>
      <c r="D28" s="164"/>
      <c r="E28" s="24"/>
      <c r="F28" s="29"/>
      <c r="G28" s="25" t="str">
        <f>IF(SUM($F$5:F28)=0,"",SUM($F$5:F28))</f>
        <v/>
      </c>
      <c r="H28" s="43" t="str">
        <f t="shared" si="0"/>
        <v/>
      </c>
      <c r="I28" s="148" t="e">
        <f t="array" aca="1" ref="I28" ca="1">IF($A29="",$G28/($V28-$U$5+INDIRECT(IF(_xlfn.SHEET()&lt;6,"令和8年"&amp;_xlfn.SHEET()+7&amp;"月","令和9年"&amp;_xlfn.SHEET()-5&amp;"月")&amp;"!$U$5")),$G28/($V29-$U$5))</f>
        <v>#VALUE!</v>
      </c>
      <c r="J28" s="26" t="str">
        <f t="shared" si="1"/>
        <v/>
      </c>
      <c r="K28" s="27"/>
      <c r="L28" s="165">
        <f t="shared" si="2"/>
        <v>0</v>
      </c>
      <c r="M28" s="28" t="str">
        <f t="shared" si="3"/>
        <v/>
      </c>
      <c r="N28" s="166" t="str">
        <f t="shared" si="4"/>
        <v/>
      </c>
      <c r="O28" s="167" t="str">
        <f t="shared" si="5"/>
        <v/>
      </c>
      <c r="P28" s="168"/>
      <c r="Q28" s="169" t="str">
        <f t="shared" si="6"/>
        <v/>
      </c>
      <c r="R28" s="170">
        <v>6</v>
      </c>
      <c r="S28" s="171">
        <v>-3</v>
      </c>
      <c r="T28" s="24" t="s">
        <v>84</v>
      </c>
      <c r="U28" s="29">
        <v>485250</v>
      </c>
      <c r="V28" s="30">
        <f t="shared" si="41"/>
        <v>5064607</v>
      </c>
      <c r="W28" s="27">
        <v>274</v>
      </c>
      <c r="X28" s="31">
        <f t="shared" si="7"/>
        <v>1770.9854014598541</v>
      </c>
      <c r="Y28" s="29">
        <v>230047</v>
      </c>
      <c r="Z28" s="32">
        <f t="shared" si="42"/>
        <v>5708343</v>
      </c>
      <c r="AA28" s="33">
        <f t="shared" si="8"/>
        <v>0.88722892089700989</v>
      </c>
      <c r="AB28" s="158">
        <v>450000</v>
      </c>
      <c r="AC28" s="34">
        <f t="shared" si="43"/>
        <v>6520000</v>
      </c>
      <c r="AD28" s="158"/>
      <c r="AE28" s="25"/>
      <c r="AF28" s="25"/>
      <c r="AG28" s="25"/>
      <c r="AH28" s="25"/>
      <c r="AI28" s="25"/>
      <c r="AJ28" s="25"/>
      <c r="AK28" s="25"/>
      <c r="AL28" s="158"/>
      <c r="AM28" s="25"/>
      <c r="AN28" s="158"/>
      <c r="AO28" s="25"/>
      <c r="AP28" s="25"/>
      <c r="AQ28" s="158"/>
      <c r="AR28" s="35">
        <f t="shared" si="9"/>
        <v>0</v>
      </c>
      <c r="AS28" s="172" t="str">
        <f t="shared" si="10"/>
        <v/>
      </c>
      <c r="AT28" s="36">
        <f t="shared" si="11"/>
        <v>0</v>
      </c>
      <c r="AU28" s="173"/>
      <c r="AV28" s="82">
        <f t="shared" si="12"/>
        <v>24</v>
      </c>
      <c r="AW28" s="37"/>
      <c r="AX28" s="174" t="str">
        <f t="shared" si="13"/>
        <v/>
      </c>
      <c r="AY28" s="37"/>
      <c r="AZ28" s="174" t="str">
        <f t="shared" si="14"/>
        <v/>
      </c>
      <c r="BA28" s="37"/>
      <c r="BB28" s="174" t="str">
        <f t="shared" si="15"/>
        <v/>
      </c>
      <c r="BC28" s="37"/>
      <c r="BD28" s="174" t="str">
        <f t="shared" si="16"/>
        <v/>
      </c>
      <c r="BE28" s="37"/>
      <c r="BF28" s="174" t="str">
        <f t="shared" si="17"/>
        <v/>
      </c>
      <c r="BG28" s="37"/>
      <c r="BH28" s="174" t="str">
        <f t="shared" si="18"/>
        <v/>
      </c>
      <c r="BI28" s="37"/>
      <c r="BJ28" s="174" t="str">
        <f t="shared" si="19"/>
        <v/>
      </c>
      <c r="BK28" s="37"/>
      <c r="BL28" s="174" t="str">
        <f t="shared" si="20"/>
        <v/>
      </c>
      <c r="BM28" s="37"/>
      <c r="BN28" s="174" t="str">
        <f t="shared" si="21"/>
        <v/>
      </c>
      <c r="BO28" s="37"/>
      <c r="BP28" s="174" t="str">
        <f t="shared" si="22"/>
        <v/>
      </c>
      <c r="BQ28" s="37"/>
      <c r="BR28" s="174" t="str">
        <f t="shared" si="23"/>
        <v/>
      </c>
      <c r="BS28" s="37"/>
      <c r="BT28" s="174" t="str">
        <f t="shared" si="24"/>
        <v/>
      </c>
      <c r="BU28" s="37"/>
      <c r="BV28" s="174" t="str">
        <f t="shared" si="25"/>
        <v/>
      </c>
      <c r="BW28" s="37"/>
      <c r="BX28" s="174" t="str">
        <f t="shared" si="26"/>
        <v/>
      </c>
      <c r="BY28" s="37"/>
      <c r="BZ28" s="174" t="str">
        <f t="shared" si="27"/>
        <v/>
      </c>
      <c r="CA28" s="37"/>
      <c r="CB28" s="174" t="str">
        <f t="shared" si="28"/>
        <v/>
      </c>
      <c r="CC28" s="37"/>
      <c r="CD28" s="174" t="str">
        <f t="shared" si="29"/>
        <v/>
      </c>
      <c r="CE28" s="37"/>
      <c r="CF28" s="174" t="str">
        <f t="shared" si="30"/>
        <v/>
      </c>
      <c r="CG28" s="37"/>
      <c r="CH28" s="174" t="str">
        <f t="shared" si="31"/>
        <v/>
      </c>
      <c r="CI28" s="37"/>
      <c r="CJ28" s="174" t="str">
        <f t="shared" si="32"/>
        <v/>
      </c>
      <c r="CK28" s="37"/>
      <c r="CL28" s="174" t="str">
        <f t="shared" si="33"/>
        <v/>
      </c>
      <c r="CM28" s="37"/>
      <c r="CN28" s="174" t="str">
        <f t="shared" si="34"/>
        <v/>
      </c>
      <c r="CO28" s="37"/>
      <c r="CP28" s="174" t="str">
        <f t="shared" si="35"/>
        <v/>
      </c>
      <c r="CQ28" s="37"/>
      <c r="CR28" s="174" t="str">
        <f t="shared" si="36"/>
        <v/>
      </c>
      <c r="CS28" s="37"/>
      <c r="CT28" s="174" t="str">
        <f t="shared" si="37"/>
        <v/>
      </c>
      <c r="CU28" s="38"/>
      <c r="CV28" s="87"/>
      <c r="CW28" s="90"/>
      <c r="CX28" s="38"/>
      <c r="CY28" s="39"/>
      <c r="CZ28" s="37"/>
      <c r="DA28" s="39"/>
      <c r="DB28" s="24">
        <v>24</v>
      </c>
      <c r="DC28" s="96" t="str">
        <f t="shared" si="38"/>
        <v>日</v>
      </c>
      <c r="DF28" s="125"/>
      <c r="DG28" s="40"/>
      <c r="DH28" s="40"/>
      <c r="DI28" s="40"/>
      <c r="DJ28" s="40"/>
      <c r="DK28" s="40"/>
      <c r="DL28" s="40"/>
      <c r="DM28" s="40"/>
      <c r="DN28" s="40"/>
      <c r="DO28" s="40"/>
      <c r="DP28" s="40">
        <f t="shared" si="39"/>
        <v>0</v>
      </c>
      <c r="DQ28" s="172" t="str">
        <f t="shared" si="40"/>
        <v/>
      </c>
      <c r="DS28" s="189"/>
      <c r="DT28" s="190"/>
      <c r="DU28" s="190"/>
      <c r="DV28" s="191"/>
      <c r="DW28" s="138"/>
      <c r="DX28" s="42"/>
    </row>
    <row r="29" spans="1:128" ht="13.5" customHeight="1" x14ac:dyDescent="0.4">
      <c r="A29" s="104">
        <v>25</v>
      </c>
      <c r="B29" s="23" t="s">
        <v>90</v>
      </c>
      <c r="C29" s="164"/>
      <c r="D29" s="164"/>
      <c r="E29" s="24"/>
      <c r="F29" s="29"/>
      <c r="G29" s="25" t="str">
        <f>IF(SUM($F$5:F29)=0,"",SUM($F$5:F29))</f>
        <v/>
      </c>
      <c r="H29" s="43" t="str">
        <f t="shared" si="0"/>
        <v/>
      </c>
      <c r="I29" s="148" t="e">
        <f t="array" aca="1" ref="I29" ca="1">IF($A30="",$G29/($V29-$U$5+INDIRECT(IF(_xlfn.SHEET()&lt;6,"令和8年"&amp;_xlfn.SHEET()+7&amp;"月","令和9年"&amp;_xlfn.SHEET()-5&amp;"月")&amp;"!$U$5")),$G29/($V30-$U$5))</f>
        <v>#VALUE!</v>
      </c>
      <c r="J29" s="26" t="str">
        <f t="shared" si="1"/>
        <v/>
      </c>
      <c r="K29" s="27"/>
      <c r="L29" s="165">
        <f t="shared" si="2"/>
        <v>0</v>
      </c>
      <c r="M29" s="28" t="str">
        <f t="shared" si="3"/>
        <v/>
      </c>
      <c r="N29" s="166" t="str">
        <f t="shared" si="4"/>
        <v/>
      </c>
      <c r="O29" s="167" t="str">
        <f t="shared" si="5"/>
        <v/>
      </c>
      <c r="P29" s="168"/>
      <c r="Q29" s="169" t="str">
        <f t="shared" si="6"/>
        <v/>
      </c>
      <c r="R29" s="170">
        <v>6</v>
      </c>
      <c r="S29" s="171">
        <v>0</v>
      </c>
      <c r="T29" s="24" t="s">
        <v>84</v>
      </c>
      <c r="U29" s="29">
        <v>603707</v>
      </c>
      <c r="V29" s="30">
        <f t="shared" si="41"/>
        <v>5668314</v>
      </c>
      <c r="W29" s="27">
        <v>363</v>
      </c>
      <c r="X29" s="31">
        <f t="shared" si="7"/>
        <v>1663.1046831955923</v>
      </c>
      <c r="Y29" s="29">
        <v>569080</v>
      </c>
      <c r="Z29" s="32">
        <f t="shared" si="42"/>
        <v>6277423</v>
      </c>
      <c r="AA29" s="33">
        <f t="shared" si="8"/>
        <v>0.90296830403176587</v>
      </c>
      <c r="AB29" s="158">
        <v>180000</v>
      </c>
      <c r="AC29" s="34">
        <f t="shared" si="43"/>
        <v>6700000</v>
      </c>
      <c r="AD29" s="158"/>
      <c r="AE29" s="25"/>
      <c r="AF29" s="25"/>
      <c r="AG29" s="25"/>
      <c r="AH29" s="25"/>
      <c r="AI29" s="25"/>
      <c r="AJ29" s="25"/>
      <c r="AK29" s="25"/>
      <c r="AL29" s="158"/>
      <c r="AM29" s="25"/>
      <c r="AN29" s="158"/>
      <c r="AO29" s="25"/>
      <c r="AP29" s="25"/>
      <c r="AQ29" s="158"/>
      <c r="AR29" s="35">
        <f t="shared" si="9"/>
        <v>0</v>
      </c>
      <c r="AS29" s="172" t="str">
        <f t="shared" si="10"/>
        <v/>
      </c>
      <c r="AT29" s="36">
        <f t="shared" si="11"/>
        <v>0</v>
      </c>
      <c r="AU29" s="173"/>
      <c r="AV29" s="82">
        <f t="shared" si="12"/>
        <v>25</v>
      </c>
      <c r="AW29" s="37"/>
      <c r="AX29" s="174" t="str">
        <f t="shared" si="13"/>
        <v/>
      </c>
      <c r="AY29" s="37"/>
      <c r="AZ29" s="174" t="str">
        <f t="shared" si="14"/>
        <v/>
      </c>
      <c r="BA29" s="37"/>
      <c r="BB29" s="174" t="str">
        <f t="shared" si="15"/>
        <v/>
      </c>
      <c r="BC29" s="37"/>
      <c r="BD29" s="174" t="str">
        <f t="shared" si="16"/>
        <v/>
      </c>
      <c r="BE29" s="37"/>
      <c r="BF29" s="174" t="str">
        <f t="shared" si="17"/>
        <v/>
      </c>
      <c r="BG29" s="37"/>
      <c r="BH29" s="174" t="str">
        <f t="shared" si="18"/>
        <v/>
      </c>
      <c r="BI29" s="37"/>
      <c r="BJ29" s="174" t="str">
        <f t="shared" si="19"/>
        <v/>
      </c>
      <c r="BK29" s="37"/>
      <c r="BL29" s="174" t="str">
        <f t="shared" si="20"/>
        <v/>
      </c>
      <c r="BM29" s="37"/>
      <c r="BN29" s="174" t="str">
        <f t="shared" si="21"/>
        <v/>
      </c>
      <c r="BO29" s="37"/>
      <c r="BP29" s="174" t="str">
        <f t="shared" si="22"/>
        <v/>
      </c>
      <c r="BQ29" s="37"/>
      <c r="BR29" s="174" t="str">
        <f t="shared" si="23"/>
        <v/>
      </c>
      <c r="BS29" s="37"/>
      <c r="BT29" s="174" t="str">
        <f t="shared" si="24"/>
        <v/>
      </c>
      <c r="BU29" s="37"/>
      <c r="BV29" s="174" t="str">
        <f t="shared" si="25"/>
        <v/>
      </c>
      <c r="BW29" s="37"/>
      <c r="BX29" s="174" t="str">
        <f t="shared" si="26"/>
        <v/>
      </c>
      <c r="BY29" s="37"/>
      <c r="BZ29" s="174" t="str">
        <f t="shared" si="27"/>
        <v/>
      </c>
      <c r="CA29" s="37"/>
      <c r="CB29" s="174" t="str">
        <f t="shared" si="28"/>
        <v/>
      </c>
      <c r="CC29" s="37"/>
      <c r="CD29" s="174" t="str">
        <f t="shared" si="29"/>
        <v/>
      </c>
      <c r="CE29" s="37"/>
      <c r="CF29" s="174" t="str">
        <f t="shared" si="30"/>
        <v/>
      </c>
      <c r="CG29" s="37"/>
      <c r="CH29" s="174" t="str">
        <f t="shared" si="31"/>
        <v/>
      </c>
      <c r="CI29" s="37"/>
      <c r="CJ29" s="174" t="str">
        <f t="shared" si="32"/>
        <v/>
      </c>
      <c r="CK29" s="37"/>
      <c r="CL29" s="174" t="str">
        <f t="shared" si="33"/>
        <v/>
      </c>
      <c r="CM29" s="37"/>
      <c r="CN29" s="174" t="str">
        <f t="shared" si="34"/>
        <v/>
      </c>
      <c r="CO29" s="37"/>
      <c r="CP29" s="174" t="str">
        <f t="shared" si="35"/>
        <v/>
      </c>
      <c r="CQ29" s="37"/>
      <c r="CR29" s="174" t="str">
        <f t="shared" si="36"/>
        <v/>
      </c>
      <c r="CS29" s="37"/>
      <c r="CT29" s="174" t="str">
        <f t="shared" si="37"/>
        <v/>
      </c>
      <c r="CU29" s="38"/>
      <c r="CV29" s="87"/>
      <c r="CW29" s="90"/>
      <c r="CX29" s="38"/>
      <c r="CY29" s="39"/>
      <c r="CZ29" s="37"/>
      <c r="DA29" s="39"/>
      <c r="DB29" s="24">
        <v>25</v>
      </c>
      <c r="DC29" s="96" t="str">
        <f t="shared" si="38"/>
        <v>月</v>
      </c>
      <c r="DF29" s="125"/>
      <c r="DG29" s="40"/>
      <c r="DH29" s="40"/>
      <c r="DI29" s="40"/>
      <c r="DJ29" s="40"/>
      <c r="DK29" s="40"/>
      <c r="DL29" s="40"/>
      <c r="DM29" s="40"/>
      <c r="DN29" s="40"/>
      <c r="DO29" s="40"/>
      <c r="DP29" s="40">
        <f t="shared" si="39"/>
        <v>0</v>
      </c>
      <c r="DQ29" s="172" t="str">
        <f t="shared" si="40"/>
        <v/>
      </c>
      <c r="DS29" s="189"/>
      <c r="DT29" s="190"/>
      <c r="DU29" s="190"/>
      <c r="DV29" s="191"/>
      <c r="DW29" s="41"/>
      <c r="DX29" s="42"/>
    </row>
    <row r="30" spans="1:128" ht="13.5" customHeight="1" x14ac:dyDescent="0.4">
      <c r="A30" s="104">
        <v>26</v>
      </c>
      <c r="B30" s="23" t="s">
        <v>91</v>
      </c>
      <c r="C30" s="164"/>
      <c r="D30" s="164"/>
      <c r="E30" s="24"/>
      <c r="F30" s="29"/>
      <c r="G30" s="25" t="str">
        <f>IF(SUM($F$5:F30)=0,"",SUM($F$5:F30))</f>
        <v/>
      </c>
      <c r="H30" s="43" t="str">
        <f t="shared" si="0"/>
        <v/>
      </c>
      <c r="I30" s="148" t="e">
        <f t="array" aca="1" ref="I30" ca="1">IF($A31="",$G30/($V30-$U$5+INDIRECT(IF(_xlfn.SHEET()&lt;6,"令和8年"&amp;_xlfn.SHEET()+7&amp;"月","令和9年"&amp;_xlfn.SHEET()-5&amp;"月")&amp;"!$U$5")),$G30/($V31-$U$5))</f>
        <v>#VALUE!</v>
      </c>
      <c r="J30" s="26" t="str">
        <f t="shared" si="1"/>
        <v/>
      </c>
      <c r="K30" s="27"/>
      <c r="L30" s="165">
        <f t="shared" si="2"/>
        <v>0</v>
      </c>
      <c r="M30" s="28" t="str">
        <f t="shared" si="3"/>
        <v/>
      </c>
      <c r="N30" s="166" t="str">
        <f t="shared" si="4"/>
        <v/>
      </c>
      <c r="O30" s="167" t="str">
        <f t="shared" si="5"/>
        <v/>
      </c>
      <c r="P30" s="168"/>
      <c r="Q30" s="169" t="str">
        <f t="shared" si="6"/>
        <v/>
      </c>
      <c r="R30" s="170">
        <v>4</v>
      </c>
      <c r="S30" s="171">
        <v>0</v>
      </c>
      <c r="T30" s="24" t="s">
        <v>84</v>
      </c>
      <c r="U30" s="29">
        <v>157995</v>
      </c>
      <c r="V30" s="30">
        <f t="shared" si="41"/>
        <v>5826309</v>
      </c>
      <c r="W30" s="27">
        <v>116</v>
      </c>
      <c r="X30" s="31">
        <f t="shared" si="7"/>
        <v>1362.0258620689656</v>
      </c>
      <c r="Y30" s="29">
        <v>706536</v>
      </c>
      <c r="Z30" s="32">
        <f t="shared" si="42"/>
        <v>6983959</v>
      </c>
      <c r="AA30" s="33">
        <f t="shared" si="8"/>
        <v>0.83424158131512516</v>
      </c>
      <c r="AB30" s="158">
        <v>180000</v>
      </c>
      <c r="AC30" s="34">
        <f t="shared" si="43"/>
        <v>6880000</v>
      </c>
      <c r="AD30" s="158"/>
      <c r="AE30" s="25"/>
      <c r="AF30" s="25"/>
      <c r="AG30" s="25"/>
      <c r="AH30" s="25"/>
      <c r="AI30" s="25"/>
      <c r="AJ30" s="25"/>
      <c r="AK30" s="25"/>
      <c r="AL30" s="158"/>
      <c r="AM30" s="25"/>
      <c r="AN30" s="158"/>
      <c r="AO30" s="25"/>
      <c r="AP30" s="25"/>
      <c r="AQ30" s="158"/>
      <c r="AR30" s="35">
        <f t="shared" si="9"/>
        <v>0</v>
      </c>
      <c r="AS30" s="172" t="str">
        <f t="shared" si="10"/>
        <v/>
      </c>
      <c r="AT30" s="36">
        <f t="shared" si="11"/>
        <v>0</v>
      </c>
      <c r="AU30" s="173"/>
      <c r="AV30" s="82">
        <f t="shared" si="12"/>
        <v>26</v>
      </c>
      <c r="AW30" s="37"/>
      <c r="AX30" s="174" t="str">
        <f t="shared" si="13"/>
        <v/>
      </c>
      <c r="AY30" s="37"/>
      <c r="AZ30" s="174" t="str">
        <f t="shared" si="14"/>
        <v/>
      </c>
      <c r="BA30" s="37"/>
      <c r="BB30" s="174" t="str">
        <f t="shared" si="15"/>
        <v/>
      </c>
      <c r="BC30" s="37"/>
      <c r="BD30" s="174" t="str">
        <f t="shared" si="16"/>
        <v/>
      </c>
      <c r="BE30" s="37"/>
      <c r="BF30" s="174" t="str">
        <f t="shared" si="17"/>
        <v/>
      </c>
      <c r="BG30" s="37"/>
      <c r="BH30" s="174" t="str">
        <f t="shared" si="18"/>
        <v/>
      </c>
      <c r="BI30" s="37"/>
      <c r="BJ30" s="174" t="str">
        <f t="shared" si="19"/>
        <v/>
      </c>
      <c r="BK30" s="37"/>
      <c r="BL30" s="174" t="str">
        <f t="shared" si="20"/>
        <v/>
      </c>
      <c r="BM30" s="37"/>
      <c r="BN30" s="174" t="str">
        <f t="shared" si="21"/>
        <v/>
      </c>
      <c r="BO30" s="37"/>
      <c r="BP30" s="174" t="str">
        <f t="shared" si="22"/>
        <v/>
      </c>
      <c r="BQ30" s="37"/>
      <c r="BR30" s="174" t="str">
        <f t="shared" si="23"/>
        <v/>
      </c>
      <c r="BS30" s="37"/>
      <c r="BT30" s="174" t="str">
        <f t="shared" si="24"/>
        <v/>
      </c>
      <c r="BU30" s="37"/>
      <c r="BV30" s="174" t="str">
        <f t="shared" si="25"/>
        <v/>
      </c>
      <c r="BW30" s="37"/>
      <c r="BX30" s="174" t="str">
        <f t="shared" si="26"/>
        <v/>
      </c>
      <c r="BY30" s="37"/>
      <c r="BZ30" s="174" t="str">
        <f t="shared" si="27"/>
        <v/>
      </c>
      <c r="CA30" s="37"/>
      <c r="CB30" s="174" t="str">
        <f t="shared" si="28"/>
        <v/>
      </c>
      <c r="CC30" s="37"/>
      <c r="CD30" s="174" t="str">
        <f t="shared" si="29"/>
        <v/>
      </c>
      <c r="CE30" s="37"/>
      <c r="CF30" s="174" t="str">
        <f t="shared" si="30"/>
        <v/>
      </c>
      <c r="CG30" s="37"/>
      <c r="CH30" s="174" t="str">
        <f t="shared" si="31"/>
        <v/>
      </c>
      <c r="CI30" s="37"/>
      <c r="CJ30" s="174" t="str">
        <f t="shared" si="32"/>
        <v/>
      </c>
      <c r="CK30" s="37"/>
      <c r="CL30" s="174" t="str">
        <f t="shared" si="33"/>
        <v/>
      </c>
      <c r="CM30" s="37"/>
      <c r="CN30" s="174" t="str">
        <f t="shared" si="34"/>
        <v/>
      </c>
      <c r="CO30" s="37"/>
      <c r="CP30" s="174" t="str">
        <f t="shared" si="35"/>
        <v/>
      </c>
      <c r="CQ30" s="37"/>
      <c r="CR30" s="174" t="str">
        <f t="shared" si="36"/>
        <v/>
      </c>
      <c r="CS30" s="37"/>
      <c r="CT30" s="174" t="str">
        <f t="shared" si="37"/>
        <v/>
      </c>
      <c r="CU30" s="38"/>
      <c r="CV30" s="87"/>
      <c r="CW30" s="90"/>
      <c r="CX30" s="38"/>
      <c r="CY30" s="39"/>
      <c r="CZ30" s="37"/>
      <c r="DA30" s="39"/>
      <c r="DB30" s="24">
        <v>26</v>
      </c>
      <c r="DC30" s="96" t="str">
        <f t="shared" si="38"/>
        <v>火</v>
      </c>
      <c r="DF30" s="125"/>
      <c r="DG30" s="40"/>
      <c r="DH30" s="40"/>
      <c r="DI30" s="40"/>
      <c r="DJ30" s="40"/>
      <c r="DK30" s="40"/>
      <c r="DL30" s="40"/>
      <c r="DM30" s="40"/>
      <c r="DN30" s="40"/>
      <c r="DO30" s="40"/>
      <c r="DP30" s="40">
        <f t="shared" si="39"/>
        <v>0</v>
      </c>
      <c r="DQ30" s="172" t="str">
        <f t="shared" si="40"/>
        <v/>
      </c>
      <c r="DS30" s="189"/>
      <c r="DT30" s="190"/>
      <c r="DU30" s="190"/>
      <c r="DV30" s="191"/>
      <c r="DW30" s="41"/>
      <c r="DX30" s="42"/>
    </row>
    <row r="31" spans="1:128" ht="13.5" customHeight="1" x14ac:dyDescent="0.4">
      <c r="A31" s="104">
        <v>27</v>
      </c>
      <c r="B31" s="23" t="s">
        <v>83</v>
      </c>
      <c r="C31" s="164"/>
      <c r="D31" s="164"/>
      <c r="E31" s="24"/>
      <c r="F31" s="29"/>
      <c r="G31" s="25" t="str">
        <f>IF(SUM($F$5:F31)=0,"",SUM($F$5:F31))</f>
        <v/>
      </c>
      <c r="H31" s="43" t="str">
        <f t="shared" si="0"/>
        <v/>
      </c>
      <c r="I31" s="148" t="e">
        <f t="array" aca="1" ref="I31" ca="1">IF($A32="",$G31/($V31-$U$5+INDIRECT(IF(_xlfn.SHEET()&lt;6,"令和8年"&amp;_xlfn.SHEET()+7&amp;"月","令和9年"&amp;_xlfn.SHEET()-5&amp;"月")&amp;"!$U$5")),$G31/($V32-$U$5))</f>
        <v>#VALUE!</v>
      </c>
      <c r="J31" s="26" t="str">
        <f t="shared" si="1"/>
        <v/>
      </c>
      <c r="K31" s="27"/>
      <c r="L31" s="165">
        <f t="shared" si="2"/>
        <v>0</v>
      </c>
      <c r="M31" s="28" t="str">
        <f t="shared" si="3"/>
        <v/>
      </c>
      <c r="N31" s="166" t="str">
        <f t="shared" si="4"/>
        <v/>
      </c>
      <c r="O31" s="167" t="str">
        <f t="shared" si="5"/>
        <v/>
      </c>
      <c r="P31" s="168"/>
      <c r="Q31" s="169" t="str">
        <f t="shared" si="6"/>
        <v/>
      </c>
      <c r="R31" s="170">
        <v>11</v>
      </c>
      <c r="S31" s="171">
        <v>-1</v>
      </c>
      <c r="T31" s="24" t="s">
        <v>84</v>
      </c>
      <c r="U31" s="29">
        <v>151027</v>
      </c>
      <c r="V31" s="30">
        <f t="shared" si="41"/>
        <v>5977336</v>
      </c>
      <c r="W31" s="27">
        <v>89</v>
      </c>
      <c r="X31" s="31">
        <f t="shared" si="7"/>
        <v>1696.9325842696628</v>
      </c>
      <c r="Y31" s="29">
        <v>170324</v>
      </c>
      <c r="Z31" s="32">
        <f t="shared" si="42"/>
        <v>7154283</v>
      </c>
      <c r="AA31" s="33">
        <f t="shared" si="8"/>
        <v>0.83549057257030512</v>
      </c>
      <c r="AB31" s="158">
        <v>180000</v>
      </c>
      <c r="AC31" s="34">
        <f t="shared" si="43"/>
        <v>7060000</v>
      </c>
      <c r="AD31" s="158"/>
      <c r="AE31" s="25"/>
      <c r="AF31" s="25"/>
      <c r="AG31" s="25"/>
      <c r="AH31" s="25"/>
      <c r="AI31" s="25"/>
      <c r="AJ31" s="25"/>
      <c r="AK31" s="25"/>
      <c r="AL31" s="158"/>
      <c r="AM31" s="25"/>
      <c r="AN31" s="158"/>
      <c r="AO31" s="25"/>
      <c r="AP31" s="25"/>
      <c r="AQ31" s="158"/>
      <c r="AR31" s="35">
        <f t="shared" si="9"/>
        <v>0</v>
      </c>
      <c r="AS31" s="172" t="str">
        <f t="shared" si="10"/>
        <v/>
      </c>
      <c r="AT31" s="36">
        <f t="shared" si="11"/>
        <v>0</v>
      </c>
      <c r="AU31" s="173"/>
      <c r="AV31" s="82">
        <f t="shared" si="12"/>
        <v>27</v>
      </c>
      <c r="AW31" s="37"/>
      <c r="AX31" s="174" t="str">
        <f t="shared" si="13"/>
        <v/>
      </c>
      <c r="AY31" s="37"/>
      <c r="AZ31" s="174" t="str">
        <f t="shared" si="14"/>
        <v/>
      </c>
      <c r="BA31" s="37"/>
      <c r="BB31" s="174" t="str">
        <f t="shared" si="15"/>
        <v/>
      </c>
      <c r="BC31" s="37"/>
      <c r="BD31" s="174" t="str">
        <f t="shared" si="16"/>
        <v/>
      </c>
      <c r="BE31" s="37"/>
      <c r="BF31" s="174" t="str">
        <f t="shared" si="17"/>
        <v/>
      </c>
      <c r="BG31" s="37"/>
      <c r="BH31" s="174" t="str">
        <f t="shared" si="18"/>
        <v/>
      </c>
      <c r="BI31" s="37"/>
      <c r="BJ31" s="174" t="str">
        <f t="shared" si="19"/>
        <v/>
      </c>
      <c r="BK31" s="37"/>
      <c r="BL31" s="174" t="str">
        <f t="shared" si="20"/>
        <v/>
      </c>
      <c r="BM31" s="37"/>
      <c r="BN31" s="174" t="str">
        <f t="shared" si="21"/>
        <v/>
      </c>
      <c r="BO31" s="37"/>
      <c r="BP31" s="174" t="str">
        <f t="shared" si="22"/>
        <v/>
      </c>
      <c r="BQ31" s="37"/>
      <c r="BR31" s="174" t="str">
        <f t="shared" si="23"/>
        <v/>
      </c>
      <c r="BS31" s="37"/>
      <c r="BT31" s="174" t="str">
        <f t="shared" si="24"/>
        <v/>
      </c>
      <c r="BU31" s="37"/>
      <c r="BV31" s="174" t="str">
        <f t="shared" si="25"/>
        <v/>
      </c>
      <c r="BW31" s="37"/>
      <c r="BX31" s="174" t="str">
        <f t="shared" si="26"/>
        <v/>
      </c>
      <c r="BY31" s="37"/>
      <c r="BZ31" s="174" t="str">
        <f t="shared" si="27"/>
        <v/>
      </c>
      <c r="CA31" s="37"/>
      <c r="CB31" s="174" t="str">
        <f t="shared" si="28"/>
        <v/>
      </c>
      <c r="CC31" s="37"/>
      <c r="CD31" s="174" t="str">
        <f t="shared" si="29"/>
        <v/>
      </c>
      <c r="CE31" s="37"/>
      <c r="CF31" s="174" t="str">
        <f t="shared" si="30"/>
        <v/>
      </c>
      <c r="CG31" s="37"/>
      <c r="CH31" s="174" t="str">
        <f t="shared" si="31"/>
        <v/>
      </c>
      <c r="CI31" s="37"/>
      <c r="CJ31" s="174" t="str">
        <f t="shared" si="32"/>
        <v/>
      </c>
      <c r="CK31" s="37"/>
      <c r="CL31" s="174" t="str">
        <f t="shared" si="33"/>
        <v/>
      </c>
      <c r="CM31" s="37"/>
      <c r="CN31" s="174" t="str">
        <f t="shared" si="34"/>
        <v/>
      </c>
      <c r="CO31" s="37"/>
      <c r="CP31" s="174" t="str">
        <f t="shared" si="35"/>
        <v/>
      </c>
      <c r="CQ31" s="37"/>
      <c r="CR31" s="174" t="str">
        <f t="shared" si="36"/>
        <v/>
      </c>
      <c r="CS31" s="37"/>
      <c r="CT31" s="174" t="str">
        <f t="shared" si="37"/>
        <v/>
      </c>
      <c r="CU31" s="38"/>
      <c r="CV31" s="87"/>
      <c r="CW31" s="90"/>
      <c r="CX31" s="38"/>
      <c r="CY31" s="39"/>
      <c r="CZ31" s="37"/>
      <c r="DA31" s="39"/>
      <c r="DB31" s="24">
        <v>27</v>
      </c>
      <c r="DC31" s="96" t="str">
        <f t="shared" si="38"/>
        <v>水</v>
      </c>
      <c r="DF31" s="125"/>
      <c r="DG31" s="40"/>
      <c r="DH31" s="40"/>
      <c r="DI31" s="40"/>
      <c r="DJ31" s="40"/>
      <c r="DK31" s="40"/>
      <c r="DL31" s="40"/>
      <c r="DM31" s="40"/>
      <c r="DN31" s="40"/>
      <c r="DO31" s="40"/>
      <c r="DP31" s="40">
        <f t="shared" si="39"/>
        <v>0</v>
      </c>
      <c r="DQ31" s="172" t="str">
        <f t="shared" si="40"/>
        <v/>
      </c>
      <c r="DS31" s="189"/>
      <c r="DT31" s="190"/>
      <c r="DU31" s="190"/>
      <c r="DV31" s="191"/>
      <c r="DW31" s="138"/>
      <c r="DX31" s="42"/>
    </row>
    <row r="32" spans="1:128" ht="13.5" customHeight="1" x14ac:dyDescent="0.4">
      <c r="A32" s="104">
        <v>28</v>
      </c>
      <c r="B32" s="23" t="s">
        <v>85</v>
      </c>
      <c r="C32" s="164"/>
      <c r="D32" s="164"/>
      <c r="E32" s="24"/>
      <c r="F32" s="29"/>
      <c r="G32" s="25" t="str">
        <f>IF(SUM($F$5:F32)=0,"",SUM($F$5:F32))</f>
        <v/>
      </c>
      <c r="H32" s="43" t="str">
        <f t="shared" si="0"/>
        <v/>
      </c>
      <c r="I32" s="148" t="e">
        <f t="array" aca="1" ref="I32" ca="1">IF($A33="",$G32/($V32-$U$5+INDIRECT(IF(_xlfn.SHEET()&lt;6,"令和8年"&amp;_xlfn.SHEET()+7&amp;"月","令和9年"&amp;_xlfn.SHEET()-5&amp;"月")&amp;"!$U$5")),$G32/($V33-$U$5))</f>
        <v>#VALUE!</v>
      </c>
      <c r="J32" s="26" t="str">
        <f t="shared" si="1"/>
        <v/>
      </c>
      <c r="K32" s="27"/>
      <c r="L32" s="165">
        <f t="shared" si="2"/>
        <v>0</v>
      </c>
      <c r="M32" s="28" t="str">
        <f t="shared" si="3"/>
        <v/>
      </c>
      <c r="N32" s="166" t="str">
        <f t="shared" si="4"/>
        <v/>
      </c>
      <c r="O32" s="167" t="str">
        <f t="shared" si="5"/>
        <v/>
      </c>
      <c r="P32" s="168"/>
      <c r="Q32" s="169" t="str">
        <f t="shared" si="6"/>
        <v/>
      </c>
      <c r="R32" s="170">
        <v>6</v>
      </c>
      <c r="S32" s="171">
        <v>-2</v>
      </c>
      <c r="T32" s="24" t="s">
        <v>84</v>
      </c>
      <c r="U32" s="29">
        <v>221190</v>
      </c>
      <c r="V32" s="30">
        <f t="shared" si="41"/>
        <v>6198526</v>
      </c>
      <c r="W32" s="27">
        <v>140</v>
      </c>
      <c r="X32" s="31">
        <f t="shared" si="7"/>
        <v>1579.9285714285713</v>
      </c>
      <c r="Y32" s="29">
        <v>188936</v>
      </c>
      <c r="Z32" s="32">
        <f t="shared" si="42"/>
        <v>7343219</v>
      </c>
      <c r="AA32" s="33">
        <f t="shared" si="8"/>
        <v>0.84411563920400579</v>
      </c>
      <c r="AB32" s="158">
        <v>180000</v>
      </c>
      <c r="AC32" s="34">
        <f t="shared" si="43"/>
        <v>7240000</v>
      </c>
      <c r="AD32" s="158"/>
      <c r="AE32" s="25"/>
      <c r="AF32" s="25"/>
      <c r="AG32" s="25"/>
      <c r="AH32" s="25"/>
      <c r="AI32" s="25"/>
      <c r="AJ32" s="25"/>
      <c r="AK32" s="25"/>
      <c r="AL32" s="158"/>
      <c r="AM32" s="25"/>
      <c r="AN32" s="158"/>
      <c r="AO32" s="25"/>
      <c r="AP32" s="25"/>
      <c r="AQ32" s="158"/>
      <c r="AR32" s="35">
        <f t="shared" si="9"/>
        <v>0</v>
      </c>
      <c r="AS32" s="172" t="str">
        <f t="shared" si="10"/>
        <v/>
      </c>
      <c r="AT32" s="36">
        <f t="shared" si="11"/>
        <v>0</v>
      </c>
      <c r="AU32" s="173"/>
      <c r="AV32" s="82">
        <f t="shared" si="12"/>
        <v>28</v>
      </c>
      <c r="AW32" s="37"/>
      <c r="AX32" s="174" t="str">
        <f t="shared" si="13"/>
        <v/>
      </c>
      <c r="AY32" s="37"/>
      <c r="AZ32" s="174" t="str">
        <f t="shared" si="14"/>
        <v/>
      </c>
      <c r="BA32" s="37"/>
      <c r="BB32" s="174" t="str">
        <f t="shared" si="15"/>
        <v/>
      </c>
      <c r="BC32" s="37"/>
      <c r="BD32" s="174" t="str">
        <f t="shared" si="16"/>
        <v/>
      </c>
      <c r="BE32" s="37"/>
      <c r="BF32" s="174" t="str">
        <f t="shared" si="17"/>
        <v/>
      </c>
      <c r="BG32" s="37"/>
      <c r="BH32" s="174" t="str">
        <f t="shared" si="18"/>
        <v/>
      </c>
      <c r="BI32" s="37"/>
      <c r="BJ32" s="174" t="str">
        <f t="shared" si="19"/>
        <v/>
      </c>
      <c r="BK32" s="37"/>
      <c r="BL32" s="174" t="str">
        <f t="shared" si="20"/>
        <v/>
      </c>
      <c r="BM32" s="37"/>
      <c r="BN32" s="174" t="str">
        <f t="shared" si="21"/>
        <v/>
      </c>
      <c r="BO32" s="37"/>
      <c r="BP32" s="174" t="str">
        <f t="shared" si="22"/>
        <v/>
      </c>
      <c r="BQ32" s="37"/>
      <c r="BR32" s="174" t="str">
        <f t="shared" si="23"/>
        <v/>
      </c>
      <c r="BS32" s="37"/>
      <c r="BT32" s="174" t="str">
        <f t="shared" si="24"/>
        <v/>
      </c>
      <c r="BU32" s="37"/>
      <c r="BV32" s="174" t="str">
        <f t="shared" si="25"/>
        <v/>
      </c>
      <c r="BW32" s="37"/>
      <c r="BX32" s="174" t="str">
        <f t="shared" si="26"/>
        <v/>
      </c>
      <c r="BY32" s="37"/>
      <c r="BZ32" s="174" t="str">
        <f t="shared" si="27"/>
        <v/>
      </c>
      <c r="CA32" s="37"/>
      <c r="CB32" s="174" t="str">
        <f t="shared" si="28"/>
        <v/>
      </c>
      <c r="CC32" s="37"/>
      <c r="CD32" s="174" t="str">
        <f t="shared" si="29"/>
        <v/>
      </c>
      <c r="CE32" s="37"/>
      <c r="CF32" s="174" t="str">
        <f t="shared" si="30"/>
        <v/>
      </c>
      <c r="CG32" s="37"/>
      <c r="CH32" s="174" t="str">
        <f t="shared" si="31"/>
        <v/>
      </c>
      <c r="CI32" s="37"/>
      <c r="CJ32" s="174" t="str">
        <f t="shared" si="32"/>
        <v/>
      </c>
      <c r="CK32" s="37"/>
      <c r="CL32" s="174" t="str">
        <f t="shared" si="33"/>
        <v/>
      </c>
      <c r="CM32" s="37"/>
      <c r="CN32" s="174" t="str">
        <f t="shared" si="34"/>
        <v/>
      </c>
      <c r="CO32" s="37"/>
      <c r="CP32" s="174" t="str">
        <f t="shared" si="35"/>
        <v/>
      </c>
      <c r="CQ32" s="37"/>
      <c r="CR32" s="174" t="str">
        <f t="shared" si="36"/>
        <v/>
      </c>
      <c r="CS32" s="37"/>
      <c r="CT32" s="174" t="str">
        <f t="shared" si="37"/>
        <v/>
      </c>
      <c r="CU32" s="38"/>
      <c r="CV32" s="87"/>
      <c r="CW32" s="90"/>
      <c r="CX32" s="38"/>
      <c r="CY32" s="39"/>
      <c r="CZ32" s="37"/>
      <c r="DA32" s="39"/>
      <c r="DB32" s="24">
        <v>28</v>
      </c>
      <c r="DC32" s="96" t="str">
        <f t="shared" si="38"/>
        <v>木</v>
      </c>
      <c r="DF32" s="125"/>
      <c r="DG32" s="40"/>
      <c r="DH32" s="40"/>
      <c r="DI32" s="40"/>
      <c r="DJ32" s="40"/>
      <c r="DK32" s="40"/>
      <c r="DL32" s="40"/>
      <c r="DM32" s="40"/>
      <c r="DN32" s="40"/>
      <c r="DO32" s="40"/>
      <c r="DP32" s="40">
        <f t="shared" si="39"/>
        <v>0</v>
      </c>
      <c r="DQ32" s="172" t="str">
        <f t="shared" si="40"/>
        <v/>
      </c>
      <c r="DS32" s="189"/>
      <c r="DT32" s="190"/>
      <c r="DU32" s="190"/>
      <c r="DV32" s="191"/>
      <c r="DW32" s="41"/>
      <c r="DX32" s="42"/>
    </row>
    <row r="33" spans="1:128" ht="13.5" customHeight="1" x14ac:dyDescent="0.4">
      <c r="A33" s="104">
        <v>29</v>
      </c>
      <c r="B33" s="23" t="s">
        <v>86</v>
      </c>
      <c r="C33" s="164"/>
      <c r="D33" s="164"/>
      <c r="E33" s="24"/>
      <c r="F33" s="29"/>
      <c r="G33" s="25" t="str">
        <f>IF(SUM($F$5:F33)=0,"",SUM($F$5:F33))</f>
        <v/>
      </c>
      <c r="H33" s="43" t="str">
        <f t="shared" si="0"/>
        <v/>
      </c>
      <c r="I33" s="148" t="e">
        <f t="array" aca="1" ref="I33" ca="1">IF($A34="",$G33/($V33-$U$5+INDIRECT(IF(_xlfn.SHEET()&lt;6,"令和8年"&amp;_xlfn.SHEET()+7&amp;"月","令和9年"&amp;_xlfn.SHEET()-5&amp;"月")&amp;"!$U$5")),$G33/($V34-$U$5))</f>
        <v>#VALUE!</v>
      </c>
      <c r="J33" s="26" t="str">
        <f t="shared" si="1"/>
        <v/>
      </c>
      <c r="K33" s="27"/>
      <c r="L33" s="165">
        <f t="shared" si="2"/>
        <v>0</v>
      </c>
      <c r="M33" s="28" t="str">
        <f t="shared" si="3"/>
        <v/>
      </c>
      <c r="N33" s="166" t="str">
        <f t="shared" si="4"/>
        <v/>
      </c>
      <c r="O33" s="167" t="str">
        <f t="shared" si="5"/>
        <v/>
      </c>
      <c r="P33" s="168"/>
      <c r="Q33" s="169" t="str">
        <f t="shared" si="6"/>
        <v/>
      </c>
      <c r="R33" s="170">
        <v>6</v>
      </c>
      <c r="S33" s="171">
        <v>1</v>
      </c>
      <c r="T33" s="24" t="s">
        <v>84</v>
      </c>
      <c r="U33" s="29">
        <v>134601</v>
      </c>
      <c r="V33" s="30">
        <f t="shared" si="41"/>
        <v>6333127</v>
      </c>
      <c r="W33" s="27">
        <v>97</v>
      </c>
      <c r="X33" s="31">
        <f t="shared" si="7"/>
        <v>1387.6391752577319</v>
      </c>
      <c r="Y33" s="29">
        <v>178709</v>
      </c>
      <c r="Z33" s="32">
        <f t="shared" si="42"/>
        <v>7521928</v>
      </c>
      <c r="AA33" s="33">
        <f t="shared" si="8"/>
        <v>0.84195528061422553</v>
      </c>
      <c r="AB33" s="158">
        <v>180000</v>
      </c>
      <c r="AC33" s="34">
        <f t="shared" si="43"/>
        <v>7420000</v>
      </c>
      <c r="AD33" s="158"/>
      <c r="AE33" s="25"/>
      <c r="AF33" s="25"/>
      <c r="AG33" s="25"/>
      <c r="AH33" s="25"/>
      <c r="AI33" s="25"/>
      <c r="AJ33" s="25"/>
      <c r="AK33" s="25"/>
      <c r="AL33" s="158"/>
      <c r="AM33" s="25"/>
      <c r="AN33" s="158"/>
      <c r="AO33" s="25"/>
      <c r="AP33" s="25"/>
      <c r="AQ33" s="158"/>
      <c r="AR33" s="35">
        <f t="shared" si="9"/>
        <v>0</v>
      </c>
      <c r="AS33" s="172" t="str">
        <f t="shared" si="10"/>
        <v/>
      </c>
      <c r="AT33" s="36">
        <f t="shared" si="11"/>
        <v>0</v>
      </c>
      <c r="AU33" s="173"/>
      <c r="AV33" s="82">
        <f t="shared" si="12"/>
        <v>29</v>
      </c>
      <c r="AW33" s="37"/>
      <c r="AX33" s="174" t="str">
        <f t="shared" si="13"/>
        <v/>
      </c>
      <c r="AY33" s="37"/>
      <c r="AZ33" s="174" t="str">
        <f t="shared" si="14"/>
        <v/>
      </c>
      <c r="BA33" s="37"/>
      <c r="BB33" s="174" t="str">
        <f t="shared" si="15"/>
        <v/>
      </c>
      <c r="BC33" s="37"/>
      <c r="BD33" s="174" t="str">
        <f t="shared" si="16"/>
        <v/>
      </c>
      <c r="BE33" s="37"/>
      <c r="BF33" s="174" t="str">
        <f t="shared" si="17"/>
        <v/>
      </c>
      <c r="BG33" s="37"/>
      <c r="BH33" s="174" t="str">
        <f t="shared" si="18"/>
        <v/>
      </c>
      <c r="BI33" s="37"/>
      <c r="BJ33" s="174" t="str">
        <f t="shared" si="19"/>
        <v/>
      </c>
      <c r="BK33" s="37"/>
      <c r="BL33" s="174" t="str">
        <f t="shared" si="20"/>
        <v/>
      </c>
      <c r="BM33" s="37"/>
      <c r="BN33" s="174" t="str">
        <f t="shared" si="21"/>
        <v/>
      </c>
      <c r="BO33" s="37"/>
      <c r="BP33" s="174" t="str">
        <f t="shared" si="22"/>
        <v/>
      </c>
      <c r="BQ33" s="37"/>
      <c r="BR33" s="174" t="str">
        <f t="shared" si="23"/>
        <v/>
      </c>
      <c r="BS33" s="37"/>
      <c r="BT33" s="174" t="str">
        <f t="shared" si="24"/>
        <v/>
      </c>
      <c r="BU33" s="37"/>
      <c r="BV33" s="174" t="str">
        <f t="shared" si="25"/>
        <v/>
      </c>
      <c r="BW33" s="37"/>
      <c r="BX33" s="174" t="str">
        <f t="shared" si="26"/>
        <v/>
      </c>
      <c r="BY33" s="37"/>
      <c r="BZ33" s="174" t="str">
        <f t="shared" si="27"/>
        <v/>
      </c>
      <c r="CA33" s="37"/>
      <c r="CB33" s="174" t="str">
        <f t="shared" si="28"/>
        <v/>
      </c>
      <c r="CC33" s="37"/>
      <c r="CD33" s="174" t="str">
        <f t="shared" si="29"/>
        <v/>
      </c>
      <c r="CE33" s="37"/>
      <c r="CF33" s="174" t="str">
        <f t="shared" si="30"/>
        <v/>
      </c>
      <c r="CG33" s="37"/>
      <c r="CH33" s="174" t="str">
        <f t="shared" si="31"/>
        <v/>
      </c>
      <c r="CI33" s="37"/>
      <c r="CJ33" s="174" t="str">
        <f t="shared" si="32"/>
        <v/>
      </c>
      <c r="CK33" s="37"/>
      <c r="CL33" s="174" t="str">
        <f t="shared" si="33"/>
        <v/>
      </c>
      <c r="CM33" s="37"/>
      <c r="CN33" s="174" t="str">
        <f t="shared" si="34"/>
        <v/>
      </c>
      <c r="CO33" s="37"/>
      <c r="CP33" s="174" t="str">
        <f t="shared" si="35"/>
        <v/>
      </c>
      <c r="CQ33" s="37"/>
      <c r="CR33" s="174" t="str">
        <f t="shared" si="36"/>
        <v/>
      </c>
      <c r="CS33" s="37"/>
      <c r="CT33" s="174" t="str">
        <f t="shared" si="37"/>
        <v/>
      </c>
      <c r="CU33" s="38"/>
      <c r="CV33" s="87"/>
      <c r="CW33" s="90"/>
      <c r="CX33" s="38"/>
      <c r="CY33" s="39"/>
      <c r="CZ33" s="37"/>
      <c r="DA33" s="39"/>
      <c r="DB33" s="24">
        <v>29</v>
      </c>
      <c r="DC33" s="96" t="str">
        <f t="shared" si="38"/>
        <v>金</v>
      </c>
      <c r="DF33" s="125"/>
      <c r="DG33" s="40"/>
      <c r="DH33" s="40"/>
      <c r="DI33" s="40"/>
      <c r="DJ33" s="40"/>
      <c r="DK33" s="40"/>
      <c r="DL33" s="40"/>
      <c r="DM33" s="40"/>
      <c r="DN33" s="40"/>
      <c r="DO33" s="40"/>
      <c r="DP33" s="40">
        <f t="shared" si="39"/>
        <v>0</v>
      </c>
      <c r="DQ33" s="172" t="str">
        <f t="shared" si="40"/>
        <v/>
      </c>
      <c r="DS33" s="189"/>
      <c r="DT33" s="190"/>
      <c r="DU33" s="190"/>
      <c r="DV33" s="191"/>
      <c r="DW33" s="41"/>
      <c r="DX33" s="42"/>
    </row>
    <row r="34" spans="1:128" ht="13.5" customHeight="1" x14ac:dyDescent="0.4">
      <c r="A34" s="104">
        <v>30</v>
      </c>
      <c r="B34" s="23" t="s">
        <v>88</v>
      </c>
      <c r="C34" s="164"/>
      <c r="D34" s="164"/>
      <c r="E34" s="24"/>
      <c r="F34" s="29"/>
      <c r="G34" s="25" t="str">
        <f>IF(SUM($F$5:F34)=0,"",SUM($F$5:F34))</f>
        <v/>
      </c>
      <c r="H34" s="43" t="str">
        <f t="shared" si="0"/>
        <v/>
      </c>
      <c r="I34" s="148" t="e">
        <f t="array" aca="1" ref="I34" ca="1">IF($A35="",$G34/($V34-$U$5+INDIRECT(IF(_xlfn.SHEET()&lt;6,"令和8年"&amp;_xlfn.SHEET()+7&amp;"月","令和9年"&amp;_xlfn.SHEET()-5&amp;"月")&amp;"!$U$5")),$G34/($V35-$U$5))</f>
        <v>#VALUE!</v>
      </c>
      <c r="J34" s="26" t="str">
        <f t="shared" si="1"/>
        <v/>
      </c>
      <c r="K34" s="27"/>
      <c r="L34" s="165">
        <f t="shared" si="2"/>
        <v>0</v>
      </c>
      <c r="M34" s="28" t="str">
        <f t="shared" si="3"/>
        <v/>
      </c>
      <c r="N34" s="166" t="str">
        <f t="shared" si="4"/>
        <v/>
      </c>
      <c r="O34" s="167" t="str">
        <f t="shared" si="5"/>
        <v/>
      </c>
      <c r="P34" s="168"/>
      <c r="Q34" s="169" t="str">
        <f t="shared" si="6"/>
        <v/>
      </c>
      <c r="R34" s="170">
        <v>6</v>
      </c>
      <c r="S34" s="171">
        <v>-3</v>
      </c>
      <c r="T34" s="24" t="s">
        <v>114</v>
      </c>
      <c r="U34" s="29">
        <v>129936</v>
      </c>
      <c r="V34" s="30">
        <f t="shared" si="41"/>
        <v>6463063</v>
      </c>
      <c r="W34" s="27">
        <v>95</v>
      </c>
      <c r="X34" s="31">
        <f t="shared" si="7"/>
        <v>1367.7473684210527</v>
      </c>
      <c r="Y34" s="29">
        <v>246175</v>
      </c>
      <c r="Z34" s="32">
        <f t="shared" si="42"/>
        <v>7768103</v>
      </c>
      <c r="AA34" s="33">
        <f t="shared" si="8"/>
        <v>0.83200016786595132</v>
      </c>
      <c r="AB34" s="158">
        <v>450000</v>
      </c>
      <c r="AC34" s="34">
        <f t="shared" si="43"/>
        <v>7870000</v>
      </c>
      <c r="AD34" s="158"/>
      <c r="AE34" s="25"/>
      <c r="AF34" s="25"/>
      <c r="AG34" s="25"/>
      <c r="AH34" s="25"/>
      <c r="AI34" s="25"/>
      <c r="AJ34" s="25"/>
      <c r="AK34" s="25"/>
      <c r="AL34" s="158"/>
      <c r="AM34" s="25"/>
      <c r="AN34" s="158"/>
      <c r="AO34" s="25"/>
      <c r="AP34" s="25"/>
      <c r="AQ34" s="158"/>
      <c r="AR34" s="35">
        <f t="shared" si="9"/>
        <v>0</v>
      </c>
      <c r="AS34" s="172" t="str">
        <f t="shared" si="10"/>
        <v/>
      </c>
      <c r="AT34" s="36">
        <f t="shared" si="11"/>
        <v>0</v>
      </c>
      <c r="AU34" s="173"/>
      <c r="AV34" s="82">
        <f t="shared" si="12"/>
        <v>30</v>
      </c>
      <c r="AW34" s="37"/>
      <c r="AX34" s="174" t="str">
        <f t="shared" si="13"/>
        <v/>
      </c>
      <c r="AY34" s="37"/>
      <c r="AZ34" s="174" t="str">
        <f t="shared" si="14"/>
        <v/>
      </c>
      <c r="BA34" s="37"/>
      <c r="BB34" s="174" t="str">
        <f t="shared" si="15"/>
        <v/>
      </c>
      <c r="BC34" s="37"/>
      <c r="BD34" s="174" t="str">
        <f t="shared" si="16"/>
        <v/>
      </c>
      <c r="BE34" s="37"/>
      <c r="BF34" s="174" t="str">
        <f t="shared" si="17"/>
        <v/>
      </c>
      <c r="BG34" s="37"/>
      <c r="BH34" s="174" t="str">
        <f t="shared" si="18"/>
        <v/>
      </c>
      <c r="BI34" s="37"/>
      <c r="BJ34" s="174" t="str">
        <f t="shared" si="19"/>
        <v/>
      </c>
      <c r="BK34" s="37"/>
      <c r="BL34" s="174" t="str">
        <f t="shared" si="20"/>
        <v/>
      </c>
      <c r="BM34" s="37"/>
      <c r="BN34" s="174" t="str">
        <f t="shared" si="21"/>
        <v/>
      </c>
      <c r="BO34" s="37"/>
      <c r="BP34" s="174" t="str">
        <f t="shared" si="22"/>
        <v/>
      </c>
      <c r="BQ34" s="37"/>
      <c r="BR34" s="174" t="str">
        <f t="shared" si="23"/>
        <v/>
      </c>
      <c r="BS34" s="37"/>
      <c r="BT34" s="174" t="str">
        <f t="shared" si="24"/>
        <v/>
      </c>
      <c r="BU34" s="37"/>
      <c r="BV34" s="174" t="str">
        <f t="shared" si="25"/>
        <v/>
      </c>
      <c r="BW34" s="37"/>
      <c r="BX34" s="174" t="str">
        <f t="shared" si="26"/>
        <v/>
      </c>
      <c r="BY34" s="37"/>
      <c r="BZ34" s="174" t="str">
        <f t="shared" si="27"/>
        <v/>
      </c>
      <c r="CA34" s="37"/>
      <c r="CB34" s="174" t="str">
        <f t="shared" si="28"/>
        <v/>
      </c>
      <c r="CC34" s="37"/>
      <c r="CD34" s="174" t="str">
        <f t="shared" si="29"/>
        <v/>
      </c>
      <c r="CE34" s="37"/>
      <c r="CF34" s="174" t="str">
        <f t="shared" si="30"/>
        <v/>
      </c>
      <c r="CG34" s="37"/>
      <c r="CH34" s="174" t="str">
        <f t="shared" si="31"/>
        <v/>
      </c>
      <c r="CI34" s="37"/>
      <c r="CJ34" s="174" t="str">
        <f t="shared" si="32"/>
        <v/>
      </c>
      <c r="CK34" s="37"/>
      <c r="CL34" s="174" t="str">
        <f t="shared" si="33"/>
        <v/>
      </c>
      <c r="CM34" s="37"/>
      <c r="CN34" s="174" t="str">
        <f t="shared" si="34"/>
        <v/>
      </c>
      <c r="CO34" s="37"/>
      <c r="CP34" s="174" t="str">
        <f t="shared" si="35"/>
        <v/>
      </c>
      <c r="CQ34" s="37"/>
      <c r="CR34" s="174" t="str">
        <f t="shared" si="36"/>
        <v/>
      </c>
      <c r="CS34" s="37"/>
      <c r="CT34" s="174" t="str">
        <f t="shared" si="37"/>
        <v/>
      </c>
      <c r="CU34" s="38"/>
      <c r="CV34" s="87"/>
      <c r="CW34" s="90"/>
      <c r="CX34" s="38"/>
      <c r="CY34" s="39"/>
      <c r="CZ34" s="37"/>
      <c r="DA34" s="39"/>
      <c r="DB34" s="24">
        <v>30</v>
      </c>
      <c r="DC34" s="96" t="str">
        <f t="shared" si="38"/>
        <v>土</v>
      </c>
      <c r="DF34" s="125"/>
      <c r="DG34" s="40"/>
      <c r="DH34" s="40"/>
      <c r="DI34" s="40"/>
      <c r="DJ34" s="40"/>
      <c r="DK34" s="40"/>
      <c r="DL34" s="40"/>
      <c r="DM34" s="40"/>
      <c r="DN34" s="40"/>
      <c r="DO34" s="40"/>
      <c r="DP34" s="40">
        <f t="shared" si="39"/>
        <v>0</v>
      </c>
      <c r="DQ34" s="172" t="str">
        <f t="shared" si="40"/>
        <v/>
      </c>
      <c r="DS34" s="189"/>
      <c r="DT34" s="190"/>
      <c r="DU34" s="190"/>
      <c r="DV34" s="191"/>
      <c r="DW34" s="41"/>
      <c r="DX34" s="42"/>
    </row>
    <row r="35" spans="1:128" ht="13.5" customHeight="1" thickBot="1" x14ac:dyDescent="0.45">
      <c r="A35" s="105">
        <v>31</v>
      </c>
      <c r="B35" s="23" t="s">
        <v>89</v>
      </c>
      <c r="C35" s="175"/>
      <c r="D35" s="175"/>
      <c r="E35" s="24"/>
      <c r="F35" s="29"/>
      <c r="G35" s="25" t="str">
        <f>IF(SUM($F$5:F35)=0,"",SUM($F$5:F35))</f>
        <v/>
      </c>
      <c r="H35" s="43" t="str">
        <f t="shared" si="0"/>
        <v/>
      </c>
      <c r="I35" s="148" t="e">
        <f t="array" aca="1" ref="I35" ca="1">IF($A36="",$G35/($V35-$U$5+INDIRECT(IF(_xlfn.SHEET()&lt;6,"令和8年"&amp;_xlfn.SHEET()+7&amp;"月","令和9年"&amp;_xlfn.SHEET()-5&amp;"月")&amp;"!$U$5")),$G35/($V36-$U$5))</f>
        <v>#VALUE!</v>
      </c>
      <c r="J35" s="26" t="str">
        <f t="shared" si="1"/>
        <v/>
      </c>
      <c r="K35" s="27"/>
      <c r="L35" s="165">
        <f t="shared" si="2"/>
        <v>0</v>
      </c>
      <c r="M35" s="28" t="str">
        <f t="shared" si="3"/>
        <v/>
      </c>
      <c r="N35" s="166" t="str">
        <f t="shared" si="4"/>
        <v/>
      </c>
      <c r="O35" s="167" t="str">
        <f t="shared" si="5"/>
        <v/>
      </c>
      <c r="P35" s="168"/>
      <c r="Q35" s="169" t="str">
        <f t="shared" si="6"/>
        <v/>
      </c>
      <c r="R35" s="170">
        <v>7</v>
      </c>
      <c r="S35" s="176">
        <v>-2</v>
      </c>
      <c r="T35" s="24" t="s">
        <v>114</v>
      </c>
      <c r="U35" s="29">
        <v>538071</v>
      </c>
      <c r="V35" s="30">
        <f t="shared" si="41"/>
        <v>7001134</v>
      </c>
      <c r="W35" s="27">
        <v>326</v>
      </c>
      <c r="X35" s="31">
        <f t="shared" si="7"/>
        <v>1650.5245398773006</v>
      </c>
      <c r="Y35" s="29">
        <v>185362</v>
      </c>
      <c r="Z35" s="32">
        <f t="shared" si="42"/>
        <v>7953465</v>
      </c>
      <c r="AA35" s="33">
        <f t="shared" si="8"/>
        <v>0.88026212474688703</v>
      </c>
      <c r="AB35" s="158">
        <v>450000</v>
      </c>
      <c r="AC35" s="34">
        <f t="shared" si="43"/>
        <v>8320000</v>
      </c>
      <c r="AD35" s="158"/>
      <c r="AE35" s="25"/>
      <c r="AF35" s="25"/>
      <c r="AG35" s="25"/>
      <c r="AH35" s="25"/>
      <c r="AI35" s="25"/>
      <c r="AJ35" s="25"/>
      <c r="AK35" s="25"/>
      <c r="AL35" s="158"/>
      <c r="AM35" s="25"/>
      <c r="AN35" s="158"/>
      <c r="AO35" s="25"/>
      <c r="AP35" s="25"/>
      <c r="AQ35" s="158"/>
      <c r="AR35" s="35">
        <f t="shared" si="9"/>
        <v>0</v>
      </c>
      <c r="AS35" s="172" t="str">
        <f t="shared" si="10"/>
        <v/>
      </c>
      <c r="AT35" s="36">
        <f t="shared" si="11"/>
        <v>0</v>
      </c>
      <c r="AU35" s="173"/>
      <c r="AV35" s="82">
        <f t="shared" si="12"/>
        <v>31</v>
      </c>
      <c r="AW35" s="37"/>
      <c r="AX35" s="174" t="str">
        <f t="shared" si="13"/>
        <v/>
      </c>
      <c r="AY35" s="37"/>
      <c r="AZ35" s="174" t="str">
        <f t="shared" si="14"/>
        <v/>
      </c>
      <c r="BA35" s="37"/>
      <c r="BB35" s="174" t="str">
        <f t="shared" si="15"/>
        <v/>
      </c>
      <c r="BC35" s="37"/>
      <c r="BD35" s="174" t="str">
        <f t="shared" si="16"/>
        <v/>
      </c>
      <c r="BE35" s="37"/>
      <c r="BF35" s="174" t="str">
        <f t="shared" si="17"/>
        <v/>
      </c>
      <c r="BG35" s="37"/>
      <c r="BH35" s="174" t="str">
        <f t="shared" si="18"/>
        <v/>
      </c>
      <c r="BI35" s="37"/>
      <c r="BJ35" s="174" t="str">
        <f t="shared" si="19"/>
        <v/>
      </c>
      <c r="BK35" s="37"/>
      <c r="BL35" s="174" t="str">
        <f t="shared" si="20"/>
        <v/>
      </c>
      <c r="BM35" s="37"/>
      <c r="BN35" s="174" t="str">
        <f t="shared" si="21"/>
        <v/>
      </c>
      <c r="BO35" s="37"/>
      <c r="BP35" s="174" t="str">
        <f t="shared" si="22"/>
        <v/>
      </c>
      <c r="BQ35" s="37"/>
      <c r="BR35" s="174" t="str">
        <f t="shared" si="23"/>
        <v/>
      </c>
      <c r="BS35" s="37"/>
      <c r="BT35" s="174" t="str">
        <f t="shared" si="24"/>
        <v/>
      </c>
      <c r="BU35" s="37"/>
      <c r="BV35" s="174" t="str">
        <f t="shared" si="25"/>
        <v/>
      </c>
      <c r="BW35" s="37"/>
      <c r="BX35" s="174" t="str">
        <f t="shared" si="26"/>
        <v/>
      </c>
      <c r="BY35" s="37"/>
      <c r="BZ35" s="174" t="str">
        <f t="shared" si="27"/>
        <v/>
      </c>
      <c r="CA35" s="37"/>
      <c r="CB35" s="174" t="str">
        <f t="shared" si="28"/>
        <v/>
      </c>
      <c r="CC35" s="37"/>
      <c r="CD35" s="174" t="str">
        <f t="shared" si="29"/>
        <v/>
      </c>
      <c r="CE35" s="37"/>
      <c r="CF35" s="174" t="str">
        <f t="shared" si="30"/>
        <v/>
      </c>
      <c r="CG35" s="37"/>
      <c r="CH35" s="174" t="str">
        <f t="shared" si="31"/>
        <v/>
      </c>
      <c r="CI35" s="37"/>
      <c r="CJ35" s="174" t="str">
        <f t="shared" si="32"/>
        <v/>
      </c>
      <c r="CK35" s="37"/>
      <c r="CL35" s="174" t="str">
        <f t="shared" si="33"/>
        <v/>
      </c>
      <c r="CM35" s="37"/>
      <c r="CN35" s="174" t="str">
        <f t="shared" si="34"/>
        <v/>
      </c>
      <c r="CO35" s="37"/>
      <c r="CP35" s="174" t="str">
        <f t="shared" si="35"/>
        <v/>
      </c>
      <c r="CQ35" s="37"/>
      <c r="CR35" s="174" t="str">
        <f t="shared" si="36"/>
        <v/>
      </c>
      <c r="CS35" s="37"/>
      <c r="CT35" s="174" t="str">
        <f t="shared" si="37"/>
        <v/>
      </c>
      <c r="CU35" s="38"/>
      <c r="CV35" s="87"/>
      <c r="CW35" s="90"/>
      <c r="CX35" s="38"/>
      <c r="CY35" s="39"/>
      <c r="CZ35" s="37"/>
      <c r="DA35" s="39"/>
      <c r="DB35" s="24">
        <v>31</v>
      </c>
      <c r="DC35" s="96" t="str">
        <f t="shared" si="38"/>
        <v>日</v>
      </c>
      <c r="DF35" s="125"/>
      <c r="DG35" s="40"/>
      <c r="DH35" s="40"/>
      <c r="DI35" s="40"/>
      <c r="DJ35" s="40"/>
      <c r="DK35" s="40"/>
      <c r="DL35" s="40"/>
      <c r="DM35" s="40"/>
      <c r="DN35" s="40"/>
      <c r="DO35" s="40"/>
      <c r="DP35" s="40">
        <f t="shared" si="39"/>
        <v>0</v>
      </c>
      <c r="DQ35" s="172" t="str">
        <f t="shared" si="40"/>
        <v/>
      </c>
      <c r="DS35" s="189"/>
      <c r="DT35" s="190"/>
      <c r="DU35" s="190"/>
      <c r="DV35" s="191"/>
      <c r="DW35" s="41"/>
      <c r="DX35" s="42"/>
    </row>
    <row r="36" spans="1:128" ht="18.75" customHeight="1" thickTop="1" thickBot="1" x14ac:dyDescent="0.45">
      <c r="A36" s="62"/>
      <c r="B36" s="103"/>
      <c r="C36" s="103"/>
      <c r="D36" s="103"/>
      <c r="E36" s="44" t="s">
        <v>95</v>
      </c>
      <c r="F36" s="25">
        <f>SUM(F5:F35)</f>
        <v>0</v>
      </c>
      <c r="G36" s="25"/>
      <c r="H36" s="43"/>
      <c r="I36" s="148"/>
      <c r="J36" s="26"/>
      <c r="K36" s="45">
        <f>SUM(K4:K35)</f>
        <v>0</v>
      </c>
      <c r="L36" s="165">
        <f t="shared" si="2"/>
        <v>0</v>
      </c>
      <c r="M36" s="46"/>
      <c r="N36" s="47" t="str">
        <f t="shared" si="4"/>
        <v/>
      </c>
      <c r="O36" s="48"/>
      <c r="P36" s="177"/>
      <c r="Q36" s="178"/>
      <c r="R36" s="49"/>
      <c r="S36" s="128"/>
      <c r="T36" s="50" t="s">
        <v>95</v>
      </c>
      <c r="U36" s="51">
        <f>SUM(U5:U35)</f>
        <v>7001134</v>
      </c>
      <c r="V36" s="30"/>
      <c r="W36" s="52">
        <f>SUM(W5:W35)</f>
        <v>4489</v>
      </c>
      <c r="X36" s="53"/>
      <c r="Y36" s="25">
        <f>SUM(Y5:Y35)</f>
        <v>7953465</v>
      </c>
      <c r="Z36" s="32"/>
      <c r="AA36" s="54"/>
      <c r="AB36" s="55"/>
      <c r="AC36" s="54"/>
      <c r="AD36" s="158">
        <f t="shared" ref="AD36:AR36" si="44">SUM(AD5:AD35)</f>
        <v>0</v>
      </c>
      <c r="AE36" s="25">
        <f t="shared" si="44"/>
        <v>0</v>
      </c>
      <c r="AF36" s="25">
        <f t="shared" si="44"/>
        <v>0</v>
      </c>
      <c r="AG36" s="25">
        <f t="shared" si="44"/>
        <v>0</v>
      </c>
      <c r="AH36" s="25">
        <f t="shared" si="44"/>
        <v>0</v>
      </c>
      <c r="AI36" s="25">
        <f t="shared" si="44"/>
        <v>0</v>
      </c>
      <c r="AJ36" s="25">
        <f t="shared" si="44"/>
        <v>0</v>
      </c>
      <c r="AK36" s="25">
        <f t="shared" si="44"/>
        <v>0</v>
      </c>
      <c r="AL36" s="25">
        <f t="shared" si="44"/>
        <v>0</v>
      </c>
      <c r="AM36" s="25">
        <f t="shared" si="44"/>
        <v>0</v>
      </c>
      <c r="AN36" s="25">
        <f t="shared" si="44"/>
        <v>0</v>
      </c>
      <c r="AO36" s="25">
        <f t="shared" si="44"/>
        <v>0</v>
      </c>
      <c r="AP36" s="25">
        <f t="shared" si="44"/>
        <v>0</v>
      </c>
      <c r="AQ36" s="158">
        <f t="shared" si="44"/>
        <v>0</v>
      </c>
      <c r="AR36" s="56">
        <f t="shared" si="44"/>
        <v>0</v>
      </c>
      <c r="AS36" s="179" t="str">
        <f>IF(ISERROR((AR36/$F36)),"",AR36/$F36)</f>
        <v/>
      </c>
      <c r="AT36" s="77">
        <f>SUM(AT5:AT35)</f>
        <v>0</v>
      </c>
      <c r="AU36" s="173"/>
      <c r="AV36" s="83" t="s">
        <v>95</v>
      </c>
      <c r="AW36" s="57">
        <f>SUM(AW5:AW35)</f>
        <v>0</v>
      </c>
      <c r="AX36" s="57"/>
      <c r="AY36" s="57">
        <f>SUM(AY5:AY35)</f>
        <v>0</v>
      </c>
      <c r="AZ36" s="57"/>
      <c r="BA36" s="57">
        <f>SUM(BA5:BA35)</f>
        <v>0</v>
      </c>
      <c r="BB36" s="57"/>
      <c r="BC36" s="57">
        <f>SUM(BC5:BC35)</f>
        <v>0</v>
      </c>
      <c r="BD36" s="57"/>
      <c r="BE36" s="57">
        <f>SUM(BE5:BE35)</f>
        <v>0</v>
      </c>
      <c r="BF36" s="57"/>
      <c r="BG36" s="57">
        <f>SUM(BG5:BG35)</f>
        <v>0</v>
      </c>
      <c r="BH36" s="57"/>
      <c r="BI36" s="57">
        <f>SUM(BI5:BI35)</f>
        <v>0</v>
      </c>
      <c r="BJ36" s="57"/>
      <c r="BK36" s="57">
        <f>SUM(BK5:BK35)</f>
        <v>0</v>
      </c>
      <c r="BL36" s="57"/>
      <c r="BM36" s="57">
        <f>SUM(BM5:BM35)</f>
        <v>0</v>
      </c>
      <c r="BN36" s="57"/>
      <c r="BO36" s="57">
        <f>SUM(BO5:BO35)</f>
        <v>0</v>
      </c>
      <c r="BP36" s="57"/>
      <c r="BQ36" s="57">
        <f>SUM(BQ5:BQ35)</f>
        <v>0</v>
      </c>
      <c r="BR36" s="57"/>
      <c r="BS36" s="57">
        <f>SUM(BS5:BS35)</f>
        <v>0</v>
      </c>
      <c r="BT36" s="57"/>
      <c r="BU36" s="57">
        <f>SUM(BU5:BU35)</f>
        <v>0</v>
      </c>
      <c r="BV36" s="57"/>
      <c r="BW36" s="57">
        <f>SUM(BW5:BW35)</f>
        <v>0</v>
      </c>
      <c r="BX36" s="57"/>
      <c r="BY36" s="57">
        <f>SUM(BY5:BY35)</f>
        <v>0</v>
      </c>
      <c r="BZ36" s="57"/>
      <c r="CA36" s="57">
        <f>SUM(CA5:CA35)</f>
        <v>0</v>
      </c>
      <c r="CB36" s="57"/>
      <c r="CC36" s="57">
        <f>SUM(CC5:CC35)</f>
        <v>0</v>
      </c>
      <c r="CD36" s="58"/>
      <c r="CE36" s="57">
        <f>SUM(CE5:CE35)</f>
        <v>0</v>
      </c>
      <c r="CF36" s="58"/>
      <c r="CG36" s="57">
        <f>SUM(CG5:CG35)</f>
        <v>0</v>
      </c>
      <c r="CH36" s="57"/>
      <c r="CI36" s="57">
        <f>SUM(CI5:CI35)</f>
        <v>0</v>
      </c>
      <c r="CJ36" s="58"/>
      <c r="CK36" s="57">
        <f>SUM(CK5:CK35)</f>
        <v>0</v>
      </c>
      <c r="CL36" s="58"/>
      <c r="CM36" s="57">
        <f>SUM(CM5:CM35)</f>
        <v>0</v>
      </c>
      <c r="CN36" s="57"/>
      <c r="CO36" s="57">
        <f>SUM(CO5:CO35)</f>
        <v>0</v>
      </c>
      <c r="CP36" s="58"/>
      <c r="CQ36" s="57">
        <f>SUM(CQ5:CQ35)</f>
        <v>0</v>
      </c>
      <c r="CR36" s="58"/>
      <c r="CS36" s="57">
        <f>SUM(CS5:CS35)</f>
        <v>0</v>
      </c>
      <c r="CT36" s="60"/>
      <c r="CU36" s="59">
        <f>SUM(CU5:CU35)</f>
        <v>0</v>
      </c>
      <c r="CV36" s="60">
        <f>SUM(CV5:CV35)</f>
        <v>0</v>
      </c>
      <c r="CW36" s="91"/>
      <c r="CX36" s="59">
        <f>SUM(CX5:CX35)</f>
        <v>0</v>
      </c>
      <c r="CY36" s="39">
        <f>SUM(CY5:CY35)</f>
        <v>0</v>
      </c>
      <c r="CZ36" s="57">
        <f>SUM(CZ5:CZ35)</f>
        <v>0</v>
      </c>
      <c r="DA36" s="61">
        <f>SUM(DA5:DA35)</f>
        <v>0</v>
      </c>
      <c r="DB36" s="44"/>
      <c r="DC36" s="96"/>
      <c r="DF36" s="125">
        <f t="shared" ref="DF36:DP36" si="45">SUM(DF5:DF35)</f>
        <v>0</v>
      </c>
      <c r="DG36" s="40">
        <f t="shared" si="45"/>
        <v>0</v>
      </c>
      <c r="DH36" s="40">
        <f t="shared" si="45"/>
        <v>0</v>
      </c>
      <c r="DI36" s="40">
        <f t="shared" si="45"/>
        <v>0</v>
      </c>
      <c r="DJ36" s="40">
        <f t="shared" si="45"/>
        <v>0</v>
      </c>
      <c r="DK36" s="40">
        <f t="shared" si="45"/>
        <v>0</v>
      </c>
      <c r="DL36" s="40">
        <f t="shared" si="45"/>
        <v>0</v>
      </c>
      <c r="DM36" s="40">
        <f t="shared" si="45"/>
        <v>0</v>
      </c>
      <c r="DN36" s="40">
        <f t="shared" si="45"/>
        <v>0</v>
      </c>
      <c r="DO36" s="40">
        <f t="shared" si="45"/>
        <v>0</v>
      </c>
      <c r="DP36" s="40">
        <f t="shared" si="45"/>
        <v>0</v>
      </c>
      <c r="DQ36" s="179" t="str">
        <f>IF(ISERROR((DP36/$F36)),"",DP36/$F36)</f>
        <v/>
      </c>
      <c r="DS36" s="198" t="s">
        <v>96</v>
      </c>
      <c r="DT36" s="199"/>
      <c r="DU36" s="199"/>
      <c r="DV36" s="199"/>
      <c r="DW36" s="199"/>
      <c r="DX36" s="199"/>
    </row>
    <row r="37" spans="1:128" ht="19.149999999999999" customHeight="1" thickTop="1" thickBot="1" x14ac:dyDescent="0.45">
      <c r="E37" s="62" t="s">
        <v>97</v>
      </c>
      <c r="F37" s="66" t="str">
        <f>IF(ISERROR(AVERAGE(F5:F35)),"",AVERAGE(F5:F35))</f>
        <v/>
      </c>
      <c r="G37" s="66"/>
      <c r="H37" s="100" t="str">
        <f>IF(ISERROR(F37/U37),"",(F37/U37))</f>
        <v/>
      </c>
      <c r="I37" s="149"/>
      <c r="J37" s="101" t="str">
        <f>IF(ISERROR(F37/AC5),"",(F37/AC5))</f>
        <v/>
      </c>
      <c r="K37" s="102" t="str">
        <f>IF(ISERROR(AVERAGE(K4:K35)),"",AVERAGE(K4:K35))</f>
        <v/>
      </c>
      <c r="L37" s="180" t="str">
        <f t="shared" si="2"/>
        <v/>
      </c>
      <c r="M37" s="102" t="str">
        <f>IF(ISERROR(AVERAGE(M4:M35)),"",AVERAGE(M4:M35))</f>
        <v/>
      </c>
      <c r="N37" s="181" t="str">
        <f t="shared" si="4"/>
        <v/>
      </c>
      <c r="O37" s="182" t="e">
        <f>AVERAGE(O4:O35)</f>
        <v>#DIV/0!</v>
      </c>
      <c r="P37" s="183"/>
      <c r="Q37" s="184" t="e">
        <f>AVERAGE(Q4:Q35)</f>
        <v>#DIV/0!</v>
      </c>
      <c r="T37" s="62" t="s">
        <v>97</v>
      </c>
      <c r="U37" s="63">
        <f>IF(ISERROR(AVERAGE(U5:U35)),"",AVERAGE(U5:U35))</f>
        <v>250040.5</v>
      </c>
      <c r="V37" s="64"/>
      <c r="W37" s="65">
        <f>IF(ISERROR(AVERAGE(W5:W35)),"",AVERAGE(W5:W35))</f>
        <v>160.32142857142858</v>
      </c>
      <c r="X37" s="65">
        <f>IF(ISERROR(AVERAGE(X5:X35)),"",AVERAGE(X5:X35))</f>
        <v>1530.4945173986939</v>
      </c>
      <c r="Y37" s="66">
        <f>IF(ISERROR(AVERAGE(Y5:Y35)),"",AVERAGE(Y5:Y35))</f>
        <v>294572.77777777775</v>
      </c>
      <c r="Z37" s="66"/>
      <c r="AA37" s="67"/>
      <c r="AB37" s="201" t="s">
        <v>98</v>
      </c>
      <c r="AC37" s="202"/>
      <c r="AD37" s="68" t="str">
        <f t="shared" ref="AD37:AQ37" si="46">IF(ISERROR(AVERAGE(AD5:AD35)),"",AVERAGE(AD5:AD35))</f>
        <v/>
      </c>
      <c r="AE37" s="66" t="str">
        <f t="shared" si="46"/>
        <v/>
      </c>
      <c r="AF37" s="66" t="str">
        <f t="shared" si="46"/>
        <v/>
      </c>
      <c r="AG37" s="66" t="str">
        <f t="shared" si="46"/>
        <v/>
      </c>
      <c r="AH37" s="66" t="str">
        <f t="shared" si="46"/>
        <v/>
      </c>
      <c r="AI37" s="66" t="str">
        <f t="shared" si="46"/>
        <v/>
      </c>
      <c r="AJ37" s="66" t="str">
        <f t="shared" si="46"/>
        <v/>
      </c>
      <c r="AK37" s="66" t="str">
        <f t="shared" si="46"/>
        <v/>
      </c>
      <c r="AL37" s="66" t="str">
        <f t="shared" si="46"/>
        <v/>
      </c>
      <c r="AM37" s="66" t="str">
        <f t="shared" si="46"/>
        <v/>
      </c>
      <c r="AN37" s="66" t="str">
        <f t="shared" si="46"/>
        <v/>
      </c>
      <c r="AO37" s="66" t="str">
        <f t="shared" si="46"/>
        <v/>
      </c>
      <c r="AP37" s="66" t="str">
        <f t="shared" si="46"/>
        <v/>
      </c>
      <c r="AQ37" s="69" t="str">
        <f t="shared" si="46"/>
        <v/>
      </c>
      <c r="AR37" s="70"/>
      <c r="AS37" s="185"/>
      <c r="AT37" s="185"/>
      <c r="AU37" s="186"/>
      <c r="AV37" s="84" t="s">
        <v>97</v>
      </c>
      <c r="AW37" s="72" t="str">
        <f>IF(ISERROR(AVERAGE(AW5:AW35)),"",AVERAGE(AW5:AW35))</f>
        <v/>
      </c>
      <c r="AX37" s="187" t="e">
        <f>AVERAGE(AX5:AX35)</f>
        <v>#DIV/0!</v>
      </c>
      <c r="AY37" s="72" t="str">
        <f>IF(ISERROR(AVERAGE(AY5:AY35)),"",AVERAGE(AY5:AY35))</f>
        <v/>
      </c>
      <c r="AZ37" s="187" t="e">
        <f>AVERAGE(AZ5:AZ35)</f>
        <v>#DIV/0!</v>
      </c>
      <c r="BA37" s="72" t="str">
        <f>IF(ISERROR(AVERAGE(BA5:BA35)),"",AVERAGE(BA5:BA35))</f>
        <v/>
      </c>
      <c r="BB37" s="187" t="e">
        <f>AVERAGE(BB5:BB35)</f>
        <v>#DIV/0!</v>
      </c>
      <c r="BC37" s="72" t="str">
        <f>IF(ISERROR(AVERAGE(BC5:BC35)),"",AVERAGE(BC5:BC35))</f>
        <v/>
      </c>
      <c r="BD37" s="187" t="e">
        <f>AVERAGE(BD5:BD35)</f>
        <v>#DIV/0!</v>
      </c>
      <c r="BE37" s="72" t="str">
        <f>IF(ISERROR(AVERAGE(BE5:BE35)),"",AVERAGE(BE5:BE35))</f>
        <v/>
      </c>
      <c r="BF37" s="187" t="e">
        <f>AVERAGE(BF5:BF35)</f>
        <v>#DIV/0!</v>
      </c>
      <c r="BG37" s="72" t="str">
        <f>IF(ISERROR(AVERAGE(BG5:BG35)),"",AVERAGE(BG5:BG35))</f>
        <v/>
      </c>
      <c r="BH37" s="187" t="e">
        <f>AVERAGE(BH5:BH35)</f>
        <v>#DIV/0!</v>
      </c>
      <c r="BI37" s="72" t="str">
        <f>IF(ISERROR(AVERAGE(BI5:BI35)),"",AVERAGE(BI5:BI35))</f>
        <v/>
      </c>
      <c r="BJ37" s="187" t="e">
        <f>AVERAGE(BJ5:BJ35)</f>
        <v>#DIV/0!</v>
      </c>
      <c r="BK37" s="72" t="str">
        <f>IF(ISERROR(AVERAGE(BK5:BK35)),"",AVERAGE(BK5:BK35))</f>
        <v/>
      </c>
      <c r="BL37" s="187" t="e">
        <f>AVERAGE(BL5:BL35)</f>
        <v>#DIV/0!</v>
      </c>
      <c r="BM37" s="72" t="str">
        <f>IF(ISERROR(AVERAGE(BM5:BM35)),"",AVERAGE(BM5:BM35))</f>
        <v/>
      </c>
      <c r="BN37" s="187" t="e">
        <f>AVERAGE(BN5:BN35)</f>
        <v>#DIV/0!</v>
      </c>
      <c r="BO37" s="72" t="str">
        <f>IF(ISERROR(AVERAGE(BO5:BO35)),"",AVERAGE(BO5:BO35))</f>
        <v/>
      </c>
      <c r="BP37" s="187" t="e">
        <f>AVERAGE(BP5:BP35)</f>
        <v>#DIV/0!</v>
      </c>
      <c r="BQ37" s="72" t="str">
        <f>IF(ISERROR(AVERAGE(BQ5:BQ35)),"",AVERAGE(BQ5:BQ35))</f>
        <v/>
      </c>
      <c r="BR37" s="187" t="e">
        <f>AVERAGE(BR5:BR35)</f>
        <v>#DIV/0!</v>
      </c>
      <c r="BS37" s="72" t="str">
        <f>IF(ISERROR(AVERAGE(BS5:BS35)),"",AVERAGE(BS5:BS35))</f>
        <v/>
      </c>
      <c r="BT37" s="187" t="e">
        <f>AVERAGE(BT5:BT35)</f>
        <v>#DIV/0!</v>
      </c>
      <c r="BU37" s="72" t="str">
        <f>IF(ISERROR(AVERAGE(BU5:BU35)),"",AVERAGE(BU5:BU35))</f>
        <v/>
      </c>
      <c r="BV37" s="187" t="e">
        <f>AVERAGE(BV5:BV35)</f>
        <v>#DIV/0!</v>
      </c>
      <c r="BW37" s="72" t="str">
        <f>IF(ISERROR(AVERAGE(BW5:BW35)),"",AVERAGE(BW5:BW35))</f>
        <v/>
      </c>
      <c r="BX37" s="187" t="e">
        <f>AVERAGE(BX5:BX35)</f>
        <v>#DIV/0!</v>
      </c>
      <c r="BY37" s="72" t="str">
        <f>IF(ISERROR(AVERAGE(BY5:BY35)),"",AVERAGE(BY5:BY35))</f>
        <v/>
      </c>
      <c r="BZ37" s="187" t="e">
        <f>AVERAGE(BZ5:BZ35)</f>
        <v>#DIV/0!</v>
      </c>
      <c r="CA37" s="72" t="str">
        <f>IF(ISERROR(AVERAGE(CA5:CA35)),"",AVERAGE(CA5:CA35))</f>
        <v/>
      </c>
      <c r="CB37" s="187" t="e">
        <f>AVERAGE(CB5:CB35)</f>
        <v>#DIV/0!</v>
      </c>
      <c r="CC37" s="72" t="str">
        <f>IF(ISERROR(AVERAGE(CC5:CC35)),"",AVERAGE(CC5:CC35))</f>
        <v/>
      </c>
      <c r="CD37" s="187" t="e">
        <f>AVERAGE(CD5:CD35)</f>
        <v>#DIV/0!</v>
      </c>
      <c r="CE37" s="72" t="str">
        <f>IF(ISERROR(AVERAGE(CE5:CE35)),"",AVERAGE(CE5:CE35))</f>
        <v/>
      </c>
      <c r="CF37" s="187" t="e">
        <f>AVERAGE(CF5:CF35)</f>
        <v>#DIV/0!</v>
      </c>
      <c r="CG37" s="72" t="str">
        <f>IF(ISERROR(AVERAGE(CG5:CG35)),"",AVERAGE(CG5:CG35))</f>
        <v/>
      </c>
      <c r="CH37" s="187" t="e">
        <f>AVERAGE(CH5:CH35)</f>
        <v>#DIV/0!</v>
      </c>
      <c r="CI37" s="72" t="str">
        <f>IF(ISERROR(AVERAGE(CI5:CI35)),"",AVERAGE(CI5:CI35))</f>
        <v/>
      </c>
      <c r="CJ37" s="187" t="e">
        <f>AVERAGE(CJ5:CJ35)</f>
        <v>#DIV/0!</v>
      </c>
      <c r="CK37" s="72" t="str">
        <f>IF(ISERROR(AVERAGE(CK5:CK35)),"",AVERAGE(CK5:CK35))</f>
        <v/>
      </c>
      <c r="CL37" s="187" t="e">
        <f>AVERAGE(CL5:CL35)</f>
        <v>#DIV/0!</v>
      </c>
      <c r="CM37" s="72" t="str">
        <f>IF(ISERROR(AVERAGE(CM5:CM35)),"",AVERAGE(CM5:CM35))</f>
        <v/>
      </c>
      <c r="CN37" s="187" t="e">
        <f>AVERAGE(CN5:CN35)</f>
        <v>#DIV/0!</v>
      </c>
      <c r="CO37" s="72" t="str">
        <f>IF(ISERROR(AVERAGE(CO5:CO35)),"",AVERAGE(CO5:CO35))</f>
        <v/>
      </c>
      <c r="CP37" s="187" t="e">
        <f>AVERAGE(CP5:CP35)</f>
        <v>#DIV/0!</v>
      </c>
      <c r="CQ37" s="72" t="str">
        <f>IF(ISERROR(AVERAGE(CQ5:CQ35)),"",AVERAGE(CQ5:CQ35))</f>
        <v/>
      </c>
      <c r="CR37" s="187" t="e">
        <f>AVERAGE(CR5:CR35)</f>
        <v>#DIV/0!</v>
      </c>
      <c r="CS37" s="72" t="str">
        <f>IF(ISERROR(AVERAGE(CS5:CS35)),"",AVERAGE(CS5:CS35))</f>
        <v/>
      </c>
      <c r="CT37" s="188" t="e">
        <f>AVERAGE(CT5:CT35)</f>
        <v>#DIV/0!</v>
      </c>
      <c r="CU37" s="71" t="str">
        <f>IF(ISERROR(AVERAGE(CU5:CU35)),"",AVERAGE(CU5:CU35))</f>
        <v/>
      </c>
      <c r="CV37" s="88" t="str">
        <f>IF(ISERROR(AVERAGE(CV5:CV35)),"",AVERAGE(CV5:CV35))</f>
        <v/>
      </c>
      <c r="CW37" s="92"/>
      <c r="CX37" s="71" t="str">
        <f>IF(ISERROR(AVERAGE(CX5:CX35)),"",AVERAGE(CX5:CX35))</f>
        <v/>
      </c>
      <c r="CY37" s="154" t="str">
        <f>IF(ISERROR(AVERAGE(CY5:CY35)),"",AVERAGE(CY5:CY35))</f>
        <v/>
      </c>
      <c r="CZ37" s="72" t="str">
        <f>IF(ISERROR(AVERAGE(CZ5:CZ35)),"",AVERAGE(CZ5:CZ35))</f>
        <v/>
      </c>
      <c r="DA37" s="72" t="str">
        <f>IF(ISERROR(AVERAGE(DA5:DA35)),"",AVERAGE(DA5:DA35))</f>
        <v/>
      </c>
      <c r="DB37" s="98"/>
      <c r="DC37" s="99"/>
      <c r="DF37" s="126" t="e">
        <f t="shared" ref="DF37:DP37" si="47">AVERAGE(DF5:DF35)</f>
        <v>#DIV/0!</v>
      </c>
      <c r="DG37" s="127" t="e">
        <f t="shared" si="47"/>
        <v>#DIV/0!</v>
      </c>
      <c r="DH37" s="127" t="e">
        <f t="shared" si="47"/>
        <v>#DIV/0!</v>
      </c>
      <c r="DI37" s="127" t="e">
        <f t="shared" si="47"/>
        <v>#DIV/0!</v>
      </c>
      <c r="DJ37" s="127" t="e">
        <f t="shared" si="47"/>
        <v>#DIV/0!</v>
      </c>
      <c r="DK37" s="127" t="e">
        <f t="shared" si="47"/>
        <v>#DIV/0!</v>
      </c>
      <c r="DL37" s="127" t="e">
        <f t="shared" si="47"/>
        <v>#DIV/0!</v>
      </c>
      <c r="DM37" s="127" t="e">
        <f t="shared" si="47"/>
        <v>#DIV/0!</v>
      </c>
      <c r="DN37" s="127" t="e">
        <f t="shared" si="47"/>
        <v>#DIV/0!</v>
      </c>
      <c r="DO37" s="127" t="e">
        <f t="shared" si="47"/>
        <v>#DIV/0!</v>
      </c>
      <c r="DP37" s="127">
        <f t="shared" si="47"/>
        <v>0</v>
      </c>
      <c r="DQ37" s="188"/>
      <c r="DS37" s="198" t="s">
        <v>99</v>
      </c>
      <c r="DT37" s="199"/>
      <c r="DU37" s="199"/>
      <c r="DV37" s="199"/>
      <c r="DW37" s="199"/>
      <c r="DX37" s="199"/>
    </row>
    <row r="38" spans="1:128" ht="19.149999999999999" customHeight="1" thickTop="1" thickBot="1" x14ac:dyDescent="0.45">
      <c r="DS38" s="198" t="s">
        <v>100</v>
      </c>
      <c r="DT38" s="199"/>
      <c r="DU38" s="199"/>
      <c r="DV38" s="199"/>
      <c r="DW38" s="199"/>
      <c r="DX38" s="199"/>
    </row>
    <row r="39" spans="1:128" ht="18.75" customHeight="1" thickTop="1" x14ac:dyDescent="0.4">
      <c r="E39" s="196" t="s">
        <v>101</v>
      </c>
      <c r="F39" s="197"/>
      <c r="H39" s="137" t="s">
        <v>12</v>
      </c>
      <c r="T39" s="200" t="s">
        <v>102</v>
      </c>
      <c r="U39" s="197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 spans="1:128" ht="18.75" customHeight="1" thickBot="1" x14ac:dyDescent="0.45">
      <c r="E40" s="133" t="s">
        <v>95</v>
      </c>
      <c r="F40" s="135" t="e">
        <f>(令和8年12月!G35-令和8年12月!G19)+令和9年1月!G19</f>
        <v>#VALUE!</v>
      </c>
      <c r="H40" s="142" t="str">
        <f>IF(ISERROR(F40/U40),"",(F40/U40))</f>
        <v/>
      </c>
      <c r="I40" s="146"/>
      <c r="T40" s="133" t="s">
        <v>95</v>
      </c>
      <c r="U40" s="135">
        <f>(令和8年12月!V35-令和8年12月!V19)+令和9年1月!V19</f>
        <v>9982517</v>
      </c>
    </row>
    <row r="41" spans="1:128" ht="18.75" customHeight="1" thickTop="1" thickBot="1" x14ac:dyDescent="0.45">
      <c r="E41" s="134" t="s">
        <v>97</v>
      </c>
      <c r="F41" s="136" t="e">
        <f>F40/31</f>
        <v>#VALUE!</v>
      </c>
      <c r="T41" s="134" t="s">
        <v>97</v>
      </c>
      <c r="U41" s="136">
        <f>U40/31</f>
        <v>322016.67741935485</v>
      </c>
    </row>
    <row r="42" spans="1:128" ht="13.9" customHeight="1" thickTop="1" x14ac:dyDescent="0.4"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</row>
  </sheetData>
  <mergeCells count="45">
    <mergeCell ref="DS36:DX36"/>
    <mergeCell ref="T39:U39"/>
    <mergeCell ref="DS12:DV12"/>
    <mergeCell ref="DS21:DV21"/>
    <mergeCell ref="DS31:DV31"/>
    <mergeCell ref="AX1:BC2"/>
    <mergeCell ref="DS14:DV14"/>
    <mergeCell ref="DS23:DV23"/>
    <mergeCell ref="M1:M2"/>
    <mergeCell ref="DS17:DV17"/>
    <mergeCell ref="N1:O1"/>
    <mergeCell ref="DS6:DV6"/>
    <mergeCell ref="DS5:DV5"/>
    <mergeCell ref="E39:F39"/>
    <mergeCell ref="DS8:DV8"/>
    <mergeCell ref="DS27:DV27"/>
    <mergeCell ref="DS29:DV29"/>
    <mergeCell ref="DS19:DV19"/>
    <mergeCell ref="DS10:DV10"/>
    <mergeCell ref="DS13:DV13"/>
    <mergeCell ref="DS9:DV9"/>
    <mergeCell ref="DS34:DV34"/>
    <mergeCell ref="DS28:DV28"/>
    <mergeCell ref="DS24:DV24"/>
    <mergeCell ref="DS15:DV15"/>
    <mergeCell ref="DS38:DX38"/>
    <mergeCell ref="DS35:DV35"/>
    <mergeCell ref="DS37:DX37"/>
    <mergeCell ref="AB37:AC37"/>
    <mergeCell ref="A1:E2"/>
    <mergeCell ref="G1:G2"/>
    <mergeCell ref="DS30:DV30"/>
    <mergeCell ref="DS33:DV33"/>
    <mergeCell ref="DS4:DV4"/>
    <mergeCell ref="DS20:DV20"/>
    <mergeCell ref="DS16:DV16"/>
    <mergeCell ref="DS7:DV7"/>
    <mergeCell ref="DS25:DV25"/>
    <mergeCell ref="DS32:DV32"/>
    <mergeCell ref="DS26:DV26"/>
    <mergeCell ref="DS22:DV22"/>
    <mergeCell ref="F1:F2"/>
    <mergeCell ref="DS18:DV18"/>
    <mergeCell ref="H1:K2"/>
    <mergeCell ref="DS11:DV11"/>
  </mergeCells>
  <phoneticPr fontId="3"/>
  <conditionalFormatting sqref="B5:D35">
    <cfRule type="expression" dxfId="191" priority="38" stopIfTrue="1">
      <formula>(B5)="土"</formula>
    </cfRule>
    <cfRule type="expression" dxfId="190" priority="39" stopIfTrue="1">
      <formula>(B5)="日"</formula>
    </cfRule>
  </conditionalFormatting>
  <conditionalFormatting sqref="R5:S35">
    <cfRule type="expression" dxfId="189" priority="1" stopIfTrue="1">
      <formula>(R5)="土"</formula>
    </cfRule>
    <cfRule type="expression" dxfId="188" priority="2" stopIfTrue="1">
      <formula>(R5)="日"</formula>
    </cfRule>
  </conditionalFormatting>
  <conditionalFormatting sqref="AX5:AX34">
    <cfRule type="cellIs" dxfId="187" priority="31" operator="equal">
      <formula>0</formula>
    </cfRule>
  </conditionalFormatting>
  <conditionalFormatting sqref="AZ5:AZ34">
    <cfRule type="cellIs" dxfId="186" priority="30" operator="equal">
      <formula>0</formula>
    </cfRule>
  </conditionalFormatting>
  <conditionalFormatting sqref="BB5:BB34">
    <cfRule type="cellIs" dxfId="185" priority="29" operator="equal">
      <formula>0</formula>
    </cfRule>
  </conditionalFormatting>
  <conditionalFormatting sqref="BD5:BD34">
    <cfRule type="cellIs" dxfId="184" priority="28" operator="equal">
      <formula>0</formula>
    </cfRule>
  </conditionalFormatting>
  <conditionalFormatting sqref="BF5:BF34">
    <cfRule type="cellIs" dxfId="183" priority="27" operator="equal">
      <formula>0</formula>
    </cfRule>
  </conditionalFormatting>
  <conditionalFormatting sqref="BH5:BH34">
    <cfRule type="cellIs" dxfId="182" priority="26" operator="equal">
      <formula>0</formula>
    </cfRule>
  </conditionalFormatting>
  <conditionalFormatting sqref="BJ5:BJ34">
    <cfRule type="cellIs" dxfId="181" priority="25" operator="equal">
      <formula>0</formula>
    </cfRule>
  </conditionalFormatting>
  <conditionalFormatting sqref="BL5:BL34">
    <cfRule type="cellIs" dxfId="180" priority="24" operator="equal">
      <formula>0</formula>
    </cfRule>
  </conditionalFormatting>
  <conditionalFormatting sqref="BN5:BN34">
    <cfRule type="cellIs" dxfId="179" priority="23" operator="equal">
      <formula>0</formula>
    </cfRule>
  </conditionalFormatting>
  <conditionalFormatting sqref="BP5:BP34">
    <cfRule type="cellIs" dxfId="178" priority="22" operator="equal">
      <formula>0</formula>
    </cfRule>
  </conditionalFormatting>
  <conditionalFormatting sqref="BR5:BR34">
    <cfRule type="cellIs" dxfId="177" priority="21" operator="equal">
      <formula>0</formula>
    </cfRule>
  </conditionalFormatting>
  <conditionalFormatting sqref="BT5:BT34">
    <cfRule type="cellIs" dxfId="176" priority="20" operator="equal">
      <formula>0</formula>
    </cfRule>
  </conditionalFormatting>
  <conditionalFormatting sqref="BV5:BV34">
    <cfRule type="cellIs" dxfId="175" priority="19" operator="equal">
      <formula>0</formula>
    </cfRule>
  </conditionalFormatting>
  <conditionalFormatting sqref="BX5:BX34">
    <cfRule type="cellIs" dxfId="174" priority="18" operator="equal">
      <formula>0</formula>
    </cfRule>
  </conditionalFormatting>
  <conditionalFormatting sqref="BZ5:BZ34">
    <cfRule type="cellIs" dxfId="173" priority="17" operator="equal">
      <formula>0</formula>
    </cfRule>
  </conditionalFormatting>
  <conditionalFormatting sqref="CB5:CB34">
    <cfRule type="cellIs" dxfId="172" priority="16" operator="equal">
      <formula>0</formula>
    </cfRule>
  </conditionalFormatting>
  <conditionalFormatting sqref="CD5:CD34">
    <cfRule type="cellIs" dxfId="171" priority="15" operator="equal">
      <formula>0</formula>
    </cfRule>
  </conditionalFormatting>
  <conditionalFormatting sqref="CF5:CF34">
    <cfRule type="cellIs" dxfId="170" priority="14" operator="equal">
      <formula>0</formula>
    </cfRule>
  </conditionalFormatting>
  <conditionalFormatting sqref="CH5:CH34">
    <cfRule type="cellIs" dxfId="169" priority="13" operator="equal">
      <formula>0</formula>
    </cfRule>
  </conditionalFormatting>
  <conditionalFormatting sqref="CJ5:CJ34">
    <cfRule type="cellIs" dxfId="168" priority="12" operator="equal">
      <formula>0</formula>
    </cfRule>
  </conditionalFormatting>
  <conditionalFormatting sqref="CL5:CL34">
    <cfRule type="cellIs" dxfId="167" priority="11" operator="equal">
      <formula>0</formula>
    </cfRule>
  </conditionalFormatting>
  <conditionalFormatting sqref="CN5:CN34">
    <cfRule type="cellIs" dxfId="166" priority="10" operator="equal">
      <formula>0</formula>
    </cfRule>
  </conditionalFormatting>
  <conditionalFormatting sqref="CP5:CP34">
    <cfRule type="cellIs" dxfId="165" priority="9" operator="equal">
      <formula>0</formula>
    </cfRule>
  </conditionalFormatting>
  <conditionalFormatting sqref="CR5:CR34">
    <cfRule type="cellIs" dxfId="164" priority="8" operator="equal">
      <formula>0</formula>
    </cfRule>
  </conditionalFormatting>
  <conditionalFormatting sqref="CT5:CT34">
    <cfRule type="cellIs" dxfId="163" priority="7" operator="equal">
      <formula>0</formula>
    </cfRule>
  </conditionalFormatting>
  <conditionalFormatting sqref="DC5:DC36">
    <cfRule type="expression" dxfId="162" priority="3" stopIfTrue="1">
      <formula>(DC5)="土"</formula>
    </cfRule>
    <cfRule type="expression" dxfId="161" priority="4" stopIfTrue="1">
      <formula>(DC5)="日"</formula>
    </cfRule>
  </conditionalFormatting>
  <pageMargins left="0.12" right="0.18" top="0.75" bottom="0.75" header="0.3" footer="0.3"/>
  <pageSetup paperSize="9" orientation="landscape" horizontalDpi="429496729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B42"/>
  <sheetViews>
    <sheetView topLeftCell="CO1" zoomScale="78" zoomScaleNormal="100" workbookViewId="0">
      <pane ySplit="4" topLeftCell="A5" activePane="bottomLeft" state="frozen"/>
      <selection pane="bottomLeft" activeCell="DD4" sqref="DD4"/>
    </sheetView>
  </sheetViews>
  <sheetFormatPr defaultRowHeight="13.5" x14ac:dyDescent="0.4"/>
  <cols>
    <col min="1" max="4" width="3.125" style="5" customWidth="1"/>
    <col min="5" max="5" width="5.625" style="5" customWidth="1"/>
    <col min="6" max="6" width="10.625" style="73" customWidth="1"/>
    <col min="7" max="7" width="12.5" style="73" customWidth="1"/>
    <col min="8" max="10" width="8.625" style="2" customWidth="1"/>
    <col min="11" max="11" width="5.625" style="2" customWidth="1"/>
    <col min="12" max="12" width="4.625" style="2" customWidth="1"/>
    <col min="13" max="13" width="5.625" style="2" customWidth="1"/>
    <col min="14" max="17" width="4.625" style="2" customWidth="1"/>
    <col min="18" max="19" width="3.125" style="5" customWidth="1"/>
    <col min="20" max="20" width="5.625" style="5" customWidth="1"/>
    <col min="21" max="21" width="7.625" style="73" customWidth="1"/>
    <col min="22" max="22" width="8.625" style="73" customWidth="1"/>
    <col min="23" max="24" width="5.625" style="2" customWidth="1"/>
    <col min="25" max="25" width="6.625" style="2" customWidth="1"/>
    <col min="26" max="26" width="9.875" style="2" customWidth="1"/>
    <col min="27" max="38" width="8.625" style="73" customWidth="1"/>
    <col min="39" max="43" width="8.625" style="73" hidden="1" customWidth="1"/>
    <col min="44" max="44" width="12.5" style="2" customWidth="1"/>
    <col min="45" max="45" width="6.75" style="2" customWidth="1"/>
    <col min="46" max="46" width="12.625" style="2" customWidth="1"/>
    <col min="47" max="47" width="8.625" style="161" customWidth="1"/>
    <col min="48" max="48" width="5.5" style="2" bestFit="1" customWidth="1"/>
    <col min="49" max="98" width="6.75" style="2" customWidth="1"/>
    <col min="99" max="100" width="8.625" style="2" customWidth="1"/>
    <col min="101" max="101" width="2.875" style="2" customWidth="1"/>
    <col min="102" max="102" width="10.625" style="2" customWidth="1"/>
    <col min="103" max="103" width="6.625" style="2" customWidth="1"/>
    <col min="104" max="104" width="10.625" style="2" customWidth="1"/>
    <col min="105" max="105" width="6.625" style="2" customWidth="1"/>
    <col min="106" max="107" width="3.125" style="5" customWidth="1"/>
    <col min="108" max="108" width="1.125" style="2" customWidth="1"/>
    <col min="109" max="109" width="2.375" style="2" customWidth="1"/>
    <col min="110" max="120" width="7.625" style="6" hidden="1" customWidth="1"/>
    <col min="121" max="121" width="6.75" style="2" hidden="1" customWidth="1"/>
    <col min="122" max="122" width="8.75" style="2" customWidth="1"/>
    <col min="123" max="126" width="8.625" style="2" customWidth="1"/>
    <col min="127" max="127" width="12.625" style="2" customWidth="1"/>
    <col min="128" max="128" width="8.625" style="2" customWidth="1"/>
    <col min="129" max="303" width="9" style="2" customWidth="1"/>
    <col min="304" max="305" width="3.125" style="2" customWidth="1"/>
    <col min="306" max="306" width="5.875" style="2" bestFit="1" customWidth="1"/>
    <col min="307" max="307" width="5.625" style="2" customWidth="1"/>
    <col min="308" max="308" width="10.625" style="2" customWidth="1"/>
    <col min="309" max="309" width="12.625" style="2" customWidth="1"/>
    <col min="310" max="310" width="8.625" style="2" customWidth="1"/>
    <col min="311" max="311" width="5.625" style="2" customWidth="1"/>
    <col min="312" max="312" width="4.625" style="2" customWidth="1"/>
    <col min="313" max="313" width="5.625" style="2" customWidth="1"/>
    <col min="314" max="317" width="4.625" style="2" customWidth="1"/>
    <col min="318" max="318" width="7.625" style="2" customWidth="1"/>
    <col min="319" max="319" width="8.625" style="2" customWidth="1"/>
    <col min="320" max="321" width="5.625" style="2" customWidth="1"/>
    <col min="322" max="322" width="6.625" style="2" customWidth="1"/>
    <col min="323" max="323" width="9.875" style="2" customWidth="1"/>
    <col min="324" max="325" width="8.625" style="2" customWidth="1"/>
    <col min="326" max="326" width="5.5" style="2" bestFit="1" customWidth="1"/>
    <col min="327" max="368" width="6.75" style="2" customWidth="1"/>
    <col min="369" max="369" width="9" style="2" customWidth="1"/>
    <col min="370" max="370" width="9.875" style="2" customWidth="1"/>
    <col min="371" max="371" width="2.875" style="2" customWidth="1"/>
    <col min="372" max="372" width="12.25" style="2" customWidth="1"/>
    <col min="373" max="373" width="6.375" style="2" customWidth="1"/>
    <col min="374" max="375" width="3.125" style="2" customWidth="1"/>
    <col min="376" max="376" width="1.125" style="2" customWidth="1"/>
    <col min="377" max="377" width="9" style="2" customWidth="1"/>
    <col min="378" max="378" width="2.375" style="2" customWidth="1"/>
    <col min="379" max="396" width="7.625" style="2" customWidth="1"/>
    <col min="397" max="559" width="9" style="2" customWidth="1"/>
    <col min="560" max="561" width="3.125" style="2" customWidth="1"/>
    <col min="562" max="562" width="5.875" style="2" bestFit="1" customWidth="1"/>
    <col min="563" max="563" width="5.625" style="2" customWidth="1"/>
    <col min="564" max="564" width="10.625" style="2" customWidth="1"/>
    <col min="565" max="565" width="12.625" style="2" customWidth="1"/>
    <col min="566" max="566" width="8.625" style="2" customWidth="1"/>
    <col min="567" max="567" width="5.625" style="2" customWidth="1"/>
    <col min="568" max="568" width="4.625" style="2" customWidth="1"/>
    <col min="569" max="569" width="5.625" style="2" customWidth="1"/>
    <col min="570" max="573" width="4.625" style="2" customWidth="1"/>
    <col min="574" max="574" width="7.625" style="2" customWidth="1"/>
    <col min="575" max="575" width="8.625" style="2" customWidth="1"/>
    <col min="576" max="577" width="5.625" style="2" customWidth="1"/>
    <col min="578" max="578" width="6.625" style="2" customWidth="1"/>
    <col min="579" max="579" width="9.875" style="2" customWidth="1"/>
    <col min="580" max="581" width="8.625" style="2" customWidth="1"/>
    <col min="582" max="582" width="5.5" style="2" bestFit="1" customWidth="1"/>
    <col min="583" max="624" width="6.75" style="2" customWidth="1"/>
    <col min="625" max="625" width="9" style="2" customWidth="1"/>
    <col min="626" max="626" width="9.875" style="2" customWidth="1"/>
    <col min="627" max="627" width="2.875" style="2" customWidth="1"/>
    <col min="628" max="628" width="12.25" style="2" customWidth="1"/>
    <col min="629" max="629" width="6.375" style="2" customWidth="1"/>
    <col min="630" max="631" width="3.125" style="2" customWidth="1"/>
    <col min="632" max="632" width="1.125" style="2" customWidth="1"/>
    <col min="633" max="633" width="9" style="2" customWidth="1"/>
    <col min="634" max="634" width="2.375" style="2" customWidth="1"/>
    <col min="635" max="652" width="7.625" style="2" customWidth="1"/>
    <col min="653" max="815" width="9" style="2" customWidth="1"/>
    <col min="816" max="817" width="3.125" style="2" customWidth="1"/>
    <col min="818" max="818" width="5.875" style="2" bestFit="1" customWidth="1"/>
    <col min="819" max="819" width="5.625" style="2" customWidth="1"/>
    <col min="820" max="820" width="10.625" style="2" customWidth="1"/>
    <col min="821" max="821" width="12.625" style="2" customWidth="1"/>
    <col min="822" max="822" width="8.625" style="2" customWidth="1"/>
    <col min="823" max="823" width="5.625" style="2" customWidth="1"/>
    <col min="824" max="824" width="4.625" style="2" customWidth="1"/>
    <col min="825" max="825" width="5.625" style="2" customWidth="1"/>
    <col min="826" max="829" width="4.625" style="2" customWidth="1"/>
    <col min="830" max="830" width="7.625" style="2" customWidth="1"/>
    <col min="831" max="831" width="8.625" style="2" customWidth="1"/>
    <col min="832" max="833" width="5.625" style="2" customWidth="1"/>
    <col min="834" max="834" width="6.625" style="2" customWidth="1"/>
    <col min="835" max="835" width="9.875" style="2" customWidth="1"/>
    <col min="836" max="837" width="8.625" style="2" customWidth="1"/>
    <col min="838" max="838" width="5.5" style="2" bestFit="1" customWidth="1"/>
    <col min="839" max="880" width="6.75" style="2" customWidth="1"/>
    <col min="881" max="881" width="9" style="2" customWidth="1"/>
    <col min="882" max="882" width="9.875" style="2" customWidth="1"/>
    <col min="883" max="883" width="2.875" style="2" customWidth="1"/>
    <col min="884" max="884" width="12.25" style="2" customWidth="1"/>
    <col min="885" max="885" width="6.375" style="2" customWidth="1"/>
    <col min="886" max="887" width="3.125" style="2" customWidth="1"/>
    <col min="888" max="888" width="1.125" style="2" customWidth="1"/>
    <col min="889" max="889" width="9" style="2" customWidth="1"/>
    <col min="890" max="890" width="2.375" style="2" customWidth="1"/>
    <col min="891" max="908" width="7.625" style="2" customWidth="1"/>
    <col min="909" max="1071" width="9" style="2" customWidth="1"/>
    <col min="1072" max="1073" width="3.125" style="2" customWidth="1"/>
    <col min="1074" max="1074" width="5.875" style="2" bestFit="1" customWidth="1"/>
    <col min="1075" max="1075" width="5.625" style="2" customWidth="1"/>
    <col min="1076" max="1076" width="10.625" style="2" customWidth="1"/>
    <col min="1077" max="1077" width="12.625" style="2" customWidth="1"/>
    <col min="1078" max="1078" width="8.625" style="2" customWidth="1"/>
    <col min="1079" max="1079" width="5.625" style="2" customWidth="1"/>
    <col min="1080" max="1080" width="4.625" style="2" customWidth="1"/>
    <col min="1081" max="1081" width="5.625" style="2" customWidth="1"/>
    <col min="1082" max="1085" width="4.625" style="2" customWidth="1"/>
    <col min="1086" max="1086" width="7.625" style="2" customWidth="1"/>
    <col min="1087" max="1087" width="8.625" style="2" customWidth="1"/>
    <col min="1088" max="1089" width="5.625" style="2" customWidth="1"/>
    <col min="1090" max="1090" width="6.625" style="2" customWidth="1"/>
    <col min="1091" max="1091" width="9.875" style="2" customWidth="1"/>
    <col min="1092" max="1093" width="8.625" style="2" customWidth="1"/>
    <col min="1094" max="1094" width="5.5" style="2" bestFit="1" customWidth="1"/>
    <col min="1095" max="1136" width="6.75" style="2" customWidth="1"/>
    <col min="1137" max="1137" width="9" style="2" customWidth="1"/>
    <col min="1138" max="1138" width="9.875" style="2" customWidth="1"/>
    <col min="1139" max="1139" width="2.875" style="2" customWidth="1"/>
    <col min="1140" max="1140" width="12.25" style="2" customWidth="1"/>
    <col min="1141" max="1141" width="6.375" style="2" customWidth="1"/>
    <col min="1142" max="1143" width="3.125" style="2" customWidth="1"/>
    <col min="1144" max="1144" width="1.125" style="2" customWidth="1"/>
    <col min="1145" max="1145" width="9" style="2" customWidth="1"/>
    <col min="1146" max="1146" width="2.375" style="2" customWidth="1"/>
    <col min="1147" max="1164" width="7.625" style="2" customWidth="1"/>
    <col min="1165" max="1327" width="9" style="2" customWidth="1"/>
    <col min="1328" max="1329" width="3.125" style="2" customWidth="1"/>
    <col min="1330" max="1330" width="5.875" style="2" bestFit="1" customWidth="1"/>
    <col min="1331" max="1331" width="5.625" style="2" customWidth="1"/>
    <col min="1332" max="1332" width="10.625" style="2" customWidth="1"/>
    <col min="1333" max="1333" width="12.625" style="2" customWidth="1"/>
    <col min="1334" max="1334" width="8.625" style="2" customWidth="1"/>
    <col min="1335" max="1335" width="5.625" style="2" customWidth="1"/>
    <col min="1336" max="1336" width="4.625" style="2" customWidth="1"/>
    <col min="1337" max="1337" width="5.625" style="2" customWidth="1"/>
    <col min="1338" max="1341" width="4.625" style="2" customWidth="1"/>
    <col min="1342" max="1342" width="7.625" style="2" customWidth="1"/>
    <col min="1343" max="1343" width="8.625" style="2" customWidth="1"/>
    <col min="1344" max="1345" width="5.625" style="2" customWidth="1"/>
    <col min="1346" max="1346" width="6.625" style="2" customWidth="1"/>
    <col min="1347" max="1347" width="9.875" style="2" customWidth="1"/>
    <col min="1348" max="1349" width="8.625" style="2" customWidth="1"/>
    <col min="1350" max="1350" width="5.5" style="2" bestFit="1" customWidth="1"/>
    <col min="1351" max="1392" width="6.75" style="2" customWidth="1"/>
    <col min="1393" max="1393" width="9" style="2" customWidth="1"/>
    <col min="1394" max="1394" width="9.875" style="2" customWidth="1"/>
    <col min="1395" max="1395" width="2.875" style="2" customWidth="1"/>
    <col min="1396" max="1396" width="12.25" style="2" customWidth="1"/>
    <col min="1397" max="1397" width="6.375" style="2" customWidth="1"/>
    <col min="1398" max="1399" width="3.125" style="2" customWidth="1"/>
    <col min="1400" max="1400" width="1.125" style="2" customWidth="1"/>
    <col min="1401" max="1401" width="9" style="2" customWidth="1"/>
    <col min="1402" max="1402" width="2.375" style="2" customWidth="1"/>
    <col min="1403" max="1420" width="7.625" style="2" customWidth="1"/>
    <col min="1421" max="1583" width="9" style="2" customWidth="1"/>
    <col min="1584" max="1585" width="3.125" style="2" customWidth="1"/>
    <col min="1586" max="1586" width="5.875" style="2" bestFit="1" customWidth="1"/>
    <col min="1587" max="1587" width="5.625" style="2" customWidth="1"/>
    <col min="1588" max="1588" width="10.625" style="2" customWidth="1"/>
    <col min="1589" max="1589" width="12.625" style="2" customWidth="1"/>
    <col min="1590" max="1590" width="8.625" style="2" customWidth="1"/>
    <col min="1591" max="1591" width="5.625" style="2" customWidth="1"/>
    <col min="1592" max="1592" width="4.625" style="2" customWidth="1"/>
    <col min="1593" max="1593" width="5.625" style="2" customWidth="1"/>
    <col min="1594" max="1597" width="4.625" style="2" customWidth="1"/>
    <col min="1598" max="1598" width="7.625" style="2" customWidth="1"/>
    <col min="1599" max="1599" width="8.625" style="2" customWidth="1"/>
    <col min="1600" max="1601" width="5.625" style="2" customWidth="1"/>
    <col min="1602" max="1602" width="6.625" style="2" customWidth="1"/>
    <col min="1603" max="1603" width="9.875" style="2" customWidth="1"/>
    <col min="1604" max="1605" width="8.625" style="2" customWidth="1"/>
    <col min="1606" max="1606" width="5.5" style="2" bestFit="1" customWidth="1"/>
    <col min="1607" max="1648" width="6.75" style="2" customWidth="1"/>
    <col min="1649" max="1649" width="9" style="2" customWidth="1"/>
    <col min="1650" max="1650" width="9.875" style="2" customWidth="1"/>
    <col min="1651" max="1651" width="2.875" style="2" customWidth="1"/>
    <col min="1652" max="1652" width="12.25" style="2" customWidth="1"/>
    <col min="1653" max="1653" width="6.375" style="2" customWidth="1"/>
    <col min="1654" max="1655" width="3.125" style="2" customWidth="1"/>
    <col min="1656" max="1656" width="1.125" style="2" customWidth="1"/>
    <col min="1657" max="1657" width="9" style="2" customWidth="1"/>
    <col min="1658" max="1658" width="2.375" style="2" customWidth="1"/>
    <col min="1659" max="1676" width="7.625" style="2" customWidth="1"/>
    <col min="1677" max="1839" width="9" style="2" customWidth="1"/>
    <col min="1840" max="1841" width="3.125" style="2" customWidth="1"/>
    <col min="1842" max="1842" width="5.875" style="2" bestFit="1" customWidth="1"/>
    <col min="1843" max="1843" width="5.625" style="2" customWidth="1"/>
    <col min="1844" max="1844" width="10.625" style="2" customWidth="1"/>
    <col min="1845" max="1845" width="12.625" style="2" customWidth="1"/>
    <col min="1846" max="1846" width="8.625" style="2" customWidth="1"/>
    <col min="1847" max="1847" width="5.625" style="2" customWidth="1"/>
    <col min="1848" max="1848" width="4.625" style="2" customWidth="1"/>
    <col min="1849" max="1849" width="5.625" style="2" customWidth="1"/>
    <col min="1850" max="1853" width="4.625" style="2" customWidth="1"/>
    <col min="1854" max="1854" width="7.625" style="2" customWidth="1"/>
    <col min="1855" max="1855" width="8.625" style="2" customWidth="1"/>
    <col min="1856" max="1857" width="5.625" style="2" customWidth="1"/>
    <col min="1858" max="1858" width="6.625" style="2" customWidth="1"/>
    <col min="1859" max="1859" width="9.875" style="2" customWidth="1"/>
    <col min="1860" max="1861" width="8.625" style="2" customWidth="1"/>
    <col min="1862" max="1862" width="5.5" style="2" bestFit="1" customWidth="1"/>
    <col min="1863" max="1904" width="6.75" style="2" customWidth="1"/>
    <col min="1905" max="1905" width="9" style="2" customWidth="1"/>
    <col min="1906" max="1906" width="9.875" style="2" customWidth="1"/>
    <col min="1907" max="1907" width="2.875" style="2" customWidth="1"/>
    <col min="1908" max="1908" width="12.25" style="2" customWidth="1"/>
    <col min="1909" max="1909" width="6.375" style="2" customWidth="1"/>
    <col min="1910" max="1911" width="3.125" style="2" customWidth="1"/>
    <col min="1912" max="1912" width="1.125" style="2" customWidth="1"/>
    <col min="1913" max="1913" width="9" style="2" customWidth="1"/>
    <col min="1914" max="1914" width="2.375" style="2" customWidth="1"/>
    <col min="1915" max="1932" width="7.625" style="2" customWidth="1"/>
    <col min="1933" max="2095" width="9" style="2" customWidth="1"/>
    <col min="2096" max="2097" width="3.125" style="2" customWidth="1"/>
    <col min="2098" max="2098" width="5.875" style="2" bestFit="1" customWidth="1"/>
    <col min="2099" max="2099" width="5.625" style="2" customWidth="1"/>
    <col min="2100" max="2100" width="10.625" style="2" customWidth="1"/>
    <col min="2101" max="2101" width="12.625" style="2" customWidth="1"/>
    <col min="2102" max="2102" width="8.625" style="2" customWidth="1"/>
    <col min="2103" max="2103" width="5.625" style="2" customWidth="1"/>
    <col min="2104" max="2104" width="4.625" style="2" customWidth="1"/>
    <col min="2105" max="2105" width="5.625" style="2" customWidth="1"/>
    <col min="2106" max="2109" width="4.625" style="2" customWidth="1"/>
    <col min="2110" max="2110" width="7.625" style="2" customWidth="1"/>
    <col min="2111" max="2111" width="8.625" style="2" customWidth="1"/>
    <col min="2112" max="2113" width="5.625" style="2" customWidth="1"/>
    <col min="2114" max="2114" width="6.625" style="2" customWidth="1"/>
    <col min="2115" max="2115" width="9.875" style="2" customWidth="1"/>
    <col min="2116" max="2117" width="8.625" style="2" customWidth="1"/>
    <col min="2118" max="2118" width="5.5" style="2" bestFit="1" customWidth="1"/>
    <col min="2119" max="2160" width="6.75" style="2" customWidth="1"/>
    <col min="2161" max="2161" width="9" style="2" customWidth="1"/>
    <col min="2162" max="2162" width="9.875" style="2" customWidth="1"/>
    <col min="2163" max="2163" width="2.875" style="2" customWidth="1"/>
    <col min="2164" max="2164" width="12.25" style="2" customWidth="1"/>
    <col min="2165" max="2165" width="6.375" style="2" customWidth="1"/>
    <col min="2166" max="2167" width="3.125" style="2" customWidth="1"/>
    <col min="2168" max="2168" width="1.125" style="2" customWidth="1"/>
    <col min="2169" max="2169" width="9" style="2" customWidth="1"/>
    <col min="2170" max="2170" width="2.375" style="2" customWidth="1"/>
    <col min="2171" max="2188" width="7.625" style="2" customWidth="1"/>
    <col min="2189" max="2351" width="9" style="2" customWidth="1"/>
    <col min="2352" max="2353" width="3.125" style="2" customWidth="1"/>
    <col min="2354" max="2354" width="5.875" style="2" bestFit="1" customWidth="1"/>
    <col min="2355" max="2355" width="5.625" style="2" customWidth="1"/>
    <col min="2356" max="2356" width="10.625" style="2" customWidth="1"/>
    <col min="2357" max="2357" width="12.625" style="2" customWidth="1"/>
    <col min="2358" max="2358" width="8.625" style="2" customWidth="1"/>
    <col min="2359" max="2359" width="5.625" style="2" customWidth="1"/>
    <col min="2360" max="2360" width="4.625" style="2" customWidth="1"/>
    <col min="2361" max="2361" width="5.625" style="2" customWidth="1"/>
    <col min="2362" max="2365" width="4.625" style="2" customWidth="1"/>
    <col min="2366" max="2366" width="7.625" style="2" customWidth="1"/>
    <col min="2367" max="2367" width="8.625" style="2" customWidth="1"/>
    <col min="2368" max="2369" width="5.625" style="2" customWidth="1"/>
    <col min="2370" max="2370" width="6.625" style="2" customWidth="1"/>
    <col min="2371" max="2371" width="9.875" style="2" customWidth="1"/>
    <col min="2372" max="2373" width="8.625" style="2" customWidth="1"/>
    <col min="2374" max="2374" width="5.5" style="2" bestFit="1" customWidth="1"/>
    <col min="2375" max="2416" width="6.75" style="2" customWidth="1"/>
    <col min="2417" max="2417" width="9" style="2" customWidth="1"/>
    <col min="2418" max="2418" width="9.875" style="2" customWidth="1"/>
    <col min="2419" max="2419" width="2.875" style="2" customWidth="1"/>
    <col min="2420" max="2420" width="12.25" style="2" customWidth="1"/>
    <col min="2421" max="2421" width="6.375" style="2" customWidth="1"/>
    <col min="2422" max="2423" width="3.125" style="2" customWidth="1"/>
    <col min="2424" max="2424" width="1.125" style="2" customWidth="1"/>
    <col min="2425" max="2425" width="9" style="2" customWidth="1"/>
    <col min="2426" max="2426" width="2.375" style="2" customWidth="1"/>
    <col min="2427" max="2444" width="7.625" style="2" customWidth="1"/>
    <col min="2445" max="2607" width="9" style="2" customWidth="1"/>
    <col min="2608" max="2609" width="3.125" style="2" customWidth="1"/>
    <col min="2610" max="2610" width="5.875" style="2" bestFit="1" customWidth="1"/>
    <col min="2611" max="2611" width="5.625" style="2" customWidth="1"/>
    <col min="2612" max="2612" width="10.625" style="2" customWidth="1"/>
    <col min="2613" max="2613" width="12.625" style="2" customWidth="1"/>
    <col min="2614" max="2614" width="8.625" style="2" customWidth="1"/>
    <col min="2615" max="2615" width="5.625" style="2" customWidth="1"/>
    <col min="2616" max="2616" width="4.625" style="2" customWidth="1"/>
    <col min="2617" max="2617" width="5.625" style="2" customWidth="1"/>
    <col min="2618" max="2621" width="4.625" style="2" customWidth="1"/>
    <col min="2622" max="2622" width="7.625" style="2" customWidth="1"/>
    <col min="2623" max="2623" width="8.625" style="2" customWidth="1"/>
    <col min="2624" max="2625" width="5.625" style="2" customWidth="1"/>
    <col min="2626" max="2626" width="6.625" style="2" customWidth="1"/>
    <col min="2627" max="2627" width="9.875" style="2" customWidth="1"/>
    <col min="2628" max="2629" width="8.625" style="2" customWidth="1"/>
    <col min="2630" max="2630" width="5.5" style="2" bestFit="1" customWidth="1"/>
    <col min="2631" max="2672" width="6.75" style="2" customWidth="1"/>
    <col min="2673" max="2673" width="9" style="2" customWidth="1"/>
    <col min="2674" max="2674" width="9.875" style="2" customWidth="1"/>
    <col min="2675" max="2675" width="2.875" style="2" customWidth="1"/>
    <col min="2676" max="2676" width="12.25" style="2" customWidth="1"/>
    <col min="2677" max="2677" width="6.375" style="2" customWidth="1"/>
    <col min="2678" max="2679" width="3.125" style="2" customWidth="1"/>
    <col min="2680" max="2680" width="1.125" style="2" customWidth="1"/>
    <col min="2681" max="2681" width="9" style="2" customWidth="1"/>
    <col min="2682" max="2682" width="2.375" style="2" customWidth="1"/>
    <col min="2683" max="2700" width="7.625" style="2" customWidth="1"/>
    <col min="2701" max="2863" width="9" style="2" customWidth="1"/>
    <col min="2864" max="2865" width="3.125" style="2" customWidth="1"/>
    <col min="2866" max="2866" width="5.875" style="2" bestFit="1" customWidth="1"/>
    <col min="2867" max="2867" width="5.625" style="2" customWidth="1"/>
    <col min="2868" max="2868" width="10.625" style="2" customWidth="1"/>
    <col min="2869" max="2869" width="12.625" style="2" customWidth="1"/>
    <col min="2870" max="2870" width="8.625" style="2" customWidth="1"/>
    <col min="2871" max="2871" width="5.625" style="2" customWidth="1"/>
    <col min="2872" max="2872" width="4.625" style="2" customWidth="1"/>
    <col min="2873" max="2873" width="5.625" style="2" customWidth="1"/>
    <col min="2874" max="2877" width="4.625" style="2" customWidth="1"/>
    <col min="2878" max="2878" width="7.625" style="2" customWidth="1"/>
    <col min="2879" max="2879" width="8.625" style="2" customWidth="1"/>
    <col min="2880" max="2881" width="5.625" style="2" customWidth="1"/>
    <col min="2882" max="2882" width="6.625" style="2" customWidth="1"/>
    <col min="2883" max="2883" width="9.875" style="2" customWidth="1"/>
    <col min="2884" max="2885" width="8.625" style="2" customWidth="1"/>
    <col min="2886" max="2886" width="5.5" style="2" bestFit="1" customWidth="1"/>
    <col min="2887" max="2928" width="6.75" style="2" customWidth="1"/>
    <col min="2929" max="2929" width="9" style="2" customWidth="1"/>
    <col min="2930" max="2930" width="9.875" style="2" customWidth="1"/>
    <col min="2931" max="2931" width="2.875" style="2" customWidth="1"/>
    <col min="2932" max="2932" width="12.25" style="2" customWidth="1"/>
    <col min="2933" max="2933" width="6.375" style="2" customWidth="1"/>
    <col min="2934" max="2935" width="3.125" style="2" customWidth="1"/>
    <col min="2936" max="2936" width="1.125" style="2" customWidth="1"/>
    <col min="2937" max="2937" width="9" style="2" customWidth="1"/>
    <col min="2938" max="2938" width="2.375" style="2" customWidth="1"/>
    <col min="2939" max="2956" width="7.625" style="2" customWidth="1"/>
    <col min="2957" max="3119" width="9" style="2" customWidth="1"/>
    <col min="3120" max="3121" width="3.125" style="2" customWidth="1"/>
    <col min="3122" max="3122" width="5.875" style="2" bestFit="1" customWidth="1"/>
    <col min="3123" max="3123" width="5.625" style="2" customWidth="1"/>
    <col min="3124" max="3124" width="10.625" style="2" customWidth="1"/>
    <col min="3125" max="3125" width="12.625" style="2" customWidth="1"/>
    <col min="3126" max="3126" width="8.625" style="2" customWidth="1"/>
    <col min="3127" max="3127" width="5.625" style="2" customWidth="1"/>
    <col min="3128" max="3128" width="4.625" style="2" customWidth="1"/>
    <col min="3129" max="3129" width="5.625" style="2" customWidth="1"/>
    <col min="3130" max="3133" width="4.625" style="2" customWidth="1"/>
    <col min="3134" max="3134" width="7.625" style="2" customWidth="1"/>
    <col min="3135" max="3135" width="8.625" style="2" customWidth="1"/>
    <col min="3136" max="3137" width="5.625" style="2" customWidth="1"/>
    <col min="3138" max="3138" width="6.625" style="2" customWidth="1"/>
    <col min="3139" max="3139" width="9.875" style="2" customWidth="1"/>
    <col min="3140" max="3141" width="8.625" style="2" customWidth="1"/>
    <col min="3142" max="3142" width="5.5" style="2" bestFit="1" customWidth="1"/>
    <col min="3143" max="3184" width="6.75" style="2" customWidth="1"/>
    <col min="3185" max="3185" width="9" style="2" customWidth="1"/>
    <col min="3186" max="3186" width="9.875" style="2" customWidth="1"/>
    <col min="3187" max="3187" width="2.875" style="2" customWidth="1"/>
    <col min="3188" max="3188" width="12.25" style="2" customWidth="1"/>
    <col min="3189" max="3189" width="6.375" style="2" customWidth="1"/>
    <col min="3190" max="3191" width="3.125" style="2" customWidth="1"/>
    <col min="3192" max="3192" width="1.125" style="2" customWidth="1"/>
    <col min="3193" max="3193" width="9" style="2" customWidth="1"/>
    <col min="3194" max="3194" width="2.375" style="2" customWidth="1"/>
    <col min="3195" max="3212" width="7.625" style="2" customWidth="1"/>
    <col min="3213" max="3375" width="9" style="2" customWidth="1"/>
    <col min="3376" max="3377" width="3.125" style="2" customWidth="1"/>
    <col min="3378" max="3378" width="5.875" style="2" bestFit="1" customWidth="1"/>
    <col min="3379" max="3379" width="5.625" style="2" customWidth="1"/>
    <col min="3380" max="3380" width="10.625" style="2" customWidth="1"/>
    <col min="3381" max="3381" width="12.625" style="2" customWidth="1"/>
    <col min="3382" max="3382" width="8.625" style="2" customWidth="1"/>
    <col min="3383" max="3383" width="5.625" style="2" customWidth="1"/>
    <col min="3384" max="3384" width="4.625" style="2" customWidth="1"/>
    <col min="3385" max="3385" width="5.625" style="2" customWidth="1"/>
    <col min="3386" max="3389" width="4.625" style="2" customWidth="1"/>
    <col min="3390" max="3390" width="7.625" style="2" customWidth="1"/>
    <col min="3391" max="3391" width="8.625" style="2" customWidth="1"/>
    <col min="3392" max="3393" width="5.625" style="2" customWidth="1"/>
    <col min="3394" max="3394" width="6.625" style="2" customWidth="1"/>
    <col min="3395" max="3395" width="9.875" style="2" customWidth="1"/>
    <col min="3396" max="3397" width="8.625" style="2" customWidth="1"/>
    <col min="3398" max="3398" width="5.5" style="2" bestFit="1" customWidth="1"/>
    <col min="3399" max="3440" width="6.75" style="2" customWidth="1"/>
    <col min="3441" max="3441" width="9" style="2" customWidth="1"/>
    <col min="3442" max="3442" width="9.875" style="2" customWidth="1"/>
    <col min="3443" max="3443" width="2.875" style="2" customWidth="1"/>
    <col min="3444" max="3444" width="12.25" style="2" customWidth="1"/>
    <col min="3445" max="3445" width="6.375" style="2" customWidth="1"/>
    <col min="3446" max="3447" width="3.125" style="2" customWidth="1"/>
    <col min="3448" max="3448" width="1.125" style="2" customWidth="1"/>
    <col min="3449" max="3449" width="9" style="2" customWidth="1"/>
    <col min="3450" max="3450" width="2.375" style="2" customWidth="1"/>
    <col min="3451" max="3468" width="7.625" style="2" customWidth="1"/>
    <col min="3469" max="3631" width="9" style="2" customWidth="1"/>
    <col min="3632" max="3633" width="3.125" style="2" customWidth="1"/>
    <col min="3634" max="3634" width="5.875" style="2" bestFit="1" customWidth="1"/>
    <col min="3635" max="3635" width="5.625" style="2" customWidth="1"/>
    <col min="3636" max="3636" width="10.625" style="2" customWidth="1"/>
    <col min="3637" max="3637" width="12.625" style="2" customWidth="1"/>
    <col min="3638" max="3638" width="8.625" style="2" customWidth="1"/>
    <col min="3639" max="3639" width="5.625" style="2" customWidth="1"/>
    <col min="3640" max="3640" width="4.625" style="2" customWidth="1"/>
    <col min="3641" max="3641" width="5.625" style="2" customWidth="1"/>
    <col min="3642" max="3645" width="4.625" style="2" customWidth="1"/>
    <col min="3646" max="3646" width="7.625" style="2" customWidth="1"/>
    <col min="3647" max="3647" width="8.625" style="2" customWidth="1"/>
    <col min="3648" max="3649" width="5.625" style="2" customWidth="1"/>
    <col min="3650" max="3650" width="6.625" style="2" customWidth="1"/>
    <col min="3651" max="3651" width="9.875" style="2" customWidth="1"/>
    <col min="3652" max="3653" width="8.625" style="2" customWidth="1"/>
    <col min="3654" max="3654" width="5.5" style="2" bestFit="1" customWidth="1"/>
    <col min="3655" max="3696" width="6.75" style="2" customWidth="1"/>
    <col min="3697" max="3697" width="9" style="2" customWidth="1"/>
    <col min="3698" max="3698" width="9.875" style="2" customWidth="1"/>
    <col min="3699" max="3699" width="2.875" style="2" customWidth="1"/>
    <col min="3700" max="3700" width="12.25" style="2" customWidth="1"/>
    <col min="3701" max="3701" width="6.375" style="2" customWidth="1"/>
    <col min="3702" max="3703" width="3.125" style="2" customWidth="1"/>
    <col min="3704" max="3704" width="1.125" style="2" customWidth="1"/>
    <col min="3705" max="3705" width="9" style="2" customWidth="1"/>
    <col min="3706" max="3706" width="2.375" style="2" customWidth="1"/>
    <col min="3707" max="3724" width="7.625" style="2" customWidth="1"/>
    <col min="3725" max="3887" width="9" style="2" customWidth="1"/>
    <col min="3888" max="3889" width="3.125" style="2" customWidth="1"/>
    <col min="3890" max="3890" width="5.875" style="2" bestFit="1" customWidth="1"/>
    <col min="3891" max="3891" width="5.625" style="2" customWidth="1"/>
    <col min="3892" max="3892" width="10.625" style="2" customWidth="1"/>
    <col min="3893" max="3893" width="12.625" style="2" customWidth="1"/>
    <col min="3894" max="3894" width="8.625" style="2" customWidth="1"/>
    <col min="3895" max="3895" width="5.625" style="2" customWidth="1"/>
    <col min="3896" max="3896" width="4.625" style="2" customWidth="1"/>
    <col min="3897" max="3897" width="5.625" style="2" customWidth="1"/>
    <col min="3898" max="3901" width="4.625" style="2" customWidth="1"/>
    <col min="3902" max="3902" width="7.625" style="2" customWidth="1"/>
    <col min="3903" max="3903" width="8.625" style="2" customWidth="1"/>
    <col min="3904" max="3905" width="5.625" style="2" customWidth="1"/>
    <col min="3906" max="3906" width="6.625" style="2" customWidth="1"/>
    <col min="3907" max="3907" width="9.875" style="2" customWidth="1"/>
    <col min="3908" max="3909" width="8.625" style="2" customWidth="1"/>
    <col min="3910" max="3910" width="5.5" style="2" bestFit="1" customWidth="1"/>
    <col min="3911" max="3952" width="6.75" style="2" customWidth="1"/>
    <col min="3953" max="3953" width="9" style="2" customWidth="1"/>
    <col min="3954" max="3954" width="9.875" style="2" customWidth="1"/>
    <col min="3955" max="3955" width="2.875" style="2" customWidth="1"/>
    <col min="3956" max="3956" width="12.25" style="2" customWidth="1"/>
    <col min="3957" max="3957" width="6.375" style="2" customWidth="1"/>
    <col min="3958" max="3959" width="3.125" style="2" customWidth="1"/>
    <col min="3960" max="3960" width="1.125" style="2" customWidth="1"/>
    <col min="3961" max="3961" width="9" style="2" customWidth="1"/>
    <col min="3962" max="3962" width="2.375" style="2" customWidth="1"/>
    <col min="3963" max="3980" width="7.625" style="2" customWidth="1"/>
    <col min="3981" max="4143" width="9" style="2" customWidth="1"/>
    <col min="4144" max="4145" width="3.125" style="2" customWidth="1"/>
    <col min="4146" max="4146" width="5.875" style="2" bestFit="1" customWidth="1"/>
    <col min="4147" max="4147" width="5.625" style="2" customWidth="1"/>
    <col min="4148" max="4148" width="10.625" style="2" customWidth="1"/>
    <col min="4149" max="4149" width="12.625" style="2" customWidth="1"/>
    <col min="4150" max="4150" width="8.625" style="2" customWidth="1"/>
    <col min="4151" max="4151" width="5.625" style="2" customWidth="1"/>
    <col min="4152" max="4152" width="4.625" style="2" customWidth="1"/>
    <col min="4153" max="4153" width="5.625" style="2" customWidth="1"/>
    <col min="4154" max="4157" width="4.625" style="2" customWidth="1"/>
    <col min="4158" max="4158" width="7.625" style="2" customWidth="1"/>
    <col min="4159" max="4159" width="8.625" style="2" customWidth="1"/>
    <col min="4160" max="4161" width="5.625" style="2" customWidth="1"/>
    <col min="4162" max="4162" width="6.625" style="2" customWidth="1"/>
    <col min="4163" max="4163" width="9.875" style="2" customWidth="1"/>
    <col min="4164" max="4165" width="8.625" style="2" customWidth="1"/>
    <col min="4166" max="4166" width="5.5" style="2" bestFit="1" customWidth="1"/>
    <col min="4167" max="4208" width="6.75" style="2" customWidth="1"/>
    <col min="4209" max="4209" width="9" style="2" customWidth="1"/>
    <col min="4210" max="4210" width="9.875" style="2" customWidth="1"/>
    <col min="4211" max="4211" width="2.875" style="2" customWidth="1"/>
    <col min="4212" max="4212" width="12.25" style="2" customWidth="1"/>
    <col min="4213" max="4213" width="6.375" style="2" customWidth="1"/>
    <col min="4214" max="4215" width="3.125" style="2" customWidth="1"/>
    <col min="4216" max="4216" width="1.125" style="2" customWidth="1"/>
    <col min="4217" max="4217" width="9" style="2" customWidth="1"/>
    <col min="4218" max="4218" width="2.375" style="2" customWidth="1"/>
    <col min="4219" max="4236" width="7.625" style="2" customWidth="1"/>
    <col min="4237" max="4399" width="9" style="2" customWidth="1"/>
    <col min="4400" max="4401" width="3.125" style="2" customWidth="1"/>
    <col min="4402" max="4402" width="5.875" style="2" bestFit="1" customWidth="1"/>
    <col min="4403" max="4403" width="5.625" style="2" customWidth="1"/>
    <col min="4404" max="4404" width="10.625" style="2" customWidth="1"/>
    <col min="4405" max="4405" width="12.625" style="2" customWidth="1"/>
    <col min="4406" max="4406" width="8.625" style="2" customWidth="1"/>
    <col min="4407" max="4407" width="5.625" style="2" customWidth="1"/>
    <col min="4408" max="4408" width="4.625" style="2" customWidth="1"/>
    <col min="4409" max="4409" width="5.625" style="2" customWidth="1"/>
    <col min="4410" max="4413" width="4.625" style="2" customWidth="1"/>
    <col min="4414" max="4414" width="7.625" style="2" customWidth="1"/>
    <col min="4415" max="4415" width="8.625" style="2" customWidth="1"/>
    <col min="4416" max="4417" width="5.625" style="2" customWidth="1"/>
    <col min="4418" max="4418" width="6.625" style="2" customWidth="1"/>
    <col min="4419" max="4419" width="9.875" style="2" customWidth="1"/>
    <col min="4420" max="4421" width="8.625" style="2" customWidth="1"/>
    <col min="4422" max="4422" width="5.5" style="2" bestFit="1" customWidth="1"/>
    <col min="4423" max="4464" width="6.75" style="2" customWidth="1"/>
    <col min="4465" max="4465" width="9" style="2" customWidth="1"/>
    <col min="4466" max="4466" width="9.875" style="2" customWidth="1"/>
    <col min="4467" max="4467" width="2.875" style="2" customWidth="1"/>
    <col min="4468" max="4468" width="12.25" style="2" customWidth="1"/>
    <col min="4469" max="4469" width="6.375" style="2" customWidth="1"/>
    <col min="4470" max="4471" width="3.125" style="2" customWidth="1"/>
    <col min="4472" max="4472" width="1.125" style="2" customWidth="1"/>
    <col min="4473" max="4473" width="9" style="2" customWidth="1"/>
    <col min="4474" max="4474" width="2.375" style="2" customWidth="1"/>
    <col min="4475" max="4492" width="7.625" style="2" customWidth="1"/>
    <col min="4493" max="4655" width="9" style="2" customWidth="1"/>
    <col min="4656" max="4657" width="3.125" style="2" customWidth="1"/>
    <col min="4658" max="4658" width="5.875" style="2" bestFit="1" customWidth="1"/>
    <col min="4659" max="4659" width="5.625" style="2" customWidth="1"/>
    <col min="4660" max="4660" width="10.625" style="2" customWidth="1"/>
    <col min="4661" max="4661" width="12.625" style="2" customWidth="1"/>
    <col min="4662" max="4662" width="8.625" style="2" customWidth="1"/>
    <col min="4663" max="4663" width="5.625" style="2" customWidth="1"/>
    <col min="4664" max="4664" width="4.625" style="2" customWidth="1"/>
    <col min="4665" max="4665" width="5.625" style="2" customWidth="1"/>
    <col min="4666" max="4669" width="4.625" style="2" customWidth="1"/>
    <col min="4670" max="4670" width="7.625" style="2" customWidth="1"/>
    <col min="4671" max="4671" width="8.625" style="2" customWidth="1"/>
    <col min="4672" max="4673" width="5.625" style="2" customWidth="1"/>
    <col min="4674" max="4674" width="6.625" style="2" customWidth="1"/>
    <col min="4675" max="4675" width="9.875" style="2" customWidth="1"/>
    <col min="4676" max="4677" width="8.625" style="2" customWidth="1"/>
    <col min="4678" max="4678" width="5.5" style="2" bestFit="1" customWidth="1"/>
    <col min="4679" max="4720" width="6.75" style="2" customWidth="1"/>
    <col min="4721" max="4721" width="9" style="2" customWidth="1"/>
    <col min="4722" max="4722" width="9.875" style="2" customWidth="1"/>
    <col min="4723" max="4723" width="2.875" style="2" customWidth="1"/>
    <col min="4724" max="4724" width="12.25" style="2" customWidth="1"/>
    <col min="4725" max="4725" width="6.375" style="2" customWidth="1"/>
    <col min="4726" max="4727" width="3.125" style="2" customWidth="1"/>
    <col min="4728" max="4728" width="1.125" style="2" customWidth="1"/>
    <col min="4729" max="4729" width="9" style="2" customWidth="1"/>
    <col min="4730" max="4730" width="2.375" style="2" customWidth="1"/>
    <col min="4731" max="4748" width="7.625" style="2" customWidth="1"/>
    <col min="4749" max="4911" width="9" style="2" customWidth="1"/>
    <col min="4912" max="4913" width="3.125" style="2" customWidth="1"/>
    <col min="4914" max="4914" width="5.875" style="2" bestFit="1" customWidth="1"/>
    <col min="4915" max="4915" width="5.625" style="2" customWidth="1"/>
    <col min="4916" max="4916" width="10.625" style="2" customWidth="1"/>
    <col min="4917" max="4917" width="12.625" style="2" customWidth="1"/>
    <col min="4918" max="4918" width="8.625" style="2" customWidth="1"/>
    <col min="4919" max="4919" width="5.625" style="2" customWidth="1"/>
    <col min="4920" max="4920" width="4.625" style="2" customWidth="1"/>
    <col min="4921" max="4921" width="5.625" style="2" customWidth="1"/>
    <col min="4922" max="4925" width="4.625" style="2" customWidth="1"/>
    <col min="4926" max="4926" width="7.625" style="2" customWidth="1"/>
    <col min="4927" max="4927" width="8.625" style="2" customWidth="1"/>
    <col min="4928" max="4929" width="5.625" style="2" customWidth="1"/>
    <col min="4930" max="4930" width="6.625" style="2" customWidth="1"/>
    <col min="4931" max="4931" width="9.875" style="2" customWidth="1"/>
    <col min="4932" max="4933" width="8.625" style="2" customWidth="1"/>
    <col min="4934" max="4934" width="5.5" style="2" bestFit="1" customWidth="1"/>
    <col min="4935" max="4976" width="6.75" style="2" customWidth="1"/>
    <col min="4977" max="4977" width="9" style="2" customWidth="1"/>
    <col min="4978" max="4978" width="9.875" style="2" customWidth="1"/>
    <col min="4979" max="4979" width="2.875" style="2" customWidth="1"/>
    <col min="4980" max="4980" width="12.25" style="2" customWidth="1"/>
    <col min="4981" max="4981" width="6.375" style="2" customWidth="1"/>
    <col min="4982" max="4983" width="3.125" style="2" customWidth="1"/>
    <col min="4984" max="4984" width="1.125" style="2" customWidth="1"/>
    <col min="4985" max="4985" width="9" style="2" customWidth="1"/>
    <col min="4986" max="4986" width="2.375" style="2" customWidth="1"/>
    <col min="4987" max="5004" width="7.625" style="2" customWidth="1"/>
    <col min="5005" max="5167" width="9" style="2" customWidth="1"/>
    <col min="5168" max="5169" width="3.125" style="2" customWidth="1"/>
    <col min="5170" max="5170" width="5.875" style="2" bestFit="1" customWidth="1"/>
    <col min="5171" max="5171" width="5.625" style="2" customWidth="1"/>
    <col min="5172" max="5172" width="10.625" style="2" customWidth="1"/>
    <col min="5173" max="5173" width="12.625" style="2" customWidth="1"/>
    <col min="5174" max="5174" width="8.625" style="2" customWidth="1"/>
    <col min="5175" max="5175" width="5.625" style="2" customWidth="1"/>
    <col min="5176" max="5176" width="4.625" style="2" customWidth="1"/>
    <col min="5177" max="5177" width="5.625" style="2" customWidth="1"/>
    <col min="5178" max="5181" width="4.625" style="2" customWidth="1"/>
    <col min="5182" max="5182" width="7.625" style="2" customWidth="1"/>
    <col min="5183" max="5183" width="8.625" style="2" customWidth="1"/>
    <col min="5184" max="5185" width="5.625" style="2" customWidth="1"/>
    <col min="5186" max="5186" width="6.625" style="2" customWidth="1"/>
    <col min="5187" max="5187" width="9.875" style="2" customWidth="1"/>
    <col min="5188" max="5189" width="8.625" style="2" customWidth="1"/>
    <col min="5190" max="5190" width="5.5" style="2" bestFit="1" customWidth="1"/>
    <col min="5191" max="5232" width="6.75" style="2" customWidth="1"/>
    <col min="5233" max="5233" width="9" style="2" customWidth="1"/>
    <col min="5234" max="5234" width="9.875" style="2" customWidth="1"/>
    <col min="5235" max="5235" width="2.875" style="2" customWidth="1"/>
    <col min="5236" max="5236" width="12.25" style="2" customWidth="1"/>
    <col min="5237" max="5237" width="6.375" style="2" customWidth="1"/>
    <col min="5238" max="5239" width="3.125" style="2" customWidth="1"/>
    <col min="5240" max="5240" width="1.125" style="2" customWidth="1"/>
    <col min="5241" max="5241" width="9" style="2" customWidth="1"/>
    <col min="5242" max="5242" width="2.375" style="2" customWidth="1"/>
    <col min="5243" max="5260" width="7.625" style="2" customWidth="1"/>
    <col min="5261" max="5423" width="9" style="2" customWidth="1"/>
    <col min="5424" max="5425" width="3.125" style="2" customWidth="1"/>
    <col min="5426" max="5426" width="5.875" style="2" bestFit="1" customWidth="1"/>
    <col min="5427" max="5427" width="5.625" style="2" customWidth="1"/>
    <col min="5428" max="5428" width="10.625" style="2" customWidth="1"/>
    <col min="5429" max="5429" width="12.625" style="2" customWidth="1"/>
    <col min="5430" max="5430" width="8.625" style="2" customWidth="1"/>
    <col min="5431" max="5431" width="5.625" style="2" customWidth="1"/>
    <col min="5432" max="5432" width="4.625" style="2" customWidth="1"/>
    <col min="5433" max="5433" width="5.625" style="2" customWidth="1"/>
    <col min="5434" max="5437" width="4.625" style="2" customWidth="1"/>
    <col min="5438" max="5438" width="7.625" style="2" customWidth="1"/>
    <col min="5439" max="5439" width="8.625" style="2" customWidth="1"/>
    <col min="5440" max="5441" width="5.625" style="2" customWidth="1"/>
    <col min="5442" max="5442" width="6.625" style="2" customWidth="1"/>
    <col min="5443" max="5443" width="9.875" style="2" customWidth="1"/>
    <col min="5444" max="5445" width="8.625" style="2" customWidth="1"/>
    <col min="5446" max="5446" width="5.5" style="2" bestFit="1" customWidth="1"/>
    <col min="5447" max="5488" width="6.75" style="2" customWidth="1"/>
    <col min="5489" max="5489" width="9" style="2" customWidth="1"/>
    <col min="5490" max="5490" width="9.875" style="2" customWidth="1"/>
    <col min="5491" max="5491" width="2.875" style="2" customWidth="1"/>
    <col min="5492" max="5492" width="12.25" style="2" customWidth="1"/>
    <col min="5493" max="5493" width="6.375" style="2" customWidth="1"/>
    <col min="5494" max="5495" width="3.125" style="2" customWidth="1"/>
    <col min="5496" max="5496" width="1.125" style="2" customWidth="1"/>
    <col min="5497" max="5497" width="9" style="2" customWidth="1"/>
    <col min="5498" max="5498" width="2.375" style="2" customWidth="1"/>
    <col min="5499" max="5516" width="7.625" style="2" customWidth="1"/>
    <col min="5517" max="5679" width="9" style="2" customWidth="1"/>
    <col min="5680" max="5681" width="3.125" style="2" customWidth="1"/>
    <col min="5682" max="5682" width="5.875" style="2" bestFit="1" customWidth="1"/>
    <col min="5683" max="5683" width="5.625" style="2" customWidth="1"/>
    <col min="5684" max="5684" width="10.625" style="2" customWidth="1"/>
    <col min="5685" max="5685" width="12.625" style="2" customWidth="1"/>
    <col min="5686" max="5686" width="8.625" style="2" customWidth="1"/>
    <col min="5687" max="5687" width="5.625" style="2" customWidth="1"/>
    <col min="5688" max="5688" width="4.625" style="2" customWidth="1"/>
    <col min="5689" max="5689" width="5.625" style="2" customWidth="1"/>
    <col min="5690" max="5693" width="4.625" style="2" customWidth="1"/>
    <col min="5694" max="5694" width="7.625" style="2" customWidth="1"/>
    <col min="5695" max="5695" width="8.625" style="2" customWidth="1"/>
    <col min="5696" max="5697" width="5.625" style="2" customWidth="1"/>
    <col min="5698" max="5698" width="6.625" style="2" customWidth="1"/>
    <col min="5699" max="5699" width="9.875" style="2" customWidth="1"/>
    <col min="5700" max="5701" width="8.625" style="2" customWidth="1"/>
    <col min="5702" max="5702" width="5.5" style="2" bestFit="1" customWidth="1"/>
    <col min="5703" max="5744" width="6.75" style="2" customWidth="1"/>
    <col min="5745" max="5745" width="9" style="2" customWidth="1"/>
    <col min="5746" max="5746" width="9.875" style="2" customWidth="1"/>
    <col min="5747" max="5747" width="2.875" style="2" customWidth="1"/>
    <col min="5748" max="5748" width="12.25" style="2" customWidth="1"/>
    <col min="5749" max="5749" width="6.375" style="2" customWidth="1"/>
    <col min="5750" max="5751" width="3.125" style="2" customWidth="1"/>
    <col min="5752" max="5752" width="1.125" style="2" customWidth="1"/>
    <col min="5753" max="5753" width="9" style="2" customWidth="1"/>
    <col min="5754" max="5754" width="2.375" style="2" customWidth="1"/>
    <col min="5755" max="5772" width="7.625" style="2" customWidth="1"/>
    <col min="5773" max="5935" width="9" style="2" customWidth="1"/>
    <col min="5936" max="5937" width="3.125" style="2" customWidth="1"/>
    <col min="5938" max="5938" width="5.875" style="2" bestFit="1" customWidth="1"/>
    <col min="5939" max="5939" width="5.625" style="2" customWidth="1"/>
    <col min="5940" max="5940" width="10.625" style="2" customWidth="1"/>
    <col min="5941" max="5941" width="12.625" style="2" customWidth="1"/>
    <col min="5942" max="5942" width="8.625" style="2" customWidth="1"/>
    <col min="5943" max="5943" width="5.625" style="2" customWidth="1"/>
    <col min="5944" max="5944" width="4.625" style="2" customWidth="1"/>
    <col min="5945" max="5945" width="5.625" style="2" customWidth="1"/>
    <col min="5946" max="5949" width="4.625" style="2" customWidth="1"/>
    <col min="5950" max="5950" width="7.625" style="2" customWidth="1"/>
    <col min="5951" max="5951" width="8.625" style="2" customWidth="1"/>
    <col min="5952" max="5953" width="5.625" style="2" customWidth="1"/>
    <col min="5954" max="5954" width="6.625" style="2" customWidth="1"/>
    <col min="5955" max="5955" width="9.875" style="2" customWidth="1"/>
    <col min="5956" max="5957" width="8.625" style="2" customWidth="1"/>
    <col min="5958" max="5958" width="5.5" style="2" bestFit="1" customWidth="1"/>
    <col min="5959" max="6000" width="6.75" style="2" customWidth="1"/>
    <col min="6001" max="6001" width="9" style="2" customWidth="1"/>
    <col min="6002" max="6002" width="9.875" style="2" customWidth="1"/>
    <col min="6003" max="6003" width="2.875" style="2" customWidth="1"/>
    <col min="6004" max="6004" width="12.25" style="2" customWidth="1"/>
    <col min="6005" max="6005" width="6.375" style="2" customWidth="1"/>
    <col min="6006" max="6007" width="3.125" style="2" customWidth="1"/>
    <col min="6008" max="6008" width="1.125" style="2" customWidth="1"/>
    <col min="6009" max="6009" width="9" style="2" customWidth="1"/>
    <col min="6010" max="6010" width="2.375" style="2" customWidth="1"/>
    <col min="6011" max="6028" width="7.625" style="2" customWidth="1"/>
    <col min="6029" max="6191" width="9" style="2" customWidth="1"/>
    <col min="6192" max="6193" width="3.125" style="2" customWidth="1"/>
    <col min="6194" max="6194" width="5.875" style="2" bestFit="1" customWidth="1"/>
    <col min="6195" max="6195" width="5.625" style="2" customWidth="1"/>
    <col min="6196" max="6196" width="10.625" style="2" customWidth="1"/>
    <col min="6197" max="6197" width="12.625" style="2" customWidth="1"/>
    <col min="6198" max="6198" width="8.625" style="2" customWidth="1"/>
    <col min="6199" max="6199" width="5.625" style="2" customWidth="1"/>
    <col min="6200" max="6200" width="4.625" style="2" customWidth="1"/>
    <col min="6201" max="6201" width="5.625" style="2" customWidth="1"/>
    <col min="6202" max="6205" width="4.625" style="2" customWidth="1"/>
    <col min="6206" max="6206" width="7.625" style="2" customWidth="1"/>
    <col min="6207" max="6207" width="8.625" style="2" customWidth="1"/>
    <col min="6208" max="6209" width="5.625" style="2" customWidth="1"/>
    <col min="6210" max="6210" width="6.625" style="2" customWidth="1"/>
    <col min="6211" max="6211" width="9.875" style="2" customWidth="1"/>
    <col min="6212" max="6213" width="8.625" style="2" customWidth="1"/>
    <col min="6214" max="6214" width="5.5" style="2" bestFit="1" customWidth="1"/>
    <col min="6215" max="6256" width="6.75" style="2" customWidth="1"/>
    <col min="6257" max="6257" width="9" style="2" customWidth="1"/>
    <col min="6258" max="6258" width="9.875" style="2" customWidth="1"/>
    <col min="6259" max="6259" width="2.875" style="2" customWidth="1"/>
    <col min="6260" max="6260" width="12.25" style="2" customWidth="1"/>
    <col min="6261" max="6261" width="6.375" style="2" customWidth="1"/>
    <col min="6262" max="6263" width="3.125" style="2" customWidth="1"/>
    <col min="6264" max="6264" width="1.125" style="2" customWidth="1"/>
    <col min="6265" max="6265" width="9" style="2" customWidth="1"/>
    <col min="6266" max="6266" width="2.375" style="2" customWidth="1"/>
    <col min="6267" max="6284" width="7.625" style="2" customWidth="1"/>
    <col min="6285" max="6447" width="9" style="2" customWidth="1"/>
    <col min="6448" max="6449" width="3.125" style="2" customWidth="1"/>
    <col min="6450" max="6450" width="5.875" style="2" bestFit="1" customWidth="1"/>
    <col min="6451" max="6451" width="5.625" style="2" customWidth="1"/>
    <col min="6452" max="6452" width="10.625" style="2" customWidth="1"/>
    <col min="6453" max="6453" width="12.625" style="2" customWidth="1"/>
    <col min="6454" max="6454" width="8.625" style="2" customWidth="1"/>
    <col min="6455" max="6455" width="5.625" style="2" customWidth="1"/>
    <col min="6456" max="6456" width="4.625" style="2" customWidth="1"/>
    <col min="6457" max="6457" width="5.625" style="2" customWidth="1"/>
    <col min="6458" max="6461" width="4.625" style="2" customWidth="1"/>
    <col min="6462" max="6462" width="7.625" style="2" customWidth="1"/>
    <col min="6463" max="6463" width="8.625" style="2" customWidth="1"/>
    <col min="6464" max="6465" width="5.625" style="2" customWidth="1"/>
    <col min="6466" max="6466" width="6.625" style="2" customWidth="1"/>
    <col min="6467" max="6467" width="9.875" style="2" customWidth="1"/>
    <col min="6468" max="6469" width="8.625" style="2" customWidth="1"/>
    <col min="6470" max="6470" width="5.5" style="2" bestFit="1" customWidth="1"/>
    <col min="6471" max="6512" width="6.75" style="2" customWidth="1"/>
    <col min="6513" max="6513" width="9" style="2" customWidth="1"/>
    <col min="6514" max="6514" width="9.875" style="2" customWidth="1"/>
    <col min="6515" max="6515" width="2.875" style="2" customWidth="1"/>
    <col min="6516" max="6516" width="12.25" style="2" customWidth="1"/>
    <col min="6517" max="6517" width="6.375" style="2" customWidth="1"/>
    <col min="6518" max="6519" width="3.125" style="2" customWidth="1"/>
    <col min="6520" max="6520" width="1.125" style="2" customWidth="1"/>
    <col min="6521" max="6521" width="9" style="2" customWidth="1"/>
    <col min="6522" max="6522" width="2.375" style="2" customWidth="1"/>
    <col min="6523" max="6540" width="7.625" style="2" customWidth="1"/>
    <col min="6541" max="6703" width="9" style="2" customWidth="1"/>
    <col min="6704" max="6705" width="3.125" style="2" customWidth="1"/>
    <col min="6706" max="6706" width="5.875" style="2" bestFit="1" customWidth="1"/>
    <col min="6707" max="6707" width="5.625" style="2" customWidth="1"/>
    <col min="6708" max="6708" width="10.625" style="2" customWidth="1"/>
    <col min="6709" max="6709" width="12.625" style="2" customWidth="1"/>
    <col min="6710" max="6710" width="8.625" style="2" customWidth="1"/>
    <col min="6711" max="6711" width="5.625" style="2" customWidth="1"/>
    <col min="6712" max="6712" width="4.625" style="2" customWidth="1"/>
    <col min="6713" max="6713" width="5.625" style="2" customWidth="1"/>
    <col min="6714" max="6717" width="4.625" style="2" customWidth="1"/>
    <col min="6718" max="6718" width="7.625" style="2" customWidth="1"/>
    <col min="6719" max="6719" width="8.625" style="2" customWidth="1"/>
    <col min="6720" max="6721" width="5.625" style="2" customWidth="1"/>
    <col min="6722" max="6722" width="6.625" style="2" customWidth="1"/>
    <col min="6723" max="6723" width="9.875" style="2" customWidth="1"/>
    <col min="6724" max="6725" width="8.625" style="2" customWidth="1"/>
    <col min="6726" max="6726" width="5.5" style="2" bestFit="1" customWidth="1"/>
    <col min="6727" max="6768" width="6.75" style="2" customWidth="1"/>
    <col min="6769" max="6769" width="9" style="2" customWidth="1"/>
    <col min="6770" max="6770" width="9.875" style="2" customWidth="1"/>
    <col min="6771" max="6771" width="2.875" style="2" customWidth="1"/>
    <col min="6772" max="6772" width="12.25" style="2" customWidth="1"/>
    <col min="6773" max="6773" width="6.375" style="2" customWidth="1"/>
    <col min="6774" max="6775" width="3.125" style="2" customWidth="1"/>
    <col min="6776" max="6776" width="1.125" style="2" customWidth="1"/>
    <col min="6777" max="6777" width="9" style="2" customWidth="1"/>
    <col min="6778" max="6778" width="2.375" style="2" customWidth="1"/>
    <col min="6779" max="6796" width="7.625" style="2" customWidth="1"/>
    <col min="6797" max="6959" width="9" style="2" customWidth="1"/>
    <col min="6960" max="6961" width="3.125" style="2" customWidth="1"/>
    <col min="6962" max="6962" width="5.875" style="2" bestFit="1" customWidth="1"/>
    <col min="6963" max="6963" width="5.625" style="2" customWidth="1"/>
    <col min="6964" max="6964" width="10.625" style="2" customWidth="1"/>
    <col min="6965" max="6965" width="12.625" style="2" customWidth="1"/>
    <col min="6966" max="6966" width="8.625" style="2" customWidth="1"/>
    <col min="6967" max="6967" width="5.625" style="2" customWidth="1"/>
    <col min="6968" max="6968" width="4.625" style="2" customWidth="1"/>
    <col min="6969" max="6969" width="5.625" style="2" customWidth="1"/>
    <col min="6970" max="6973" width="4.625" style="2" customWidth="1"/>
    <col min="6974" max="6974" width="7.625" style="2" customWidth="1"/>
    <col min="6975" max="6975" width="8.625" style="2" customWidth="1"/>
    <col min="6976" max="6977" width="5.625" style="2" customWidth="1"/>
    <col min="6978" max="6978" width="6.625" style="2" customWidth="1"/>
    <col min="6979" max="6979" width="9.875" style="2" customWidth="1"/>
    <col min="6980" max="6981" width="8.625" style="2" customWidth="1"/>
    <col min="6982" max="6982" width="5.5" style="2" bestFit="1" customWidth="1"/>
    <col min="6983" max="7024" width="6.75" style="2" customWidth="1"/>
    <col min="7025" max="7025" width="9" style="2" customWidth="1"/>
    <col min="7026" max="7026" width="9.875" style="2" customWidth="1"/>
    <col min="7027" max="7027" width="2.875" style="2" customWidth="1"/>
    <col min="7028" max="7028" width="12.25" style="2" customWidth="1"/>
    <col min="7029" max="7029" width="6.375" style="2" customWidth="1"/>
    <col min="7030" max="7031" width="3.125" style="2" customWidth="1"/>
    <col min="7032" max="7032" width="1.125" style="2" customWidth="1"/>
    <col min="7033" max="7033" width="9" style="2" customWidth="1"/>
    <col min="7034" max="7034" width="2.375" style="2" customWidth="1"/>
    <col min="7035" max="7052" width="7.625" style="2" customWidth="1"/>
    <col min="7053" max="7215" width="9" style="2" customWidth="1"/>
    <col min="7216" max="7217" width="3.125" style="2" customWidth="1"/>
    <col min="7218" max="7218" width="5.875" style="2" bestFit="1" customWidth="1"/>
    <col min="7219" max="7219" width="5.625" style="2" customWidth="1"/>
    <col min="7220" max="7220" width="10.625" style="2" customWidth="1"/>
    <col min="7221" max="7221" width="12.625" style="2" customWidth="1"/>
    <col min="7222" max="7222" width="8.625" style="2" customWidth="1"/>
    <col min="7223" max="7223" width="5.625" style="2" customWidth="1"/>
    <col min="7224" max="7224" width="4.625" style="2" customWidth="1"/>
    <col min="7225" max="7225" width="5.625" style="2" customWidth="1"/>
    <col min="7226" max="7229" width="4.625" style="2" customWidth="1"/>
    <col min="7230" max="7230" width="7.625" style="2" customWidth="1"/>
    <col min="7231" max="7231" width="8.625" style="2" customWidth="1"/>
    <col min="7232" max="7233" width="5.625" style="2" customWidth="1"/>
    <col min="7234" max="7234" width="6.625" style="2" customWidth="1"/>
    <col min="7235" max="7235" width="9.875" style="2" customWidth="1"/>
    <col min="7236" max="7237" width="8.625" style="2" customWidth="1"/>
    <col min="7238" max="7238" width="5.5" style="2" bestFit="1" customWidth="1"/>
    <col min="7239" max="7280" width="6.75" style="2" customWidth="1"/>
    <col min="7281" max="7281" width="9" style="2" customWidth="1"/>
    <col min="7282" max="7282" width="9.875" style="2" customWidth="1"/>
    <col min="7283" max="7283" width="2.875" style="2" customWidth="1"/>
    <col min="7284" max="7284" width="12.25" style="2" customWidth="1"/>
    <col min="7285" max="7285" width="6.375" style="2" customWidth="1"/>
    <col min="7286" max="7287" width="3.125" style="2" customWidth="1"/>
    <col min="7288" max="7288" width="1.125" style="2" customWidth="1"/>
    <col min="7289" max="7289" width="9" style="2" customWidth="1"/>
    <col min="7290" max="7290" width="2.375" style="2" customWidth="1"/>
    <col min="7291" max="7308" width="7.625" style="2" customWidth="1"/>
    <col min="7309" max="7471" width="9" style="2" customWidth="1"/>
    <col min="7472" max="7473" width="3.125" style="2" customWidth="1"/>
    <col min="7474" max="7474" width="5.875" style="2" bestFit="1" customWidth="1"/>
    <col min="7475" max="7475" width="5.625" style="2" customWidth="1"/>
    <col min="7476" max="7476" width="10.625" style="2" customWidth="1"/>
    <col min="7477" max="7477" width="12.625" style="2" customWidth="1"/>
    <col min="7478" max="7478" width="8.625" style="2" customWidth="1"/>
    <col min="7479" max="7479" width="5.625" style="2" customWidth="1"/>
    <col min="7480" max="7480" width="4.625" style="2" customWidth="1"/>
    <col min="7481" max="7481" width="5.625" style="2" customWidth="1"/>
    <col min="7482" max="7485" width="4.625" style="2" customWidth="1"/>
    <col min="7486" max="7486" width="7.625" style="2" customWidth="1"/>
    <col min="7487" max="7487" width="8.625" style="2" customWidth="1"/>
    <col min="7488" max="7489" width="5.625" style="2" customWidth="1"/>
    <col min="7490" max="7490" width="6.625" style="2" customWidth="1"/>
    <col min="7491" max="7491" width="9.875" style="2" customWidth="1"/>
    <col min="7492" max="7493" width="8.625" style="2" customWidth="1"/>
    <col min="7494" max="7494" width="5.5" style="2" bestFit="1" customWidth="1"/>
    <col min="7495" max="7536" width="6.75" style="2" customWidth="1"/>
    <col min="7537" max="7537" width="9" style="2" customWidth="1"/>
    <col min="7538" max="7538" width="9.875" style="2" customWidth="1"/>
    <col min="7539" max="7539" width="2.875" style="2" customWidth="1"/>
    <col min="7540" max="7540" width="12.25" style="2" customWidth="1"/>
    <col min="7541" max="7541" width="6.375" style="2" customWidth="1"/>
    <col min="7542" max="7543" width="3.125" style="2" customWidth="1"/>
    <col min="7544" max="7544" width="1.125" style="2" customWidth="1"/>
    <col min="7545" max="7545" width="9" style="2" customWidth="1"/>
    <col min="7546" max="7546" width="2.375" style="2" customWidth="1"/>
    <col min="7547" max="7564" width="7.625" style="2" customWidth="1"/>
    <col min="7565" max="7727" width="9" style="2" customWidth="1"/>
    <col min="7728" max="7729" width="3.125" style="2" customWidth="1"/>
    <col min="7730" max="7730" width="5.875" style="2" bestFit="1" customWidth="1"/>
    <col min="7731" max="7731" width="5.625" style="2" customWidth="1"/>
    <col min="7732" max="7732" width="10.625" style="2" customWidth="1"/>
    <col min="7733" max="7733" width="12.625" style="2" customWidth="1"/>
    <col min="7734" max="7734" width="8.625" style="2" customWidth="1"/>
    <col min="7735" max="7735" width="5.625" style="2" customWidth="1"/>
    <col min="7736" max="7736" width="4.625" style="2" customWidth="1"/>
    <col min="7737" max="7737" width="5.625" style="2" customWidth="1"/>
    <col min="7738" max="7741" width="4.625" style="2" customWidth="1"/>
    <col min="7742" max="7742" width="7.625" style="2" customWidth="1"/>
    <col min="7743" max="7743" width="8.625" style="2" customWidth="1"/>
    <col min="7744" max="7745" width="5.625" style="2" customWidth="1"/>
    <col min="7746" max="7746" width="6.625" style="2" customWidth="1"/>
    <col min="7747" max="7747" width="9.875" style="2" customWidth="1"/>
    <col min="7748" max="7749" width="8.625" style="2" customWidth="1"/>
    <col min="7750" max="7750" width="5.5" style="2" bestFit="1" customWidth="1"/>
    <col min="7751" max="7792" width="6.75" style="2" customWidth="1"/>
    <col min="7793" max="7793" width="9" style="2" customWidth="1"/>
    <col min="7794" max="7794" width="9.875" style="2" customWidth="1"/>
    <col min="7795" max="7795" width="2.875" style="2" customWidth="1"/>
    <col min="7796" max="7796" width="12.25" style="2" customWidth="1"/>
    <col min="7797" max="7797" width="6.375" style="2" customWidth="1"/>
    <col min="7798" max="7799" width="3.125" style="2" customWidth="1"/>
    <col min="7800" max="7800" width="1.125" style="2" customWidth="1"/>
    <col min="7801" max="7801" width="9" style="2" customWidth="1"/>
    <col min="7802" max="7802" width="2.375" style="2" customWidth="1"/>
    <col min="7803" max="7820" width="7.625" style="2" customWidth="1"/>
    <col min="7821" max="7983" width="9" style="2" customWidth="1"/>
    <col min="7984" max="7985" width="3.125" style="2" customWidth="1"/>
    <col min="7986" max="7986" width="5.875" style="2" bestFit="1" customWidth="1"/>
    <col min="7987" max="7987" width="5.625" style="2" customWidth="1"/>
    <col min="7988" max="7988" width="10.625" style="2" customWidth="1"/>
    <col min="7989" max="7989" width="12.625" style="2" customWidth="1"/>
    <col min="7990" max="7990" width="8.625" style="2" customWidth="1"/>
    <col min="7991" max="7991" width="5.625" style="2" customWidth="1"/>
    <col min="7992" max="7992" width="4.625" style="2" customWidth="1"/>
    <col min="7993" max="7993" width="5.625" style="2" customWidth="1"/>
    <col min="7994" max="7997" width="4.625" style="2" customWidth="1"/>
    <col min="7998" max="7998" width="7.625" style="2" customWidth="1"/>
    <col min="7999" max="7999" width="8.625" style="2" customWidth="1"/>
    <col min="8000" max="8001" width="5.625" style="2" customWidth="1"/>
    <col min="8002" max="8002" width="6.625" style="2" customWidth="1"/>
    <col min="8003" max="8003" width="9.875" style="2" customWidth="1"/>
    <col min="8004" max="8005" width="8.625" style="2" customWidth="1"/>
    <col min="8006" max="8006" width="5.5" style="2" bestFit="1" customWidth="1"/>
    <col min="8007" max="8048" width="6.75" style="2" customWidth="1"/>
    <col min="8049" max="8049" width="9" style="2" customWidth="1"/>
    <col min="8050" max="8050" width="9.875" style="2" customWidth="1"/>
    <col min="8051" max="8051" width="2.875" style="2" customWidth="1"/>
    <col min="8052" max="8052" width="12.25" style="2" customWidth="1"/>
    <col min="8053" max="8053" width="6.375" style="2" customWidth="1"/>
    <col min="8054" max="8055" width="3.125" style="2" customWidth="1"/>
    <col min="8056" max="8056" width="1.125" style="2" customWidth="1"/>
    <col min="8057" max="8057" width="9" style="2" customWidth="1"/>
    <col min="8058" max="8058" width="2.375" style="2" customWidth="1"/>
    <col min="8059" max="8076" width="7.625" style="2" customWidth="1"/>
    <col min="8077" max="8239" width="9" style="2" customWidth="1"/>
    <col min="8240" max="8241" width="3.125" style="2" customWidth="1"/>
    <col min="8242" max="8242" width="5.875" style="2" bestFit="1" customWidth="1"/>
    <col min="8243" max="8243" width="5.625" style="2" customWidth="1"/>
    <col min="8244" max="8244" width="10.625" style="2" customWidth="1"/>
    <col min="8245" max="8245" width="12.625" style="2" customWidth="1"/>
    <col min="8246" max="8246" width="8.625" style="2" customWidth="1"/>
    <col min="8247" max="8247" width="5.625" style="2" customWidth="1"/>
    <col min="8248" max="8248" width="4.625" style="2" customWidth="1"/>
    <col min="8249" max="8249" width="5.625" style="2" customWidth="1"/>
    <col min="8250" max="8253" width="4.625" style="2" customWidth="1"/>
    <col min="8254" max="8254" width="7.625" style="2" customWidth="1"/>
    <col min="8255" max="8255" width="8.625" style="2" customWidth="1"/>
    <col min="8256" max="8257" width="5.625" style="2" customWidth="1"/>
    <col min="8258" max="8258" width="6.625" style="2" customWidth="1"/>
    <col min="8259" max="8259" width="9.875" style="2" customWidth="1"/>
    <col min="8260" max="8261" width="8.625" style="2" customWidth="1"/>
    <col min="8262" max="8262" width="5.5" style="2" bestFit="1" customWidth="1"/>
    <col min="8263" max="8304" width="6.75" style="2" customWidth="1"/>
    <col min="8305" max="8305" width="9" style="2" customWidth="1"/>
    <col min="8306" max="8306" width="9.875" style="2" customWidth="1"/>
    <col min="8307" max="8307" width="2.875" style="2" customWidth="1"/>
    <col min="8308" max="8308" width="12.25" style="2" customWidth="1"/>
    <col min="8309" max="8309" width="6.375" style="2" customWidth="1"/>
    <col min="8310" max="8311" width="3.125" style="2" customWidth="1"/>
    <col min="8312" max="8312" width="1.125" style="2" customWidth="1"/>
    <col min="8313" max="8313" width="9" style="2" customWidth="1"/>
    <col min="8314" max="8314" width="2.375" style="2" customWidth="1"/>
    <col min="8315" max="8332" width="7.625" style="2" customWidth="1"/>
    <col min="8333" max="8495" width="9" style="2" customWidth="1"/>
    <col min="8496" max="8497" width="3.125" style="2" customWidth="1"/>
    <col min="8498" max="8498" width="5.875" style="2" bestFit="1" customWidth="1"/>
    <col min="8499" max="8499" width="5.625" style="2" customWidth="1"/>
    <col min="8500" max="8500" width="10.625" style="2" customWidth="1"/>
    <col min="8501" max="8501" width="12.625" style="2" customWidth="1"/>
    <col min="8502" max="8502" width="8.625" style="2" customWidth="1"/>
    <col min="8503" max="8503" width="5.625" style="2" customWidth="1"/>
    <col min="8504" max="8504" width="4.625" style="2" customWidth="1"/>
    <col min="8505" max="8505" width="5.625" style="2" customWidth="1"/>
    <col min="8506" max="8509" width="4.625" style="2" customWidth="1"/>
    <col min="8510" max="8510" width="7.625" style="2" customWidth="1"/>
    <col min="8511" max="8511" width="8.625" style="2" customWidth="1"/>
    <col min="8512" max="8513" width="5.625" style="2" customWidth="1"/>
    <col min="8514" max="8514" width="6.625" style="2" customWidth="1"/>
    <col min="8515" max="8515" width="9.875" style="2" customWidth="1"/>
    <col min="8516" max="8517" width="8.625" style="2" customWidth="1"/>
    <col min="8518" max="8518" width="5.5" style="2" bestFit="1" customWidth="1"/>
    <col min="8519" max="8560" width="6.75" style="2" customWidth="1"/>
    <col min="8561" max="8561" width="9" style="2" customWidth="1"/>
    <col min="8562" max="8562" width="9.875" style="2" customWidth="1"/>
    <col min="8563" max="8563" width="2.875" style="2" customWidth="1"/>
    <col min="8564" max="8564" width="12.25" style="2" customWidth="1"/>
    <col min="8565" max="8565" width="6.375" style="2" customWidth="1"/>
    <col min="8566" max="8567" width="3.125" style="2" customWidth="1"/>
    <col min="8568" max="8568" width="1.125" style="2" customWidth="1"/>
    <col min="8569" max="8569" width="9" style="2" customWidth="1"/>
    <col min="8570" max="8570" width="2.375" style="2" customWidth="1"/>
    <col min="8571" max="8588" width="7.625" style="2" customWidth="1"/>
    <col min="8589" max="8751" width="9" style="2" customWidth="1"/>
    <col min="8752" max="8753" width="3.125" style="2" customWidth="1"/>
    <col min="8754" max="8754" width="5.875" style="2" bestFit="1" customWidth="1"/>
    <col min="8755" max="8755" width="5.625" style="2" customWidth="1"/>
    <col min="8756" max="8756" width="10.625" style="2" customWidth="1"/>
    <col min="8757" max="8757" width="12.625" style="2" customWidth="1"/>
    <col min="8758" max="8758" width="8.625" style="2" customWidth="1"/>
    <col min="8759" max="8759" width="5.625" style="2" customWidth="1"/>
    <col min="8760" max="8760" width="4.625" style="2" customWidth="1"/>
    <col min="8761" max="8761" width="5.625" style="2" customWidth="1"/>
    <col min="8762" max="8765" width="4.625" style="2" customWidth="1"/>
    <col min="8766" max="8766" width="7.625" style="2" customWidth="1"/>
    <col min="8767" max="8767" width="8.625" style="2" customWidth="1"/>
    <col min="8768" max="8769" width="5.625" style="2" customWidth="1"/>
    <col min="8770" max="8770" width="6.625" style="2" customWidth="1"/>
    <col min="8771" max="8771" width="9.875" style="2" customWidth="1"/>
    <col min="8772" max="8773" width="8.625" style="2" customWidth="1"/>
    <col min="8774" max="8774" width="5.5" style="2" bestFit="1" customWidth="1"/>
    <col min="8775" max="8816" width="6.75" style="2" customWidth="1"/>
    <col min="8817" max="8817" width="9" style="2" customWidth="1"/>
    <col min="8818" max="8818" width="9.875" style="2" customWidth="1"/>
    <col min="8819" max="8819" width="2.875" style="2" customWidth="1"/>
    <col min="8820" max="8820" width="12.25" style="2" customWidth="1"/>
    <col min="8821" max="8821" width="6.375" style="2" customWidth="1"/>
    <col min="8822" max="8823" width="3.125" style="2" customWidth="1"/>
    <col min="8824" max="8824" width="1.125" style="2" customWidth="1"/>
    <col min="8825" max="8825" width="9" style="2" customWidth="1"/>
    <col min="8826" max="8826" width="2.375" style="2" customWidth="1"/>
    <col min="8827" max="8844" width="7.625" style="2" customWidth="1"/>
    <col min="8845" max="9007" width="9" style="2" customWidth="1"/>
    <col min="9008" max="9009" width="3.125" style="2" customWidth="1"/>
    <col min="9010" max="9010" width="5.875" style="2" bestFit="1" customWidth="1"/>
    <col min="9011" max="9011" width="5.625" style="2" customWidth="1"/>
    <col min="9012" max="9012" width="10.625" style="2" customWidth="1"/>
    <col min="9013" max="9013" width="12.625" style="2" customWidth="1"/>
    <col min="9014" max="9014" width="8.625" style="2" customWidth="1"/>
    <col min="9015" max="9015" width="5.625" style="2" customWidth="1"/>
    <col min="9016" max="9016" width="4.625" style="2" customWidth="1"/>
    <col min="9017" max="9017" width="5.625" style="2" customWidth="1"/>
    <col min="9018" max="9021" width="4.625" style="2" customWidth="1"/>
    <col min="9022" max="9022" width="7.625" style="2" customWidth="1"/>
    <col min="9023" max="9023" width="8.625" style="2" customWidth="1"/>
    <col min="9024" max="9025" width="5.625" style="2" customWidth="1"/>
    <col min="9026" max="9026" width="6.625" style="2" customWidth="1"/>
    <col min="9027" max="9027" width="9.875" style="2" customWidth="1"/>
    <col min="9028" max="9029" width="8.625" style="2" customWidth="1"/>
    <col min="9030" max="9030" width="5.5" style="2" bestFit="1" customWidth="1"/>
    <col min="9031" max="9072" width="6.75" style="2" customWidth="1"/>
    <col min="9073" max="9073" width="9" style="2" customWidth="1"/>
    <col min="9074" max="9074" width="9.875" style="2" customWidth="1"/>
    <col min="9075" max="9075" width="2.875" style="2" customWidth="1"/>
    <col min="9076" max="9076" width="12.25" style="2" customWidth="1"/>
    <col min="9077" max="9077" width="6.375" style="2" customWidth="1"/>
    <col min="9078" max="9079" width="3.125" style="2" customWidth="1"/>
    <col min="9080" max="9080" width="1.125" style="2" customWidth="1"/>
    <col min="9081" max="9081" width="9" style="2" customWidth="1"/>
    <col min="9082" max="9082" width="2.375" style="2" customWidth="1"/>
    <col min="9083" max="9100" width="7.625" style="2" customWidth="1"/>
    <col min="9101" max="9263" width="9" style="2" customWidth="1"/>
    <col min="9264" max="9265" width="3.125" style="2" customWidth="1"/>
    <col min="9266" max="9266" width="5.875" style="2" bestFit="1" customWidth="1"/>
    <col min="9267" max="9267" width="5.625" style="2" customWidth="1"/>
    <col min="9268" max="9268" width="10.625" style="2" customWidth="1"/>
    <col min="9269" max="9269" width="12.625" style="2" customWidth="1"/>
    <col min="9270" max="9270" width="8.625" style="2" customWidth="1"/>
    <col min="9271" max="9271" width="5.625" style="2" customWidth="1"/>
    <col min="9272" max="9272" width="4.625" style="2" customWidth="1"/>
    <col min="9273" max="9273" width="5.625" style="2" customWidth="1"/>
    <col min="9274" max="9277" width="4.625" style="2" customWidth="1"/>
    <col min="9278" max="9278" width="7.625" style="2" customWidth="1"/>
    <col min="9279" max="9279" width="8.625" style="2" customWidth="1"/>
    <col min="9280" max="9281" width="5.625" style="2" customWidth="1"/>
    <col min="9282" max="9282" width="6.625" style="2" customWidth="1"/>
    <col min="9283" max="9283" width="9.875" style="2" customWidth="1"/>
    <col min="9284" max="9285" width="8.625" style="2" customWidth="1"/>
    <col min="9286" max="9286" width="5.5" style="2" bestFit="1" customWidth="1"/>
    <col min="9287" max="9328" width="6.75" style="2" customWidth="1"/>
    <col min="9329" max="9329" width="9" style="2" customWidth="1"/>
    <col min="9330" max="9330" width="9.875" style="2" customWidth="1"/>
    <col min="9331" max="9331" width="2.875" style="2" customWidth="1"/>
    <col min="9332" max="9332" width="12.25" style="2" customWidth="1"/>
    <col min="9333" max="9333" width="6.375" style="2" customWidth="1"/>
    <col min="9334" max="9335" width="3.125" style="2" customWidth="1"/>
    <col min="9336" max="9336" width="1.125" style="2" customWidth="1"/>
    <col min="9337" max="9337" width="9" style="2" customWidth="1"/>
    <col min="9338" max="9338" width="2.375" style="2" customWidth="1"/>
    <col min="9339" max="9356" width="7.625" style="2" customWidth="1"/>
    <col min="9357" max="9519" width="9" style="2" customWidth="1"/>
    <col min="9520" max="9521" width="3.125" style="2" customWidth="1"/>
    <col min="9522" max="9522" width="5.875" style="2" bestFit="1" customWidth="1"/>
    <col min="9523" max="9523" width="5.625" style="2" customWidth="1"/>
    <col min="9524" max="9524" width="10.625" style="2" customWidth="1"/>
    <col min="9525" max="9525" width="12.625" style="2" customWidth="1"/>
    <col min="9526" max="9526" width="8.625" style="2" customWidth="1"/>
    <col min="9527" max="9527" width="5.625" style="2" customWidth="1"/>
    <col min="9528" max="9528" width="4.625" style="2" customWidth="1"/>
    <col min="9529" max="9529" width="5.625" style="2" customWidth="1"/>
    <col min="9530" max="9533" width="4.625" style="2" customWidth="1"/>
    <col min="9534" max="9534" width="7.625" style="2" customWidth="1"/>
    <col min="9535" max="9535" width="8.625" style="2" customWidth="1"/>
    <col min="9536" max="9537" width="5.625" style="2" customWidth="1"/>
    <col min="9538" max="9538" width="6.625" style="2" customWidth="1"/>
    <col min="9539" max="9539" width="9.875" style="2" customWidth="1"/>
    <col min="9540" max="9541" width="8.625" style="2" customWidth="1"/>
    <col min="9542" max="9542" width="5.5" style="2" bestFit="1" customWidth="1"/>
    <col min="9543" max="9584" width="6.75" style="2" customWidth="1"/>
    <col min="9585" max="9585" width="9" style="2" customWidth="1"/>
    <col min="9586" max="9586" width="9.875" style="2" customWidth="1"/>
    <col min="9587" max="9587" width="2.875" style="2" customWidth="1"/>
    <col min="9588" max="9588" width="12.25" style="2" customWidth="1"/>
    <col min="9589" max="9589" width="6.375" style="2" customWidth="1"/>
    <col min="9590" max="9591" width="3.125" style="2" customWidth="1"/>
    <col min="9592" max="9592" width="1.125" style="2" customWidth="1"/>
    <col min="9593" max="9593" width="9" style="2" customWidth="1"/>
    <col min="9594" max="9594" width="2.375" style="2" customWidth="1"/>
    <col min="9595" max="9612" width="7.625" style="2" customWidth="1"/>
    <col min="9613" max="9775" width="9" style="2" customWidth="1"/>
    <col min="9776" max="9777" width="3.125" style="2" customWidth="1"/>
    <col min="9778" max="9778" width="5.875" style="2" bestFit="1" customWidth="1"/>
    <col min="9779" max="9779" width="5.625" style="2" customWidth="1"/>
    <col min="9780" max="9780" width="10.625" style="2" customWidth="1"/>
    <col min="9781" max="9781" width="12.625" style="2" customWidth="1"/>
    <col min="9782" max="9782" width="8.625" style="2" customWidth="1"/>
    <col min="9783" max="9783" width="5.625" style="2" customWidth="1"/>
    <col min="9784" max="9784" width="4.625" style="2" customWidth="1"/>
    <col min="9785" max="9785" width="5.625" style="2" customWidth="1"/>
    <col min="9786" max="9789" width="4.625" style="2" customWidth="1"/>
    <col min="9790" max="9790" width="7.625" style="2" customWidth="1"/>
    <col min="9791" max="9791" width="8.625" style="2" customWidth="1"/>
    <col min="9792" max="9793" width="5.625" style="2" customWidth="1"/>
    <col min="9794" max="9794" width="6.625" style="2" customWidth="1"/>
    <col min="9795" max="9795" width="9.875" style="2" customWidth="1"/>
    <col min="9796" max="9797" width="8.625" style="2" customWidth="1"/>
    <col min="9798" max="9798" width="5.5" style="2" bestFit="1" customWidth="1"/>
    <col min="9799" max="9840" width="6.75" style="2" customWidth="1"/>
    <col min="9841" max="9841" width="9" style="2" customWidth="1"/>
    <col min="9842" max="9842" width="9.875" style="2" customWidth="1"/>
    <col min="9843" max="9843" width="2.875" style="2" customWidth="1"/>
    <col min="9844" max="9844" width="12.25" style="2" customWidth="1"/>
    <col min="9845" max="9845" width="6.375" style="2" customWidth="1"/>
    <col min="9846" max="9847" width="3.125" style="2" customWidth="1"/>
    <col min="9848" max="9848" width="1.125" style="2" customWidth="1"/>
    <col min="9849" max="9849" width="9" style="2" customWidth="1"/>
    <col min="9850" max="9850" width="2.375" style="2" customWidth="1"/>
    <col min="9851" max="9868" width="7.625" style="2" customWidth="1"/>
    <col min="9869" max="10031" width="9" style="2" customWidth="1"/>
    <col min="10032" max="10033" width="3.125" style="2" customWidth="1"/>
    <col min="10034" max="10034" width="5.875" style="2" bestFit="1" customWidth="1"/>
    <col min="10035" max="10035" width="5.625" style="2" customWidth="1"/>
    <col min="10036" max="10036" width="10.625" style="2" customWidth="1"/>
    <col min="10037" max="10037" width="12.625" style="2" customWidth="1"/>
    <col min="10038" max="10038" width="8.625" style="2" customWidth="1"/>
    <col min="10039" max="10039" width="5.625" style="2" customWidth="1"/>
    <col min="10040" max="10040" width="4.625" style="2" customWidth="1"/>
    <col min="10041" max="10041" width="5.625" style="2" customWidth="1"/>
    <col min="10042" max="10045" width="4.625" style="2" customWidth="1"/>
    <col min="10046" max="10046" width="7.625" style="2" customWidth="1"/>
    <col min="10047" max="10047" width="8.625" style="2" customWidth="1"/>
    <col min="10048" max="10049" width="5.625" style="2" customWidth="1"/>
    <col min="10050" max="10050" width="6.625" style="2" customWidth="1"/>
    <col min="10051" max="10051" width="9.875" style="2" customWidth="1"/>
    <col min="10052" max="10053" width="8.625" style="2" customWidth="1"/>
    <col min="10054" max="10054" width="5.5" style="2" bestFit="1" customWidth="1"/>
    <col min="10055" max="10096" width="6.75" style="2" customWidth="1"/>
    <col min="10097" max="10097" width="9" style="2" customWidth="1"/>
    <col min="10098" max="10098" width="9.875" style="2" customWidth="1"/>
    <col min="10099" max="10099" width="2.875" style="2" customWidth="1"/>
    <col min="10100" max="10100" width="12.25" style="2" customWidth="1"/>
    <col min="10101" max="10101" width="6.375" style="2" customWidth="1"/>
    <col min="10102" max="10103" width="3.125" style="2" customWidth="1"/>
    <col min="10104" max="10104" width="1.125" style="2" customWidth="1"/>
    <col min="10105" max="10105" width="9" style="2" customWidth="1"/>
    <col min="10106" max="10106" width="2.375" style="2" customWidth="1"/>
    <col min="10107" max="10124" width="7.625" style="2" customWidth="1"/>
    <col min="10125" max="10287" width="9" style="2" customWidth="1"/>
    <col min="10288" max="10289" width="3.125" style="2" customWidth="1"/>
    <col min="10290" max="10290" width="5.875" style="2" bestFit="1" customWidth="1"/>
    <col min="10291" max="10291" width="5.625" style="2" customWidth="1"/>
    <col min="10292" max="10292" width="10.625" style="2" customWidth="1"/>
    <col min="10293" max="10293" width="12.625" style="2" customWidth="1"/>
    <col min="10294" max="10294" width="8.625" style="2" customWidth="1"/>
    <col min="10295" max="10295" width="5.625" style="2" customWidth="1"/>
    <col min="10296" max="10296" width="4.625" style="2" customWidth="1"/>
    <col min="10297" max="10297" width="5.625" style="2" customWidth="1"/>
    <col min="10298" max="10301" width="4.625" style="2" customWidth="1"/>
    <col min="10302" max="10302" width="7.625" style="2" customWidth="1"/>
    <col min="10303" max="10303" width="8.625" style="2" customWidth="1"/>
    <col min="10304" max="10305" width="5.625" style="2" customWidth="1"/>
    <col min="10306" max="10306" width="6.625" style="2" customWidth="1"/>
    <col min="10307" max="10307" width="9.875" style="2" customWidth="1"/>
    <col min="10308" max="10309" width="8.625" style="2" customWidth="1"/>
    <col min="10310" max="10310" width="5.5" style="2" bestFit="1" customWidth="1"/>
    <col min="10311" max="10352" width="6.75" style="2" customWidth="1"/>
    <col min="10353" max="10353" width="9" style="2" customWidth="1"/>
    <col min="10354" max="10354" width="9.875" style="2" customWidth="1"/>
    <col min="10355" max="10355" width="2.875" style="2" customWidth="1"/>
    <col min="10356" max="10356" width="12.25" style="2" customWidth="1"/>
    <col min="10357" max="10357" width="6.375" style="2" customWidth="1"/>
    <col min="10358" max="10359" width="3.125" style="2" customWidth="1"/>
    <col min="10360" max="10360" width="1.125" style="2" customWidth="1"/>
    <col min="10361" max="10361" width="9" style="2" customWidth="1"/>
    <col min="10362" max="10362" width="2.375" style="2" customWidth="1"/>
    <col min="10363" max="10380" width="7.625" style="2" customWidth="1"/>
    <col min="10381" max="10543" width="9" style="2" customWidth="1"/>
    <col min="10544" max="10545" width="3.125" style="2" customWidth="1"/>
    <col min="10546" max="10546" width="5.875" style="2" bestFit="1" customWidth="1"/>
    <col min="10547" max="10547" width="5.625" style="2" customWidth="1"/>
    <col min="10548" max="10548" width="10.625" style="2" customWidth="1"/>
    <col min="10549" max="10549" width="12.625" style="2" customWidth="1"/>
    <col min="10550" max="10550" width="8.625" style="2" customWidth="1"/>
    <col min="10551" max="10551" width="5.625" style="2" customWidth="1"/>
    <col min="10552" max="10552" width="4.625" style="2" customWidth="1"/>
    <col min="10553" max="10553" width="5.625" style="2" customWidth="1"/>
    <col min="10554" max="10557" width="4.625" style="2" customWidth="1"/>
    <col min="10558" max="10558" width="7.625" style="2" customWidth="1"/>
    <col min="10559" max="10559" width="8.625" style="2" customWidth="1"/>
    <col min="10560" max="10561" width="5.625" style="2" customWidth="1"/>
    <col min="10562" max="10562" width="6.625" style="2" customWidth="1"/>
    <col min="10563" max="10563" width="9.875" style="2" customWidth="1"/>
    <col min="10564" max="10565" width="8.625" style="2" customWidth="1"/>
    <col min="10566" max="10566" width="5.5" style="2" bestFit="1" customWidth="1"/>
    <col min="10567" max="10608" width="6.75" style="2" customWidth="1"/>
    <col min="10609" max="10609" width="9" style="2" customWidth="1"/>
    <col min="10610" max="10610" width="9.875" style="2" customWidth="1"/>
    <col min="10611" max="10611" width="2.875" style="2" customWidth="1"/>
    <col min="10612" max="10612" width="12.25" style="2" customWidth="1"/>
    <col min="10613" max="10613" width="6.375" style="2" customWidth="1"/>
    <col min="10614" max="10615" width="3.125" style="2" customWidth="1"/>
    <col min="10616" max="10616" width="1.125" style="2" customWidth="1"/>
    <col min="10617" max="10617" width="9" style="2" customWidth="1"/>
    <col min="10618" max="10618" width="2.375" style="2" customWidth="1"/>
    <col min="10619" max="10636" width="7.625" style="2" customWidth="1"/>
    <col min="10637" max="10799" width="9" style="2" customWidth="1"/>
    <col min="10800" max="10801" width="3.125" style="2" customWidth="1"/>
    <col min="10802" max="10802" width="5.875" style="2" bestFit="1" customWidth="1"/>
    <col min="10803" max="10803" width="5.625" style="2" customWidth="1"/>
    <col min="10804" max="10804" width="10.625" style="2" customWidth="1"/>
    <col min="10805" max="10805" width="12.625" style="2" customWidth="1"/>
    <col min="10806" max="10806" width="8.625" style="2" customWidth="1"/>
    <col min="10807" max="10807" width="5.625" style="2" customWidth="1"/>
    <col min="10808" max="10808" width="4.625" style="2" customWidth="1"/>
    <col min="10809" max="10809" width="5.625" style="2" customWidth="1"/>
    <col min="10810" max="10813" width="4.625" style="2" customWidth="1"/>
    <col min="10814" max="10814" width="7.625" style="2" customWidth="1"/>
    <col min="10815" max="10815" width="8.625" style="2" customWidth="1"/>
    <col min="10816" max="10817" width="5.625" style="2" customWidth="1"/>
    <col min="10818" max="10818" width="6.625" style="2" customWidth="1"/>
    <col min="10819" max="10819" width="9.875" style="2" customWidth="1"/>
    <col min="10820" max="10821" width="8.625" style="2" customWidth="1"/>
    <col min="10822" max="10822" width="5.5" style="2" bestFit="1" customWidth="1"/>
    <col min="10823" max="10864" width="6.75" style="2" customWidth="1"/>
    <col min="10865" max="10865" width="9" style="2" customWidth="1"/>
    <col min="10866" max="10866" width="9.875" style="2" customWidth="1"/>
    <col min="10867" max="10867" width="2.875" style="2" customWidth="1"/>
    <col min="10868" max="10868" width="12.25" style="2" customWidth="1"/>
    <col min="10869" max="10869" width="6.375" style="2" customWidth="1"/>
    <col min="10870" max="10871" width="3.125" style="2" customWidth="1"/>
    <col min="10872" max="10872" width="1.125" style="2" customWidth="1"/>
    <col min="10873" max="10873" width="9" style="2" customWidth="1"/>
    <col min="10874" max="10874" width="2.375" style="2" customWidth="1"/>
    <col min="10875" max="10892" width="7.625" style="2" customWidth="1"/>
    <col min="10893" max="11055" width="9" style="2" customWidth="1"/>
    <col min="11056" max="11057" width="3.125" style="2" customWidth="1"/>
    <col min="11058" max="11058" width="5.875" style="2" bestFit="1" customWidth="1"/>
    <col min="11059" max="11059" width="5.625" style="2" customWidth="1"/>
    <col min="11060" max="11060" width="10.625" style="2" customWidth="1"/>
    <col min="11061" max="11061" width="12.625" style="2" customWidth="1"/>
    <col min="11062" max="11062" width="8.625" style="2" customWidth="1"/>
    <col min="11063" max="11063" width="5.625" style="2" customWidth="1"/>
    <col min="11064" max="11064" width="4.625" style="2" customWidth="1"/>
    <col min="11065" max="11065" width="5.625" style="2" customWidth="1"/>
    <col min="11066" max="11069" width="4.625" style="2" customWidth="1"/>
    <col min="11070" max="11070" width="7.625" style="2" customWidth="1"/>
    <col min="11071" max="11071" width="8.625" style="2" customWidth="1"/>
    <col min="11072" max="11073" width="5.625" style="2" customWidth="1"/>
    <col min="11074" max="11074" width="6.625" style="2" customWidth="1"/>
    <col min="11075" max="11075" width="9.875" style="2" customWidth="1"/>
    <col min="11076" max="11077" width="8.625" style="2" customWidth="1"/>
    <col min="11078" max="11078" width="5.5" style="2" bestFit="1" customWidth="1"/>
    <col min="11079" max="11120" width="6.75" style="2" customWidth="1"/>
    <col min="11121" max="11121" width="9" style="2" customWidth="1"/>
    <col min="11122" max="11122" width="9.875" style="2" customWidth="1"/>
    <col min="11123" max="11123" width="2.875" style="2" customWidth="1"/>
    <col min="11124" max="11124" width="12.25" style="2" customWidth="1"/>
    <col min="11125" max="11125" width="6.375" style="2" customWidth="1"/>
    <col min="11126" max="11127" width="3.125" style="2" customWidth="1"/>
    <col min="11128" max="11128" width="1.125" style="2" customWidth="1"/>
    <col min="11129" max="11129" width="9" style="2" customWidth="1"/>
    <col min="11130" max="11130" width="2.375" style="2" customWidth="1"/>
    <col min="11131" max="11148" width="7.625" style="2" customWidth="1"/>
    <col min="11149" max="11311" width="9" style="2" customWidth="1"/>
    <col min="11312" max="11313" width="3.125" style="2" customWidth="1"/>
    <col min="11314" max="11314" width="5.875" style="2" bestFit="1" customWidth="1"/>
    <col min="11315" max="11315" width="5.625" style="2" customWidth="1"/>
    <col min="11316" max="11316" width="10.625" style="2" customWidth="1"/>
    <col min="11317" max="11317" width="12.625" style="2" customWidth="1"/>
    <col min="11318" max="11318" width="8.625" style="2" customWidth="1"/>
    <col min="11319" max="11319" width="5.625" style="2" customWidth="1"/>
    <col min="11320" max="11320" width="4.625" style="2" customWidth="1"/>
    <col min="11321" max="11321" width="5.625" style="2" customWidth="1"/>
    <col min="11322" max="11325" width="4.625" style="2" customWidth="1"/>
    <col min="11326" max="11326" width="7.625" style="2" customWidth="1"/>
    <col min="11327" max="11327" width="8.625" style="2" customWidth="1"/>
    <col min="11328" max="11329" width="5.625" style="2" customWidth="1"/>
    <col min="11330" max="11330" width="6.625" style="2" customWidth="1"/>
    <col min="11331" max="11331" width="9.875" style="2" customWidth="1"/>
    <col min="11332" max="11333" width="8.625" style="2" customWidth="1"/>
    <col min="11334" max="11334" width="5.5" style="2" bestFit="1" customWidth="1"/>
    <col min="11335" max="11376" width="6.75" style="2" customWidth="1"/>
    <col min="11377" max="11377" width="9" style="2" customWidth="1"/>
    <col min="11378" max="11378" width="9.875" style="2" customWidth="1"/>
    <col min="11379" max="11379" width="2.875" style="2" customWidth="1"/>
    <col min="11380" max="11380" width="12.25" style="2" customWidth="1"/>
    <col min="11381" max="11381" width="6.375" style="2" customWidth="1"/>
    <col min="11382" max="11383" width="3.125" style="2" customWidth="1"/>
    <col min="11384" max="11384" width="1.125" style="2" customWidth="1"/>
    <col min="11385" max="11385" width="9" style="2" customWidth="1"/>
    <col min="11386" max="11386" width="2.375" style="2" customWidth="1"/>
    <col min="11387" max="11404" width="7.625" style="2" customWidth="1"/>
    <col min="11405" max="11567" width="9" style="2" customWidth="1"/>
    <col min="11568" max="11569" width="3.125" style="2" customWidth="1"/>
    <col min="11570" max="11570" width="5.875" style="2" bestFit="1" customWidth="1"/>
    <col min="11571" max="11571" width="5.625" style="2" customWidth="1"/>
    <col min="11572" max="11572" width="10.625" style="2" customWidth="1"/>
    <col min="11573" max="11573" width="12.625" style="2" customWidth="1"/>
    <col min="11574" max="11574" width="8.625" style="2" customWidth="1"/>
    <col min="11575" max="11575" width="5.625" style="2" customWidth="1"/>
    <col min="11576" max="11576" width="4.625" style="2" customWidth="1"/>
    <col min="11577" max="11577" width="5.625" style="2" customWidth="1"/>
    <col min="11578" max="11581" width="4.625" style="2" customWidth="1"/>
    <col min="11582" max="11582" width="7.625" style="2" customWidth="1"/>
    <col min="11583" max="11583" width="8.625" style="2" customWidth="1"/>
    <col min="11584" max="11585" width="5.625" style="2" customWidth="1"/>
    <col min="11586" max="11586" width="6.625" style="2" customWidth="1"/>
    <col min="11587" max="11587" width="9.875" style="2" customWidth="1"/>
    <col min="11588" max="11589" width="8.625" style="2" customWidth="1"/>
    <col min="11590" max="11590" width="5.5" style="2" bestFit="1" customWidth="1"/>
    <col min="11591" max="11632" width="6.75" style="2" customWidth="1"/>
    <col min="11633" max="11633" width="9" style="2" customWidth="1"/>
    <col min="11634" max="11634" width="9.875" style="2" customWidth="1"/>
    <col min="11635" max="11635" width="2.875" style="2" customWidth="1"/>
    <col min="11636" max="11636" width="12.25" style="2" customWidth="1"/>
    <col min="11637" max="11637" width="6.375" style="2" customWidth="1"/>
    <col min="11638" max="11639" width="3.125" style="2" customWidth="1"/>
    <col min="11640" max="11640" width="1.125" style="2" customWidth="1"/>
    <col min="11641" max="11641" width="9" style="2" customWidth="1"/>
    <col min="11642" max="11642" width="2.375" style="2" customWidth="1"/>
    <col min="11643" max="11660" width="7.625" style="2" customWidth="1"/>
    <col min="11661" max="11823" width="9" style="2" customWidth="1"/>
    <col min="11824" max="11825" width="3.125" style="2" customWidth="1"/>
    <col min="11826" max="11826" width="5.875" style="2" bestFit="1" customWidth="1"/>
    <col min="11827" max="11827" width="5.625" style="2" customWidth="1"/>
    <col min="11828" max="11828" width="10.625" style="2" customWidth="1"/>
    <col min="11829" max="11829" width="12.625" style="2" customWidth="1"/>
    <col min="11830" max="11830" width="8.625" style="2" customWidth="1"/>
    <col min="11831" max="11831" width="5.625" style="2" customWidth="1"/>
    <col min="11832" max="11832" width="4.625" style="2" customWidth="1"/>
    <col min="11833" max="11833" width="5.625" style="2" customWidth="1"/>
    <col min="11834" max="11837" width="4.625" style="2" customWidth="1"/>
    <col min="11838" max="11838" width="7.625" style="2" customWidth="1"/>
    <col min="11839" max="11839" width="8.625" style="2" customWidth="1"/>
    <col min="11840" max="11841" width="5.625" style="2" customWidth="1"/>
    <col min="11842" max="11842" width="6.625" style="2" customWidth="1"/>
    <col min="11843" max="11843" width="9.875" style="2" customWidth="1"/>
    <col min="11844" max="11845" width="8.625" style="2" customWidth="1"/>
    <col min="11846" max="11846" width="5.5" style="2" bestFit="1" customWidth="1"/>
    <col min="11847" max="11888" width="6.75" style="2" customWidth="1"/>
    <col min="11889" max="11889" width="9" style="2" customWidth="1"/>
    <col min="11890" max="11890" width="9.875" style="2" customWidth="1"/>
    <col min="11891" max="11891" width="2.875" style="2" customWidth="1"/>
    <col min="11892" max="11892" width="12.25" style="2" customWidth="1"/>
    <col min="11893" max="11893" width="6.375" style="2" customWidth="1"/>
    <col min="11894" max="11895" width="3.125" style="2" customWidth="1"/>
    <col min="11896" max="11896" width="1.125" style="2" customWidth="1"/>
    <col min="11897" max="11897" width="9" style="2" customWidth="1"/>
    <col min="11898" max="11898" width="2.375" style="2" customWidth="1"/>
    <col min="11899" max="11916" width="7.625" style="2" customWidth="1"/>
    <col min="11917" max="12079" width="9" style="2" customWidth="1"/>
    <col min="12080" max="12081" width="3.125" style="2" customWidth="1"/>
    <col min="12082" max="12082" width="5.875" style="2" bestFit="1" customWidth="1"/>
    <col min="12083" max="12083" width="5.625" style="2" customWidth="1"/>
    <col min="12084" max="12084" width="10.625" style="2" customWidth="1"/>
    <col min="12085" max="12085" width="12.625" style="2" customWidth="1"/>
    <col min="12086" max="12086" width="8.625" style="2" customWidth="1"/>
    <col min="12087" max="12087" width="5.625" style="2" customWidth="1"/>
    <col min="12088" max="12088" width="4.625" style="2" customWidth="1"/>
    <col min="12089" max="12089" width="5.625" style="2" customWidth="1"/>
    <col min="12090" max="12093" width="4.625" style="2" customWidth="1"/>
    <col min="12094" max="12094" width="7.625" style="2" customWidth="1"/>
    <col min="12095" max="12095" width="8.625" style="2" customWidth="1"/>
    <col min="12096" max="12097" width="5.625" style="2" customWidth="1"/>
    <col min="12098" max="12098" width="6.625" style="2" customWidth="1"/>
    <col min="12099" max="12099" width="9.875" style="2" customWidth="1"/>
    <col min="12100" max="12101" width="8.625" style="2" customWidth="1"/>
    <col min="12102" max="12102" width="5.5" style="2" bestFit="1" customWidth="1"/>
    <col min="12103" max="12144" width="6.75" style="2" customWidth="1"/>
    <col min="12145" max="12145" width="9" style="2" customWidth="1"/>
    <col min="12146" max="12146" width="9.875" style="2" customWidth="1"/>
    <col min="12147" max="12147" width="2.875" style="2" customWidth="1"/>
    <col min="12148" max="12148" width="12.25" style="2" customWidth="1"/>
    <col min="12149" max="12149" width="6.375" style="2" customWidth="1"/>
    <col min="12150" max="12151" width="3.125" style="2" customWidth="1"/>
    <col min="12152" max="12152" width="1.125" style="2" customWidth="1"/>
    <col min="12153" max="12153" width="9" style="2" customWidth="1"/>
    <col min="12154" max="12154" width="2.375" style="2" customWidth="1"/>
    <col min="12155" max="12172" width="7.625" style="2" customWidth="1"/>
    <col min="12173" max="12335" width="9" style="2" customWidth="1"/>
    <col min="12336" max="12337" width="3.125" style="2" customWidth="1"/>
    <col min="12338" max="12338" width="5.875" style="2" bestFit="1" customWidth="1"/>
    <col min="12339" max="12339" width="5.625" style="2" customWidth="1"/>
    <col min="12340" max="12340" width="10.625" style="2" customWidth="1"/>
    <col min="12341" max="12341" width="12.625" style="2" customWidth="1"/>
    <col min="12342" max="12342" width="8.625" style="2" customWidth="1"/>
    <col min="12343" max="12343" width="5.625" style="2" customWidth="1"/>
    <col min="12344" max="12344" width="4.625" style="2" customWidth="1"/>
    <col min="12345" max="12345" width="5.625" style="2" customWidth="1"/>
    <col min="12346" max="12349" width="4.625" style="2" customWidth="1"/>
    <col min="12350" max="12350" width="7.625" style="2" customWidth="1"/>
    <col min="12351" max="12351" width="8.625" style="2" customWidth="1"/>
    <col min="12352" max="12353" width="5.625" style="2" customWidth="1"/>
    <col min="12354" max="12354" width="6.625" style="2" customWidth="1"/>
    <col min="12355" max="12355" width="9.875" style="2" customWidth="1"/>
    <col min="12356" max="12357" width="8.625" style="2" customWidth="1"/>
    <col min="12358" max="12358" width="5.5" style="2" bestFit="1" customWidth="1"/>
    <col min="12359" max="12400" width="6.75" style="2" customWidth="1"/>
    <col min="12401" max="12401" width="9" style="2" customWidth="1"/>
    <col min="12402" max="12402" width="9.875" style="2" customWidth="1"/>
    <col min="12403" max="12403" width="2.875" style="2" customWidth="1"/>
    <col min="12404" max="12404" width="12.25" style="2" customWidth="1"/>
    <col min="12405" max="12405" width="6.375" style="2" customWidth="1"/>
    <col min="12406" max="12407" width="3.125" style="2" customWidth="1"/>
    <col min="12408" max="12408" width="1.125" style="2" customWidth="1"/>
    <col min="12409" max="12409" width="9" style="2" customWidth="1"/>
    <col min="12410" max="12410" width="2.375" style="2" customWidth="1"/>
    <col min="12411" max="12428" width="7.625" style="2" customWidth="1"/>
    <col min="12429" max="12591" width="9" style="2" customWidth="1"/>
    <col min="12592" max="12593" width="3.125" style="2" customWidth="1"/>
    <col min="12594" max="12594" width="5.875" style="2" bestFit="1" customWidth="1"/>
    <col min="12595" max="12595" width="5.625" style="2" customWidth="1"/>
    <col min="12596" max="12596" width="10.625" style="2" customWidth="1"/>
    <col min="12597" max="12597" width="12.625" style="2" customWidth="1"/>
    <col min="12598" max="12598" width="8.625" style="2" customWidth="1"/>
    <col min="12599" max="12599" width="5.625" style="2" customWidth="1"/>
    <col min="12600" max="12600" width="4.625" style="2" customWidth="1"/>
    <col min="12601" max="12601" width="5.625" style="2" customWidth="1"/>
    <col min="12602" max="12605" width="4.625" style="2" customWidth="1"/>
    <col min="12606" max="12606" width="7.625" style="2" customWidth="1"/>
    <col min="12607" max="12607" width="8.625" style="2" customWidth="1"/>
    <col min="12608" max="12609" width="5.625" style="2" customWidth="1"/>
    <col min="12610" max="12610" width="6.625" style="2" customWidth="1"/>
    <col min="12611" max="12611" width="9.875" style="2" customWidth="1"/>
    <col min="12612" max="12613" width="8.625" style="2" customWidth="1"/>
    <col min="12614" max="12614" width="5.5" style="2" bestFit="1" customWidth="1"/>
    <col min="12615" max="12656" width="6.75" style="2" customWidth="1"/>
    <col min="12657" max="12657" width="9" style="2" customWidth="1"/>
    <col min="12658" max="12658" width="9.875" style="2" customWidth="1"/>
    <col min="12659" max="12659" width="2.875" style="2" customWidth="1"/>
    <col min="12660" max="12660" width="12.25" style="2" customWidth="1"/>
    <col min="12661" max="12661" width="6.375" style="2" customWidth="1"/>
    <col min="12662" max="12663" width="3.125" style="2" customWidth="1"/>
    <col min="12664" max="12664" width="1.125" style="2" customWidth="1"/>
    <col min="12665" max="12665" width="9" style="2" customWidth="1"/>
    <col min="12666" max="12666" width="2.375" style="2" customWidth="1"/>
    <col min="12667" max="12684" width="7.625" style="2" customWidth="1"/>
    <col min="12685" max="12847" width="9" style="2" customWidth="1"/>
    <col min="12848" max="12849" width="3.125" style="2" customWidth="1"/>
    <col min="12850" max="12850" width="5.875" style="2" bestFit="1" customWidth="1"/>
    <col min="12851" max="12851" width="5.625" style="2" customWidth="1"/>
    <col min="12852" max="12852" width="10.625" style="2" customWidth="1"/>
    <col min="12853" max="12853" width="12.625" style="2" customWidth="1"/>
    <col min="12854" max="12854" width="8.625" style="2" customWidth="1"/>
    <col min="12855" max="12855" width="5.625" style="2" customWidth="1"/>
    <col min="12856" max="12856" width="4.625" style="2" customWidth="1"/>
    <col min="12857" max="12857" width="5.625" style="2" customWidth="1"/>
    <col min="12858" max="12861" width="4.625" style="2" customWidth="1"/>
    <col min="12862" max="12862" width="7.625" style="2" customWidth="1"/>
    <col min="12863" max="12863" width="8.625" style="2" customWidth="1"/>
    <col min="12864" max="12865" width="5.625" style="2" customWidth="1"/>
    <col min="12866" max="12866" width="6.625" style="2" customWidth="1"/>
    <col min="12867" max="12867" width="9.875" style="2" customWidth="1"/>
    <col min="12868" max="12869" width="8.625" style="2" customWidth="1"/>
    <col min="12870" max="12870" width="5.5" style="2" bestFit="1" customWidth="1"/>
    <col min="12871" max="12912" width="6.75" style="2" customWidth="1"/>
    <col min="12913" max="12913" width="9" style="2" customWidth="1"/>
    <col min="12914" max="12914" width="9.875" style="2" customWidth="1"/>
    <col min="12915" max="12915" width="2.875" style="2" customWidth="1"/>
    <col min="12916" max="12916" width="12.25" style="2" customWidth="1"/>
    <col min="12917" max="12917" width="6.375" style="2" customWidth="1"/>
    <col min="12918" max="12919" width="3.125" style="2" customWidth="1"/>
    <col min="12920" max="12920" width="1.125" style="2" customWidth="1"/>
    <col min="12921" max="12921" width="9" style="2" customWidth="1"/>
    <col min="12922" max="12922" width="2.375" style="2" customWidth="1"/>
    <col min="12923" max="12940" width="7.625" style="2" customWidth="1"/>
    <col min="12941" max="13103" width="9" style="2" customWidth="1"/>
    <col min="13104" max="13105" width="3.125" style="2" customWidth="1"/>
    <col min="13106" max="13106" width="5.875" style="2" bestFit="1" customWidth="1"/>
    <col min="13107" max="13107" width="5.625" style="2" customWidth="1"/>
    <col min="13108" max="13108" width="10.625" style="2" customWidth="1"/>
    <col min="13109" max="13109" width="12.625" style="2" customWidth="1"/>
    <col min="13110" max="13110" width="8.625" style="2" customWidth="1"/>
    <col min="13111" max="13111" width="5.625" style="2" customWidth="1"/>
    <col min="13112" max="13112" width="4.625" style="2" customWidth="1"/>
    <col min="13113" max="13113" width="5.625" style="2" customWidth="1"/>
    <col min="13114" max="13117" width="4.625" style="2" customWidth="1"/>
    <col min="13118" max="13118" width="7.625" style="2" customWidth="1"/>
    <col min="13119" max="13119" width="8.625" style="2" customWidth="1"/>
    <col min="13120" max="13121" width="5.625" style="2" customWidth="1"/>
    <col min="13122" max="13122" width="6.625" style="2" customWidth="1"/>
    <col min="13123" max="13123" width="9.875" style="2" customWidth="1"/>
    <col min="13124" max="13125" width="8.625" style="2" customWidth="1"/>
    <col min="13126" max="13126" width="5.5" style="2" bestFit="1" customWidth="1"/>
    <col min="13127" max="13168" width="6.75" style="2" customWidth="1"/>
    <col min="13169" max="13169" width="9" style="2" customWidth="1"/>
    <col min="13170" max="13170" width="9.875" style="2" customWidth="1"/>
    <col min="13171" max="13171" width="2.875" style="2" customWidth="1"/>
    <col min="13172" max="13172" width="12.25" style="2" customWidth="1"/>
    <col min="13173" max="13173" width="6.375" style="2" customWidth="1"/>
    <col min="13174" max="13175" width="3.125" style="2" customWidth="1"/>
    <col min="13176" max="13176" width="1.125" style="2" customWidth="1"/>
    <col min="13177" max="13177" width="9" style="2" customWidth="1"/>
    <col min="13178" max="13178" width="2.375" style="2" customWidth="1"/>
    <col min="13179" max="13196" width="7.625" style="2" customWidth="1"/>
    <col min="13197" max="13359" width="9" style="2" customWidth="1"/>
    <col min="13360" max="13361" width="3.125" style="2" customWidth="1"/>
    <col min="13362" max="13362" width="5.875" style="2" bestFit="1" customWidth="1"/>
    <col min="13363" max="13363" width="5.625" style="2" customWidth="1"/>
    <col min="13364" max="13364" width="10.625" style="2" customWidth="1"/>
    <col min="13365" max="13365" width="12.625" style="2" customWidth="1"/>
    <col min="13366" max="13366" width="8.625" style="2" customWidth="1"/>
    <col min="13367" max="13367" width="5.625" style="2" customWidth="1"/>
    <col min="13368" max="13368" width="4.625" style="2" customWidth="1"/>
    <col min="13369" max="13369" width="5.625" style="2" customWidth="1"/>
    <col min="13370" max="13373" width="4.625" style="2" customWidth="1"/>
    <col min="13374" max="13374" width="7.625" style="2" customWidth="1"/>
    <col min="13375" max="13375" width="8.625" style="2" customWidth="1"/>
    <col min="13376" max="13377" width="5.625" style="2" customWidth="1"/>
    <col min="13378" max="13378" width="6.625" style="2" customWidth="1"/>
    <col min="13379" max="13379" width="9.875" style="2" customWidth="1"/>
    <col min="13380" max="13381" width="8.625" style="2" customWidth="1"/>
    <col min="13382" max="13382" width="5.5" style="2" bestFit="1" customWidth="1"/>
    <col min="13383" max="13424" width="6.75" style="2" customWidth="1"/>
    <col min="13425" max="13425" width="9" style="2" customWidth="1"/>
    <col min="13426" max="13426" width="9.875" style="2" customWidth="1"/>
    <col min="13427" max="13427" width="2.875" style="2" customWidth="1"/>
    <col min="13428" max="13428" width="12.25" style="2" customWidth="1"/>
    <col min="13429" max="13429" width="6.375" style="2" customWidth="1"/>
    <col min="13430" max="13431" width="3.125" style="2" customWidth="1"/>
    <col min="13432" max="13432" width="1.125" style="2" customWidth="1"/>
    <col min="13433" max="13433" width="9" style="2" customWidth="1"/>
    <col min="13434" max="13434" width="2.375" style="2" customWidth="1"/>
    <col min="13435" max="13452" width="7.625" style="2" customWidth="1"/>
    <col min="13453" max="13615" width="9" style="2" customWidth="1"/>
    <col min="13616" max="13617" width="3.125" style="2" customWidth="1"/>
    <col min="13618" max="13618" width="5.875" style="2" bestFit="1" customWidth="1"/>
    <col min="13619" max="13619" width="5.625" style="2" customWidth="1"/>
    <col min="13620" max="13620" width="10.625" style="2" customWidth="1"/>
    <col min="13621" max="13621" width="12.625" style="2" customWidth="1"/>
    <col min="13622" max="13622" width="8.625" style="2" customWidth="1"/>
    <col min="13623" max="13623" width="5.625" style="2" customWidth="1"/>
    <col min="13624" max="13624" width="4.625" style="2" customWidth="1"/>
    <col min="13625" max="13625" width="5.625" style="2" customWidth="1"/>
    <col min="13626" max="13629" width="4.625" style="2" customWidth="1"/>
    <col min="13630" max="13630" width="7.625" style="2" customWidth="1"/>
    <col min="13631" max="13631" width="8.625" style="2" customWidth="1"/>
    <col min="13632" max="13633" width="5.625" style="2" customWidth="1"/>
    <col min="13634" max="13634" width="6.625" style="2" customWidth="1"/>
    <col min="13635" max="13635" width="9.875" style="2" customWidth="1"/>
    <col min="13636" max="13637" width="8.625" style="2" customWidth="1"/>
    <col min="13638" max="13638" width="5.5" style="2" bestFit="1" customWidth="1"/>
    <col min="13639" max="13680" width="6.75" style="2" customWidth="1"/>
    <col min="13681" max="13681" width="9" style="2" customWidth="1"/>
    <col min="13682" max="13682" width="9.875" style="2" customWidth="1"/>
    <col min="13683" max="13683" width="2.875" style="2" customWidth="1"/>
    <col min="13684" max="13684" width="12.25" style="2" customWidth="1"/>
    <col min="13685" max="13685" width="6.375" style="2" customWidth="1"/>
    <col min="13686" max="13687" width="3.125" style="2" customWidth="1"/>
    <col min="13688" max="13688" width="1.125" style="2" customWidth="1"/>
    <col min="13689" max="13689" width="9" style="2" customWidth="1"/>
    <col min="13690" max="13690" width="2.375" style="2" customWidth="1"/>
    <col min="13691" max="13708" width="7.625" style="2" customWidth="1"/>
    <col min="13709" max="13871" width="9" style="2" customWidth="1"/>
    <col min="13872" max="13873" width="3.125" style="2" customWidth="1"/>
    <col min="13874" max="13874" width="5.875" style="2" bestFit="1" customWidth="1"/>
    <col min="13875" max="13875" width="5.625" style="2" customWidth="1"/>
    <col min="13876" max="13876" width="10.625" style="2" customWidth="1"/>
    <col min="13877" max="13877" width="12.625" style="2" customWidth="1"/>
    <col min="13878" max="13878" width="8.625" style="2" customWidth="1"/>
    <col min="13879" max="13879" width="5.625" style="2" customWidth="1"/>
    <col min="13880" max="13880" width="4.625" style="2" customWidth="1"/>
    <col min="13881" max="13881" width="5.625" style="2" customWidth="1"/>
    <col min="13882" max="13885" width="4.625" style="2" customWidth="1"/>
    <col min="13886" max="13886" width="7.625" style="2" customWidth="1"/>
    <col min="13887" max="13887" width="8.625" style="2" customWidth="1"/>
    <col min="13888" max="13889" width="5.625" style="2" customWidth="1"/>
    <col min="13890" max="13890" width="6.625" style="2" customWidth="1"/>
    <col min="13891" max="13891" width="9.875" style="2" customWidth="1"/>
    <col min="13892" max="13893" width="8.625" style="2" customWidth="1"/>
    <col min="13894" max="13894" width="5.5" style="2" bestFit="1" customWidth="1"/>
    <col min="13895" max="13936" width="6.75" style="2" customWidth="1"/>
    <col min="13937" max="13937" width="9" style="2" customWidth="1"/>
    <col min="13938" max="13938" width="9.875" style="2" customWidth="1"/>
    <col min="13939" max="13939" width="2.875" style="2" customWidth="1"/>
    <col min="13940" max="13940" width="12.25" style="2" customWidth="1"/>
    <col min="13941" max="13941" width="6.375" style="2" customWidth="1"/>
    <col min="13942" max="13943" width="3.125" style="2" customWidth="1"/>
    <col min="13944" max="13944" width="1.125" style="2" customWidth="1"/>
    <col min="13945" max="13945" width="9" style="2" customWidth="1"/>
    <col min="13946" max="13946" width="2.375" style="2" customWidth="1"/>
    <col min="13947" max="13964" width="7.625" style="2" customWidth="1"/>
    <col min="13965" max="14127" width="9" style="2" customWidth="1"/>
    <col min="14128" max="14129" width="3.125" style="2" customWidth="1"/>
    <col min="14130" max="14130" width="5.875" style="2" bestFit="1" customWidth="1"/>
    <col min="14131" max="14131" width="5.625" style="2" customWidth="1"/>
    <col min="14132" max="14132" width="10.625" style="2" customWidth="1"/>
    <col min="14133" max="14133" width="12.625" style="2" customWidth="1"/>
    <col min="14134" max="14134" width="8.625" style="2" customWidth="1"/>
    <col min="14135" max="14135" width="5.625" style="2" customWidth="1"/>
    <col min="14136" max="14136" width="4.625" style="2" customWidth="1"/>
    <col min="14137" max="14137" width="5.625" style="2" customWidth="1"/>
    <col min="14138" max="14141" width="4.625" style="2" customWidth="1"/>
    <col min="14142" max="14142" width="7.625" style="2" customWidth="1"/>
    <col min="14143" max="14143" width="8.625" style="2" customWidth="1"/>
    <col min="14144" max="14145" width="5.625" style="2" customWidth="1"/>
    <col min="14146" max="14146" width="6.625" style="2" customWidth="1"/>
    <col min="14147" max="14147" width="9.875" style="2" customWidth="1"/>
    <col min="14148" max="14149" width="8.625" style="2" customWidth="1"/>
    <col min="14150" max="14150" width="5.5" style="2" bestFit="1" customWidth="1"/>
    <col min="14151" max="14192" width="6.75" style="2" customWidth="1"/>
    <col min="14193" max="14193" width="9" style="2" customWidth="1"/>
    <col min="14194" max="14194" width="9.875" style="2" customWidth="1"/>
    <col min="14195" max="14195" width="2.875" style="2" customWidth="1"/>
    <col min="14196" max="14196" width="12.25" style="2" customWidth="1"/>
    <col min="14197" max="14197" width="6.375" style="2" customWidth="1"/>
    <col min="14198" max="14199" width="3.125" style="2" customWidth="1"/>
    <col min="14200" max="14200" width="1.125" style="2" customWidth="1"/>
    <col min="14201" max="14201" width="9" style="2" customWidth="1"/>
    <col min="14202" max="14202" width="2.375" style="2" customWidth="1"/>
    <col min="14203" max="14220" width="7.625" style="2" customWidth="1"/>
    <col min="14221" max="14383" width="9" style="2" customWidth="1"/>
    <col min="14384" max="14385" width="3.125" style="2" customWidth="1"/>
    <col min="14386" max="14386" width="5.875" style="2" bestFit="1" customWidth="1"/>
    <col min="14387" max="14387" width="5.625" style="2" customWidth="1"/>
    <col min="14388" max="14388" width="10.625" style="2" customWidth="1"/>
    <col min="14389" max="14389" width="12.625" style="2" customWidth="1"/>
    <col min="14390" max="14390" width="8.625" style="2" customWidth="1"/>
    <col min="14391" max="14391" width="5.625" style="2" customWidth="1"/>
    <col min="14392" max="14392" width="4.625" style="2" customWidth="1"/>
    <col min="14393" max="14393" width="5.625" style="2" customWidth="1"/>
    <col min="14394" max="14397" width="4.625" style="2" customWidth="1"/>
    <col min="14398" max="14398" width="7.625" style="2" customWidth="1"/>
    <col min="14399" max="14399" width="8.625" style="2" customWidth="1"/>
    <col min="14400" max="14401" width="5.625" style="2" customWidth="1"/>
    <col min="14402" max="14402" width="6.625" style="2" customWidth="1"/>
    <col min="14403" max="14403" width="9.875" style="2" customWidth="1"/>
    <col min="14404" max="14405" width="8.625" style="2" customWidth="1"/>
    <col min="14406" max="14406" width="5.5" style="2" bestFit="1" customWidth="1"/>
    <col min="14407" max="14448" width="6.75" style="2" customWidth="1"/>
    <col min="14449" max="14449" width="9" style="2" customWidth="1"/>
    <col min="14450" max="14450" width="9.875" style="2" customWidth="1"/>
    <col min="14451" max="14451" width="2.875" style="2" customWidth="1"/>
    <col min="14452" max="14452" width="12.25" style="2" customWidth="1"/>
    <col min="14453" max="14453" width="6.375" style="2" customWidth="1"/>
    <col min="14454" max="14455" width="3.125" style="2" customWidth="1"/>
    <col min="14456" max="14456" width="1.125" style="2" customWidth="1"/>
    <col min="14457" max="14457" width="9" style="2" customWidth="1"/>
    <col min="14458" max="14458" width="2.375" style="2" customWidth="1"/>
    <col min="14459" max="14476" width="7.625" style="2" customWidth="1"/>
    <col min="14477" max="14639" width="9" style="2" customWidth="1"/>
    <col min="14640" max="14641" width="3.125" style="2" customWidth="1"/>
    <col min="14642" max="14642" width="5.875" style="2" bestFit="1" customWidth="1"/>
    <col min="14643" max="14643" width="5.625" style="2" customWidth="1"/>
    <col min="14644" max="14644" width="10.625" style="2" customWidth="1"/>
    <col min="14645" max="14645" width="12.625" style="2" customWidth="1"/>
    <col min="14646" max="14646" width="8.625" style="2" customWidth="1"/>
    <col min="14647" max="14647" width="5.625" style="2" customWidth="1"/>
    <col min="14648" max="14648" width="4.625" style="2" customWidth="1"/>
    <col min="14649" max="14649" width="5.625" style="2" customWidth="1"/>
    <col min="14650" max="14653" width="4.625" style="2" customWidth="1"/>
    <col min="14654" max="14654" width="7.625" style="2" customWidth="1"/>
    <col min="14655" max="14655" width="8.625" style="2" customWidth="1"/>
    <col min="14656" max="14657" width="5.625" style="2" customWidth="1"/>
    <col min="14658" max="14658" width="6.625" style="2" customWidth="1"/>
    <col min="14659" max="14659" width="9.875" style="2" customWidth="1"/>
    <col min="14660" max="14661" width="8.625" style="2" customWidth="1"/>
    <col min="14662" max="14662" width="5.5" style="2" bestFit="1" customWidth="1"/>
    <col min="14663" max="14704" width="6.75" style="2" customWidth="1"/>
    <col min="14705" max="14705" width="9" style="2" customWidth="1"/>
    <col min="14706" max="14706" width="9.875" style="2" customWidth="1"/>
    <col min="14707" max="14707" width="2.875" style="2" customWidth="1"/>
    <col min="14708" max="14708" width="12.25" style="2" customWidth="1"/>
    <col min="14709" max="14709" width="6.375" style="2" customWidth="1"/>
    <col min="14710" max="14711" width="3.125" style="2" customWidth="1"/>
    <col min="14712" max="14712" width="1.125" style="2" customWidth="1"/>
    <col min="14713" max="14713" width="9" style="2" customWidth="1"/>
    <col min="14714" max="14714" width="2.375" style="2" customWidth="1"/>
    <col min="14715" max="14732" width="7.625" style="2" customWidth="1"/>
    <col min="14733" max="14895" width="9" style="2" customWidth="1"/>
    <col min="14896" max="14897" width="3.125" style="2" customWidth="1"/>
    <col min="14898" max="14898" width="5.875" style="2" bestFit="1" customWidth="1"/>
    <col min="14899" max="14899" width="5.625" style="2" customWidth="1"/>
    <col min="14900" max="14900" width="10.625" style="2" customWidth="1"/>
    <col min="14901" max="14901" width="12.625" style="2" customWidth="1"/>
    <col min="14902" max="14902" width="8.625" style="2" customWidth="1"/>
    <col min="14903" max="14903" width="5.625" style="2" customWidth="1"/>
    <col min="14904" max="14904" width="4.625" style="2" customWidth="1"/>
    <col min="14905" max="14905" width="5.625" style="2" customWidth="1"/>
    <col min="14906" max="14909" width="4.625" style="2" customWidth="1"/>
    <col min="14910" max="14910" width="7.625" style="2" customWidth="1"/>
    <col min="14911" max="14911" width="8.625" style="2" customWidth="1"/>
    <col min="14912" max="14913" width="5.625" style="2" customWidth="1"/>
    <col min="14914" max="14914" width="6.625" style="2" customWidth="1"/>
    <col min="14915" max="14915" width="9.875" style="2" customWidth="1"/>
    <col min="14916" max="14917" width="8.625" style="2" customWidth="1"/>
    <col min="14918" max="14918" width="5.5" style="2" bestFit="1" customWidth="1"/>
    <col min="14919" max="14960" width="6.75" style="2" customWidth="1"/>
    <col min="14961" max="14961" width="9" style="2" customWidth="1"/>
    <col min="14962" max="14962" width="9.875" style="2" customWidth="1"/>
    <col min="14963" max="14963" width="2.875" style="2" customWidth="1"/>
    <col min="14964" max="14964" width="12.25" style="2" customWidth="1"/>
    <col min="14965" max="14965" width="6.375" style="2" customWidth="1"/>
    <col min="14966" max="14967" width="3.125" style="2" customWidth="1"/>
    <col min="14968" max="14968" width="1.125" style="2" customWidth="1"/>
    <col min="14969" max="14969" width="9" style="2" customWidth="1"/>
    <col min="14970" max="14970" width="2.375" style="2" customWidth="1"/>
    <col min="14971" max="14988" width="7.625" style="2" customWidth="1"/>
    <col min="14989" max="15151" width="9" style="2" customWidth="1"/>
    <col min="15152" max="15153" width="3.125" style="2" customWidth="1"/>
    <col min="15154" max="15154" width="5.875" style="2" bestFit="1" customWidth="1"/>
    <col min="15155" max="15155" width="5.625" style="2" customWidth="1"/>
    <col min="15156" max="15156" width="10.625" style="2" customWidth="1"/>
    <col min="15157" max="15157" width="12.625" style="2" customWidth="1"/>
    <col min="15158" max="15158" width="8.625" style="2" customWidth="1"/>
    <col min="15159" max="15159" width="5.625" style="2" customWidth="1"/>
    <col min="15160" max="15160" width="4.625" style="2" customWidth="1"/>
    <col min="15161" max="15161" width="5.625" style="2" customWidth="1"/>
    <col min="15162" max="15165" width="4.625" style="2" customWidth="1"/>
    <col min="15166" max="15166" width="7.625" style="2" customWidth="1"/>
    <col min="15167" max="15167" width="8.625" style="2" customWidth="1"/>
    <col min="15168" max="15169" width="5.625" style="2" customWidth="1"/>
    <col min="15170" max="15170" width="6.625" style="2" customWidth="1"/>
    <col min="15171" max="15171" width="9.875" style="2" customWidth="1"/>
    <col min="15172" max="15173" width="8.625" style="2" customWidth="1"/>
    <col min="15174" max="15174" width="5.5" style="2" bestFit="1" customWidth="1"/>
    <col min="15175" max="15216" width="6.75" style="2" customWidth="1"/>
    <col min="15217" max="15217" width="9" style="2" customWidth="1"/>
    <col min="15218" max="15218" width="9.875" style="2" customWidth="1"/>
    <col min="15219" max="15219" width="2.875" style="2" customWidth="1"/>
    <col min="15220" max="15220" width="12.25" style="2" customWidth="1"/>
    <col min="15221" max="15221" width="6.375" style="2" customWidth="1"/>
    <col min="15222" max="15223" width="3.125" style="2" customWidth="1"/>
    <col min="15224" max="15224" width="1.125" style="2" customWidth="1"/>
    <col min="15225" max="15225" width="9" style="2" customWidth="1"/>
    <col min="15226" max="15226" width="2.375" style="2" customWidth="1"/>
    <col min="15227" max="15244" width="7.625" style="2" customWidth="1"/>
    <col min="15245" max="15407" width="9" style="2" customWidth="1"/>
    <col min="15408" max="15409" width="3.125" style="2" customWidth="1"/>
    <col min="15410" max="15410" width="5.875" style="2" bestFit="1" customWidth="1"/>
    <col min="15411" max="15411" width="5.625" style="2" customWidth="1"/>
    <col min="15412" max="15412" width="10.625" style="2" customWidth="1"/>
    <col min="15413" max="15413" width="12.625" style="2" customWidth="1"/>
    <col min="15414" max="15414" width="8.625" style="2" customWidth="1"/>
    <col min="15415" max="15415" width="5.625" style="2" customWidth="1"/>
    <col min="15416" max="15416" width="4.625" style="2" customWidth="1"/>
    <col min="15417" max="15417" width="5.625" style="2" customWidth="1"/>
    <col min="15418" max="15421" width="4.625" style="2" customWidth="1"/>
    <col min="15422" max="15422" width="7.625" style="2" customWidth="1"/>
    <col min="15423" max="15423" width="8.625" style="2" customWidth="1"/>
    <col min="15424" max="15425" width="5.625" style="2" customWidth="1"/>
    <col min="15426" max="15426" width="6.625" style="2" customWidth="1"/>
    <col min="15427" max="15427" width="9.875" style="2" customWidth="1"/>
    <col min="15428" max="15429" width="8.625" style="2" customWidth="1"/>
    <col min="15430" max="15430" width="5.5" style="2" bestFit="1" customWidth="1"/>
    <col min="15431" max="15472" width="6.75" style="2" customWidth="1"/>
    <col min="15473" max="15473" width="9" style="2" customWidth="1"/>
    <col min="15474" max="15474" width="9.875" style="2" customWidth="1"/>
    <col min="15475" max="15475" width="2.875" style="2" customWidth="1"/>
    <col min="15476" max="15476" width="12.25" style="2" customWidth="1"/>
    <col min="15477" max="15477" width="6.375" style="2" customWidth="1"/>
    <col min="15478" max="15479" width="3.125" style="2" customWidth="1"/>
    <col min="15480" max="15480" width="1.125" style="2" customWidth="1"/>
    <col min="15481" max="15481" width="9" style="2" customWidth="1"/>
    <col min="15482" max="15482" width="2.375" style="2" customWidth="1"/>
    <col min="15483" max="15500" width="7.625" style="2" customWidth="1"/>
    <col min="15501" max="15663" width="9" style="2" customWidth="1"/>
    <col min="15664" max="15665" width="3.125" style="2" customWidth="1"/>
    <col min="15666" max="15666" width="5.875" style="2" bestFit="1" customWidth="1"/>
    <col min="15667" max="15667" width="5.625" style="2" customWidth="1"/>
    <col min="15668" max="15668" width="10.625" style="2" customWidth="1"/>
    <col min="15669" max="15669" width="12.625" style="2" customWidth="1"/>
    <col min="15670" max="15670" width="8.625" style="2" customWidth="1"/>
    <col min="15671" max="15671" width="5.625" style="2" customWidth="1"/>
    <col min="15672" max="15672" width="4.625" style="2" customWidth="1"/>
    <col min="15673" max="15673" width="5.625" style="2" customWidth="1"/>
    <col min="15674" max="15677" width="4.625" style="2" customWidth="1"/>
    <col min="15678" max="15678" width="7.625" style="2" customWidth="1"/>
    <col min="15679" max="15679" width="8.625" style="2" customWidth="1"/>
    <col min="15680" max="15681" width="5.625" style="2" customWidth="1"/>
    <col min="15682" max="15682" width="6.625" style="2" customWidth="1"/>
    <col min="15683" max="15683" width="9.875" style="2" customWidth="1"/>
    <col min="15684" max="15685" width="8.625" style="2" customWidth="1"/>
    <col min="15686" max="15686" width="5.5" style="2" bestFit="1" customWidth="1"/>
    <col min="15687" max="15728" width="6.75" style="2" customWidth="1"/>
    <col min="15729" max="15729" width="9" style="2" customWidth="1"/>
    <col min="15730" max="15730" width="9.875" style="2" customWidth="1"/>
    <col min="15731" max="15731" width="2.875" style="2" customWidth="1"/>
    <col min="15732" max="15732" width="12.25" style="2" customWidth="1"/>
    <col min="15733" max="15733" width="6.375" style="2" customWidth="1"/>
    <col min="15734" max="15735" width="3.125" style="2" customWidth="1"/>
    <col min="15736" max="15736" width="1.125" style="2" customWidth="1"/>
    <col min="15737" max="15737" width="9" style="2" customWidth="1"/>
    <col min="15738" max="15738" width="2.375" style="2" customWidth="1"/>
    <col min="15739" max="15756" width="7.625" style="2" customWidth="1"/>
    <col min="15757" max="15919" width="9" style="2" customWidth="1"/>
    <col min="15920" max="15921" width="3.125" style="2" customWidth="1"/>
    <col min="15922" max="15922" width="5.875" style="2" bestFit="1" customWidth="1"/>
    <col min="15923" max="15923" width="5.625" style="2" customWidth="1"/>
    <col min="15924" max="15924" width="10.625" style="2" customWidth="1"/>
    <col min="15925" max="15925" width="12.625" style="2" customWidth="1"/>
    <col min="15926" max="15926" width="8.625" style="2" customWidth="1"/>
    <col min="15927" max="15927" width="5.625" style="2" customWidth="1"/>
    <col min="15928" max="15928" width="4.625" style="2" customWidth="1"/>
    <col min="15929" max="15929" width="5.625" style="2" customWidth="1"/>
    <col min="15930" max="15933" width="4.625" style="2" customWidth="1"/>
    <col min="15934" max="15934" width="7.625" style="2" customWidth="1"/>
    <col min="15935" max="15935" width="8.625" style="2" customWidth="1"/>
    <col min="15936" max="15937" width="5.625" style="2" customWidth="1"/>
    <col min="15938" max="15938" width="6.625" style="2" customWidth="1"/>
    <col min="15939" max="15939" width="9.875" style="2" customWidth="1"/>
    <col min="15940" max="15941" width="8.625" style="2" customWidth="1"/>
    <col min="15942" max="15942" width="5.5" style="2" bestFit="1" customWidth="1"/>
    <col min="15943" max="15984" width="6.75" style="2" customWidth="1"/>
    <col min="15985" max="15985" width="9" style="2" customWidth="1"/>
    <col min="15986" max="15986" width="9.875" style="2" customWidth="1"/>
    <col min="15987" max="15987" width="2.875" style="2" customWidth="1"/>
    <col min="15988" max="15988" width="12.25" style="2" customWidth="1"/>
    <col min="15989" max="15989" width="6.375" style="2" customWidth="1"/>
    <col min="15990" max="15991" width="3.125" style="2" customWidth="1"/>
    <col min="15992" max="15992" width="1.125" style="2" customWidth="1"/>
    <col min="15993" max="15993" width="9" style="2" customWidth="1"/>
    <col min="15994" max="15994" width="2.375" style="2" customWidth="1"/>
    <col min="15995" max="16012" width="7.625" style="2" customWidth="1"/>
    <col min="16013" max="16175" width="9" style="2" customWidth="1"/>
    <col min="16176" max="16177" width="3.125" style="2" customWidth="1"/>
    <col min="16178" max="16178" width="5.875" style="2" bestFit="1" customWidth="1"/>
    <col min="16179" max="16179" width="5.625" style="2" customWidth="1"/>
    <col min="16180" max="16180" width="10.625" style="2" customWidth="1"/>
    <col min="16181" max="16181" width="12.625" style="2" customWidth="1"/>
    <col min="16182" max="16182" width="8.625" style="2" customWidth="1"/>
    <col min="16183" max="16183" width="5.625" style="2" customWidth="1"/>
    <col min="16184" max="16184" width="4.625" style="2" customWidth="1"/>
    <col min="16185" max="16185" width="5.625" style="2" customWidth="1"/>
    <col min="16186" max="16189" width="4.625" style="2" customWidth="1"/>
    <col min="16190" max="16190" width="7.625" style="2" customWidth="1"/>
    <col min="16191" max="16191" width="8.625" style="2" customWidth="1"/>
    <col min="16192" max="16193" width="5.625" style="2" customWidth="1"/>
    <col min="16194" max="16194" width="6.625" style="2" customWidth="1"/>
    <col min="16195" max="16195" width="9.875" style="2" customWidth="1"/>
    <col min="16196" max="16197" width="8.625" style="2" customWidth="1"/>
    <col min="16198" max="16198" width="5.5" style="2" bestFit="1" customWidth="1"/>
    <col min="16199" max="16240" width="6.75" style="2" customWidth="1"/>
    <col min="16241" max="16241" width="9" style="2" customWidth="1"/>
    <col min="16242" max="16242" width="9.875" style="2" customWidth="1"/>
    <col min="16243" max="16243" width="2.875" style="2" customWidth="1"/>
    <col min="16244" max="16244" width="12.25" style="2" customWidth="1"/>
    <col min="16245" max="16245" width="6.375" style="2" customWidth="1"/>
    <col min="16246" max="16247" width="3.125" style="2" customWidth="1"/>
    <col min="16248" max="16248" width="1.125" style="2" customWidth="1"/>
    <col min="16249" max="16249" width="9" style="2" customWidth="1"/>
    <col min="16250" max="16250" width="2.375" style="2" customWidth="1"/>
    <col min="16251" max="16268" width="7.625" style="2" customWidth="1"/>
    <col min="16269" max="16384" width="9" style="2" customWidth="1"/>
  </cols>
  <sheetData>
    <row r="1" spans="1:132" ht="13.5" customHeight="1" x14ac:dyDescent="0.4">
      <c r="A1" s="203" t="str">
        <f>令和8年7月!$A$1</f>
        <v>天理</v>
      </c>
      <c r="B1" s="193"/>
      <c r="C1" s="193"/>
      <c r="D1" s="193"/>
      <c r="E1" s="193"/>
      <c r="F1" s="192" t="s">
        <v>0</v>
      </c>
      <c r="G1" s="195" t="s">
        <v>1</v>
      </c>
      <c r="H1" s="194" t="s">
        <v>122</v>
      </c>
      <c r="I1" s="193"/>
      <c r="J1" s="193"/>
      <c r="K1" s="193"/>
      <c r="L1" s="159"/>
      <c r="M1" s="194" t="s">
        <v>126</v>
      </c>
      <c r="N1" s="159"/>
      <c r="O1" s="159"/>
      <c r="P1" s="159"/>
      <c r="Q1" s="159"/>
      <c r="R1" s="159"/>
      <c r="S1" s="159"/>
      <c r="T1" s="159"/>
      <c r="U1" s="1"/>
      <c r="V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U1" s="162"/>
      <c r="AX1" s="204" t="s">
        <v>4</v>
      </c>
      <c r="AY1" s="199"/>
      <c r="AZ1" s="199"/>
      <c r="BA1" s="199"/>
      <c r="BB1" s="199"/>
      <c r="BC1" s="199"/>
      <c r="BD1" s="4"/>
    </row>
    <row r="2" spans="1:132" ht="13.5" customHeight="1" x14ac:dyDescent="0.4">
      <c r="A2" s="193"/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59"/>
      <c r="M2" s="193"/>
      <c r="N2" s="159"/>
      <c r="O2" s="159"/>
      <c r="P2" s="159"/>
      <c r="Q2" s="159"/>
      <c r="R2" s="159"/>
      <c r="S2" s="159"/>
      <c r="T2" s="159"/>
      <c r="U2" s="1"/>
      <c r="V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U2" s="162"/>
      <c r="AX2" s="199"/>
      <c r="AY2" s="199"/>
      <c r="AZ2" s="199"/>
      <c r="BA2" s="199"/>
      <c r="BB2" s="199"/>
      <c r="BC2" s="199"/>
      <c r="BD2" s="4"/>
    </row>
    <row r="3" spans="1:132" ht="13.9" customHeight="1" thickBot="1" x14ac:dyDescent="0.45">
      <c r="AC3" s="7"/>
      <c r="AV3" s="2">
        <v>95</v>
      </c>
      <c r="AW3" s="2">
        <v>1</v>
      </c>
      <c r="AY3" s="2">
        <v>2</v>
      </c>
      <c r="BA3" s="2">
        <v>3</v>
      </c>
      <c r="BC3" s="2">
        <v>4</v>
      </c>
      <c r="BE3" s="2">
        <v>6</v>
      </c>
      <c r="BG3" s="2">
        <v>7</v>
      </c>
      <c r="BI3" s="2">
        <v>8</v>
      </c>
      <c r="BK3" s="2">
        <v>9</v>
      </c>
      <c r="BM3" s="2">
        <v>10</v>
      </c>
      <c r="BO3" s="2">
        <v>11</v>
      </c>
      <c r="BQ3" s="2">
        <v>12</v>
      </c>
      <c r="BS3" s="2">
        <v>15</v>
      </c>
      <c r="BU3" s="2">
        <v>28</v>
      </c>
      <c r="BW3" s="2">
        <v>33</v>
      </c>
      <c r="BY3" s="2">
        <v>40</v>
      </c>
      <c r="CA3" s="2">
        <v>41</v>
      </c>
      <c r="CC3" s="2">
        <v>45</v>
      </c>
      <c r="CE3" s="2">
        <v>46</v>
      </c>
      <c r="CG3" s="2">
        <v>36</v>
      </c>
      <c r="CI3" s="2">
        <v>47</v>
      </c>
      <c r="CK3" s="2">
        <v>31</v>
      </c>
      <c r="CM3" s="2">
        <v>48</v>
      </c>
    </row>
    <row r="4" spans="1:132" ht="26.45" customHeight="1" thickTop="1" thickBot="1" x14ac:dyDescent="0.45">
      <c r="A4" s="106" t="s">
        <v>5</v>
      </c>
      <c r="B4" s="94" t="s">
        <v>6</v>
      </c>
      <c r="C4" s="131" t="s">
        <v>7</v>
      </c>
      <c r="D4" s="131" t="s">
        <v>8</v>
      </c>
      <c r="E4" s="107" t="s">
        <v>9</v>
      </c>
      <c r="F4" s="108" t="s">
        <v>10</v>
      </c>
      <c r="G4" s="109" t="s">
        <v>11</v>
      </c>
      <c r="H4" s="110" t="s">
        <v>12</v>
      </c>
      <c r="I4" s="147" t="s">
        <v>13</v>
      </c>
      <c r="J4" s="111" t="s">
        <v>14</v>
      </c>
      <c r="K4" s="112" t="s">
        <v>15</v>
      </c>
      <c r="L4" s="113" t="s">
        <v>16</v>
      </c>
      <c r="M4" s="114" t="s">
        <v>17</v>
      </c>
      <c r="N4" s="115" t="s">
        <v>16</v>
      </c>
      <c r="O4" s="116" t="s">
        <v>18</v>
      </c>
      <c r="P4" s="117" t="s">
        <v>19</v>
      </c>
      <c r="Q4" s="118" t="s">
        <v>20</v>
      </c>
      <c r="R4" s="129" t="s">
        <v>21</v>
      </c>
      <c r="S4" s="130" t="s">
        <v>22</v>
      </c>
      <c r="T4" s="8" t="s">
        <v>23</v>
      </c>
      <c r="U4" s="9" t="s">
        <v>24</v>
      </c>
      <c r="V4" s="10" t="s">
        <v>25</v>
      </c>
      <c r="W4" s="11" t="s">
        <v>26</v>
      </c>
      <c r="X4" s="12" t="s">
        <v>27</v>
      </c>
      <c r="Y4" s="13" t="s">
        <v>28</v>
      </c>
      <c r="Z4" s="119" t="s">
        <v>29</v>
      </c>
      <c r="AA4" s="14" t="s">
        <v>30</v>
      </c>
      <c r="AB4" s="15" t="s">
        <v>31</v>
      </c>
      <c r="AC4" s="16" t="s">
        <v>32</v>
      </c>
      <c r="AD4" s="17" t="s">
        <v>33</v>
      </c>
      <c r="AE4" s="18" t="s">
        <v>34</v>
      </c>
      <c r="AF4" s="18" t="s">
        <v>35</v>
      </c>
      <c r="AG4" s="18" t="s">
        <v>36</v>
      </c>
      <c r="AH4" s="18" t="s">
        <v>37</v>
      </c>
      <c r="AI4" s="18" t="s">
        <v>38</v>
      </c>
      <c r="AJ4" s="18" t="s">
        <v>39</v>
      </c>
      <c r="AK4" s="18" t="s">
        <v>40</v>
      </c>
      <c r="AL4" s="17" t="s">
        <v>41</v>
      </c>
      <c r="AM4" s="18" t="str">
        <f>令和8年7月!$AM$4</f>
        <v>フリー①</v>
      </c>
      <c r="AN4" s="132" t="str">
        <f>令和8年7月!$AN$4</f>
        <v>フリー②</v>
      </c>
      <c r="AO4" s="18" t="str">
        <f>令和8年7月!$AO$4</f>
        <v>フリー③</v>
      </c>
      <c r="AP4" s="18" t="str">
        <f>令和8年7月!$AP$4</f>
        <v>フリー④</v>
      </c>
      <c r="AQ4" s="78" t="str">
        <f>令和8年7月!$AQ$4</f>
        <v>フリー⑤</v>
      </c>
      <c r="AR4" s="19" t="s">
        <v>47</v>
      </c>
      <c r="AS4" s="20" t="s">
        <v>48</v>
      </c>
      <c r="AT4" s="21" t="s">
        <v>49</v>
      </c>
      <c r="AU4" s="163"/>
      <c r="AV4" s="80" t="s">
        <v>144</v>
      </c>
      <c r="AW4" s="76" t="s">
        <v>145</v>
      </c>
      <c r="AX4" s="75" t="s">
        <v>146</v>
      </c>
      <c r="AY4" s="76" t="s">
        <v>147</v>
      </c>
      <c r="AZ4" s="75" t="s">
        <v>146</v>
      </c>
      <c r="BA4" s="76" t="s">
        <v>52</v>
      </c>
      <c r="BB4" s="75" t="s">
        <v>146</v>
      </c>
      <c r="BC4" s="76" t="s">
        <v>53</v>
      </c>
      <c r="BD4" s="75" t="s">
        <v>146</v>
      </c>
      <c r="BE4" s="76" t="s">
        <v>148</v>
      </c>
      <c r="BF4" s="75" t="s">
        <v>146</v>
      </c>
      <c r="BG4" s="76" t="s">
        <v>149</v>
      </c>
      <c r="BH4" s="75" t="s">
        <v>146</v>
      </c>
      <c r="BI4" s="76" t="s">
        <v>150</v>
      </c>
      <c r="BJ4" s="75" t="s">
        <v>146</v>
      </c>
      <c r="BK4" s="76" t="s">
        <v>57</v>
      </c>
      <c r="BL4" s="75" t="s">
        <v>146</v>
      </c>
      <c r="BM4" s="76" t="s">
        <v>58</v>
      </c>
      <c r="BN4" s="75" t="s">
        <v>146</v>
      </c>
      <c r="BO4" s="76" t="s">
        <v>151</v>
      </c>
      <c r="BP4" s="75" t="s">
        <v>146</v>
      </c>
      <c r="BQ4" s="76" t="s">
        <v>60</v>
      </c>
      <c r="BR4" s="75" t="s">
        <v>146</v>
      </c>
      <c r="BS4" s="76" t="s">
        <v>152</v>
      </c>
      <c r="BT4" s="75" t="s">
        <v>146</v>
      </c>
      <c r="BU4" s="76" t="s">
        <v>153</v>
      </c>
      <c r="BV4" s="75" t="s">
        <v>146</v>
      </c>
      <c r="BW4" s="76" t="s">
        <v>154</v>
      </c>
      <c r="BX4" s="75" t="s">
        <v>48</v>
      </c>
      <c r="BY4" s="76" t="s">
        <v>155</v>
      </c>
      <c r="BZ4" s="75" t="s">
        <v>156</v>
      </c>
      <c r="CA4" s="76" t="s">
        <v>157</v>
      </c>
      <c r="CB4" s="75" t="s">
        <v>48</v>
      </c>
      <c r="CC4" s="76" t="s">
        <v>158</v>
      </c>
      <c r="CD4" s="81" t="s">
        <v>48</v>
      </c>
      <c r="CE4" s="76" t="s">
        <v>159</v>
      </c>
      <c r="CF4" s="81" t="s">
        <v>48</v>
      </c>
      <c r="CG4" s="76" t="s">
        <v>160</v>
      </c>
      <c r="CH4" s="75" t="s">
        <v>48</v>
      </c>
      <c r="CI4" s="76" t="s">
        <v>161</v>
      </c>
      <c r="CJ4" s="81" t="s">
        <v>48</v>
      </c>
      <c r="CK4" s="76" t="s">
        <v>162</v>
      </c>
      <c r="CL4" s="81" t="s">
        <v>48</v>
      </c>
      <c r="CM4" s="76" t="s">
        <v>163</v>
      </c>
      <c r="CN4" s="75" t="s">
        <v>48</v>
      </c>
      <c r="CO4" s="76" t="s">
        <v>67</v>
      </c>
      <c r="CP4" s="81" t="s">
        <v>48</v>
      </c>
      <c r="CQ4" s="76" t="s">
        <v>68</v>
      </c>
      <c r="CR4" s="81" t="s">
        <v>48</v>
      </c>
      <c r="CS4" s="76" t="s">
        <v>69</v>
      </c>
      <c r="CT4" s="20" t="s">
        <v>48</v>
      </c>
      <c r="CU4" s="85" t="s">
        <v>70</v>
      </c>
      <c r="CV4" s="86" t="s">
        <v>71</v>
      </c>
      <c r="CW4" s="89"/>
      <c r="CX4" s="85" t="s">
        <v>104</v>
      </c>
      <c r="CY4" s="153" t="s">
        <v>15</v>
      </c>
      <c r="CZ4" s="155" t="s">
        <v>105</v>
      </c>
      <c r="DA4" s="93" t="s">
        <v>15</v>
      </c>
      <c r="DB4" s="94" t="s">
        <v>5</v>
      </c>
      <c r="DC4" s="95" t="s">
        <v>6</v>
      </c>
      <c r="DD4" s="2" t="s">
        <v>164</v>
      </c>
      <c r="DF4" s="121" t="s">
        <v>74</v>
      </c>
      <c r="DG4" s="122" t="s">
        <v>75</v>
      </c>
      <c r="DH4" s="122" t="s">
        <v>76</v>
      </c>
      <c r="DI4" s="122" t="s">
        <v>77</v>
      </c>
      <c r="DJ4" s="122" t="s">
        <v>78</v>
      </c>
      <c r="DK4" s="122" t="s">
        <v>42</v>
      </c>
      <c r="DL4" s="122" t="s">
        <v>43</v>
      </c>
      <c r="DM4" s="122" t="s">
        <v>44</v>
      </c>
      <c r="DN4" s="122" t="s">
        <v>45</v>
      </c>
      <c r="DO4" s="122" t="s">
        <v>46</v>
      </c>
      <c r="DP4" s="123" t="s">
        <v>79</v>
      </c>
      <c r="DQ4" s="124" t="s">
        <v>48</v>
      </c>
      <c r="DS4" s="205" t="s">
        <v>80</v>
      </c>
      <c r="DT4" s="206"/>
      <c r="DU4" s="206"/>
      <c r="DV4" s="207"/>
      <c r="DW4" s="160" t="s">
        <v>81</v>
      </c>
      <c r="DX4" s="160" t="s">
        <v>82</v>
      </c>
      <c r="DY4" s="22"/>
      <c r="DZ4" s="22"/>
      <c r="EA4" s="22"/>
    </row>
    <row r="5" spans="1:132" ht="13.5" customHeight="1" x14ac:dyDescent="0.4">
      <c r="A5" s="104">
        <v>1</v>
      </c>
      <c r="B5" s="23" t="s">
        <v>90</v>
      </c>
      <c r="C5" s="164"/>
      <c r="D5" s="164"/>
      <c r="E5" s="24"/>
      <c r="F5" s="29"/>
      <c r="G5" s="25" t="str">
        <f>IF(SUM($F$5:F5)=0,"",SUM($F$5:F5))</f>
        <v/>
      </c>
      <c r="H5" s="43" t="str">
        <f t="shared" ref="H5:H35" si="0">IF(ISERROR(G5/V5),"",(G5/V5))</f>
        <v/>
      </c>
      <c r="I5" s="148" t="e">
        <f t="array" aca="1" ref="I5" ca="1">IF($A6="",$G5/($V5-$U$5+INDIRECT(IF(_xlfn.SHEET()&lt;6,"令和8年"&amp;_xlfn.SHEET()+7&amp;"月","令和9年"&amp;_xlfn.SHEET()-5&amp;"月")&amp;"!$U$5")),$G5/($V6-$U$5))</f>
        <v>#VALUE!</v>
      </c>
      <c r="J5" s="26" t="str">
        <f t="shared" ref="J5:J35" si="1">IFERROR(G5/AC5,"")</f>
        <v/>
      </c>
      <c r="K5" s="27"/>
      <c r="L5" s="165">
        <f t="shared" ref="L5:L37" si="2">IF(ISERROR(K5/W5),"",(K5/W5))</f>
        <v>0</v>
      </c>
      <c r="M5" s="28" t="str">
        <f t="shared" ref="M5:M35" si="3">IF(ISERROR(F5/K5),"",(F5/K5))</f>
        <v/>
      </c>
      <c r="N5" s="166" t="str">
        <f t="shared" ref="N5:N37" si="4">IF(ISERROR(M5/X5),"",(M5/X5))</f>
        <v/>
      </c>
      <c r="O5" s="167" t="str">
        <f t="shared" ref="O5:O35" si="5">IF(ISERROR(F5/P5),"",(F5/P5))</f>
        <v/>
      </c>
      <c r="P5" s="168"/>
      <c r="Q5" s="169" t="str">
        <f t="shared" ref="Q5:Q35" si="6">IF(ISERROR(P5/K5),"",(P5/K5))</f>
        <v/>
      </c>
      <c r="R5" s="170">
        <v>6</v>
      </c>
      <c r="S5" s="171">
        <v>-2</v>
      </c>
      <c r="T5" s="24" t="s">
        <v>84</v>
      </c>
      <c r="U5" s="29">
        <v>528374</v>
      </c>
      <c r="V5" s="30">
        <f>SUM(U5)</f>
        <v>528374</v>
      </c>
      <c r="W5" s="27">
        <v>328</v>
      </c>
      <c r="X5" s="31">
        <f t="shared" ref="X5:X35" si="7">IF(ISERROR(U5/W5),"",(U5/W5))</f>
        <v>1610.8963414634147</v>
      </c>
      <c r="Y5" s="29">
        <v>577397</v>
      </c>
      <c r="Z5" s="32">
        <f>SUM(Y5)</f>
        <v>577397</v>
      </c>
      <c r="AA5" s="33">
        <f t="shared" ref="AA5:AA35" si="8">IF(ISERROR(V5/Z5),"",(V5/Z5))</f>
        <v>0.91509654535787333</v>
      </c>
      <c r="AB5" s="158">
        <v>230000</v>
      </c>
      <c r="AC5" s="34">
        <f>AB5</f>
        <v>230000</v>
      </c>
      <c r="AD5" s="158"/>
      <c r="AE5" s="25"/>
      <c r="AF5" s="25"/>
      <c r="AG5" s="25"/>
      <c r="AH5" s="25"/>
      <c r="AI5" s="25"/>
      <c r="AJ5" s="25"/>
      <c r="AK5" s="25"/>
      <c r="AL5" s="158"/>
      <c r="AM5" s="25"/>
      <c r="AN5" s="158"/>
      <c r="AO5" s="25"/>
      <c r="AP5" s="25"/>
      <c r="AQ5" s="158"/>
      <c r="AR5" s="35">
        <f t="shared" ref="AR5:AR35" si="9">SUM(AD5:AQ5)</f>
        <v>0</v>
      </c>
      <c r="AS5" s="172" t="str">
        <f t="shared" ref="AS5:AS35" si="10">IF(ISERROR((AR5/F5)),"",AR5/F5)</f>
        <v/>
      </c>
      <c r="AT5" s="36">
        <f t="shared" ref="AT5:AT35" si="11">F5-AR5+DW5</f>
        <v>0</v>
      </c>
      <c r="AU5" s="173"/>
      <c r="AV5" s="82">
        <f t="shared" ref="AV5:AV35" si="12">A5</f>
        <v>1</v>
      </c>
      <c r="AW5" s="37"/>
      <c r="AX5" s="174" t="str">
        <f t="shared" ref="AX5:AX35" si="13">IF(ISERROR((AW5/$F5)),"",AW5/$F5)</f>
        <v/>
      </c>
      <c r="AY5" s="37"/>
      <c r="AZ5" s="174" t="str">
        <f t="shared" ref="AZ5:AZ35" si="14">IF(ISERROR((AY5/$F5)),"",AY5/$F5)</f>
        <v/>
      </c>
      <c r="BA5" s="37"/>
      <c r="BB5" s="174" t="str">
        <f t="shared" ref="BB5:BB35" si="15">IF(ISERROR((BA5/$F5)),"",BA5/$F5)</f>
        <v/>
      </c>
      <c r="BC5" s="37"/>
      <c r="BD5" s="174" t="str">
        <f t="shared" ref="BD5:BD35" si="16">IF(ISERROR((BC5/$F5)),"",BC5/$F5)</f>
        <v/>
      </c>
      <c r="BE5" s="37"/>
      <c r="BF5" s="174" t="str">
        <f t="shared" ref="BF5:BF35" si="17">IF(ISERROR((BE5/$F5)),"",BE5/$F5)</f>
        <v/>
      </c>
      <c r="BG5" s="37"/>
      <c r="BH5" s="174" t="str">
        <f t="shared" ref="BH5:BH35" si="18">IF(ISERROR((BG5/$F5)),"",BG5/$F5)</f>
        <v/>
      </c>
      <c r="BI5" s="37"/>
      <c r="BJ5" s="174" t="str">
        <f t="shared" ref="BJ5:BJ35" si="19">IF(ISERROR((BI5/$F5)),"",BI5/$F5)</f>
        <v/>
      </c>
      <c r="BK5" s="37"/>
      <c r="BL5" s="174" t="str">
        <f t="shared" ref="BL5:BL35" si="20">IF(ISERROR((BK5/$F5)),"",BK5/$F5)</f>
        <v/>
      </c>
      <c r="BM5" s="37"/>
      <c r="BN5" s="174" t="str">
        <f t="shared" ref="BN5:BN35" si="21">IF(ISERROR((BM5/$F5)),"",BM5/$F5)</f>
        <v/>
      </c>
      <c r="BO5" s="37"/>
      <c r="BP5" s="174" t="str">
        <f t="shared" ref="BP5:BP35" si="22">IF(ISERROR((BO5/$F5)),"",BO5/$F5)</f>
        <v/>
      </c>
      <c r="BQ5" s="37"/>
      <c r="BR5" s="174" t="str">
        <f t="shared" ref="BR5:BR35" si="23">IF(ISERROR((BQ5/$F5)),"",BQ5/$F5)</f>
        <v/>
      </c>
      <c r="BS5" s="37"/>
      <c r="BT5" s="174" t="str">
        <f t="shared" ref="BT5:BT35" si="24">IF(ISERROR((BS5/$F5)),"",BS5/$F5)</f>
        <v/>
      </c>
      <c r="BU5" s="37"/>
      <c r="BV5" s="174" t="str">
        <f t="shared" ref="BV5:BV35" si="25">IF(ISERROR((BU5/$F5)),"",BU5/$F5)</f>
        <v/>
      </c>
      <c r="BW5" s="37"/>
      <c r="BX5" s="174" t="str">
        <f t="shared" ref="BX5:BX35" si="26">IF(ISERROR((BW5/$F5)),"",BW5/$F5)</f>
        <v/>
      </c>
      <c r="BY5" s="37"/>
      <c r="BZ5" s="174" t="str">
        <f t="shared" ref="BZ5:BZ35" si="27">IF(ISERROR((BY5/$F5)),"",BY5/$F5)</f>
        <v/>
      </c>
      <c r="CA5" s="37"/>
      <c r="CB5" s="174" t="str">
        <f t="shared" ref="CB5:CB35" si="28">IF(ISERROR((CA5/$F5)),"",CA5/$F5)</f>
        <v/>
      </c>
      <c r="CC5" s="37"/>
      <c r="CD5" s="174" t="str">
        <f t="shared" ref="CD5:CD35" si="29">IF(ISERROR((CC5/$F5)),"",CC5/$F5)</f>
        <v/>
      </c>
      <c r="CE5" s="37"/>
      <c r="CF5" s="174" t="str">
        <f t="shared" ref="CF5:CF35" si="30">IF(ISERROR((CE5/$F5)),"",CE5/$F5)</f>
        <v/>
      </c>
      <c r="CG5" s="37"/>
      <c r="CH5" s="174" t="str">
        <f t="shared" ref="CH5:CH35" si="31">IF(ISERROR((CG5/$F5)),"",CG5/$F5)</f>
        <v/>
      </c>
      <c r="CI5" s="37"/>
      <c r="CJ5" s="174" t="str">
        <f t="shared" ref="CJ5:CJ35" si="32">IF(ISERROR((CI5/$F5)),"",CI5/$F5)</f>
        <v/>
      </c>
      <c r="CK5" s="37"/>
      <c r="CL5" s="174" t="str">
        <f t="shared" ref="CL5:CL35" si="33">IF(ISERROR((CK5/$F5)),"",CK5/$F5)</f>
        <v/>
      </c>
      <c r="CM5" s="37"/>
      <c r="CN5" s="174" t="str">
        <f t="shared" ref="CN5:CN35" si="34">IF(ISERROR((CM5/$F5)),"",CM5/$F5)</f>
        <v/>
      </c>
      <c r="CO5" s="37"/>
      <c r="CP5" s="174" t="str">
        <f t="shared" ref="CP5:CP35" si="35">IF(ISERROR((CO5/$F5)),"",CO5/$F5)</f>
        <v/>
      </c>
      <c r="CQ5" s="37"/>
      <c r="CR5" s="174" t="str">
        <f t="shared" ref="CR5:CR35" si="36">IF(ISERROR((CQ5/$F5)),"",CQ5/$F5)</f>
        <v/>
      </c>
      <c r="CS5" s="37"/>
      <c r="CT5" s="174" t="str">
        <f t="shared" ref="CT5:CT35" si="37">IF(ISERROR((CS5/$F5)),"",CS5/$F5)</f>
        <v/>
      </c>
      <c r="CU5" s="38"/>
      <c r="CV5" s="87"/>
      <c r="CW5" s="90"/>
      <c r="CX5" s="38"/>
      <c r="CY5" s="39"/>
      <c r="CZ5" s="37"/>
      <c r="DA5" s="39"/>
      <c r="DB5" s="24">
        <v>1</v>
      </c>
      <c r="DC5" s="96" t="str">
        <f t="shared" ref="DC5:DC35" si="38">B5</f>
        <v>月</v>
      </c>
      <c r="DF5" s="125"/>
      <c r="DG5" s="40"/>
      <c r="DH5" s="40"/>
      <c r="DI5" s="40"/>
      <c r="DJ5" s="40"/>
      <c r="DK5" s="40"/>
      <c r="DL5" s="40"/>
      <c r="DM5" s="40"/>
      <c r="DN5" s="40"/>
      <c r="DO5" s="40"/>
      <c r="DP5" s="40">
        <f t="shared" ref="DP5:DP35" si="39">SUM(DF5:DO5)</f>
        <v>0</v>
      </c>
      <c r="DQ5" s="172" t="str">
        <f t="shared" ref="DQ5:DQ35" si="40">IF(ISERROR((DP5/F5)),"",DP5/F5)</f>
        <v/>
      </c>
      <c r="DS5" s="189"/>
      <c r="DT5" s="190"/>
      <c r="DU5" s="190"/>
      <c r="DV5" s="191"/>
      <c r="DW5" s="41"/>
      <c r="DX5" s="42"/>
      <c r="DY5" s="22"/>
      <c r="DZ5" s="22"/>
      <c r="EA5" s="22"/>
    </row>
    <row r="6" spans="1:132" ht="13.5" customHeight="1" x14ac:dyDescent="0.4">
      <c r="A6" s="104">
        <v>2</v>
      </c>
      <c r="B6" s="23" t="s">
        <v>91</v>
      </c>
      <c r="C6" s="164"/>
      <c r="D6" s="164"/>
      <c r="E6" s="24"/>
      <c r="F6" s="29"/>
      <c r="G6" s="25" t="str">
        <f>IF(SUM($F$5:F6)=0,"",SUM($F$5:F6))</f>
        <v/>
      </c>
      <c r="H6" s="43" t="str">
        <f t="shared" si="0"/>
        <v/>
      </c>
      <c r="I6" s="148" t="e">
        <f t="array" aca="1" ref="I6" ca="1">IF($A7="",$G6/($V6-$U$5+INDIRECT(IF(_xlfn.SHEET()&lt;6,"令和8年"&amp;_xlfn.SHEET()+7&amp;"月","令和9年"&amp;_xlfn.SHEET()-5&amp;"月")&amp;"!$U$5")),$G6/($V7-$U$5))</f>
        <v>#VALUE!</v>
      </c>
      <c r="J6" s="26" t="str">
        <f t="shared" si="1"/>
        <v/>
      </c>
      <c r="K6" s="27"/>
      <c r="L6" s="165">
        <f t="shared" si="2"/>
        <v>0</v>
      </c>
      <c r="M6" s="28" t="str">
        <f t="shared" si="3"/>
        <v/>
      </c>
      <c r="N6" s="166" t="str">
        <f t="shared" si="4"/>
        <v/>
      </c>
      <c r="O6" s="167" t="str">
        <f t="shared" si="5"/>
        <v/>
      </c>
      <c r="P6" s="168"/>
      <c r="Q6" s="169" t="str">
        <f t="shared" si="6"/>
        <v/>
      </c>
      <c r="R6" s="170">
        <v>8</v>
      </c>
      <c r="S6" s="171">
        <v>0</v>
      </c>
      <c r="T6" s="24" t="s">
        <v>84</v>
      </c>
      <c r="U6" s="29">
        <v>197453</v>
      </c>
      <c r="V6" s="30">
        <f t="shared" ref="V6:V35" si="41">SUM(V5+U6)</f>
        <v>725827</v>
      </c>
      <c r="W6" s="27">
        <v>107</v>
      </c>
      <c r="X6" s="31">
        <f t="shared" si="7"/>
        <v>1845.3551401869158</v>
      </c>
      <c r="Y6" s="29">
        <v>608934</v>
      </c>
      <c r="Z6" s="32">
        <f t="shared" ref="Z6:Z35" si="42">SUM(Z5+Y6)</f>
        <v>1186331</v>
      </c>
      <c r="AA6" s="33">
        <f t="shared" si="8"/>
        <v>0.61182503028244228</v>
      </c>
      <c r="AB6" s="158">
        <v>230000</v>
      </c>
      <c r="AC6" s="34">
        <f t="shared" ref="AC6:AC35" si="43">AB6+AC5</f>
        <v>460000</v>
      </c>
      <c r="AD6" s="158"/>
      <c r="AE6" s="25"/>
      <c r="AF6" s="25"/>
      <c r="AG6" s="25"/>
      <c r="AH6" s="25"/>
      <c r="AI6" s="25"/>
      <c r="AJ6" s="25"/>
      <c r="AK6" s="25"/>
      <c r="AL6" s="158"/>
      <c r="AM6" s="25"/>
      <c r="AN6" s="158"/>
      <c r="AO6" s="25"/>
      <c r="AP6" s="25"/>
      <c r="AQ6" s="158"/>
      <c r="AR6" s="35">
        <f t="shared" si="9"/>
        <v>0</v>
      </c>
      <c r="AS6" s="172" t="str">
        <f t="shared" si="10"/>
        <v/>
      </c>
      <c r="AT6" s="36">
        <f t="shared" si="11"/>
        <v>0</v>
      </c>
      <c r="AU6" s="173"/>
      <c r="AV6" s="82">
        <f t="shared" si="12"/>
        <v>2</v>
      </c>
      <c r="AW6" s="37"/>
      <c r="AX6" s="174" t="str">
        <f t="shared" si="13"/>
        <v/>
      </c>
      <c r="AY6" s="37"/>
      <c r="AZ6" s="174" t="str">
        <f t="shared" si="14"/>
        <v/>
      </c>
      <c r="BA6" s="37"/>
      <c r="BB6" s="174" t="str">
        <f t="shared" si="15"/>
        <v/>
      </c>
      <c r="BC6" s="37"/>
      <c r="BD6" s="174" t="str">
        <f t="shared" si="16"/>
        <v/>
      </c>
      <c r="BE6" s="37"/>
      <c r="BF6" s="174" t="str">
        <f t="shared" si="17"/>
        <v/>
      </c>
      <c r="BG6" s="37"/>
      <c r="BH6" s="174" t="str">
        <f t="shared" si="18"/>
        <v/>
      </c>
      <c r="BI6" s="37"/>
      <c r="BJ6" s="174" t="str">
        <f t="shared" si="19"/>
        <v/>
      </c>
      <c r="BK6" s="37"/>
      <c r="BL6" s="174" t="str">
        <f t="shared" si="20"/>
        <v/>
      </c>
      <c r="BM6" s="37"/>
      <c r="BN6" s="174" t="str">
        <f t="shared" si="21"/>
        <v/>
      </c>
      <c r="BO6" s="37"/>
      <c r="BP6" s="174" t="str">
        <f t="shared" si="22"/>
        <v/>
      </c>
      <c r="BQ6" s="37"/>
      <c r="BR6" s="174" t="str">
        <f t="shared" si="23"/>
        <v/>
      </c>
      <c r="BS6" s="37"/>
      <c r="BT6" s="174" t="str">
        <f t="shared" si="24"/>
        <v/>
      </c>
      <c r="BU6" s="37"/>
      <c r="BV6" s="174" t="str">
        <f t="shared" si="25"/>
        <v/>
      </c>
      <c r="BW6" s="37"/>
      <c r="BX6" s="174" t="str">
        <f t="shared" si="26"/>
        <v/>
      </c>
      <c r="BY6" s="37"/>
      <c r="BZ6" s="174" t="str">
        <f t="shared" si="27"/>
        <v/>
      </c>
      <c r="CA6" s="37"/>
      <c r="CB6" s="174" t="str">
        <f t="shared" si="28"/>
        <v/>
      </c>
      <c r="CC6" s="37"/>
      <c r="CD6" s="174" t="str">
        <f t="shared" si="29"/>
        <v/>
      </c>
      <c r="CE6" s="37"/>
      <c r="CF6" s="174" t="str">
        <f t="shared" si="30"/>
        <v/>
      </c>
      <c r="CG6" s="37"/>
      <c r="CH6" s="174" t="str">
        <f t="shared" si="31"/>
        <v/>
      </c>
      <c r="CI6" s="37"/>
      <c r="CJ6" s="174" t="str">
        <f t="shared" si="32"/>
        <v/>
      </c>
      <c r="CK6" s="37"/>
      <c r="CL6" s="174" t="str">
        <f t="shared" si="33"/>
        <v/>
      </c>
      <c r="CM6" s="37"/>
      <c r="CN6" s="174" t="str">
        <f t="shared" si="34"/>
        <v/>
      </c>
      <c r="CO6" s="37"/>
      <c r="CP6" s="174" t="str">
        <f t="shared" si="35"/>
        <v/>
      </c>
      <c r="CQ6" s="37"/>
      <c r="CR6" s="174" t="str">
        <f t="shared" si="36"/>
        <v/>
      </c>
      <c r="CS6" s="37"/>
      <c r="CT6" s="174" t="str">
        <f t="shared" si="37"/>
        <v/>
      </c>
      <c r="CU6" s="38"/>
      <c r="CV6" s="87"/>
      <c r="CW6" s="90"/>
      <c r="CX6" s="38"/>
      <c r="CY6" s="39"/>
      <c r="CZ6" s="37"/>
      <c r="DA6" s="39"/>
      <c r="DB6" s="24">
        <v>2</v>
      </c>
      <c r="DC6" s="96" t="str">
        <f t="shared" si="38"/>
        <v>火</v>
      </c>
      <c r="DF6" s="125"/>
      <c r="DG6" s="40"/>
      <c r="DH6" s="40"/>
      <c r="DI6" s="40"/>
      <c r="DJ6" s="40"/>
      <c r="DK6" s="40"/>
      <c r="DL6" s="40"/>
      <c r="DM6" s="40"/>
      <c r="DN6" s="40"/>
      <c r="DO6" s="40"/>
      <c r="DP6" s="40">
        <f t="shared" si="39"/>
        <v>0</v>
      </c>
      <c r="DQ6" s="172" t="str">
        <f t="shared" si="40"/>
        <v/>
      </c>
      <c r="DS6" s="189"/>
      <c r="DT6" s="190"/>
      <c r="DU6" s="190"/>
      <c r="DV6" s="191"/>
      <c r="DW6" s="41"/>
      <c r="DX6" s="42"/>
      <c r="DY6" s="22"/>
      <c r="DZ6" s="22"/>
      <c r="EA6" s="22"/>
    </row>
    <row r="7" spans="1:132" ht="13.5" customHeight="1" x14ac:dyDescent="0.4">
      <c r="A7" s="104">
        <v>3</v>
      </c>
      <c r="B7" s="23" t="s">
        <v>83</v>
      </c>
      <c r="C7" s="164"/>
      <c r="D7" s="164"/>
      <c r="E7" s="24"/>
      <c r="F7" s="29"/>
      <c r="G7" s="25" t="str">
        <f>IF(SUM($F$5:F7)=0,"",SUM($F$5:F7))</f>
        <v/>
      </c>
      <c r="H7" s="43" t="str">
        <f t="shared" si="0"/>
        <v/>
      </c>
      <c r="I7" s="148" t="e">
        <f t="array" aca="1" ref="I7" ca="1">IF($A8="",$G7/($V7-$U$5+INDIRECT(IF(_xlfn.SHEET()&lt;6,"令和8年"&amp;_xlfn.SHEET()+7&amp;"月","令和9年"&amp;_xlfn.SHEET()-5&amp;"月")&amp;"!$U$5")),$G7/($V8-$U$5))</f>
        <v>#VALUE!</v>
      </c>
      <c r="J7" s="26" t="str">
        <f t="shared" si="1"/>
        <v/>
      </c>
      <c r="K7" s="27"/>
      <c r="L7" s="165">
        <f t="shared" si="2"/>
        <v>0</v>
      </c>
      <c r="M7" s="28" t="str">
        <f t="shared" si="3"/>
        <v/>
      </c>
      <c r="N7" s="166" t="str">
        <f t="shared" si="4"/>
        <v/>
      </c>
      <c r="O7" s="167" t="str">
        <f t="shared" si="5"/>
        <v/>
      </c>
      <c r="P7" s="168"/>
      <c r="Q7" s="169" t="str">
        <f t="shared" si="6"/>
        <v/>
      </c>
      <c r="R7" s="170">
        <v>6</v>
      </c>
      <c r="S7" s="171">
        <v>-2</v>
      </c>
      <c r="T7" s="24" t="s">
        <v>84</v>
      </c>
      <c r="U7" s="29">
        <v>177558</v>
      </c>
      <c r="V7" s="30">
        <f t="shared" si="41"/>
        <v>903385</v>
      </c>
      <c r="W7" s="27">
        <v>116</v>
      </c>
      <c r="X7" s="31">
        <f t="shared" si="7"/>
        <v>1530.6724137931035</v>
      </c>
      <c r="Y7" s="29">
        <v>246818</v>
      </c>
      <c r="Z7" s="32">
        <f t="shared" si="42"/>
        <v>1433149</v>
      </c>
      <c r="AA7" s="33">
        <f t="shared" si="8"/>
        <v>0.6303496705506545</v>
      </c>
      <c r="AB7" s="158">
        <v>230000</v>
      </c>
      <c r="AC7" s="34">
        <f t="shared" si="43"/>
        <v>690000</v>
      </c>
      <c r="AD7" s="158"/>
      <c r="AE7" s="25"/>
      <c r="AF7" s="25"/>
      <c r="AG7" s="25"/>
      <c r="AH7" s="25"/>
      <c r="AI7" s="25"/>
      <c r="AJ7" s="25"/>
      <c r="AK7" s="25"/>
      <c r="AL7" s="158"/>
      <c r="AM7" s="25"/>
      <c r="AN7" s="158"/>
      <c r="AO7" s="25"/>
      <c r="AP7" s="25"/>
      <c r="AQ7" s="158"/>
      <c r="AR7" s="35">
        <f t="shared" si="9"/>
        <v>0</v>
      </c>
      <c r="AS7" s="172" t="str">
        <f t="shared" si="10"/>
        <v/>
      </c>
      <c r="AT7" s="36">
        <f t="shared" si="11"/>
        <v>0</v>
      </c>
      <c r="AU7" s="173"/>
      <c r="AV7" s="82">
        <f t="shared" si="12"/>
        <v>3</v>
      </c>
      <c r="AW7" s="37"/>
      <c r="AX7" s="174" t="str">
        <f t="shared" si="13"/>
        <v/>
      </c>
      <c r="AY7" s="37"/>
      <c r="AZ7" s="174" t="str">
        <f t="shared" si="14"/>
        <v/>
      </c>
      <c r="BA7" s="37"/>
      <c r="BB7" s="174" t="str">
        <f t="shared" si="15"/>
        <v/>
      </c>
      <c r="BC7" s="37"/>
      <c r="BD7" s="174" t="str">
        <f t="shared" si="16"/>
        <v/>
      </c>
      <c r="BE7" s="37"/>
      <c r="BF7" s="174" t="str">
        <f t="shared" si="17"/>
        <v/>
      </c>
      <c r="BG7" s="37"/>
      <c r="BH7" s="174" t="str">
        <f t="shared" si="18"/>
        <v/>
      </c>
      <c r="BI7" s="37"/>
      <c r="BJ7" s="174" t="str">
        <f t="shared" si="19"/>
        <v/>
      </c>
      <c r="BK7" s="37"/>
      <c r="BL7" s="174" t="str">
        <f t="shared" si="20"/>
        <v/>
      </c>
      <c r="BM7" s="37"/>
      <c r="BN7" s="174" t="str">
        <f t="shared" si="21"/>
        <v/>
      </c>
      <c r="BO7" s="37"/>
      <c r="BP7" s="174" t="str">
        <f t="shared" si="22"/>
        <v/>
      </c>
      <c r="BQ7" s="37"/>
      <c r="BR7" s="174" t="str">
        <f t="shared" si="23"/>
        <v/>
      </c>
      <c r="BS7" s="37"/>
      <c r="BT7" s="174" t="str">
        <f t="shared" si="24"/>
        <v/>
      </c>
      <c r="BU7" s="37"/>
      <c r="BV7" s="174" t="str">
        <f t="shared" si="25"/>
        <v/>
      </c>
      <c r="BW7" s="37"/>
      <c r="BX7" s="174" t="str">
        <f t="shared" si="26"/>
        <v/>
      </c>
      <c r="BY7" s="37"/>
      <c r="BZ7" s="174" t="str">
        <f t="shared" si="27"/>
        <v/>
      </c>
      <c r="CA7" s="37"/>
      <c r="CB7" s="174" t="str">
        <f t="shared" si="28"/>
        <v/>
      </c>
      <c r="CC7" s="37"/>
      <c r="CD7" s="174" t="str">
        <f t="shared" si="29"/>
        <v/>
      </c>
      <c r="CE7" s="37"/>
      <c r="CF7" s="174" t="str">
        <f t="shared" si="30"/>
        <v/>
      </c>
      <c r="CG7" s="37"/>
      <c r="CH7" s="174" t="str">
        <f t="shared" si="31"/>
        <v/>
      </c>
      <c r="CI7" s="37"/>
      <c r="CJ7" s="174" t="str">
        <f t="shared" si="32"/>
        <v/>
      </c>
      <c r="CK7" s="37"/>
      <c r="CL7" s="174" t="str">
        <f t="shared" si="33"/>
        <v/>
      </c>
      <c r="CM7" s="37"/>
      <c r="CN7" s="174" t="str">
        <f t="shared" si="34"/>
        <v/>
      </c>
      <c r="CO7" s="37"/>
      <c r="CP7" s="174" t="str">
        <f t="shared" si="35"/>
        <v/>
      </c>
      <c r="CQ7" s="37"/>
      <c r="CR7" s="174" t="str">
        <f t="shared" si="36"/>
        <v/>
      </c>
      <c r="CS7" s="37"/>
      <c r="CT7" s="174" t="str">
        <f t="shared" si="37"/>
        <v/>
      </c>
      <c r="CU7" s="38"/>
      <c r="CV7" s="87"/>
      <c r="CW7" s="90"/>
      <c r="CX7" s="38"/>
      <c r="CY7" s="39"/>
      <c r="CZ7" s="37"/>
      <c r="DA7" s="39"/>
      <c r="DB7" s="24">
        <v>3</v>
      </c>
      <c r="DC7" s="96" t="str">
        <f t="shared" si="38"/>
        <v>水</v>
      </c>
      <c r="DF7" s="125"/>
      <c r="DG7" s="40"/>
      <c r="DH7" s="40"/>
      <c r="DI7" s="40"/>
      <c r="DJ7" s="40"/>
      <c r="DK7" s="40"/>
      <c r="DL7" s="40"/>
      <c r="DM7" s="40"/>
      <c r="DN7" s="40"/>
      <c r="DO7" s="40"/>
      <c r="DP7" s="40">
        <f t="shared" si="39"/>
        <v>0</v>
      </c>
      <c r="DQ7" s="172" t="str">
        <f t="shared" si="40"/>
        <v/>
      </c>
      <c r="DS7" s="189"/>
      <c r="DT7" s="190"/>
      <c r="DU7" s="190"/>
      <c r="DV7" s="191"/>
      <c r="DW7" s="138"/>
      <c r="DX7" s="42"/>
      <c r="DY7" s="139"/>
      <c r="DZ7" s="139"/>
      <c r="EA7" s="139"/>
      <c r="EB7" s="139"/>
    </row>
    <row r="8" spans="1:132" ht="13.5" customHeight="1" x14ac:dyDescent="0.4">
      <c r="A8" s="104">
        <v>4</v>
      </c>
      <c r="B8" s="23" t="s">
        <v>85</v>
      </c>
      <c r="C8" s="164"/>
      <c r="D8" s="164"/>
      <c r="E8" s="24"/>
      <c r="F8" s="29"/>
      <c r="G8" s="25" t="str">
        <f>IF(SUM($F$5:F8)=0,"",SUM($F$5:F8))</f>
        <v/>
      </c>
      <c r="H8" s="43" t="str">
        <f t="shared" si="0"/>
        <v/>
      </c>
      <c r="I8" s="148" t="e">
        <f t="array" aca="1" ref="I8" ca="1">IF($A9="",$G8/($V8-$U$5+INDIRECT(IF(_xlfn.SHEET()&lt;6,"令和8年"&amp;_xlfn.SHEET()+7&amp;"月","令和9年"&amp;_xlfn.SHEET()-5&amp;"月")&amp;"!$U$5")),$G8/($V9-$U$5))</f>
        <v>#VALUE!</v>
      </c>
      <c r="J8" s="26" t="str">
        <f t="shared" si="1"/>
        <v/>
      </c>
      <c r="K8" s="27"/>
      <c r="L8" s="165">
        <f t="shared" si="2"/>
        <v>0</v>
      </c>
      <c r="M8" s="28" t="str">
        <f t="shared" si="3"/>
        <v/>
      </c>
      <c r="N8" s="166" t="str">
        <f t="shared" si="4"/>
        <v/>
      </c>
      <c r="O8" s="167" t="str">
        <f t="shared" si="5"/>
        <v/>
      </c>
      <c r="P8" s="168"/>
      <c r="Q8" s="169" t="str">
        <f t="shared" si="6"/>
        <v/>
      </c>
      <c r="R8" s="170">
        <v>10</v>
      </c>
      <c r="S8" s="171">
        <v>1</v>
      </c>
      <c r="T8" s="24" t="s">
        <v>84</v>
      </c>
      <c r="U8" s="29">
        <v>315969</v>
      </c>
      <c r="V8" s="30">
        <f t="shared" si="41"/>
        <v>1219354</v>
      </c>
      <c r="W8" s="27">
        <v>201</v>
      </c>
      <c r="X8" s="31">
        <f t="shared" si="7"/>
        <v>1571.9850746268658</v>
      </c>
      <c r="Y8" s="29">
        <v>195505</v>
      </c>
      <c r="Z8" s="32">
        <f t="shared" si="42"/>
        <v>1628654</v>
      </c>
      <c r="AA8" s="33">
        <f t="shared" si="8"/>
        <v>0.74868818054663544</v>
      </c>
      <c r="AB8" s="158">
        <v>230000</v>
      </c>
      <c r="AC8" s="34">
        <f t="shared" si="43"/>
        <v>920000</v>
      </c>
      <c r="AD8" s="158"/>
      <c r="AE8" s="25"/>
      <c r="AF8" s="25"/>
      <c r="AG8" s="25"/>
      <c r="AH8" s="25"/>
      <c r="AI8" s="25"/>
      <c r="AJ8" s="25"/>
      <c r="AK8" s="79"/>
      <c r="AL8" s="120"/>
      <c r="AM8" s="79"/>
      <c r="AN8" s="120"/>
      <c r="AO8" s="79"/>
      <c r="AP8" s="79"/>
      <c r="AQ8" s="158"/>
      <c r="AR8" s="35">
        <f t="shared" si="9"/>
        <v>0</v>
      </c>
      <c r="AS8" s="172" t="str">
        <f t="shared" si="10"/>
        <v/>
      </c>
      <c r="AT8" s="36">
        <f t="shared" si="11"/>
        <v>0</v>
      </c>
      <c r="AU8" s="173"/>
      <c r="AV8" s="82">
        <f t="shared" si="12"/>
        <v>4</v>
      </c>
      <c r="AW8" s="37"/>
      <c r="AX8" s="174" t="str">
        <f t="shared" si="13"/>
        <v/>
      </c>
      <c r="AY8" s="37"/>
      <c r="AZ8" s="174" t="str">
        <f t="shared" si="14"/>
        <v/>
      </c>
      <c r="BA8" s="37"/>
      <c r="BB8" s="174" t="str">
        <f t="shared" si="15"/>
        <v/>
      </c>
      <c r="BC8" s="37"/>
      <c r="BD8" s="174" t="str">
        <f t="shared" si="16"/>
        <v/>
      </c>
      <c r="BE8" s="37"/>
      <c r="BF8" s="174" t="str">
        <f t="shared" si="17"/>
        <v/>
      </c>
      <c r="BG8" s="37"/>
      <c r="BH8" s="174" t="str">
        <f t="shared" si="18"/>
        <v/>
      </c>
      <c r="BI8" s="37"/>
      <c r="BJ8" s="174" t="str">
        <f t="shared" si="19"/>
        <v/>
      </c>
      <c r="BK8" s="37"/>
      <c r="BL8" s="174" t="str">
        <f t="shared" si="20"/>
        <v/>
      </c>
      <c r="BM8" s="37"/>
      <c r="BN8" s="174" t="str">
        <f t="shared" si="21"/>
        <v/>
      </c>
      <c r="BO8" s="37"/>
      <c r="BP8" s="174" t="str">
        <f t="shared" si="22"/>
        <v/>
      </c>
      <c r="BQ8" s="37"/>
      <c r="BR8" s="174" t="str">
        <f t="shared" si="23"/>
        <v/>
      </c>
      <c r="BS8" s="37"/>
      <c r="BT8" s="174" t="str">
        <f t="shared" si="24"/>
        <v/>
      </c>
      <c r="BU8" s="37"/>
      <c r="BV8" s="174" t="str">
        <f t="shared" si="25"/>
        <v/>
      </c>
      <c r="BW8" s="37"/>
      <c r="BX8" s="174" t="str">
        <f t="shared" si="26"/>
        <v/>
      </c>
      <c r="BY8" s="37"/>
      <c r="BZ8" s="174" t="str">
        <f t="shared" si="27"/>
        <v/>
      </c>
      <c r="CA8" s="37"/>
      <c r="CB8" s="174" t="str">
        <f t="shared" si="28"/>
        <v/>
      </c>
      <c r="CC8" s="37"/>
      <c r="CD8" s="174" t="str">
        <f t="shared" si="29"/>
        <v/>
      </c>
      <c r="CE8" s="37"/>
      <c r="CF8" s="174" t="str">
        <f t="shared" si="30"/>
        <v/>
      </c>
      <c r="CG8" s="37"/>
      <c r="CH8" s="174" t="str">
        <f t="shared" si="31"/>
        <v/>
      </c>
      <c r="CI8" s="37"/>
      <c r="CJ8" s="174" t="str">
        <f t="shared" si="32"/>
        <v/>
      </c>
      <c r="CK8" s="37"/>
      <c r="CL8" s="174" t="str">
        <f t="shared" si="33"/>
        <v/>
      </c>
      <c r="CM8" s="37"/>
      <c r="CN8" s="174" t="str">
        <f t="shared" si="34"/>
        <v/>
      </c>
      <c r="CO8" s="37"/>
      <c r="CP8" s="174" t="str">
        <f t="shared" si="35"/>
        <v/>
      </c>
      <c r="CQ8" s="37"/>
      <c r="CR8" s="174" t="str">
        <f t="shared" si="36"/>
        <v/>
      </c>
      <c r="CS8" s="37"/>
      <c r="CT8" s="174" t="str">
        <f t="shared" si="37"/>
        <v/>
      </c>
      <c r="CU8" s="38"/>
      <c r="CV8" s="87"/>
      <c r="CW8" s="90"/>
      <c r="CX8" s="38"/>
      <c r="CY8" s="39"/>
      <c r="CZ8" s="37"/>
      <c r="DA8" s="39"/>
      <c r="DB8" s="24">
        <v>4</v>
      </c>
      <c r="DC8" s="96" t="str">
        <f t="shared" si="38"/>
        <v>木</v>
      </c>
      <c r="DF8" s="125"/>
      <c r="DG8" s="40"/>
      <c r="DH8" s="40"/>
      <c r="DI8" s="40"/>
      <c r="DJ8" s="40"/>
      <c r="DK8" s="40"/>
      <c r="DL8" s="40"/>
      <c r="DM8" s="40"/>
      <c r="DN8" s="40"/>
      <c r="DO8" s="40"/>
      <c r="DP8" s="40">
        <f t="shared" si="39"/>
        <v>0</v>
      </c>
      <c r="DQ8" s="172" t="str">
        <f t="shared" si="40"/>
        <v/>
      </c>
      <c r="DS8" s="189"/>
      <c r="DT8" s="190"/>
      <c r="DU8" s="190"/>
      <c r="DV8" s="191"/>
      <c r="DW8" s="41"/>
      <c r="DX8" s="42"/>
      <c r="DY8" s="139"/>
      <c r="DZ8" s="139"/>
      <c r="EA8" s="139"/>
      <c r="EB8" s="139"/>
    </row>
    <row r="9" spans="1:132" ht="13.5" customHeight="1" x14ac:dyDescent="0.4">
      <c r="A9" s="104">
        <v>5</v>
      </c>
      <c r="B9" s="23" t="s">
        <v>86</v>
      </c>
      <c r="C9" s="164"/>
      <c r="D9" s="164"/>
      <c r="E9" s="24"/>
      <c r="F9" s="29"/>
      <c r="G9" s="25" t="str">
        <f>IF(SUM($F$5:F9)=0,"",SUM($F$5:F9))</f>
        <v/>
      </c>
      <c r="H9" s="43" t="str">
        <f t="shared" si="0"/>
        <v/>
      </c>
      <c r="I9" s="148" t="e">
        <f t="array" aca="1" ref="I9" ca="1">IF($A10="",$G9/($V9-$U$5+INDIRECT(IF(_xlfn.SHEET()&lt;6,"令和8年"&amp;_xlfn.SHEET()+7&amp;"月","令和9年"&amp;_xlfn.SHEET()-5&amp;"月")&amp;"!$U$5")),$G9/($V10-$U$5))</f>
        <v>#VALUE!</v>
      </c>
      <c r="J9" s="26" t="str">
        <f t="shared" si="1"/>
        <v/>
      </c>
      <c r="K9" s="27"/>
      <c r="L9" s="165">
        <f t="shared" si="2"/>
        <v>0</v>
      </c>
      <c r="M9" s="28" t="str">
        <f t="shared" si="3"/>
        <v/>
      </c>
      <c r="N9" s="166" t="str">
        <f t="shared" si="4"/>
        <v/>
      </c>
      <c r="O9" s="167" t="str">
        <f t="shared" si="5"/>
        <v/>
      </c>
      <c r="P9" s="168"/>
      <c r="Q9" s="169" t="str">
        <f t="shared" si="6"/>
        <v/>
      </c>
      <c r="R9" s="170">
        <v>12</v>
      </c>
      <c r="S9" s="171">
        <v>1</v>
      </c>
      <c r="T9" s="24" t="s">
        <v>84</v>
      </c>
      <c r="U9" s="29">
        <v>274125</v>
      </c>
      <c r="V9" s="30">
        <f t="shared" si="41"/>
        <v>1493479</v>
      </c>
      <c r="W9" s="27">
        <v>138</v>
      </c>
      <c r="X9" s="31">
        <f t="shared" si="7"/>
        <v>1986.4130434782608</v>
      </c>
      <c r="Y9" s="29">
        <v>198662</v>
      </c>
      <c r="Z9" s="32">
        <f t="shared" si="42"/>
        <v>1827316</v>
      </c>
      <c r="AA9" s="33">
        <f t="shared" si="8"/>
        <v>0.81730746077854077</v>
      </c>
      <c r="AB9" s="158">
        <v>230000</v>
      </c>
      <c r="AC9" s="34">
        <f t="shared" si="43"/>
        <v>1150000</v>
      </c>
      <c r="AD9" s="158"/>
      <c r="AE9" s="25"/>
      <c r="AF9" s="25"/>
      <c r="AG9" s="25"/>
      <c r="AH9" s="25"/>
      <c r="AI9" s="25"/>
      <c r="AJ9" s="25"/>
      <c r="AK9" s="25"/>
      <c r="AL9" s="158"/>
      <c r="AM9" s="25"/>
      <c r="AN9" s="158"/>
      <c r="AO9" s="25"/>
      <c r="AP9" s="25"/>
      <c r="AQ9" s="158"/>
      <c r="AR9" s="35">
        <f t="shared" si="9"/>
        <v>0</v>
      </c>
      <c r="AS9" s="172" t="str">
        <f t="shared" si="10"/>
        <v/>
      </c>
      <c r="AT9" s="36">
        <f t="shared" si="11"/>
        <v>0</v>
      </c>
      <c r="AU9" s="173"/>
      <c r="AV9" s="82">
        <f t="shared" si="12"/>
        <v>5</v>
      </c>
      <c r="AW9" s="37"/>
      <c r="AX9" s="174" t="str">
        <f t="shared" si="13"/>
        <v/>
      </c>
      <c r="AY9" s="37"/>
      <c r="AZ9" s="174" t="str">
        <f t="shared" si="14"/>
        <v/>
      </c>
      <c r="BA9" s="37"/>
      <c r="BB9" s="174" t="str">
        <f t="shared" si="15"/>
        <v/>
      </c>
      <c r="BC9" s="37"/>
      <c r="BD9" s="174" t="str">
        <f t="shared" si="16"/>
        <v/>
      </c>
      <c r="BE9" s="37"/>
      <c r="BF9" s="174" t="str">
        <f t="shared" si="17"/>
        <v/>
      </c>
      <c r="BG9" s="37"/>
      <c r="BH9" s="174" t="str">
        <f t="shared" si="18"/>
        <v/>
      </c>
      <c r="BI9" s="37"/>
      <c r="BJ9" s="174" t="str">
        <f t="shared" si="19"/>
        <v/>
      </c>
      <c r="BK9" s="37"/>
      <c r="BL9" s="174" t="str">
        <f t="shared" si="20"/>
        <v/>
      </c>
      <c r="BM9" s="37"/>
      <c r="BN9" s="174" t="str">
        <f t="shared" si="21"/>
        <v/>
      </c>
      <c r="BO9" s="37"/>
      <c r="BP9" s="174" t="str">
        <f t="shared" si="22"/>
        <v/>
      </c>
      <c r="BQ9" s="37"/>
      <c r="BR9" s="174" t="str">
        <f t="shared" si="23"/>
        <v/>
      </c>
      <c r="BS9" s="37"/>
      <c r="BT9" s="174" t="str">
        <f t="shared" si="24"/>
        <v/>
      </c>
      <c r="BU9" s="37"/>
      <c r="BV9" s="174" t="str">
        <f t="shared" si="25"/>
        <v/>
      </c>
      <c r="BW9" s="37"/>
      <c r="BX9" s="174" t="str">
        <f t="shared" si="26"/>
        <v/>
      </c>
      <c r="BY9" s="37"/>
      <c r="BZ9" s="174" t="str">
        <f t="shared" si="27"/>
        <v/>
      </c>
      <c r="CA9" s="37"/>
      <c r="CB9" s="174" t="str">
        <f t="shared" si="28"/>
        <v/>
      </c>
      <c r="CC9" s="37"/>
      <c r="CD9" s="174" t="str">
        <f t="shared" si="29"/>
        <v/>
      </c>
      <c r="CE9" s="37"/>
      <c r="CF9" s="174" t="str">
        <f t="shared" si="30"/>
        <v/>
      </c>
      <c r="CG9" s="37"/>
      <c r="CH9" s="174" t="str">
        <f t="shared" si="31"/>
        <v/>
      </c>
      <c r="CI9" s="37"/>
      <c r="CJ9" s="174" t="str">
        <f t="shared" si="32"/>
        <v/>
      </c>
      <c r="CK9" s="37"/>
      <c r="CL9" s="174" t="str">
        <f t="shared" si="33"/>
        <v/>
      </c>
      <c r="CM9" s="37"/>
      <c r="CN9" s="174" t="str">
        <f t="shared" si="34"/>
        <v/>
      </c>
      <c r="CO9" s="37"/>
      <c r="CP9" s="174" t="str">
        <f t="shared" si="35"/>
        <v/>
      </c>
      <c r="CQ9" s="37"/>
      <c r="CR9" s="174" t="str">
        <f t="shared" si="36"/>
        <v/>
      </c>
      <c r="CS9" s="37"/>
      <c r="CT9" s="174" t="str">
        <f t="shared" si="37"/>
        <v/>
      </c>
      <c r="CU9" s="38"/>
      <c r="CV9" s="87"/>
      <c r="CW9" s="90"/>
      <c r="CX9" s="38"/>
      <c r="CY9" s="39"/>
      <c r="CZ9" s="37"/>
      <c r="DA9" s="39"/>
      <c r="DB9" s="24">
        <v>5</v>
      </c>
      <c r="DC9" s="96" t="str">
        <f t="shared" si="38"/>
        <v>金</v>
      </c>
      <c r="DF9" s="125"/>
      <c r="DG9" s="40"/>
      <c r="DH9" s="40"/>
      <c r="DI9" s="40"/>
      <c r="DJ9" s="40"/>
      <c r="DK9" s="40"/>
      <c r="DL9" s="40"/>
      <c r="DM9" s="40"/>
      <c r="DN9" s="40"/>
      <c r="DO9" s="40"/>
      <c r="DP9" s="40">
        <f t="shared" si="39"/>
        <v>0</v>
      </c>
      <c r="DQ9" s="172" t="str">
        <f t="shared" si="40"/>
        <v/>
      </c>
      <c r="DS9" s="189"/>
      <c r="DT9" s="190"/>
      <c r="DU9" s="190"/>
      <c r="DV9" s="191"/>
      <c r="DW9" s="41"/>
      <c r="DX9" s="42"/>
      <c r="DY9" s="139"/>
      <c r="DZ9" s="139"/>
      <c r="EA9" s="139"/>
      <c r="EB9" s="139"/>
    </row>
    <row r="10" spans="1:132" ht="13.5" customHeight="1" x14ac:dyDescent="0.4">
      <c r="A10" s="104">
        <v>6</v>
      </c>
      <c r="B10" s="23" t="s">
        <v>88</v>
      </c>
      <c r="C10" s="164"/>
      <c r="D10" s="164"/>
      <c r="E10" s="24"/>
      <c r="F10" s="29"/>
      <c r="G10" s="25" t="str">
        <f>IF(SUM($F$5:F10)=0,"",SUM($F$5:F10))</f>
        <v/>
      </c>
      <c r="H10" s="43" t="str">
        <f t="shared" si="0"/>
        <v/>
      </c>
      <c r="I10" s="148" t="e">
        <f t="array" aca="1" ref="I10" ca="1">IF($A11="",$G10/($V10-$U$5+INDIRECT(IF(_xlfn.SHEET()&lt;6,"令和8年"&amp;_xlfn.SHEET()+7&amp;"月","令和9年"&amp;_xlfn.SHEET()-5&amp;"月")&amp;"!$U$5")),$G10/($V11-$U$5))</f>
        <v>#VALUE!</v>
      </c>
      <c r="J10" s="26" t="str">
        <f t="shared" si="1"/>
        <v/>
      </c>
      <c r="K10" s="27"/>
      <c r="L10" s="165">
        <f t="shared" si="2"/>
        <v>0</v>
      </c>
      <c r="M10" s="28" t="str">
        <f t="shared" si="3"/>
        <v/>
      </c>
      <c r="N10" s="166" t="str">
        <f t="shared" si="4"/>
        <v/>
      </c>
      <c r="O10" s="167" t="str">
        <f t="shared" si="5"/>
        <v/>
      </c>
      <c r="P10" s="168"/>
      <c r="Q10" s="169" t="str">
        <f t="shared" si="6"/>
        <v/>
      </c>
      <c r="R10" s="170">
        <v>15</v>
      </c>
      <c r="S10" s="171">
        <v>3</v>
      </c>
      <c r="T10" s="24" t="s">
        <v>84</v>
      </c>
      <c r="U10" s="29">
        <v>337958</v>
      </c>
      <c r="V10" s="30">
        <f t="shared" si="41"/>
        <v>1831437</v>
      </c>
      <c r="W10" s="27">
        <v>168</v>
      </c>
      <c r="X10" s="31">
        <f t="shared" si="7"/>
        <v>2011.6547619047619</v>
      </c>
      <c r="Y10" s="29">
        <v>209760</v>
      </c>
      <c r="Z10" s="32">
        <f t="shared" si="42"/>
        <v>2037076</v>
      </c>
      <c r="AA10" s="33">
        <f t="shared" si="8"/>
        <v>0.89905187631683847</v>
      </c>
      <c r="AB10" s="158">
        <v>700000</v>
      </c>
      <c r="AC10" s="34">
        <f t="shared" si="43"/>
        <v>1850000</v>
      </c>
      <c r="AD10" s="158"/>
      <c r="AE10" s="25"/>
      <c r="AF10" s="25"/>
      <c r="AG10" s="25"/>
      <c r="AH10" s="25"/>
      <c r="AI10" s="25"/>
      <c r="AJ10" s="25"/>
      <c r="AK10" s="25"/>
      <c r="AL10" s="158"/>
      <c r="AM10" s="25"/>
      <c r="AN10" s="158"/>
      <c r="AO10" s="25"/>
      <c r="AP10" s="25"/>
      <c r="AQ10" s="158"/>
      <c r="AR10" s="35">
        <f t="shared" si="9"/>
        <v>0</v>
      </c>
      <c r="AS10" s="172" t="str">
        <f t="shared" si="10"/>
        <v/>
      </c>
      <c r="AT10" s="36">
        <f t="shared" si="11"/>
        <v>0</v>
      </c>
      <c r="AU10" s="173"/>
      <c r="AV10" s="82">
        <f t="shared" si="12"/>
        <v>6</v>
      </c>
      <c r="AW10" s="37"/>
      <c r="AX10" s="174" t="str">
        <f t="shared" si="13"/>
        <v/>
      </c>
      <c r="AY10" s="37"/>
      <c r="AZ10" s="174" t="str">
        <f t="shared" si="14"/>
        <v/>
      </c>
      <c r="BA10" s="37"/>
      <c r="BB10" s="174" t="str">
        <f t="shared" si="15"/>
        <v/>
      </c>
      <c r="BC10" s="37"/>
      <c r="BD10" s="174" t="str">
        <f t="shared" si="16"/>
        <v/>
      </c>
      <c r="BE10" s="37"/>
      <c r="BF10" s="174" t="str">
        <f t="shared" si="17"/>
        <v/>
      </c>
      <c r="BG10" s="37"/>
      <c r="BH10" s="174" t="str">
        <f t="shared" si="18"/>
        <v/>
      </c>
      <c r="BI10" s="37"/>
      <c r="BJ10" s="174" t="str">
        <f t="shared" si="19"/>
        <v/>
      </c>
      <c r="BK10" s="37"/>
      <c r="BL10" s="174" t="str">
        <f t="shared" si="20"/>
        <v/>
      </c>
      <c r="BM10" s="37"/>
      <c r="BN10" s="174" t="str">
        <f t="shared" si="21"/>
        <v/>
      </c>
      <c r="BO10" s="37"/>
      <c r="BP10" s="174" t="str">
        <f t="shared" si="22"/>
        <v/>
      </c>
      <c r="BQ10" s="37"/>
      <c r="BR10" s="174" t="str">
        <f t="shared" si="23"/>
        <v/>
      </c>
      <c r="BS10" s="37"/>
      <c r="BT10" s="174" t="str">
        <f t="shared" si="24"/>
        <v/>
      </c>
      <c r="BU10" s="37"/>
      <c r="BV10" s="174" t="str">
        <f t="shared" si="25"/>
        <v/>
      </c>
      <c r="BW10" s="37"/>
      <c r="BX10" s="174" t="str">
        <f t="shared" si="26"/>
        <v/>
      </c>
      <c r="BY10" s="37"/>
      <c r="BZ10" s="174" t="str">
        <f t="shared" si="27"/>
        <v/>
      </c>
      <c r="CA10" s="37"/>
      <c r="CB10" s="174" t="str">
        <f t="shared" si="28"/>
        <v/>
      </c>
      <c r="CC10" s="37"/>
      <c r="CD10" s="174" t="str">
        <f t="shared" si="29"/>
        <v/>
      </c>
      <c r="CE10" s="37"/>
      <c r="CF10" s="174" t="str">
        <f t="shared" si="30"/>
        <v/>
      </c>
      <c r="CG10" s="37"/>
      <c r="CH10" s="174" t="str">
        <f t="shared" si="31"/>
        <v/>
      </c>
      <c r="CI10" s="37"/>
      <c r="CJ10" s="174" t="str">
        <f t="shared" si="32"/>
        <v/>
      </c>
      <c r="CK10" s="37"/>
      <c r="CL10" s="174" t="str">
        <f t="shared" si="33"/>
        <v/>
      </c>
      <c r="CM10" s="37"/>
      <c r="CN10" s="174" t="str">
        <f t="shared" si="34"/>
        <v/>
      </c>
      <c r="CO10" s="37"/>
      <c r="CP10" s="174" t="str">
        <f t="shared" si="35"/>
        <v/>
      </c>
      <c r="CQ10" s="37"/>
      <c r="CR10" s="174" t="str">
        <f t="shared" si="36"/>
        <v/>
      </c>
      <c r="CS10" s="37"/>
      <c r="CT10" s="174" t="str">
        <f t="shared" si="37"/>
        <v/>
      </c>
      <c r="CU10" s="38"/>
      <c r="CV10" s="87"/>
      <c r="CW10" s="90"/>
      <c r="CX10" s="38"/>
      <c r="CY10" s="39"/>
      <c r="CZ10" s="37"/>
      <c r="DA10" s="39"/>
      <c r="DB10" s="24">
        <v>6</v>
      </c>
      <c r="DC10" s="96" t="str">
        <f t="shared" si="38"/>
        <v>土</v>
      </c>
      <c r="DF10" s="125"/>
      <c r="DG10" s="40"/>
      <c r="DH10" s="40"/>
      <c r="DI10" s="40"/>
      <c r="DJ10" s="40"/>
      <c r="DK10" s="40"/>
      <c r="DL10" s="40"/>
      <c r="DM10" s="40"/>
      <c r="DN10" s="40"/>
      <c r="DO10" s="40"/>
      <c r="DP10" s="40">
        <f t="shared" si="39"/>
        <v>0</v>
      </c>
      <c r="DQ10" s="172" t="str">
        <f t="shared" si="40"/>
        <v/>
      </c>
      <c r="DS10" s="189"/>
      <c r="DT10" s="190"/>
      <c r="DU10" s="190"/>
      <c r="DV10" s="191"/>
      <c r="DW10" s="138"/>
      <c r="DX10" s="42"/>
      <c r="DY10" s="139"/>
      <c r="DZ10" s="139"/>
      <c r="EA10" s="139"/>
      <c r="EB10" s="139"/>
    </row>
    <row r="11" spans="1:132" ht="13.5" customHeight="1" x14ac:dyDescent="0.4">
      <c r="A11" s="104">
        <v>7</v>
      </c>
      <c r="B11" s="23" t="s">
        <v>89</v>
      </c>
      <c r="C11" s="164"/>
      <c r="D11" s="164"/>
      <c r="E11" s="24"/>
      <c r="F11" s="29"/>
      <c r="G11" s="25" t="str">
        <f>IF(SUM($F$5:F11)=0,"",SUM($F$5:F11))</f>
        <v/>
      </c>
      <c r="H11" s="43" t="str">
        <f t="shared" si="0"/>
        <v/>
      </c>
      <c r="I11" s="148" t="e">
        <f t="array" aca="1" ref="I11" ca="1">IF($A12="",$G11/($V11-$U$5+INDIRECT(IF(_xlfn.SHEET()&lt;6,"令和8年"&amp;_xlfn.SHEET()+7&amp;"月","令和9年"&amp;_xlfn.SHEET()-5&amp;"月")&amp;"!$U$5")),$G11/($V12-$U$5))</f>
        <v>#VALUE!</v>
      </c>
      <c r="J11" s="26" t="str">
        <f t="shared" si="1"/>
        <v/>
      </c>
      <c r="K11" s="27"/>
      <c r="L11" s="165">
        <f t="shared" si="2"/>
        <v>0</v>
      </c>
      <c r="M11" s="28" t="str">
        <f t="shared" si="3"/>
        <v/>
      </c>
      <c r="N11" s="166" t="str">
        <f t="shared" si="4"/>
        <v/>
      </c>
      <c r="O11" s="167" t="str">
        <f t="shared" si="5"/>
        <v/>
      </c>
      <c r="P11" s="168"/>
      <c r="Q11" s="169" t="str">
        <f t="shared" si="6"/>
        <v/>
      </c>
      <c r="R11" s="170">
        <v>8</v>
      </c>
      <c r="S11" s="171">
        <v>3</v>
      </c>
      <c r="T11" s="24" t="s">
        <v>84</v>
      </c>
      <c r="U11" s="29">
        <v>778163</v>
      </c>
      <c r="V11" s="30">
        <f t="shared" si="41"/>
        <v>2609600</v>
      </c>
      <c r="W11" s="27">
        <v>414</v>
      </c>
      <c r="X11" s="31">
        <f t="shared" si="7"/>
        <v>1879.6207729468599</v>
      </c>
      <c r="Y11" s="29">
        <v>184987</v>
      </c>
      <c r="Z11" s="32">
        <f t="shared" si="42"/>
        <v>2222063</v>
      </c>
      <c r="AA11" s="33">
        <f t="shared" si="8"/>
        <v>1.1744041460570649</v>
      </c>
      <c r="AB11" s="158">
        <v>700000</v>
      </c>
      <c r="AC11" s="34">
        <f t="shared" si="43"/>
        <v>2550000</v>
      </c>
      <c r="AD11" s="158"/>
      <c r="AE11" s="25"/>
      <c r="AF11" s="25"/>
      <c r="AG11" s="25"/>
      <c r="AH11" s="25"/>
      <c r="AI11" s="25"/>
      <c r="AJ11" s="25"/>
      <c r="AK11" s="25"/>
      <c r="AL11" s="158"/>
      <c r="AM11" s="25"/>
      <c r="AN11" s="158"/>
      <c r="AO11" s="25"/>
      <c r="AP11" s="25"/>
      <c r="AQ11" s="158"/>
      <c r="AR11" s="35">
        <f t="shared" si="9"/>
        <v>0</v>
      </c>
      <c r="AS11" s="172" t="str">
        <f t="shared" si="10"/>
        <v/>
      </c>
      <c r="AT11" s="36">
        <f t="shared" si="11"/>
        <v>0</v>
      </c>
      <c r="AU11" s="173"/>
      <c r="AV11" s="82">
        <f t="shared" si="12"/>
        <v>7</v>
      </c>
      <c r="AW11" s="37"/>
      <c r="AX11" s="174" t="str">
        <f t="shared" si="13"/>
        <v/>
      </c>
      <c r="AY11" s="37"/>
      <c r="AZ11" s="174" t="str">
        <f t="shared" si="14"/>
        <v/>
      </c>
      <c r="BA11" s="37"/>
      <c r="BB11" s="174" t="str">
        <f t="shared" si="15"/>
        <v/>
      </c>
      <c r="BC11" s="37"/>
      <c r="BD11" s="174" t="str">
        <f t="shared" si="16"/>
        <v/>
      </c>
      <c r="BE11" s="37"/>
      <c r="BF11" s="174" t="str">
        <f t="shared" si="17"/>
        <v/>
      </c>
      <c r="BG11" s="37"/>
      <c r="BH11" s="174" t="str">
        <f t="shared" si="18"/>
        <v/>
      </c>
      <c r="BI11" s="37"/>
      <c r="BJ11" s="174" t="str">
        <f t="shared" si="19"/>
        <v/>
      </c>
      <c r="BK11" s="37"/>
      <c r="BL11" s="174" t="str">
        <f t="shared" si="20"/>
        <v/>
      </c>
      <c r="BM11" s="37"/>
      <c r="BN11" s="174" t="str">
        <f t="shared" si="21"/>
        <v/>
      </c>
      <c r="BO11" s="37"/>
      <c r="BP11" s="174" t="str">
        <f t="shared" si="22"/>
        <v/>
      </c>
      <c r="BQ11" s="37"/>
      <c r="BR11" s="174" t="str">
        <f t="shared" si="23"/>
        <v/>
      </c>
      <c r="BS11" s="37"/>
      <c r="BT11" s="174" t="str">
        <f t="shared" si="24"/>
        <v/>
      </c>
      <c r="BU11" s="37"/>
      <c r="BV11" s="174" t="str">
        <f t="shared" si="25"/>
        <v/>
      </c>
      <c r="BW11" s="37"/>
      <c r="BX11" s="174" t="str">
        <f t="shared" si="26"/>
        <v/>
      </c>
      <c r="BY11" s="37"/>
      <c r="BZ11" s="174" t="str">
        <f t="shared" si="27"/>
        <v/>
      </c>
      <c r="CA11" s="37"/>
      <c r="CB11" s="174" t="str">
        <f t="shared" si="28"/>
        <v/>
      </c>
      <c r="CC11" s="37"/>
      <c r="CD11" s="174" t="str">
        <f t="shared" si="29"/>
        <v/>
      </c>
      <c r="CE11" s="37"/>
      <c r="CF11" s="174" t="str">
        <f t="shared" si="30"/>
        <v/>
      </c>
      <c r="CG11" s="37"/>
      <c r="CH11" s="174" t="str">
        <f t="shared" si="31"/>
        <v/>
      </c>
      <c r="CI11" s="37"/>
      <c r="CJ11" s="174" t="str">
        <f t="shared" si="32"/>
        <v/>
      </c>
      <c r="CK11" s="37"/>
      <c r="CL11" s="174" t="str">
        <f t="shared" si="33"/>
        <v/>
      </c>
      <c r="CM11" s="37"/>
      <c r="CN11" s="174" t="str">
        <f t="shared" si="34"/>
        <v/>
      </c>
      <c r="CO11" s="37"/>
      <c r="CP11" s="174" t="str">
        <f t="shared" si="35"/>
        <v/>
      </c>
      <c r="CQ11" s="37"/>
      <c r="CR11" s="174" t="str">
        <f t="shared" si="36"/>
        <v/>
      </c>
      <c r="CS11" s="37"/>
      <c r="CT11" s="174" t="str">
        <f t="shared" si="37"/>
        <v/>
      </c>
      <c r="CU11" s="38"/>
      <c r="CV11" s="87"/>
      <c r="CW11" s="90"/>
      <c r="CX11" s="38"/>
      <c r="CY11" s="39"/>
      <c r="CZ11" s="37"/>
      <c r="DA11" s="39"/>
      <c r="DB11" s="24">
        <v>7</v>
      </c>
      <c r="DC11" s="96" t="str">
        <f t="shared" si="38"/>
        <v>日</v>
      </c>
      <c r="DF11" s="125"/>
      <c r="DG11" s="40"/>
      <c r="DH11" s="40"/>
      <c r="DI11" s="40"/>
      <c r="DJ11" s="40"/>
      <c r="DK11" s="40"/>
      <c r="DL11" s="40"/>
      <c r="DM11" s="40"/>
      <c r="DN11" s="40"/>
      <c r="DO11" s="40"/>
      <c r="DP11" s="40">
        <f t="shared" si="39"/>
        <v>0</v>
      </c>
      <c r="DQ11" s="172" t="str">
        <f t="shared" si="40"/>
        <v/>
      </c>
      <c r="DS11" s="189"/>
      <c r="DT11" s="190"/>
      <c r="DU11" s="190"/>
      <c r="DV11" s="191"/>
      <c r="DW11" s="41"/>
      <c r="DX11" s="42"/>
    </row>
    <row r="12" spans="1:132" ht="13.5" customHeight="1" x14ac:dyDescent="0.4">
      <c r="A12" s="104">
        <v>8</v>
      </c>
      <c r="B12" s="23" t="s">
        <v>90</v>
      </c>
      <c r="C12" s="164"/>
      <c r="D12" s="164"/>
      <c r="E12" s="24"/>
      <c r="F12" s="29"/>
      <c r="G12" s="25" t="str">
        <f>IF(SUM($F$5:F12)=0,"",SUM($F$5:F12))</f>
        <v/>
      </c>
      <c r="H12" s="43" t="str">
        <f t="shared" si="0"/>
        <v/>
      </c>
      <c r="I12" s="148" t="e">
        <f t="array" aca="1" ref="I12" ca="1">IF($A13="",$G12/($V12-$U$5+INDIRECT(IF(_xlfn.SHEET()&lt;6,"令和8年"&amp;_xlfn.SHEET()+7&amp;"月","令和9年"&amp;_xlfn.SHEET()-5&amp;"月")&amp;"!$U$5")),$G12/($V13-$U$5))</f>
        <v>#VALUE!</v>
      </c>
      <c r="J12" s="26" t="str">
        <f t="shared" si="1"/>
        <v/>
      </c>
      <c r="K12" s="27"/>
      <c r="L12" s="165">
        <f t="shared" si="2"/>
        <v>0</v>
      </c>
      <c r="M12" s="28" t="str">
        <f t="shared" si="3"/>
        <v/>
      </c>
      <c r="N12" s="166" t="str">
        <f t="shared" si="4"/>
        <v/>
      </c>
      <c r="O12" s="167" t="str">
        <f t="shared" si="5"/>
        <v/>
      </c>
      <c r="P12" s="168"/>
      <c r="Q12" s="169" t="str">
        <f t="shared" si="6"/>
        <v/>
      </c>
      <c r="R12" s="170">
        <v>3</v>
      </c>
      <c r="S12" s="171">
        <v>-5</v>
      </c>
      <c r="T12" s="24" t="s">
        <v>125</v>
      </c>
      <c r="U12" s="29">
        <v>616107</v>
      </c>
      <c r="V12" s="30">
        <f t="shared" si="41"/>
        <v>3225707</v>
      </c>
      <c r="W12" s="27">
        <v>343</v>
      </c>
      <c r="X12" s="31">
        <f t="shared" si="7"/>
        <v>1796.2303206997085</v>
      </c>
      <c r="Y12" s="29">
        <v>636574</v>
      </c>
      <c r="Z12" s="32">
        <f t="shared" si="42"/>
        <v>2858637</v>
      </c>
      <c r="AA12" s="33">
        <f t="shared" si="8"/>
        <v>1.1284073493766436</v>
      </c>
      <c r="AB12" s="158">
        <v>230000</v>
      </c>
      <c r="AC12" s="34">
        <f t="shared" si="43"/>
        <v>2780000</v>
      </c>
      <c r="AD12" s="158"/>
      <c r="AE12" s="25"/>
      <c r="AF12" s="25"/>
      <c r="AG12" s="25"/>
      <c r="AH12" s="25"/>
      <c r="AI12" s="25"/>
      <c r="AJ12" s="25"/>
      <c r="AK12" s="25"/>
      <c r="AL12" s="158"/>
      <c r="AM12" s="25"/>
      <c r="AN12" s="158"/>
      <c r="AO12" s="25"/>
      <c r="AP12" s="25"/>
      <c r="AQ12" s="158"/>
      <c r="AR12" s="35">
        <f t="shared" si="9"/>
        <v>0</v>
      </c>
      <c r="AS12" s="172" t="str">
        <f t="shared" si="10"/>
        <v/>
      </c>
      <c r="AT12" s="36">
        <f t="shared" si="11"/>
        <v>0</v>
      </c>
      <c r="AU12" s="173"/>
      <c r="AV12" s="82">
        <f t="shared" si="12"/>
        <v>8</v>
      </c>
      <c r="AW12" s="37"/>
      <c r="AX12" s="174" t="str">
        <f t="shared" si="13"/>
        <v/>
      </c>
      <c r="AY12" s="37"/>
      <c r="AZ12" s="174" t="str">
        <f t="shared" si="14"/>
        <v/>
      </c>
      <c r="BA12" s="37"/>
      <c r="BB12" s="174" t="str">
        <f t="shared" si="15"/>
        <v/>
      </c>
      <c r="BC12" s="37"/>
      <c r="BD12" s="174" t="str">
        <f t="shared" si="16"/>
        <v/>
      </c>
      <c r="BE12" s="37"/>
      <c r="BF12" s="174" t="str">
        <f t="shared" si="17"/>
        <v/>
      </c>
      <c r="BG12" s="37"/>
      <c r="BH12" s="174" t="str">
        <f t="shared" si="18"/>
        <v/>
      </c>
      <c r="BI12" s="37"/>
      <c r="BJ12" s="174" t="str">
        <f t="shared" si="19"/>
        <v/>
      </c>
      <c r="BK12" s="37"/>
      <c r="BL12" s="174" t="str">
        <f t="shared" si="20"/>
        <v/>
      </c>
      <c r="BM12" s="37"/>
      <c r="BN12" s="174" t="str">
        <f t="shared" si="21"/>
        <v/>
      </c>
      <c r="BO12" s="37"/>
      <c r="BP12" s="174" t="str">
        <f t="shared" si="22"/>
        <v/>
      </c>
      <c r="BQ12" s="37"/>
      <c r="BR12" s="174" t="str">
        <f t="shared" si="23"/>
        <v/>
      </c>
      <c r="BS12" s="37"/>
      <c r="BT12" s="174" t="str">
        <f t="shared" si="24"/>
        <v/>
      </c>
      <c r="BU12" s="37"/>
      <c r="BV12" s="174" t="str">
        <f t="shared" si="25"/>
        <v/>
      </c>
      <c r="BW12" s="37"/>
      <c r="BX12" s="174" t="str">
        <f t="shared" si="26"/>
        <v/>
      </c>
      <c r="BY12" s="37"/>
      <c r="BZ12" s="174" t="str">
        <f t="shared" si="27"/>
        <v/>
      </c>
      <c r="CA12" s="37"/>
      <c r="CB12" s="174" t="str">
        <f t="shared" si="28"/>
        <v/>
      </c>
      <c r="CC12" s="37"/>
      <c r="CD12" s="174" t="str">
        <f t="shared" si="29"/>
        <v/>
      </c>
      <c r="CE12" s="37"/>
      <c r="CF12" s="174" t="str">
        <f t="shared" si="30"/>
        <v/>
      </c>
      <c r="CG12" s="37"/>
      <c r="CH12" s="174" t="str">
        <f t="shared" si="31"/>
        <v/>
      </c>
      <c r="CI12" s="37"/>
      <c r="CJ12" s="174" t="str">
        <f t="shared" si="32"/>
        <v/>
      </c>
      <c r="CK12" s="37"/>
      <c r="CL12" s="174" t="str">
        <f t="shared" si="33"/>
        <v/>
      </c>
      <c r="CM12" s="37"/>
      <c r="CN12" s="174" t="str">
        <f t="shared" si="34"/>
        <v/>
      </c>
      <c r="CO12" s="37"/>
      <c r="CP12" s="174" t="str">
        <f t="shared" si="35"/>
        <v/>
      </c>
      <c r="CQ12" s="37"/>
      <c r="CR12" s="174" t="str">
        <f t="shared" si="36"/>
        <v/>
      </c>
      <c r="CS12" s="37"/>
      <c r="CT12" s="174" t="str">
        <f t="shared" si="37"/>
        <v/>
      </c>
      <c r="CU12" s="38"/>
      <c r="CV12" s="87"/>
      <c r="CW12" s="90"/>
      <c r="CX12" s="38"/>
      <c r="CY12" s="39"/>
      <c r="CZ12" s="37"/>
      <c r="DA12" s="39"/>
      <c r="DB12" s="24">
        <v>8</v>
      </c>
      <c r="DC12" s="96" t="str">
        <f t="shared" si="38"/>
        <v>月</v>
      </c>
      <c r="DF12" s="125"/>
      <c r="DG12" s="40"/>
      <c r="DH12" s="40"/>
      <c r="DI12" s="40"/>
      <c r="DJ12" s="40"/>
      <c r="DK12" s="40"/>
      <c r="DL12" s="40"/>
      <c r="DM12" s="40"/>
      <c r="DN12" s="40"/>
      <c r="DO12" s="40"/>
      <c r="DP12" s="40">
        <f t="shared" si="39"/>
        <v>0</v>
      </c>
      <c r="DQ12" s="172" t="str">
        <f t="shared" si="40"/>
        <v/>
      </c>
      <c r="DS12" s="189"/>
      <c r="DT12" s="190"/>
      <c r="DU12" s="190"/>
      <c r="DV12" s="191"/>
      <c r="DW12" s="41"/>
      <c r="DX12" s="42"/>
    </row>
    <row r="13" spans="1:132" ht="13.5" customHeight="1" x14ac:dyDescent="0.4">
      <c r="A13" s="104">
        <v>9</v>
      </c>
      <c r="B13" s="23" t="s">
        <v>91</v>
      </c>
      <c r="C13" s="164"/>
      <c r="D13" s="164"/>
      <c r="E13" s="24"/>
      <c r="F13" s="29"/>
      <c r="G13" s="25" t="str">
        <f>IF(SUM($F$5:F13)=0,"",SUM($F$5:F13))</f>
        <v/>
      </c>
      <c r="H13" s="43" t="str">
        <f t="shared" si="0"/>
        <v/>
      </c>
      <c r="I13" s="148" t="e">
        <f t="array" aca="1" ref="I13" ca="1">IF($A14="",$G13/($V13-$U$5+INDIRECT(IF(_xlfn.SHEET()&lt;6,"令和8年"&amp;_xlfn.SHEET()+7&amp;"月","令和9年"&amp;_xlfn.SHEET()-5&amp;"月")&amp;"!$U$5")),$G13/($V14-$U$5))</f>
        <v>#VALUE!</v>
      </c>
      <c r="J13" s="26" t="str">
        <f t="shared" si="1"/>
        <v/>
      </c>
      <c r="K13" s="27"/>
      <c r="L13" s="165">
        <f t="shared" si="2"/>
        <v>0</v>
      </c>
      <c r="M13" s="28" t="str">
        <f t="shared" si="3"/>
        <v/>
      </c>
      <c r="N13" s="166" t="str">
        <f t="shared" si="4"/>
        <v/>
      </c>
      <c r="O13" s="167" t="str">
        <f t="shared" si="5"/>
        <v/>
      </c>
      <c r="P13" s="168"/>
      <c r="Q13" s="169" t="str">
        <f t="shared" si="6"/>
        <v/>
      </c>
      <c r="R13" s="170">
        <v>6</v>
      </c>
      <c r="S13" s="171">
        <v>-3</v>
      </c>
      <c r="T13" s="24" t="s">
        <v>84</v>
      </c>
      <c r="U13" s="29">
        <v>255381</v>
      </c>
      <c r="V13" s="30">
        <f t="shared" si="41"/>
        <v>3481088</v>
      </c>
      <c r="W13" s="27">
        <v>145</v>
      </c>
      <c r="X13" s="31">
        <f t="shared" si="7"/>
        <v>1761.248275862069</v>
      </c>
      <c r="Y13" s="29">
        <v>791347</v>
      </c>
      <c r="Z13" s="32">
        <f t="shared" si="42"/>
        <v>3649984</v>
      </c>
      <c r="AA13" s="33">
        <f t="shared" si="8"/>
        <v>0.95372692044677454</v>
      </c>
      <c r="AB13" s="158">
        <v>230000</v>
      </c>
      <c r="AC13" s="34">
        <f t="shared" si="43"/>
        <v>3010000</v>
      </c>
      <c r="AD13" s="158"/>
      <c r="AE13" s="25"/>
      <c r="AF13" s="25"/>
      <c r="AG13" s="25"/>
      <c r="AH13" s="25"/>
      <c r="AI13" s="25"/>
      <c r="AJ13" s="25"/>
      <c r="AK13" s="25"/>
      <c r="AL13" s="158"/>
      <c r="AM13" s="25"/>
      <c r="AN13" s="158"/>
      <c r="AO13" s="25"/>
      <c r="AP13" s="25"/>
      <c r="AQ13" s="158"/>
      <c r="AR13" s="35">
        <f t="shared" si="9"/>
        <v>0</v>
      </c>
      <c r="AS13" s="172" t="str">
        <f t="shared" si="10"/>
        <v/>
      </c>
      <c r="AT13" s="36">
        <f t="shared" si="11"/>
        <v>0</v>
      </c>
      <c r="AU13" s="173"/>
      <c r="AV13" s="82">
        <f t="shared" si="12"/>
        <v>9</v>
      </c>
      <c r="AW13" s="37"/>
      <c r="AX13" s="174" t="str">
        <f t="shared" si="13"/>
        <v/>
      </c>
      <c r="AY13" s="37"/>
      <c r="AZ13" s="174" t="str">
        <f t="shared" si="14"/>
        <v/>
      </c>
      <c r="BA13" s="37"/>
      <c r="BB13" s="174" t="str">
        <f t="shared" si="15"/>
        <v/>
      </c>
      <c r="BC13" s="37"/>
      <c r="BD13" s="174" t="str">
        <f t="shared" si="16"/>
        <v/>
      </c>
      <c r="BE13" s="37"/>
      <c r="BF13" s="174" t="str">
        <f t="shared" si="17"/>
        <v/>
      </c>
      <c r="BG13" s="37"/>
      <c r="BH13" s="174" t="str">
        <f t="shared" si="18"/>
        <v/>
      </c>
      <c r="BI13" s="37"/>
      <c r="BJ13" s="174" t="str">
        <f t="shared" si="19"/>
        <v/>
      </c>
      <c r="BK13" s="37"/>
      <c r="BL13" s="174" t="str">
        <f t="shared" si="20"/>
        <v/>
      </c>
      <c r="BM13" s="37"/>
      <c r="BN13" s="174" t="str">
        <f t="shared" si="21"/>
        <v/>
      </c>
      <c r="BO13" s="37"/>
      <c r="BP13" s="174" t="str">
        <f t="shared" si="22"/>
        <v/>
      </c>
      <c r="BQ13" s="37"/>
      <c r="BR13" s="174" t="str">
        <f t="shared" si="23"/>
        <v/>
      </c>
      <c r="BS13" s="37"/>
      <c r="BT13" s="174" t="str">
        <f t="shared" si="24"/>
        <v/>
      </c>
      <c r="BU13" s="37"/>
      <c r="BV13" s="174" t="str">
        <f t="shared" si="25"/>
        <v/>
      </c>
      <c r="BW13" s="37"/>
      <c r="BX13" s="174" t="str">
        <f t="shared" si="26"/>
        <v/>
      </c>
      <c r="BY13" s="37"/>
      <c r="BZ13" s="174" t="str">
        <f t="shared" si="27"/>
        <v/>
      </c>
      <c r="CA13" s="37"/>
      <c r="CB13" s="174" t="str">
        <f t="shared" si="28"/>
        <v/>
      </c>
      <c r="CC13" s="37"/>
      <c r="CD13" s="174" t="str">
        <f t="shared" si="29"/>
        <v/>
      </c>
      <c r="CE13" s="37"/>
      <c r="CF13" s="174" t="str">
        <f t="shared" si="30"/>
        <v/>
      </c>
      <c r="CG13" s="37"/>
      <c r="CH13" s="174" t="str">
        <f t="shared" si="31"/>
        <v/>
      </c>
      <c r="CI13" s="37"/>
      <c r="CJ13" s="174" t="str">
        <f t="shared" si="32"/>
        <v/>
      </c>
      <c r="CK13" s="37"/>
      <c r="CL13" s="174" t="str">
        <f t="shared" si="33"/>
        <v/>
      </c>
      <c r="CM13" s="37"/>
      <c r="CN13" s="174" t="str">
        <f t="shared" si="34"/>
        <v/>
      </c>
      <c r="CO13" s="37"/>
      <c r="CP13" s="174" t="str">
        <f t="shared" si="35"/>
        <v/>
      </c>
      <c r="CQ13" s="37"/>
      <c r="CR13" s="174" t="str">
        <f t="shared" si="36"/>
        <v/>
      </c>
      <c r="CS13" s="37"/>
      <c r="CT13" s="174" t="str">
        <f t="shared" si="37"/>
        <v/>
      </c>
      <c r="CU13" s="38"/>
      <c r="CV13" s="87"/>
      <c r="CW13" s="90"/>
      <c r="CX13" s="38"/>
      <c r="CY13" s="39"/>
      <c r="CZ13" s="37"/>
      <c r="DA13" s="39"/>
      <c r="DB13" s="24">
        <v>9</v>
      </c>
      <c r="DC13" s="96" t="str">
        <f t="shared" si="38"/>
        <v>火</v>
      </c>
      <c r="DF13" s="125"/>
      <c r="DG13" s="40"/>
      <c r="DH13" s="40"/>
      <c r="DI13" s="40"/>
      <c r="DJ13" s="40"/>
      <c r="DK13" s="40"/>
      <c r="DL13" s="40"/>
      <c r="DM13" s="40"/>
      <c r="DN13" s="40"/>
      <c r="DO13" s="40"/>
      <c r="DP13" s="40">
        <f t="shared" si="39"/>
        <v>0</v>
      </c>
      <c r="DQ13" s="172" t="str">
        <f t="shared" si="40"/>
        <v/>
      </c>
      <c r="DS13" s="189"/>
      <c r="DT13" s="190"/>
      <c r="DU13" s="190"/>
      <c r="DV13" s="191"/>
      <c r="DW13" s="138"/>
      <c r="DX13" s="42"/>
    </row>
    <row r="14" spans="1:132" ht="13.5" customHeight="1" x14ac:dyDescent="0.4">
      <c r="A14" s="104">
        <v>10</v>
      </c>
      <c r="B14" s="23" t="s">
        <v>83</v>
      </c>
      <c r="C14" s="164"/>
      <c r="D14" s="164"/>
      <c r="E14" s="24"/>
      <c r="F14" s="29"/>
      <c r="G14" s="25" t="str">
        <f>IF(SUM($F$5:F14)=0,"",SUM($F$5:F14))</f>
        <v/>
      </c>
      <c r="H14" s="43" t="str">
        <f t="shared" si="0"/>
        <v/>
      </c>
      <c r="I14" s="148" t="e">
        <f t="array" aca="1" ref="I14" ca="1">IF($A15="",$G14/($V14-$U$5+INDIRECT(IF(_xlfn.SHEET()&lt;6,"令和8年"&amp;_xlfn.SHEET()+7&amp;"月","令和9年"&amp;_xlfn.SHEET()-5&amp;"月")&amp;"!$U$5")),$G14/($V15-$U$5))</f>
        <v>#VALUE!</v>
      </c>
      <c r="J14" s="26" t="str">
        <f t="shared" si="1"/>
        <v/>
      </c>
      <c r="K14" s="27"/>
      <c r="L14" s="165">
        <f t="shared" si="2"/>
        <v>0</v>
      </c>
      <c r="M14" s="28" t="str">
        <f t="shared" si="3"/>
        <v/>
      </c>
      <c r="N14" s="166" t="str">
        <f t="shared" si="4"/>
        <v/>
      </c>
      <c r="O14" s="167" t="str">
        <f t="shared" si="5"/>
        <v/>
      </c>
      <c r="P14" s="168"/>
      <c r="Q14" s="169" t="str">
        <f t="shared" si="6"/>
        <v/>
      </c>
      <c r="R14" s="170">
        <v>9</v>
      </c>
      <c r="S14" s="171">
        <v>-2</v>
      </c>
      <c r="T14" s="24" t="s">
        <v>84</v>
      </c>
      <c r="U14" s="29">
        <v>257413</v>
      </c>
      <c r="V14" s="30">
        <f t="shared" si="41"/>
        <v>3738501</v>
      </c>
      <c r="W14" s="27">
        <v>137</v>
      </c>
      <c r="X14" s="31">
        <f t="shared" si="7"/>
        <v>1878.9270072992701</v>
      </c>
      <c r="Y14" s="29">
        <v>242117</v>
      </c>
      <c r="Z14" s="32">
        <f t="shared" si="42"/>
        <v>3892101</v>
      </c>
      <c r="AA14" s="33">
        <f t="shared" si="8"/>
        <v>0.9605354537305173</v>
      </c>
      <c r="AB14" s="158">
        <v>230000</v>
      </c>
      <c r="AC14" s="34">
        <f t="shared" si="43"/>
        <v>3240000</v>
      </c>
      <c r="AD14" s="158"/>
      <c r="AE14" s="25"/>
      <c r="AF14" s="25"/>
      <c r="AG14" s="25"/>
      <c r="AH14" s="25"/>
      <c r="AI14" s="25"/>
      <c r="AJ14" s="25"/>
      <c r="AK14" s="25"/>
      <c r="AL14" s="158"/>
      <c r="AM14" s="25"/>
      <c r="AN14" s="158"/>
      <c r="AO14" s="25"/>
      <c r="AP14" s="25"/>
      <c r="AQ14" s="158"/>
      <c r="AR14" s="35">
        <f t="shared" si="9"/>
        <v>0</v>
      </c>
      <c r="AS14" s="172" t="str">
        <f t="shared" si="10"/>
        <v/>
      </c>
      <c r="AT14" s="36">
        <f t="shared" si="11"/>
        <v>0</v>
      </c>
      <c r="AU14" s="173"/>
      <c r="AV14" s="82">
        <f t="shared" si="12"/>
        <v>10</v>
      </c>
      <c r="AW14" s="37"/>
      <c r="AX14" s="174" t="str">
        <f t="shared" si="13"/>
        <v/>
      </c>
      <c r="AY14" s="37"/>
      <c r="AZ14" s="174" t="str">
        <f t="shared" si="14"/>
        <v/>
      </c>
      <c r="BA14" s="37"/>
      <c r="BB14" s="174" t="str">
        <f t="shared" si="15"/>
        <v/>
      </c>
      <c r="BC14" s="37"/>
      <c r="BD14" s="174" t="str">
        <f t="shared" si="16"/>
        <v/>
      </c>
      <c r="BE14" s="37"/>
      <c r="BF14" s="174" t="str">
        <f t="shared" si="17"/>
        <v/>
      </c>
      <c r="BG14" s="37"/>
      <c r="BH14" s="174" t="str">
        <f t="shared" si="18"/>
        <v/>
      </c>
      <c r="BI14" s="37"/>
      <c r="BJ14" s="174" t="str">
        <f t="shared" si="19"/>
        <v/>
      </c>
      <c r="BK14" s="37"/>
      <c r="BL14" s="174" t="str">
        <f t="shared" si="20"/>
        <v/>
      </c>
      <c r="BM14" s="37"/>
      <c r="BN14" s="174" t="str">
        <f t="shared" si="21"/>
        <v/>
      </c>
      <c r="BO14" s="37"/>
      <c r="BP14" s="174" t="str">
        <f t="shared" si="22"/>
        <v/>
      </c>
      <c r="BQ14" s="37"/>
      <c r="BR14" s="174" t="str">
        <f t="shared" si="23"/>
        <v/>
      </c>
      <c r="BS14" s="37"/>
      <c r="BT14" s="174" t="str">
        <f t="shared" si="24"/>
        <v/>
      </c>
      <c r="BU14" s="37"/>
      <c r="BV14" s="174" t="str">
        <f t="shared" si="25"/>
        <v/>
      </c>
      <c r="BW14" s="37"/>
      <c r="BX14" s="174" t="str">
        <f t="shared" si="26"/>
        <v/>
      </c>
      <c r="BY14" s="37"/>
      <c r="BZ14" s="174" t="str">
        <f t="shared" si="27"/>
        <v/>
      </c>
      <c r="CA14" s="37"/>
      <c r="CB14" s="174" t="str">
        <f t="shared" si="28"/>
        <v/>
      </c>
      <c r="CC14" s="37"/>
      <c r="CD14" s="174" t="str">
        <f t="shared" si="29"/>
        <v/>
      </c>
      <c r="CE14" s="37"/>
      <c r="CF14" s="174" t="str">
        <f t="shared" si="30"/>
        <v/>
      </c>
      <c r="CG14" s="37"/>
      <c r="CH14" s="174" t="str">
        <f t="shared" si="31"/>
        <v/>
      </c>
      <c r="CI14" s="37"/>
      <c r="CJ14" s="174" t="str">
        <f t="shared" si="32"/>
        <v/>
      </c>
      <c r="CK14" s="37"/>
      <c r="CL14" s="174" t="str">
        <f t="shared" si="33"/>
        <v/>
      </c>
      <c r="CM14" s="37"/>
      <c r="CN14" s="174" t="str">
        <f t="shared" si="34"/>
        <v/>
      </c>
      <c r="CO14" s="37"/>
      <c r="CP14" s="174" t="str">
        <f t="shared" si="35"/>
        <v/>
      </c>
      <c r="CQ14" s="37"/>
      <c r="CR14" s="174" t="str">
        <f t="shared" si="36"/>
        <v/>
      </c>
      <c r="CS14" s="37"/>
      <c r="CT14" s="174" t="str">
        <f t="shared" si="37"/>
        <v/>
      </c>
      <c r="CU14" s="38"/>
      <c r="CV14" s="87"/>
      <c r="CW14" s="90"/>
      <c r="CX14" s="38"/>
      <c r="CY14" s="39"/>
      <c r="CZ14" s="37"/>
      <c r="DA14" s="39"/>
      <c r="DB14" s="24">
        <v>10</v>
      </c>
      <c r="DC14" s="96" t="str">
        <f t="shared" si="38"/>
        <v>水</v>
      </c>
      <c r="DF14" s="125"/>
      <c r="DG14" s="40"/>
      <c r="DH14" s="40"/>
      <c r="DI14" s="40"/>
      <c r="DJ14" s="40"/>
      <c r="DK14" s="40"/>
      <c r="DL14" s="40"/>
      <c r="DM14" s="40"/>
      <c r="DN14" s="40"/>
      <c r="DO14" s="40"/>
      <c r="DP14" s="40">
        <f t="shared" si="39"/>
        <v>0</v>
      </c>
      <c r="DQ14" s="172" t="str">
        <f t="shared" si="40"/>
        <v/>
      </c>
      <c r="DS14" s="189"/>
      <c r="DT14" s="190"/>
      <c r="DU14" s="190"/>
      <c r="DV14" s="191"/>
      <c r="DW14" s="41"/>
      <c r="DX14" s="42"/>
    </row>
    <row r="15" spans="1:132" ht="13.5" customHeight="1" x14ac:dyDescent="0.4">
      <c r="A15" s="104">
        <v>11</v>
      </c>
      <c r="B15" s="140" t="s">
        <v>85</v>
      </c>
      <c r="C15" s="164"/>
      <c r="D15" s="164"/>
      <c r="E15" s="24"/>
      <c r="F15" s="29"/>
      <c r="G15" s="25" t="str">
        <f>IF(SUM($F$5:F15)=0,"",SUM($F$5:F15))</f>
        <v/>
      </c>
      <c r="H15" s="43" t="str">
        <f t="shared" si="0"/>
        <v/>
      </c>
      <c r="I15" s="148" t="e">
        <f t="array" aca="1" ref="I15" ca="1">IF($A16="",$G15/($V15-$U$5+INDIRECT(IF(_xlfn.SHEET()&lt;6,"令和8年"&amp;_xlfn.SHEET()+7&amp;"月","令和9年"&amp;_xlfn.SHEET()-5&amp;"月")&amp;"!$U$5")),$G15/($V16-$U$5))</f>
        <v>#VALUE!</v>
      </c>
      <c r="J15" s="26" t="str">
        <f t="shared" si="1"/>
        <v/>
      </c>
      <c r="K15" s="27"/>
      <c r="L15" s="165">
        <f t="shared" si="2"/>
        <v>0</v>
      </c>
      <c r="M15" s="28" t="str">
        <f t="shared" si="3"/>
        <v/>
      </c>
      <c r="N15" s="166" t="str">
        <f t="shared" si="4"/>
        <v/>
      </c>
      <c r="O15" s="167" t="str">
        <f t="shared" si="5"/>
        <v/>
      </c>
      <c r="P15" s="168"/>
      <c r="Q15" s="169" t="str">
        <f t="shared" si="6"/>
        <v/>
      </c>
      <c r="R15" s="170">
        <v>12</v>
      </c>
      <c r="S15" s="171">
        <v>0</v>
      </c>
      <c r="T15" s="24" t="s">
        <v>93</v>
      </c>
      <c r="U15" s="29">
        <v>782025</v>
      </c>
      <c r="V15" s="30">
        <f t="shared" si="41"/>
        <v>4520526</v>
      </c>
      <c r="W15" s="27">
        <v>410</v>
      </c>
      <c r="X15" s="31">
        <f t="shared" si="7"/>
        <v>1907.3780487804879</v>
      </c>
      <c r="Y15" s="29">
        <v>642150</v>
      </c>
      <c r="Z15" s="32">
        <f t="shared" si="42"/>
        <v>4534251</v>
      </c>
      <c r="AA15" s="33">
        <f t="shared" si="8"/>
        <v>0.99697303920757807</v>
      </c>
      <c r="AB15" s="158">
        <v>700000</v>
      </c>
      <c r="AC15" s="34">
        <f t="shared" si="43"/>
        <v>3940000</v>
      </c>
      <c r="AD15" s="158"/>
      <c r="AE15" s="25"/>
      <c r="AF15" s="25"/>
      <c r="AG15" s="25"/>
      <c r="AH15" s="25"/>
      <c r="AI15" s="25"/>
      <c r="AJ15" s="25"/>
      <c r="AK15" s="25"/>
      <c r="AL15" s="158"/>
      <c r="AM15" s="25"/>
      <c r="AN15" s="158"/>
      <c r="AO15" s="25"/>
      <c r="AP15" s="25"/>
      <c r="AQ15" s="158"/>
      <c r="AR15" s="35">
        <f t="shared" si="9"/>
        <v>0</v>
      </c>
      <c r="AS15" s="172" t="str">
        <f t="shared" si="10"/>
        <v/>
      </c>
      <c r="AT15" s="36">
        <f t="shared" si="11"/>
        <v>0</v>
      </c>
      <c r="AU15" s="173"/>
      <c r="AV15" s="82">
        <f t="shared" si="12"/>
        <v>11</v>
      </c>
      <c r="AW15" s="37"/>
      <c r="AX15" s="174" t="str">
        <f t="shared" si="13"/>
        <v/>
      </c>
      <c r="AY15" s="37"/>
      <c r="AZ15" s="174" t="str">
        <f t="shared" si="14"/>
        <v/>
      </c>
      <c r="BA15" s="37"/>
      <c r="BB15" s="174" t="str">
        <f t="shared" si="15"/>
        <v/>
      </c>
      <c r="BC15" s="37"/>
      <c r="BD15" s="174" t="str">
        <f t="shared" si="16"/>
        <v/>
      </c>
      <c r="BE15" s="37"/>
      <c r="BF15" s="174" t="str">
        <f t="shared" si="17"/>
        <v/>
      </c>
      <c r="BG15" s="37"/>
      <c r="BH15" s="174" t="str">
        <f t="shared" si="18"/>
        <v/>
      </c>
      <c r="BI15" s="37"/>
      <c r="BJ15" s="174" t="str">
        <f t="shared" si="19"/>
        <v/>
      </c>
      <c r="BK15" s="37"/>
      <c r="BL15" s="174" t="str">
        <f t="shared" si="20"/>
        <v/>
      </c>
      <c r="BM15" s="37"/>
      <c r="BN15" s="174" t="str">
        <f t="shared" si="21"/>
        <v/>
      </c>
      <c r="BO15" s="37"/>
      <c r="BP15" s="174" t="str">
        <f t="shared" si="22"/>
        <v/>
      </c>
      <c r="BQ15" s="37"/>
      <c r="BR15" s="174" t="str">
        <f t="shared" si="23"/>
        <v/>
      </c>
      <c r="BS15" s="37"/>
      <c r="BT15" s="174" t="str">
        <f t="shared" si="24"/>
        <v/>
      </c>
      <c r="BU15" s="37"/>
      <c r="BV15" s="174" t="str">
        <f t="shared" si="25"/>
        <v/>
      </c>
      <c r="BW15" s="37"/>
      <c r="BX15" s="174" t="str">
        <f t="shared" si="26"/>
        <v/>
      </c>
      <c r="BY15" s="37"/>
      <c r="BZ15" s="174" t="str">
        <f t="shared" si="27"/>
        <v/>
      </c>
      <c r="CA15" s="37"/>
      <c r="CB15" s="174" t="str">
        <f t="shared" si="28"/>
        <v/>
      </c>
      <c r="CC15" s="37"/>
      <c r="CD15" s="174" t="str">
        <f t="shared" si="29"/>
        <v/>
      </c>
      <c r="CE15" s="37"/>
      <c r="CF15" s="174" t="str">
        <f t="shared" si="30"/>
        <v/>
      </c>
      <c r="CG15" s="37"/>
      <c r="CH15" s="174" t="str">
        <f t="shared" si="31"/>
        <v/>
      </c>
      <c r="CI15" s="37"/>
      <c r="CJ15" s="174" t="str">
        <f t="shared" si="32"/>
        <v/>
      </c>
      <c r="CK15" s="37"/>
      <c r="CL15" s="174" t="str">
        <f t="shared" si="33"/>
        <v/>
      </c>
      <c r="CM15" s="37"/>
      <c r="CN15" s="174" t="str">
        <f t="shared" si="34"/>
        <v/>
      </c>
      <c r="CO15" s="37"/>
      <c r="CP15" s="174" t="str">
        <f t="shared" si="35"/>
        <v/>
      </c>
      <c r="CQ15" s="37"/>
      <c r="CR15" s="174" t="str">
        <f t="shared" si="36"/>
        <v/>
      </c>
      <c r="CS15" s="37"/>
      <c r="CT15" s="174" t="str">
        <f t="shared" si="37"/>
        <v/>
      </c>
      <c r="CU15" s="38"/>
      <c r="CV15" s="87"/>
      <c r="CW15" s="90"/>
      <c r="CX15" s="38"/>
      <c r="CY15" s="39"/>
      <c r="CZ15" s="37"/>
      <c r="DA15" s="39"/>
      <c r="DB15" s="24">
        <v>11</v>
      </c>
      <c r="DC15" s="96" t="str">
        <f t="shared" si="38"/>
        <v>木</v>
      </c>
      <c r="DF15" s="125"/>
      <c r="DG15" s="40"/>
      <c r="DH15" s="40"/>
      <c r="DI15" s="40"/>
      <c r="DJ15" s="40"/>
      <c r="DK15" s="40"/>
      <c r="DL15" s="40"/>
      <c r="DM15" s="40"/>
      <c r="DN15" s="40"/>
      <c r="DO15" s="40"/>
      <c r="DP15" s="40">
        <f t="shared" si="39"/>
        <v>0</v>
      </c>
      <c r="DQ15" s="172" t="str">
        <f t="shared" si="40"/>
        <v/>
      </c>
      <c r="DS15" s="189"/>
      <c r="DT15" s="190"/>
      <c r="DU15" s="190"/>
      <c r="DV15" s="191"/>
      <c r="DW15" s="41"/>
      <c r="DX15" s="42"/>
    </row>
    <row r="16" spans="1:132" ht="13.5" customHeight="1" x14ac:dyDescent="0.4">
      <c r="A16" s="104">
        <v>12</v>
      </c>
      <c r="B16" s="23" t="s">
        <v>86</v>
      </c>
      <c r="C16" s="164"/>
      <c r="D16" s="164"/>
      <c r="E16" s="24"/>
      <c r="F16" s="29"/>
      <c r="G16" s="25" t="str">
        <f>IF(SUM($F$5:F16)=0,"",SUM($F$5:F16))</f>
        <v/>
      </c>
      <c r="H16" s="43" t="str">
        <f t="shared" si="0"/>
        <v/>
      </c>
      <c r="I16" s="148" t="e">
        <f t="array" aca="1" ref="I16" ca="1">IF($A17="",$G16/($V16-$U$5+INDIRECT(IF(_xlfn.SHEET()&lt;6,"令和8年"&amp;_xlfn.SHEET()+7&amp;"月","令和9年"&amp;_xlfn.SHEET()-5&amp;"月")&amp;"!$U$5")),$G16/($V17-$U$5))</f>
        <v>#VALUE!</v>
      </c>
      <c r="J16" s="26" t="str">
        <f t="shared" si="1"/>
        <v/>
      </c>
      <c r="K16" s="27"/>
      <c r="L16" s="165">
        <f t="shared" si="2"/>
        <v>0</v>
      </c>
      <c r="M16" s="28" t="str">
        <f t="shared" si="3"/>
        <v/>
      </c>
      <c r="N16" s="166" t="str">
        <f t="shared" si="4"/>
        <v/>
      </c>
      <c r="O16" s="167" t="str">
        <f t="shared" si="5"/>
        <v/>
      </c>
      <c r="P16" s="168"/>
      <c r="Q16" s="169" t="str">
        <f t="shared" si="6"/>
        <v/>
      </c>
      <c r="R16" s="170">
        <v>11</v>
      </c>
      <c r="S16" s="171">
        <v>1</v>
      </c>
      <c r="T16" s="24" t="s">
        <v>84</v>
      </c>
      <c r="U16" s="29">
        <v>392380</v>
      </c>
      <c r="V16" s="30">
        <f t="shared" si="41"/>
        <v>4912906</v>
      </c>
      <c r="W16" s="27">
        <v>163</v>
      </c>
      <c r="X16" s="31">
        <f t="shared" si="7"/>
        <v>2407.2392638036808</v>
      </c>
      <c r="Y16" s="29">
        <v>174686</v>
      </c>
      <c r="Z16" s="32">
        <f t="shared" si="42"/>
        <v>4708937</v>
      </c>
      <c r="AA16" s="33">
        <f t="shared" si="8"/>
        <v>1.0433152959999252</v>
      </c>
      <c r="AB16" s="158">
        <v>230000</v>
      </c>
      <c r="AC16" s="34">
        <f t="shared" si="43"/>
        <v>4170000</v>
      </c>
      <c r="AD16" s="158"/>
      <c r="AE16" s="25"/>
      <c r="AF16" s="25"/>
      <c r="AG16" s="25"/>
      <c r="AH16" s="25"/>
      <c r="AI16" s="25"/>
      <c r="AJ16" s="25"/>
      <c r="AK16" s="25"/>
      <c r="AL16" s="158"/>
      <c r="AM16" s="25"/>
      <c r="AN16" s="158"/>
      <c r="AO16" s="25"/>
      <c r="AP16" s="25"/>
      <c r="AQ16" s="158"/>
      <c r="AR16" s="35">
        <f t="shared" si="9"/>
        <v>0</v>
      </c>
      <c r="AS16" s="172" t="str">
        <f t="shared" si="10"/>
        <v/>
      </c>
      <c r="AT16" s="36">
        <f t="shared" si="11"/>
        <v>0</v>
      </c>
      <c r="AU16" s="173"/>
      <c r="AV16" s="82">
        <f t="shared" si="12"/>
        <v>12</v>
      </c>
      <c r="AW16" s="37"/>
      <c r="AX16" s="174" t="str">
        <f t="shared" si="13"/>
        <v/>
      </c>
      <c r="AY16" s="37"/>
      <c r="AZ16" s="174" t="str">
        <f t="shared" si="14"/>
        <v/>
      </c>
      <c r="BA16" s="37"/>
      <c r="BB16" s="174" t="str">
        <f t="shared" si="15"/>
        <v/>
      </c>
      <c r="BC16" s="37"/>
      <c r="BD16" s="174" t="str">
        <f t="shared" si="16"/>
        <v/>
      </c>
      <c r="BE16" s="37"/>
      <c r="BF16" s="174" t="str">
        <f t="shared" si="17"/>
        <v/>
      </c>
      <c r="BG16" s="37"/>
      <c r="BH16" s="174" t="str">
        <f t="shared" si="18"/>
        <v/>
      </c>
      <c r="BI16" s="37"/>
      <c r="BJ16" s="174" t="str">
        <f t="shared" si="19"/>
        <v/>
      </c>
      <c r="BK16" s="37"/>
      <c r="BL16" s="174" t="str">
        <f t="shared" si="20"/>
        <v/>
      </c>
      <c r="BM16" s="37"/>
      <c r="BN16" s="174" t="str">
        <f t="shared" si="21"/>
        <v/>
      </c>
      <c r="BO16" s="37"/>
      <c r="BP16" s="174" t="str">
        <f t="shared" si="22"/>
        <v/>
      </c>
      <c r="BQ16" s="37"/>
      <c r="BR16" s="174" t="str">
        <f t="shared" si="23"/>
        <v/>
      </c>
      <c r="BS16" s="37"/>
      <c r="BT16" s="174" t="str">
        <f t="shared" si="24"/>
        <v/>
      </c>
      <c r="BU16" s="37"/>
      <c r="BV16" s="174" t="str">
        <f t="shared" si="25"/>
        <v/>
      </c>
      <c r="BW16" s="37"/>
      <c r="BX16" s="174" t="str">
        <f t="shared" si="26"/>
        <v/>
      </c>
      <c r="BY16" s="37"/>
      <c r="BZ16" s="174" t="str">
        <f t="shared" si="27"/>
        <v/>
      </c>
      <c r="CA16" s="37"/>
      <c r="CB16" s="174" t="str">
        <f t="shared" si="28"/>
        <v/>
      </c>
      <c r="CC16" s="37"/>
      <c r="CD16" s="174" t="str">
        <f t="shared" si="29"/>
        <v/>
      </c>
      <c r="CE16" s="37"/>
      <c r="CF16" s="174" t="str">
        <f t="shared" si="30"/>
        <v/>
      </c>
      <c r="CG16" s="37"/>
      <c r="CH16" s="174" t="str">
        <f t="shared" si="31"/>
        <v/>
      </c>
      <c r="CI16" s="37"/>
      <c r="CJ16" s="174" t="str">
        <f t="shared" si="32"/>
        <v/>
      </c>
      <c r="CK16" s="37"/>
      <c r="CL16" s="174" t="str">
        <f t="shared" si="33"/>
        <v/>
      </c>
      <c r="CM16" s="37"/>
      <c r="CN16" s="174" t="str">
        <f t="shared" si="34"/>
        <v/>
      </c>
      <c r="CO16" s="37"/>
      <c r="CP16" s="174" t="str">
        <f t="shared" si="35"/>
        <v/>
      </c>
      <c r="CQ16" s="37"/>
      <c r="CR16" s="174" t="str">
        <f t="shared" si="36"/>
        <v/>
      </c>
      <c r="CS16" s="37"/>
      <c r="CT16" s="174" t="str">
        <f t="shared" si="37"/>
        <v/>
      </c>
      <c r="CU16" s="38"/>
      <c r="CV16" s="87"/>
      <c r="CW16" s="90"/>
      <c r="CX16" s="38"/>
      <c r="CY16" s="39"/>
      <c r="CZ16" s="37"/>
      <c r="DA16" s="39"/>
      <c r="DB16" s="24">
        <v>12</v>
      </c>
      <c r="DC16" s="96" t="str">
        <f t="shared" si="38"/>
        <v>金</v>
      </c>
      <c r="DF16" s="125"/>
      <c r="DG16" s="40"/>
      <c r="DH16" s="40"/>
      <c r="DI16" s="40"/>
      <c r="DJ16" s="40"/>
      <c r="DK16" s="40"/>
      <c r="DL16" s="40"/>
      <c r="DM16" s="40"/>
      <c r="DN16" s="40"/>
      <c r="DO16" s="40"/>
      <c r="DP16" s="40">
        <f t="shared" si="39"/>
        <v>0</v>
      </c>
      <c r="DQ16" s="172" t="str">
        <f t="shared" si="40"/>
        <v/>
      </c>
      <c r="DS16" s="189"/>
      <c r="DT16" s="190"/>
      <c r="DU16" s="190"/>
      <c r="DV16" s="191"/>
      <c r="DW16" s="138"/>
      <c r="DX16" s="42"/>
    </row>
    <row r="17" spans="1:128" ht="13.5" customHeight="1" x14ac:dyDescent="0.4">
      <c r="A17" s="104">
        <v>13</v>
      </c>
      <c r="B17" s="23" t="s">
        <v>88</v>
      </c>
      <c r="C17" s="164"/>
      <c r="D17" s="164"/>
      <c r="E17" s="24"/>
      <c r="F17" s="29"/>
      <c r="G17" s="25" t="str">
        <f>IF(SUM($F$5:F17)=0,"",SUM($F$5:F17))</f>
        <v/>
      </c>
      <c r="H17" s="43" t="str">
        <f t="shared" si="0"/>
        <v/>
      </c>
      <c r="I17" s="148" t="e">
        <f t="array" aca="1" ref="I17" ca="1">IF($A18="",$G17/($V17-$U$5+INDIRECT(IF(_xlfn.SHEET()&lt;6,"令和8年"&amp;_xlfn.SHEET()+7&amp;"月","令和9年"&amp;_xlfn.SHEET()-5&amp;"月")&amp;"!$U$5")),$G17/($V18-$U$5))</f>
        <v>#VALUE!</v>
      </c>
      <c r="J17" s="26" t="str">
        <f t="shared" si="1"/>
        <v/>
      </c>
      <c r="K17" s="27"/>
      <c r="L17" s="165">
        <f t="shared" si="2"/>
        <v>0</v>
      </c>
      <c r="M17" s="28" t="str">
        <f t="shared" si="3"/>
        <v/>
      </c>
      <c r="N17" s="166" t="str">
        <f t="shared" si="4"/>
        <v/>
      </c>
      <c r="O17" s="167" t="str">
        <f t="shared" si="5"/>
        <v/>
      </c>
      <c r="P17" s="168"/>
      <c r="Q17" s="169" t="str">
        <f t="shared" si="6"/>
        <v/>
      </c>
      <c r="R17" s="170">
        <v>10</v>
      </c>
      <c r="S17" s="171">
        <v>1</v>
      </c>
      <c r="T17" s="24" t="s">
        <v>84</v>
      </c>
      <c r="U17" s="29">
        <v>282701</v>
      </c>
      <c r="V17" s="30">
        <f t="shared" si="41"/>
        <v>5195607</v>
      </c>
      <c r="W17" s="27">
        <v>186</v>
      </c>
      <c r="X17" s="31">
        <f t="shared" si="7"/>
        <v>1519.8978494623657</v>
      </c>
      <c r="Y17" s="29">
        <v>311269</v>
      </c>
      <c r="Z17" s="32">
        <f t="shared" si="42"/>
        <v>5020206</v>
      </c>
      <c r="AA17" s="33">
        <f t="shared" si="8"/>
        <v>1.0349390044950346</v>
      </c>
      <c r="AB17" s="158">
        <v>700000</v>
      </c>
      <c r="AC17" s="34">
        <f t="shared" si="43"/>
        <v>4870000</v>
      </c>
      <c r="AD17" s="158"/>
      <c r="AE17" s="25"/>
      <c r="AF17" s="25"/>
      <c r="AG17" s="25"/>
      <c r="AH17" s="25"/>
      <c r="AI17" s="25"/>
      <c r="AJ17" s="25"/>
      <c r="AK17" s="25"/>
      <c r="AL17" s="158"/>
      <c r="AM17" s="25"/>
      <c r="AN17" s="158"/>
      <c r="AO17" s="25"/>
      <c r="AP17" s="25"/>
      <c r="AQ17" s="158"/>
      <c r="AR17" s="35">
        <f t="shared" si="9"/>
        <v>0</v>
      </c>
      <c r="AS17" s="172" t="str">
        <f t="shared" si="10"/>
        <v/>
      </c>
      <c r="AT17" s="36">
        <f t="shared" si="11"/>
        <v>0</v>
      </c>
      <c r="AU17" s="173"/>
      <c r="AV17" s="82">
        <f t="shared" si="12"/>
        <v>13</v>
      </c>
      <c r="AW17" s="37"/>
      <c r="AX17" s="174" t="str">
        <f t="shared" si="13"/>
        <v/>
      </c>
      <c r="AY17" s="37"/>
      <c r="AZ17" s="174" t="str">
        <f t="shared" si="14"/>
        <v/>
      </c>
      <c r="BA17" s="37"/>
      <c r="BB17" s="174" t="str">
        <f t="shared" si="15"/>
        <v/>
      </c>
      <c r="BC17" s="37"/>
      <c r="BD17" s="174" t="str">
        <f t="shared" si="16"/>
        <v/>
      </c>
      <c r="BE17" s="37"/>
      <c r="BF17" s="174" t="str">
        <f t="shared" si="17"/>
        <v/>
      </c>
      <c r="BG17" s="37"/>
      <c r="BH17" s="174" t="str">
        <f t="shared" si="18"/>
        <v/>
      </c>
      <c r="BI17" s="37"/>
      <c r="BJ17" s="174" t="str">
        <f t="shared" si="19"/>
        <v/>
      </c>
      <c r="BK17" s="37"/>
      <c r="BL17" s="174" t="str">
        <f t="shared" si="20"/>
        <v/>
      </c>
      <c r="BM17" s="37"/>
      <c r="BN17" s="174" t="str">
        <f t="shared" si="21"/>
        <v/>
      </c>
      <c r="BO17" s="37"/>
      <c r="BP17" s="174" t="str">
        <f t="shared" si="22"/>
        <v/>
      </c>
      <c r="BQ17" s="37"/>
      <c r="BR17" s="174" t="str">
        <f t="shared" si="23"/>
        <v/>
      </c>
      <c r="BS17" s="37"/>
      <c r="BT17" s="174" t="str">
        <f t="shared" si="24"/>
        <v/>
      </c>
      <c r="BU17" s="37"/>
      <c r="BV17" s="174" t="str">
        <f t="shared" si="25"/>
        <v/>
      </c>
      <c r="BW17" s="37"/>
      <c r="BX17" s="174" t="str">
        <f t="shared" si="26"/>
        <v/>
      </c>
      <c r="BY17" s="37"/>
      <c r="BZ17" s="174" t="str">
        <f t="shared" si="27"/>
        <v/>
      </c>
      <c r="CA17" s="37"/>
      <c r="CB17" s="174" t="str">
        <f t="shared" si="28"/>
        <v/>
      </c>
      <c r="CC17" s="37"/>
      <c r="CD17" s="174" t="str">
        <f t="shared" si="29"/>
        <v/>
      </c>
      <c r="CE17" s="37"/>
      <c r="CF17" s="174" t="str">
        <f t="shared" si="30"/>
        <v/>
      </c>
      <c r="CG17" s="37"/>
      <c r="CH17" s="174" t="str">
        <f t="shared" si="31"/>
        <v/>
      </c>
      <c r="CI17" s="37"/>
      <c r="CJ17" s="174" t="str">
        <f t="shared" si="32"/>
        <v/>
      </c>
      <c r="CK17" s="37"/>
      <c r="CL17" s="174" t="str">
        <f t="shared" si="33"/>
        <v/>
      </c>
      <c r="CM17" s="37"/>
      <c r="CN17" s="174" t="str">
        <f t="shared" si="34"/>
        <v/>
      </c>
      <c r="CO17" s="37"/>
      <c r="CP17" s="174" t="str">
        <f t="shared" si="35"/>
        <v/>
      </c>
      <c r="CQ17" s="37"/>
      <c r="CR17" s="174" t="str">
        <f t="shared" si="36"/>
        <v/>
      </c>
      <c r="CS17" s="37"/>
      <c r="CT17" s="174" t="str">
        <f t="shared" si="37"/>
        <v/>
      </c>
      <c r="CU17" s="38"/>
      <c r="CV17" s="87"/>
      <c r="CW17" s="90"/>
      <c r="CX17" s="38"/>
      <c r="CY17" s="39"/>
      <c r="CZ17" s="37"/>
      <c r="DA17" s="39"/>
      <c r="DB17" s="24">
        <v>13</v>
      </c>
      <c r="DC17" s="96" t="str">
        <f t="shared" si="38"/>
        <v>土</v>
      </c>
      <c r="DF17" s="125"/>
      <c r="DG17" s="40"/>
      <c r="DH17" s="40"/>
      <c r="DI17" s="40"/>
      <c r="DJ17" s="40"/>
      <c r="DK17" s="40"/>
      <c r="DL17" s="40"/>
      <c r="DM17" s="40"/>
      <c r="DN17" s="40"/>
      <c r="DO17" s="40"/>
      <c r="DP17" s="40">
        <f t="shared" si="39"/>
        <v>0</v>
      </c>
      <c r="DQ17" s="172" t="str">
        <f t="shared" si="40"/>
        <v/>
      </c>
      <c r="DS17" s="189"/>
      <c r="DT17" s="190"/>
      <c r="DU17" s="190"/>
      <c r="DV17" s="191"/>
      <c r="DW17" s="41"/>
      <c r="DX17" s="42"/>
    </row>
    <row r="18" spans="1:128" ht="13.5" customHeight="1" x14ac:dyDescent="0.4">
      <c r="A18" s="104">
        <v>14</v>
      </c>
      <c r="B18" s="23" t="s">
        <v>89</v>
      </c>
      <c r="C18" s="164"/>
      <c r="D18" s="164"/>
      <c r="E18" s="24"/>
      <c r="F18" s="29"/>
      <c r="G18" s="25" t="str">
        <f>IF(SUM($F$5:F18)=0,"",SUM($F$5:F18))</f>
        <v/>
      </c>
      <c r="H18" s="43" t="str">
        <f t="shared" si="0"/>
        <v/>
      </c>
      <c r="I18" s="148" t="e">
        <f t="array" aca="1" ref="I18" ca="1">IF($A19="",$G18/($V18-$U$5+INDIRECT(IF(_xlfn.SHEET()&lt;6,"令和8年"&amp;_xlfn.SHEET()+7&amp;"月","令和9年"&amp;_xlfn.SHEET()-5&amp;"月")&amp;"!$U$5")),$G18/($V19-$U$5))</f>
        <v>#VALUE!</v>
      </c>
      <c r="J18" s="26" t="str">
        <f t="shared" si="1"/>
        <v/>
      </c>
      <c r="K18" s="27"/>
      <c r="L18" s="165">
        <f t="shared" si="2"/>
        <v>0</v>
      </c>
      <c r="M18" s="28" t="str">
        <f t="shared" si="3"/>
        <v/>
      </c>
      <c r="N18" s="166" t="str">
        <f t="shared" si="4"/>
        <v/>
      </c>
      <c r="O18" s="167" t="str">
        <f t="shared" si="5"/>
        <v/>
      </c>
      <c r="P18" s="168"/>
      <c r="Q18" s="169" t="str">
        <f t="shared" si="6"/>
        <v/>
      </c>
      <c r="R18" s="170">
        <v>17</v>
      </c>
      <c r="S18" s="171">
        <v>1</v>
      </c>
      <c r="T18" s="24" t="s">
        <v>84</v>
      </c>
      <c r="U18" s="29">
        <v>675682</v>
      </c>
      <c r="V18" s="30">
        <f t="shared" si="41"/>
        <v>5871289</v>
      </c>
      <c r="W18" s="27">
        <v>381</v>
      </c>
      <c r="X18" s="31">
        <f t="shared" si="7"/>
        <v>1773.4435695538057</v>
      </c>
      <c r="Y18" s="29">
        <v>280739</v>
      </c>
      <c r="Z18" s="32">
        <f t="shared" si="42"/>
        <v>5300945</v>
      </c>
      <c r="AA18" s="33">
        <f t="shared" si="8"/>
        <v>1.1075928914561459</v>
      </c>
      <c r="AB18" s="158">
        <v>700000</v>
      </c>
      <c r="AC18" s="34">
        <f t="shared" si="43"/>
        <v>5570000</v>
      </c>
      <c r="AD18" s="158"/>
      <c r="AE18" s="25"/>
      <c r="AF18" s="25"/>
      <c r="AG18" s="25"/>
      <c r="AH18" s="25"/>
      <c r="AI18" s="25"/>
      <c r="AJ18" s="25"/>
      <c r="AK18" s="25"/>
      <c r="AL18" s="158"/>
      <c r="AM18" s="25"/>
      <c r="AN18" s="158"/>
      <c r="AO18" s="25"/>
      <c r="AP18" s="25"/>
      <c r="AQ18" s="158"/>
      <c r="AR18" s="35">
        <f t="shared" si="9"/>
        <v>0</v>
      </c>
      <c r="AS18" s="172" t="str">
        <f t="shared" si="10"/>
        <v/>
      </c>
      <c r="AT18" s="36">
        <f t="shared" si="11"/>
        <v>0</v>
      </c>
      <c r="AU18" s="173"/>
      <c r="AV18" s="82">
        <f t="shared" si="12"/>
        <v>14</v>
      </c>
      <c r="AW18" s="37"/>
      <c r="AX18" s="174" t="str">
        <f t="shared" si="13"/>
        <v/>
      </c>
      <c r="AY18" s="37"/>
      <c r="AZ18" s="174" t="str">
        <f t="shared" si="14"/>
        <v/>
      </c>
      <c r="BA18" s="37"/>
      <c r="BB18" s="174" t="str">
        <f t="shared" si="15"/>
        <v/>
      </c>
      <c r="BC18" s="37"/>
      <c r="BD18" s="174" t="str">
        <f t="shared" si="16"/>
        <v/>
      </c>
      <c r="BE18" s="37"/>
      <c r="BF18" s="174" t="str">
        <f t="shared" si="17"/>
        <v/>
      </c>
      <c r="BG18" s="37"/>
      <c r="BH18" s="174" t="str">
        <f t="shared" si="18"/>
        <v/>
      </c>
      <c r="BI18" s="37"/>
      <c r="BJ18" s="174" t="str">
        <f t="shared" si="19"/>
        <v/>
      </c>
      <c r="BK18" s="37"/>
      <c r="BL18" s="174" t="str">
        <f t="shared" si="20"/>
        <v/>
      </c>
      <c r="BM18" s="37"/>
      <c r="BN18" s="174" t="str">
        <f t="shared" si="21"/>
        <v/>
      </c>
      <c r="BO18" s="37"/>
      <c r="BP18" s="174" t="str">
        <f t="shared" si="22"/>
        <v/>
      </c>
      <c r="BQ18" s="37"/>
      <c r="BR18" s="174" t="str">
        <f t="shared" si="23"/>
        <v/>
      </c>
      <c r="BS18" s="37"/>
      <c r="BT18" s="174" t="str">
        <f t="shared" si="24"/>
        <v/>
      </c>
      <c r="BU18" s="37"/>
      <c r="BV18" s="174" t="str">
        <f t="shared" si="25"/>
        <v/>
      </c>
      <c r="BW18" s="37"/>
      <c r="BX18" s="174" t="str">
        <f t="shared" si="26"/>
        <v/>
      </c>
      <c r="BY18" s="37"/>
      <c r="BZ18" s="174" t="str">
        <f t="shared" si="27"/>
        <v/>
      </c>
      <c r="CA18" s="37"/>
      <c r="CB18" s="174" t="str">
        <f t="shared" si="28"/>
        <v/>
      </c>
      <c r="CC18" s="37"/>
      <c r="CD18" s="174" t="str">
        <f t="shared" si="29"/>
        <v/>
      </c>
      <c r="CE18" s="37"/>
      <c r="CF18" s="174" t="str">
        <f t="shared" si="30"/>
        <v/>
      </c>
      <c r="CG18" s="37"/>
      <c r="CH18" s="174" t="str">
        <f t="shared" si="31"/>
        <v/>
      </c>
      <c r="CI18" s="37"/>
      <c r="CJ18" s="174" t="str">
        <f t="shared" si="32"/>
        <v/>
      </c>
      <c r="CK18" s="37"/>
      <c r="CL18" s="174" t="str">
        <f t="shared" si="33"/>
        <v/>
      </c>
      <c r="CM18" s="37"/>
      <c r="CN18" s="174" t="str">
        <f t="shared" si="34"/>
        <v/>
      </c>
      <c r="CO18" s="37"/>
      <c r="CP18" s="174" t="str">
        <f t="shared" si="35"/>
        <v/>
      </c>
      <c r="CQ18" s="37"/>
      <c r="CR18" s="174" t="str">
        <f t="shared" si="36"/>
        <v/>
      </c>
      <c r="CS18" s="37"/>
      <c r="CT18" s="174" t="str">
        <f t="shared" si="37"/>
        <v/>
      </c>
      <c r="CU18" s="38"/>
      <c r="CV18" s="87"/>
      <c r="CW18" s="90"/>
      <c r="CX18" s="38"/>
      <c r="CY18" s="39"/>
      <c r="CZ18" s="37"/>
      <c r="DA18" s="39"/>
      <c r="DB18" s="24">
        <v>14</v>
      </c>
      <c r="DC18" s="96" t="str">
        <f t="shared" si="38"/>
        <v>日</v>
      </c>
      <c r="DF18" s="125"/>
      <c r="DG18" s="40"/>
      <c r="DH18" s="40"/>
      <c r="DI18" s="40"/>
      <c r="DJ18" s="40"/>
      <c r="DK18" s="40"/>
      <c r="DL18" s="40"/>
      <c r="DM18" s="40"/>
      <c r="DN18" s="40"/>
      <c r="DO18" s="40"/>
      <c r="DP18" s="40">
        <f t="shared" si="39"/>
        <v>0</v>
      </c>
      <c r="DQ18" s="172" t="str">
        <f t="shared" si="40"/>
        <v/>
      </c>
      <c r="DS18" s="189"/>
      <c r="DT18" s="190"/>
      <c r="DU18" s="190"/>
      <c r="DV18" s="191"/>
      <c r="DW18" s="41"/>
      <c r="DX18" s="42"/>
    </row>
    <row r="19" spans="1:128" ht="13.5" customHeight="1" x14ac:dyDescent="0.4">
      <c r="A19" s="104">
        <v>15</v>
      </c>
      <c r="B19" s="23" t="s">
        <v>90</v>
      </c>
      <c r="C19" s="164"/>
      <c r="D19" s="164"/>
      <c r="E19" s="24"/>
      <c r="F19" s="29"/>
      <c r="G19" s="25" t="str">
        <f>IF(SUM($F$5:F19)=0,"",SUM($F$5:F19))</f>
        <v/>
      </c>
      <c r="H19" s="43" t="str">
        <f t="shared" si="0"/>
        <v/>
      </c>
      <c r="I19" s="148" t="e">
        <f t="array" aca="1" ref="I19" ca="1">IF($A20="",$G19/($V19-$U$5+INDIRECT(IF(_xlfn.SHEET()&lt;6,"令和8年"&amp;_xlfn.SHEET()+7&amp;"月","令和9年"&amp;_xlfn.SHEET()-5&amp;"月")&amp;"!$U$5")),$G19/($V20-$U$5))</f>
        <v>#VALUE!</v>
      </c>
      <c r="J19" s="26" t="str">
        <f t="shared" si="1"/>
        <v/>
      </c>
      <c r="K19" s="27"/>
      <c r="L19" s="165">
        <f t="shared" si="2"/>
        <v>0</v>
      </c>
      <c r="M19" s="28" t="str">
        <f t="shared" si="3"/>
        <v/>
      </c>
      <c r="N19" s="166" t="str">
        <f t="shared" si="4"/>
        <v/>
      </c>
      <c r="O19" s="167" t="str">
        <f t="shared" si="5"/>
        <v/>
      </c>
      <c r="P19" s="168"/>
      <c r="Q19" s="169" t="str">
        <f t="shared" si="6"/>
        <v/>
      </c>
      <c r="R19" s="170">
        <v>17</v>
      </c>
      <c r="S19" s="171">
        <v>9</v>
      </c>
      <c r="T19" s="24" t="s">
        <v>84</v>
      </c>
      <c r="U19" s="29">
        <v>604812</v>
      </c>
      <c r="V19" s="30">
        <f t="shared" si="41"/>
        <v>6476101</v>
      </c>
      <c r="W19" s="27">
        <v>387</v>
      </c>
      <c r="X19" s="31">
        <f t="shared" si="7"/>
        <v>1562.8217054263566</v>
      </c>
      <c r="Y19" s="29">
        <v>580129</v>
      </c>
      <c r="Z19" s="32">
        <f t="shared" si="42"/>
        <v>5881074</v>
      </c>
      <c r="AA19" s="33">
        <f t="shared" si="8"/>
        <v>1.1011765878137225</v>
      </c>
      <c r="AB19" s="158">
        <v>230000</v>
      </c>
      <c r="AC19" s="34">
        <f t="shared" si="43"/>
        <v>5800000</v>
      </c>
      <c r="AD19" s="158"/>
      <c r="AE19" s="25"/>
      <c r="AF19" s="25"/>
      <c r="AG19" s="25"/>
      <c r="AH19" s="25"/>
      <c r="AI19" s="25"/>
      <c r="AJ19" s="25"/>
      <c r="AK19" s="25"/>
      <c r="AL19" s="158"/>
      <c r="AM19" s="25"/>
      <c r="AN19" s="158"/>
      <c r="AO19" s="25"/>
      <c r="AP19" s="25"/>
      <c r="AQ19" s="158"/>
      <c r="AR19" s="35">
        <f t="shared" si="9"/>
        <v>0</v>
      </c>
      <c r="AS19" s="172" t="str">
        <f t="shared" si="10"/>
        <v/>
      </c>
      <c r="AT19" s="36">
        <f t="shared" si="11"/>
        <v>0</v>
      </c>
      <c r="AU19" s="173"/>
      <c r="AV19" s="82">
        <f t="shared" si="12"/>
        <v>15</v>
      </c>
      <c r="AW19" s="37"/>
      <c r="AX19" s="174" t="str">
        <f t="shared" si="13"/>
        <v/>
      </c>
      <c r="AY19" s="37"/>
      <c r="AZ19" s="174" t="str">
        <f t="shared" si="14"/>
        <v/>
      </c>
      <c r="BA19" s="37"/>
      <c r="BB19" s="174" t="str">
        <f t="shared" si="15"/>
        <v/>
      </c>
      <c r="BC19" s="37"/>
      <c r="BD19" s="174" t="str">
        <f t="shared" si="16"/>
        <v/>
      </c>
      <c r="BE19" s="37"/>
      <c r="BF19" s="174" t="str">
        <f t="shared" si="17"/>
        <v/>
      </c>
      <c r="BG19" s="37"/>
      <c r="BH19" s="174" t="str">
        <f t="shared" si="18"/>
        <v/>
      </c>
      <c r="BI19" s="37"/>
      <c r="BJ19" s="174" t="str">
        <f t="shared" si="19"/>
        <v/>
      </c>
      <c r="BK19" s="37"/>
      <c r="BL19" s="174" t="str">
        <f t="shared" si="20"/>
        <v/>
      </c>
      <c r="BM19" s="37"/>
      <c r="BN19" s="174" t="str">
        <f t="shared" si="21"/>
        <v/>
      </c>
      <c r="BO19" s="37"/>
      <c r="BP19" s="174" t="str">
        <f t="shared" si="22"/>
        <v/>
      </c>
      <c r="BQ19" s="37"/>
      <c r="BR19" s="174" t="str">
        <f t="shared" si="23"/>
        <v/>
      </c>
      <c r="BS19" s="37"/>
      <c r="BT19" s="174" t="str">
        <f t="shared" si="24"/>
        <v/>
      </c>
      <c r="BU19" s="37"/>
      <c r="BV19" s="174" t="str">
        <f t="shared" si="25"/>
        <v/>
      </c>
      <c r="BW19" s="37"/>
      <c r="BX19" s="174" t="str">
        <f t="shared" si="26"/>
        <v/>
      </c>
      <c r="BY19" s="37"/>
      <c r="BZ19" s="174" t="str">
        <f t="shared" si="27"/>
        <v/>
      </c>
      <c r="CA19" s="37"/>
      <c r="CB19" s="174" t="str">
        <f t="shared" si="28"/>
        <v/>
      </c>
      <c r="CC19" s="37"/>
      <c r="CD19" s="174" t="str">
        <f t="shared" si="29"/>
        <v/>
      </c>
      <c r="CE19" s="37"/>
      <c r="CF19" s="174" t="str">
        <f t="shared" si="30"/>
        <v/>
      </c>
      <c r="CG19" s="37"/>
      <c r="CH19" s="174" t="str">
        <f t="shared" si="31"/>
        <v/>
      </c>
      <c r="CI19" s="37"/>
      <c r="CJ19" s="174" t="str">
        <f t="shared" si="32"/>
        <v/>
      </c>
      <c r="CK19" s="37"/>
      <c r="CL19" s="174" t="str">
        <f t="shared" si="33"/>
        <v/>
      </c>
      <c r="CM19" s="37"/>
      <c r="CN19" s="174" t="str">
        <f t="shared" si="34"/>
        <v/>
      </c>
      <c r="CO19" s="37"/>
      <c r="CP19" s="174" t="str">
        <f t="shared" si="35"/>
        <v/>
      </c>
      <c r="CQ19" s="37"/>
      <c r="CR19" s="174" t="str">
        <f t="shared" si="36"/>
        <v/>
      </c>
      <c r="CS19" s="37"/>
      <c r="CT19" s="174" t="str">
        <f t="shared" si="37"/>
        <v/>
      </c>
      <c r="CU19" s="38"/>
      <c r="CV19" s="87"/>
      <c r="CW19" s="90"/>
      <c r="CX19" s="38"/>
      <c r="CY19" s="39"/>
      <c r="CZ19" s="37"/>
      <c r="DA19" s="39"/>
      <c r="DB19" s="24">
        <v>15</v>
      </c>
      <c r="DC19" s="96" t="str">
        <f t="shared" si="38"/>
        <v>月</v>
      </c>
      <c r="DF19" s="125"/>
      <c r="DG19" s="40"/>
      <c r="DH19" s="40"/>
      <c r="DI19" s="40"/>
      <c r="DJ19" s="40"/>
      <c r="DK19" s="40"/>
      <c r="DL19" s="40"/>
      <c r="DM19" s="40"/>
      <c r="DN19" s="40"/>
      <c r="DO19" s="40"/>
      <c r="DP19" s="40">
        <f t="shared" si="39"/>
        <v>0</v>
      </c>
      <c r="DQ19" s="172" t="str">
        <f t="shared" si="40"/>
        <v/>
      </c>
      <c r="DS19" s="189"/>
      <c r="DT19" s="190"/>
      <c r="DU19" s="190"/>
      <c r="DV19" s="191"/>
      <c r="DW19" s="138"/>
      <c r="DX19" s="42"/>
    </row>
    <row r="20" spans="1:128" ht="13.5" customHeight="1" x14ac:dyDescent="0.4">
      <c r="A20" s="104">
        <v>16</v>
      </c>
      <c r="B20" s="23" t="s">
        <v>91</v>
      </c>
      <c r="C20" s="164"/>
      <c r="D20" s="164"/>
      <c r="E20" s="24"/>
      <c r="F20" s="29"/>
      <c r="G20" s="25" t="str">
        <f>IF(SUM($F$5:F20)=0,"",SUM($F$5:F20))</f>
        <v/>
      </c>
      <c r="H20" s="43" t="str">
        <f t="shared" si="0"/>
        <v/>
      </c>
      <c r="I20" s="148" t="e">
        <f t="array" aca="1" ref="I20" ca="1">IF($A21="",$G20/($V20-$U$5+INDIRECT(IF(_xlfn.SHEET()&lt;6,"令和8年"&amp;_xlfn.SHEET()+7&amp;"月","令和9年"&amp;_xlfn.SHEET()-5&amp;"月")&amp;"!$U$5")),$G20/($V21-$U$5))</f>
        <v>#VALUE!</v>
      </c>
      <c r="J20" s="26" t="str">
        <f t="shared" si="1"/>
        <v/>
      </c>
      <c r="K20" s="27"/>
      <c r="L20" s="165">
        <f t="shared" si="2"/>
        <v>0</v>
      </c>
      <c r="M20" s="28" t="str">
        <f t="shared" si="3"/>
        <v/>
      </c>
      <c r="N20" s="166" t="str">
        <f t="shared" si="4"/>
        <v/>
      </c>
      <c r="O20" s="167" t="str">
        <f t="shared" si="5"/>
        <v/>
      </c>
      <c r="P20" s="168"/>
      <c r="Q20" s="169" t="str">
        <f t="shared" si="6"/>
        <v/>
      </c>
      <c r="R20" s="170">
        <v>13</v>
      </c>
      <c r="S20" s="171">
        <v>2</v>
      </c>
      <c r="T20" s="24" t="s">
        <v>84</v>
      </c>
      <c r="U20" s="29">
        <v>165243</v>
      </c>
      <c r="V20" s="30">
        <f t="shared" si="41"/>
        <v>6641344</v>
      </c>
      <c r="W20" s="27">
        <v>131</v>
      </c>
      <c r="X20" s="31">
        <f t="shared" si="7"/>
        <v>1261.3969465648854</v>
      </c>
      <c r="Y20" s="29">
        <v>866703</v>
      </c>
      <c r="Z20" s="32">
        <f t="shared" si="42"/>
        <v>6747777</v>
      </c>
      <c r="AA20" s="33">
        <f t="shared" si="8"/>
        <v>0.98422695355818668</v>
      </c>
      <c r="AB20" s="158">
        <v>230000</v>
      </c>
      <c r="AC20" s="34">
        <f t="shared" si="43"/>
        <v>6030000</v>
      </c>
      <c r="AD20" s="158"/>
      <c r="AE20" s="25"/>
      <c r="AF20" s="25"/>
      <c r="AG20" s="25"/>
      <c r="AH20" s="25"/>
      <c r="AI20" s="25"/>
      <c r="AJ20" s="25"/>
      <c r="AK20" s="25"/>
      <c r="AL20" s="158"/>
      <c r="AM20" s="25"/>
      <c r="AN20" s="158"/>
      <c r="AO20" s="25"/>
      <c r="AP20" s="25"/>
      <c r="AQ20" s="158"/>
      <c r="AR20" s="35">
        <f t="shared" si="9"/>
        <v>0</v>
      </c>
      <c r="AS20" s="172" t="str">
        <f t="shared" si="10"/>
        <v/>
      </c>
      <c r="AT20" s="36">
        <f t="shared" si="11"/>
        <v>0</v>
      </c>
      <c r="AU20" s="173"/>
      <c r="AV20" s="82">
        <f t="shared" si="12"/>
        <v>16</v>
      </c>
      <c r="AW20" s="37"/>
      <c r="AX20" s="174" t="str">
        <f t="shared" si="13"/>
        <v/>
      </c>
      <c r="AY20" s="37"/>
      <c r="AZ20" s="174" t="str">
        <f t="shared" si="14"/>
        <v/>
      </c>
      <c r="BA20" s="37"/>
      <c r="BB20" s="174" t="str">
        <f t="shared" si="15"/>
        <v/>
      </c>
      <c r="BC20" s="37"/>
      <c r="BD20" s="174" t="str">
        <f t="shared" si="16"/>
        <v/>
      </c>
      <c r="BE20" s="37"/>
      <c r="BF20" s="174" t="str">
        <f t="shared" si="17"/>
        <v/>
      </c>
      <c r="BG20" s="37"/>
      <c r="BH20" s="174" t="str">
        <f t="shared" si="18"/>
        <v/>
      </c>
      <c r="BI20" s="37"/>
      <c r="BJ20" s="174" t="str">
        <f t="shared" si="19"/>
        <v/>
      </c>
      <c r="BK20" s="37"/>
      <c r="BL20" s="174" t="str">
        <f t="shared" si="20"/>
        <v/>
      </c>
      <c r="BM20" s="37"/>
      <c r="BN20" s="174" t="str">
        <f t="shared" si="21"/>
        <v/>
      </c>
      <c r="BO20" s="37"/>
      <c r="BP20" s="174" t="str">
        <f t="shared" si="22"/>
        <v/>
      </c>
      <c r="BQ20" s="37"/>
      <c r="BR20" s="174" t="str">
        <f t="shared" si="23"/>
        <v/>
      </c>
      <c r="BS20" s="37"/>
      <c r="BT20" s="174" t="str">
        <f t="shared" si="24"/>
        <v/>
      </c>
      <c r="BU20" s="37"/>
      <c r="BV20" s="174" t="str">
        <f t="shared" si="25"/>
        <v/>
      </c>
      <c r="BW20" s="37"/>
      <c r="BX20" s="174" t="str">
        <f t="shared" si="26"/>
        <v/>
      </c>
      <c r="BY20" s="37"/>
      <c r="BZ20" s="174" t="str">
        <f t="shared" si="27"/>
        <v/>
      </c>
      <c r="CA20" s="37"/>
      <c r="CB20" s="174" t="str">
        <f t="shared" si="28"/>
        <v/>
      </c>
      <c r="CC20" s="37"/>
      <c r="CD20" s="174" t="str">
        <f t="shared" si="29"/>
        <v/>
      </c>
      <c r="CE20" s="37"/>
      <c r="CF20" s="174" t="str">
        <f t="shared" si="30"/>
        <v/>
      </c>
      <c r="CG20" s="37"/>
      <c r="CH20" s="174" t="str">
        <f t="shared" si="31"/>
        <v/>
      </c>
      <c r="CI20" s="37"/>
      <c r="CJ20" s="174" t="str">
        <f t="shared" si="32"/>
        <v/>
      </c>
      <c r="CK20" s="37"/>
      <c r="CL20" s="174" t="str">
        <f t="shared" si="33"/>
        <v/>
      </c>
      <c r="CM20" s="37"/>
      <c r="CN20" s="174" t="str">
        <f t="shared" si="34"/>
        <v/>
      </c>
      <c r="CO20" s="37"/>
      <c r="CP20" s="174" t="str">
        <f t="shared" si="35"/>
        <v/>
      </c>
      <c r="CQ20" s="37"/>
      <c r="CR20" s="174" t="str">
        <f t="shared" si="36"/>
        <v/>
      </c>
      <c r="CS20" s="37"/>
      <c r="CT20" s="174" t="str">
        <f t="shared" si="37"/>
        <v/>
      </c>
      <c r="CU20" s="38"/>
      <c r="CV20" s="87"/>
      <c r="CW20" s="90"/>
      <c r="CX20" s="38"/>
      <c r="CY20" s="39"/>
      <c r="CZ20" s="37"/>
      <c r="DA20" s="39"/>
      <c r="DB20" s="24">
        <v>16</v>
      </c>
      <c r="DC20" s="96" t="str">
        <f t="shared" si="38"/>
        <v>火</v>
      </c>
      <c r="DF20" s="125"/>
      <c r="DG20" s="40"/>
      <c r="DH20" s="40"/>
      <c r="DI20" s="40"/>
      <c r="DJ20" s="40"/>
      <c r="DK20" s="40"/>
      <c r="DL20" s="40"/>
      <c r="DM20" s="40"/>
      <c r="DN20" s="40"/>
      <c r="DO20" s="40"/>
      <c r="DP20" s="40">
        <f t="shared" si="39"/>
        <v>0</v>
      </c>
      <c r="DQ20" s="172" t="str">
        <f t="shared" si="40"/>
        <v/>
      </c>
      <c r="DS20" s="189"/>
      <c r="DT20" s="190"/>
      <c r="DU20" s="190"/>
      <c r="DV20" s="191"/>
      <c r="DW20" s="41"/>
      <c r="DX20" s="42"/>
    </row>
    <row r="21" spans="1:128" ht="13.5" customHeight="1" x14ac:dyDescent="0.4">
      <c r="A21" s="104">
        <v>17</v>
      </c>
      <c r="B21" s="23" t="s">
        <v>83</v>
      </c>
      <c r="C21" s="164"/>
      <c r="D21" s="164"/>
      <c r="E21" s="24"/>
      <c r="F21" s="29"/>
      <c r="G21" s="25" t="str">
        <f>IF(SUM($F$5:F21)=0,"",SUM($F$5:F21))</f>
        <v/>
      </c>
      <c r="H21" s="43" t="str">
        <f t="shared" si="0"/>
        <v/>
      </c>
      <c r="I21" s="148" t="e">
        <f t="array" aca="1" ref="I21" ca="1">IF($A22="",$G21/($V21-$U$5+INDIRECT(IF(_xlfn.SHEET()&lt;6,"令和8年"&amp;_xlfn.SHEET()+7&amp;"月","令和9年"&amp;_xlfn.SHEET()-5&amp;"月")&amp;"!$U$5")),$G21/($V22-$U$5))</f>
        <v>#VALUE!</v>
      </c>
      <c r="J21" s="26" t="str">
        <f t="shared" si="1"/>
        <v/>
      </c>
      <c r="K21" s="27"/>
      <c r="L21" s="165">
        <f t="shared" si="2"/>
        <v>0</v>
      </c>
      <c r="M21" s="28" t="str">
        <f t="shared" si="3"/>
        <v/>
      </c>
      <c r="N21" s="166" t="str">
        <f t="shared" si="4"/>
        <v/>
      </c>
      <c r="O21" s="167" t="str">
        <f t="shared" si="5"/>
        <v/>
      </c>
      <c r="P21" s="168"/>
      <c r="Q21" s="169" t="str">
        <f t="shared" si="6"/>
        <v/>
      </c>
      <c r="R21" s="170">
        <v>16</v>
      </c>
      <c r="S21" s="171">
        <v>4</v>
      </c>
      <c r="T21" s="24" t="s">
        <v>84</v>
      </c>
      <c r="U21" s="29">
        <v>177852</v>
      </c>
      <c r="V21" s="30">
        <f t="shared" si="41"/>
        <v>6819196</v>
      </c>
      <c r="W21" s="27">
        <v>139</v>
      </c>
      <c r="X21" s="31">
        <f t="shared" si="7"/>
        <v>1279.5107913669065</v>
      </c>
      <c r="Y21" s="29">
        <v>218960</v>
      </c>
      <c r="Z21" s="32">
        <f t="shared" si="42"/>
        <v>6966737</v>
      </c>
      <c r="AA21" s="33">
        <f t="shared" si="8"/>
        <v>0.97882207983450498</v>
      </c>
      <c r="AB21" s="158">
        <v>230000</v>
      </c>
      <c r="AC21" s="34">
        <f t="shared" si="43"/>
        <v>6260000</v>
      </c>
      <c r="AD21" s="158"/>
      <c r="AE21" s="25"/>
      <c r="AF21" s="25"/>
      <c r="AG21" s="25"/>
      <c r="AH21" s="25"/>
      <c r="AI21" s="25"/>
      <c r="AJ21" s="25"/>
      <c r="AK21" s="25"/>
      <c r="AL21" s="158"/>
      <c r="AM21" s="25"/>
      <c r="AN21" s="158"/>
      <c r="AO21" s="25"/>
      <c r="AP21" s="25"/>
      <c r="AQ21" s="158"/>
      <c r="AR21" s="35">
        <f t="shared" si="9"/>
        <v>0</v>
      </c>
      <c r="AS21" s="172" t="str">
        <f t="shared" si="10"/>
        <v/>
      </c>
      <c r="AT21" s="36">
        <f t="shared" si="11"/>
        <v>0</v>
      </c>
      <c r="AU21" s="173"/>
      <c r="AV21" s="82">
        <f t="shared" si="12"/>
        <v>17</v>
      </c>
      <c r="AW21" s="37"/>
      <c r="AX21" s="174" t="str">
        <f t="shared" si="13"/>
        <v/>
      </c>
      <c r="AY21" s="37"/>
      <c r="AZ21" s="174" t="str">
        <f t="shared" si="14"/>
        <v/>
      </c>
      <c r="BA21" s="37"/>
      <c r="BB21" s="174" t="str">
        <f t="shared" si="15"/>
        <v/>
      </c>
      <c r="BC21" s="37"/>
      <c r="BD21" s="174" t="str">
        <f t="shared" si="16"/>
        <v/>
      </c>
      <c r="BE21" s="37"/>
      <c r="BF21" s="174" t="str">
        <f t="shared" si="17"/>
        <v/>
      </c>
      <c r="BG21" s="37"/>
      <c r="BH21" s="174" t="str">
        <f t="shared" si="18"/>
        <v/>
      </c>
      <c r="BI21" s="37"/>
      <c r="BJ21" s="174" t="str">
        <f t="shared" si="19"/>
        <v/>
      </c>
      <c r="BK21" s="37"/>
      <c r="BL21" s="174" t="str">
        <f t="shared" si="20"/>
        <v/>
      </c>
      <c r="BM21" s="37"/>
      <c r="BN21" s="174" t="str">
        <f t="shared" si="21"/>
        <v/>
      </c>
      <c r="BO21" s="37"/>
      <c r="BP21" s="174" t="str">
        <f t="shared" si="22"/>
        <v/>
      </c>
      <c r="BQ21" s="37"/>
      <c r="BR21" s="174" t="str">
        <f t="shared" si="23"/>
        <v/>
      </c>
      <c r="BS21" s="37"/>
      <c r="BT21" s="174" t="str">
        <f t="shared" si="24"/>
        <v/>
      </c>
      <c r="BU21" s="37"/>
      <c r="BV21" s="174" t="str">
        <f t="shared" si="25"/>
        <v/>
      </c>
      <c r="BW21" s="37"/>
      <c r="BX21" s="174" t="str">
        <f t="shared" si="26"/>
        <v/>
      </c>
      <c r="BY21" s="37"/>
      <c r="BZ21" s="174" t="str">
        <f t="shared" si="27"/>
        <v/>
      </c>
      <c r="CA21" s="37"/>
      <c r="CB21" s="174" t="str">
        <f t="shared" si="28"/>
        <v/>
      </c>
      <c r="CC21" s="37"/>
      <c r="CD21" s="174" t="str">
        <f t="shared" si="29"/>
        <v/>
      </c>
      <c r="CE21" s="37"/>
      <c r="CF21" s="174" t="str">
        <f t="shared" si="30"/>
        <v/>
      </c>
      <c r="CG21" s="37"/>
      <c r="CH21" s="174" t="str">
        <f t="shared" si="31"/>
        <v/>
      </c>
      <c r="CI21" s="37"/>
      <c r="CJ21" s="174" t="str">
        <f t="shared" si="32"/>
        <v/>
      </c>
      <c r="CK21" s="37"/>
      <c r="CL21" s="174" t="str">
        <f t="shared" si="33"/>
        <v/>
      </c>
      <c r="CM21" s="37"/>
      <c r="CN21" s="174" t="str">
        <f t="shared" si="34"/>
        <v/>
      </c>
      <c r="CO21" s="37"/>
      <c r="CP21" s="174" t="str">
        <f t="shared" si="35"/>
        <v/>
      </c>
      <c r="CQ21" s="37"/>
      <c r="CR21" s="174" t="str">
        <f t="shared" si="36"/>
        <v/>
      </c>
      <c r="CS21" s="37"/>
      <c r="CT21" s="174" t="str">
        <f t="shared" si="37"/>
        <v/>
      </c>
      <c r="CU21" s="38"/>
      <c r="CV21" s="87"/>
      <c r="CW21" s="90"/>
      <c r="CX21" s="38"/>
      <c r="CY21" s="39"/>
      <c r="CZ21" s="37"/>
      <c r="DA21" s="39"/>
      <c r="DB21" s="24">
        <v>17</v>
      </c>
      <c r="DC21" s="96" t="str">
        <f t="shared" si="38"/>
        <v>水</v>
      </c>
      <c r="DF21" s="125"/>
      <c r="DG21" s="40"/>
      <c r="DH21" s="40"/>
      <c r="DI21" s="40"/>
      <c r="DJ21" s="40"/>
      <c r="DK21" s="40"/>
      <c r="DL21" s="40"/>
      <c r="DM21" s="40"/>
      <c r="DN21" s="40"/>
      <c r="DO21" s="40"/>
      <c r="DP21" s="40">
        <f t="shared" si="39"/>
        <v>0</v>
      </c>
      <c r="DQ21" s="172" t="str">
        <f t="shared" si="40"/>
        <v/>
      </c>
      <c r="DS21" s="189"/>
      <c r="DT21" s="190"/>
      <c r="DU21" s="190"/>
      <c r="DV21" s="191"/>
      <c r="DW21" s="41"/>
      <c r="DX21" s="42"/>
    </row>
    <row r="22" spans="1:128" ht="13.5" customHeight="1" x14ac:dyDescent="0.4">
      <c r="A22" s="104">
        <v>18</v>
      </c>
      <c r="B22" s="23" t="s">
        <v>85</v>
      </c>
      <c r="C22" s="164"/>
      <c r="D22" s="164"/>
      <c r="E22" s="24"/>
      <c r="F22" s="29"/>
      <c r="G22" s="25" t="str">
        <f>IF(SUM($F$5:F22)=0,"",SUM($F$5:F22))</f>
        <v/>
      </c>
      <c r="H22" s="43" t="str">
        <f t="shared" si="0"/>
        <v/>
      </c>
      <c r="I22" s="148" t="e">
        <f t="array" aca="1" ref="I22" ca="1">IF($A23="",$G22/($V22-$U$5+INDIRECT(IF(_xlfn.SHEET()&lt;6,"令和8年"&amp;_xlfn.SHEET()+7&amp;"月","令和9年"&amp;_xlfn.SHEET()-5&amp;"月")&amp;"!$U$5")),$G22/($V23-$U$5))</f>
        <v>#VALUE!</v>
      </c>
      <c r="J22" s="26" t="str">
        <f t="shared" si="1"/>
        <v/>
      </c>
      <c r="K22" s="27"/>
      <c r="L22" s="165">
        <f t="shared" si="2"/>
        <v>0</v>
      </c>
      <c r="M22" s="28" t="str">
        <f t="shared" si="3"/>
        <v/>
      </c>
      <c r="N22" s="166" t="str">
        <f t="shared" si="4"/>
        <v/>
      </c>
      <c r="O22" s="167" t="str">
        <f t="shared" si="5"/>
        <v/>
      </c>
      <c r="P22" s="168"/>
      <c r="Q22" s="169" t="str">
        <f t="shared" si="6"/>
        <v/>
      </c>
      <c r="R22" s="170">
        <v>12</v>
      </c>
      <c r="S22" s="171">
        <v>4</v>
      </c>
      <c r="T22" s="24" t="s">
        <v>84</v>
      </c>
      <c r="U22" s="29">
        <v>178897</v>
      </c>
      <c r="V22" s="30">
        <f t="shared" si="41"/>
        <v>6998093</v>
      </c>
      <c r="W22" s="27">
        <v>154</v>
      </c>
      <c r="X22" s="31">
        <f t="shared" si="7"/>
        <v>1161.6688311688313</v>
      </c>
      <c r="Y22" s="29">
        <v>212593</v>
      </c>
      <c r="Z22" s="32">
        <f t="shared" si="42"/>
        <v>7179330</v>
      </c>
      <c r="AA22" s="33">
        <f t="shared" si="8"/>
        <v>0.97475572233063534</v>
      </c>
      <c r="AB22" s="158">
        <v>230000</v>
      </c>
      <c r="AC22" s="34">
        <f t="shared" si="43"/>
        <v>6490000</v>
      </c>
      <c r="AD22" s="158"/>
      <c r="AE22" s="25"/>
      <c r="AF22" s="25"/>
      <c r="AG22" s="25"/>
      <c r="AH22" s="25"/>
      <c r="AI22" s="25"/>
      <c r="AJ22" s="25"/>
      <c r="AK22" s="25"/>
      <c r="AL22" s="158"/>
      <c r="AM22" s="25"/>
      <c r="AN22" s="158"/>
      <c r="AO22" s="25"/>
      <c r="AP22" s="25"/>
      <c r="AQ22" s="158"/>
      <c r="AR22" s="35">
        <f t="shared" si="9"/>
        <v>0</v>
      </c>
      <c r="AS22" s="172" t="str">
        <f t="shared" si="10"/>
        <v/>
      </c>
      <c r="AT22" s="36">
        <f t="shared" si="11"/>
        <v>0</v>
      </c>
      <c r="AU22" s="173"/>
      <c r="AV22" s="82">
        <f t="shared" si="12"/>
        <v>18</v>
      </c>
      <c r="AW22" s="37"/>
      <c r="AX22" s="174" t="str">
        <f t="shared" si="13"/>
        <v/>
      </c>
      <c r="AY22" s="37"/>
      <c r="AZ22" s="174" t="str">
        <f t="shared" si="14"/>
        <v/>
      </c>
      <c r="BA22" s="37"/>
      <c r="BB22" s="174" t="str">
        <f t="shared" si="15"/>
        <v/>
      </c>
      <c r="BC22" s="37"/>
      <c r="BD22" s="174" t="str">
        <f t="shared" si="16"/>
        <v/>
      </c>
      <c r="BE22" s="37"/>
      <c r="BF22" s="174" t="str">
        <f t="shared" si="17"/>
        <v/>
      </c>
      <c r="BG22" s="37"/>
      <c r="BH22" s="174" t="str">
        <f t="shared" si="18"/>
        <v/>
      </c>
      <c r="BI22" s="37"/>
      <c r="BJ22" s="174" t="str">
        <f t="shared" si="19"/>
        <v/>
      </c>
      <c r="BK22" s="37"/>
      <c r="BL22" s="174" t="str">
        <f t="shared" si="20"/>
        <v/>
      </c>
      <c r="BM22" s="37"/>
      <c r="BN22" s="174" t="str">
        <f t="shared" si="21"/>
        <v/>
      </c>
      <c r="BO22" s="37"/>
      <c r="BP22" s="174" t="str">
        <f t="shared" si="22"/>
        <v/>
      </c>
      <c r="BQ22" s="37"/>
      <c r="BR22" s="174" t="str">
        <f t="shared" si="23"/>
        <v/>
      </c>
      <c r="BS22" s="37"/>
      <c r="BT22" s="174" t="str">
        <f t="shared" si="24"/>
        <v/>
      </c>
      <c r="BU22" s="37"/>
      <c r="BV22" s="174" t="str">
        <f t="shared" si="25"/>
        <v/>
      </c>
      <c r="BW22" s="37"/>
      <c r="BX22" s="174" t="str">
        <f t="shared" si="26"/>
        <v/>
      </c>
      <c r="BY22" s="37"/>
      <c r="BZ22" s="174" t="str">
        <f t="shared" si="27"/>
        <v/>
      </c>
      <c r="CA22" s="37"/>
      <c r="CB22" s="174" t="str">
        <f t="shared" si="28"/>
        <v/>
      </c>
      <c r="CC22" s="37"/>
      <c r="CD22" s="174" t="str">
        <f t="shared" si="29"/>
        <v/>
      </c>
      <c r="CE22" s="37"/>
      <c r="CF22" s="174" t="str">
        <f t="shared" si="30"/>
        <v/>
      </c>
      <c r="CG22" s="37"/>
      <c r="CH22" s="174" t="str">
        <f t="shared" si="31"/>
        <v/>
      </c>
      <c r="CI22" s="37"/>
      <c r="CJ22" s="174" t="str">
        <f t="shared" si="32"/>
        <v/>
      </c>
      <c r="CK22" s="37"/>
      <c r="CL22" s="174" t="str">
        <f t="shared" si="33"/>
        <v/>
      </c>
      <c r="CM22" s="37"/>
      <c r="CN22" s="174" t="str">
        <f t="shared" si="34"/>
        <v/>
      </c>
      <c r="CO22" s="37"/>
      <c r="CP22" s="174" t="str">
        <f t="shared" si="35"/>
        <v/>
      </c>
      <c r="CQ22" s="37"/>
      <c r="CR22" s="174" t="str">
        <f t="shared" si="36"/>
        <v/>
      </c>
      <c r="CS22" s="37"/>
      <c r="CT22" s="174" t="str">
        <f t="shared" si="37"/>
        <v/>
      </c>
      <c r="CU22" s="38"/>
      <c r="CV22" s="87"/>
      <c r="CW22" s="90"/>
      <c r="CX22" s="38"/>
      <c r="CY22" s="39"/>
      <c r="CZ22" s="37"/>
      <c r="DA22" s="39"/>
      <c r="DB22" s="24">
        <v>18</v>
      </c>
      <c r="DC22" s="96" t="str">
        <f t="shared" si="38"/>
        <v>木</v>
      </c>
      <c r="DF22" s="125"/>
      <c r="DG22" s="40"/>
      <c r="DH22" s="40"/>
      <c r="DI22" s="40"/>
      <c r="DJ22" s="40"/>
      <c r="DK22" s="40"/>
      <c r="DL22" s="40"/>
      <c r="DM22" s="40"/>
      <c r="DN22" s="40"/>
      <c r="DO22" s="40"/>
      <c r="DP22" s="40">
        <f t="shared" si="39"/>
        <v>0</v>
      </c>
      <c r="DQ22" s="172" t="str">
        <f t="shared" si="40"/>
        <v/>
      </c>
      <c r="DS22" s="189"/>
      <c r="DT22" s="190"/>
      <c r="DU22" s="190"/>
      <c r="DV22" s="191"/>
      <c r="DW22" s="138"/>
      <c r="DX22" s="42"/>
    </row>
    <row r="23" spans="1:128" ht="13.5" customHeight="1" x14ac:dyDescent="0.4">
      <c r="A23" s="104">
        <v>19</v>
      </c>
      <c r="B23" s="23" t="s">
        <v>86</v>
      </c>
      <c r="C23" s="164"/>
      <c r="D23" s="164"/>
      <c r="E23" s="24"/>
      <c r="F23" s="29"/>
      <c r="G23" s="25" t="str">
        <f>IF(SUM($F$5:F23)=0,"",SUM($F$5:F23))</f>
        <v/>
      </c>
      <c r="H23" s="43" t="str">
        <f t="shared" si="0"/>
        <v/>
      </c>
      <c r="I23" s="148" t="e">
        <f t="array" aca="1" ref="I23" ca="1">IF($A24="",$G23/($V23-$U$5+INDIRECT(IF(_xlfn.SHEET()&lt;6,"令和8年"&amp;_xlfn.SHEET()+7&amp;"月","令和9年"&amp;_xlfn.SHEET()-5&amp;"月")&amp;"!$U$5")),$G23/($V24-$U$5))</f>
        <v>#VALUE!</v>
      </c>
      <c r="J23" s="26" t="str">
        <f t="shared" si="1"/>
        <v/>
      </c>
      <c r="K23" s="27"/>
      <c r="L23" s="165">
        <f t="shared" si="2"/>
        <v>0</v>
      </c>
      <c r="M23" s="28" t="str">
        <f t="shared" si="3"/>
        <v/>
      </c>
      <c r="N23" s="166" t="str">
        <f t="shared" si="4"/>
        <v/>
      </c>
      <c r="O23" s="167" t="str">
        <f t="shared" si="5"/>
        <v/>
      </c>
      <c r="P23" s="168"/>
      <c r="Q23" s="169" t="str">
        <f t="shared" si="6"/>
        <v/>
      </c>
      <c r="R23" s="170">
        <v>8</v>
      </c>
      <c r="S23" s="171">
        <v>-1</v>
      </c>
      <c r="T23" s="24" t="s">
        <v>84</v>
      </c>
      <c r="U23" s="29">
        <v>290454</v>
      </c>
      <c r="V23" s="30">
        <f t="shared" si="41"/>
        <v>7288547</v>
      </c>
      <c r="W23" s="27">
        <v>156</v>
      </c>
      <c r="X23" s="31">
        <f t="shared" si="7"/>
        <v>1861.8846153846155</v>
      </c>
      <c r="Y23" s="29">
        <v>149735</v>
      </c>
      <c r="Z23" s="32">
        <f t="shared" si="42"/>
        <v>7329065</v>
      </c>
      <c r="AA23" s="33">
        <f t="shared" si="8"/>
        <v>0.99447160040196125</v>
      </c>
      <c r="AB23" s="158">
        <v>230000</v>
      </c>
      <c r="AC23" s="34">
        <f t="shared" si="43"/>
        <v>6720000</v>
      </c>
      <c r="AD23" s="158"/>
      <c r="AE23" s="25"/>
      <c r="AF23" s="25"/>
      <c r="AG23" s="25"/>
      <c r="AH23" s="25"/>
      <c r="AI23" s="25"/>
      <c r="AJ23" s="25"/>
      <c r="AK23" s="25"/>
      <c r="AL23" s="158"/>
      <c r="AM23" s="25"/>
      <c r="AN23" s="158"/>
      <c r="AO23" s="25"/>
      <c r="AP23" s="25"/>
      <c r="AQ23" s="158"/>
      <c r="AR23" s="35">
        <f t="shared" si="9"/>
        <v>0</v>
      </c>
      <c r="AS23" s="172" t="str">
        <f t="shared" si="10"/>
        <v/>
      </c>
      <c r="AT23" s="36">
        <f t="shared" si="11"/>
        <v>0</v>
      </c>
      <c r="AU23" s="173"/>
      <c r="AV23" s="82">
        <f t="shared" si="12"/>
        <v>19</v>
      </c>
      <c r="AW23" s="37"/>
      <c r="AX23" s="174" t="str">
        <f t="shared" si="13"/>
        <v/>
      </c>
      <c r="AY23" s="37"/>
      <c r="AZ23" s="174" t="str">
        <f t="shared" si="14"/>
        <v/>
      </c>
      <c r="BA23" s="37"/>
      <c r="BB23" s="174" t="str">
        <f t="shared" si="15"/>
        <v/>
      </c>
      <c r="BC23" s="37"/>
      <c r="BD23" s="174" t="str">
        <f t="shared" si="16"/>
        <v/>
      </c>
      <c r="BE23" s="37"/>
      <c r="BF23" s="174" t="str">
        <f t="shared" si="17"/>
        <v/>
      </c>
      <c r="BG23" s="37"/>
      <c r="BH23" s="174" t="str">
        <f t="shared" si="18"/>
        <v/>
      </c>
      <c r="BI23" s="37"/>
      <c r="BJ23" s="174" t="str">
        <f t="shared" si="19"/>
        <v/>
      </c>
      <c r="BK23" s="37"/>
      <c r="BL23" s="174" t="str">
        <f t="shared" si="20"/>
        <v/>
      </c>
      <c r="BM23" s="37"/>
      <c r="BN23" s="174" t="str">
        <f t="shared" si="21"/>
        <v/>
      </c>
      <c r="BO23" s="37"/>
      <c r="BP23" s="174" t="str">
        <f t="shared" si="22"/>
        <v/>
      </c>
      <c r="BQ23" s="37"/>
      <c r="BR23" s="174" t="str">
        <f t="shared" si="23"/>
        <v/>
      </c>
      <c r="BS23" s="37"/>
      <c r="BT23" s="174" t="str">
        <f t="shared" si="24"/>
        <v/>
      </c>
      <c r="BU23" s="37"/>
      <c r="BV23" s="174" t="str">
        <f t="shared" si="25"/>
        <v/>
      </c>
      <c r="BW23" s="37"/>
      <c r="BX23" s="174" t="str">
        <f t="shared" si="26"/>
        <v/>
      </c>
      <c r="BY23" s="37"/>
      <c r="BZ23" s="174" t="str">
        <f t="shared" si="27"/>
        <v/>
      </c>
      <c r="CA23" s="37"/>
      <c r="CB23" s="174" t="str">
        <f t="shared" si="28"/>
        <v/>
      </c>
      <c r="CC23" s="37"/>
      <c r="CD23" s="174" t="str">
        <f t="shared" si="29"/>
        <v/>
      </c>
      <c r="CE23" s="37"/>
      <c r="CF23" s="174" t="str">
        <f t="shared" si="30"/>
        <v/>
      </c>
      <c r="CG23" s="37"/>
      <c r="CH23" s="174" t="str">
        <f t="shared" si="31"/>
        <v/>
      </c>
      <c r="CI23" s="37"/>
      <c r="CJ23" s="174" t="str">
        <f t="shared" si="32"/>
        <v/>
      </c>
      <c r="CK23" s="37"/>
      <c r="CL23" s="174" t="str">
        <f t="shared" si="33"/>
        <v/>
      </c>
      <c r="CM23" s="37"/>
      <c r="CN23" s="174" t="str">
        <f t="shared" si="34"/>
        <v/>
      </c>
      <c r="CO23" s="37"/>
      <c r="CP23" s="174" t="str">
        <f t="shared" si="35"/>
        <v/>
      </c>
      <c r="CQ23" s="37"/>
      <c r="CR23" s="174" t="str">
        <f t="shared" si="36"/>
        <v/>
      </c>
      <c r="CS23" s="37"/>
      <c r="CT23" s="174" t="str">
        <f t="shared" si="37"/>
        <v/>
      </c>
      <c r="CU23" s="38"/>
      <c r="CV23" s="87"/>
      <c r="CW23" s="90"/>
      <c r="CX23" s="38"/>
      <c r="CY23" s="39"/>
      <c r="CZ23" s="37"/>
      <c r="DA23" s="39"/>
      <c r="DB23" s="24">
        <v>19</v>
      </c>
      <c r="DC23" s="96" t="str">
        <f t="shared" si="38"/>
        <v>金</v>
      </c>
      <c r="DF23" s="125"/>
      <c r="DG23" s="40"/>
      <c r="DH23" s="40"/>
      <c r="DI23" s="40"/>
      <c r="DJ23" s="40"/>
      <c r="DK23" s="40"/>
      <c r="DL23" s="40"/>
      <c r="DM23" s="40"/>
      <c r="DN23" s="40"/>
      <c r="DO23" s="40"/>
      <c r="DP23" s="40">
        <f t="shared" si="39"/>
        <v>0</v>
      </c>
      <c r="DQ23" s="172" t="str">
        <f t="shared" si="40"/>
        <v/>
      </c>
      <c r="DS23" s="189"/>
      <c r="DT23" s="190"/>
      <c r="DU23" s="190"/>
      <c r="DV23" s="191"/>
      <c r="DW23" s="41"/>
      <c r="DX23" s="42"/>
    </row>
    <row r="24" spans="1:128" ht="13.5" customHeight="1" x14ac:dyDescent="0.4">
      <c r="A24" s="104">
        <v>20</v>
      </c>
      <c r="B24" s="23" t="s">
        <v>88</v>
      </c>
      <c r="C24" s="164"/>
      <c r="D24" s="164"/>
      <c r="E24" s="24"/>
      <c r="F24" s="29"/>
      <c r="G24" s="25" t="str">
        <f>IF(SUM($F$5:F24)=0,"",SUM($F$5:F24))</f>
        <v/>
      </c>
      <c r="H24" s="43" t="str">
        <f t="shared" si="0"/>
        <v/>
      </c>
      <c r="I24" s="148" t="e">
        <f t="array" aca="1" ref="I24" ca="1">IF($A25="",$G24/($V24-$U$5+INDIRECT(IF(_xlfn.SHEET()&lt;6,"令和8年"&amp;_xlfn.SHEET()+7&amp;"月","令和9年"&amp;_xlfn.SHEET()-5&amp;"月")&amp;"!$U$5")),$G24/($V25-$U$5))</f>
        <v>#VALUE!</v>
      </c>
      <c r="J24" s="26" t="str">
        <f t="shared" si="1"/>
        <v/>
      </c>
      <c r="K24" s="27"/>
      <c r="L24" s="165">
        <f t="shared" si="2"/>
        <v>0</v>
      </c>
      <c r="M24" s="28" t="str">
        <f t="shared" si="3"/>
        <v/>
      </c>
      <c r="N24" s="166" t="str">
        <f t="shared" si="4"/>
        <v/>
      </c>
      <c r="O24" s="167" t="str">
        <f t="shared" si="5"/>
        <v/>
      </c>
      <c r="P24" s="168"/>
      <c r="Q24" s="169" t="str">
        <f t="shared" si="6"/>
        <v/>
      </c>
      <c r="R24" s="170">
        <v>10</v>
      </c>
      <c r="S24" s="171">
        <v>0</v>
      </c>
      <c r="T24" s="24" t="s">
        <v>114</v>
      </c>
      <c r="U24" s="29">
        <v>211194</v>
      </c>
      <c r="V24" s="30">
        <f t="shared" si="41"/>
        <v>7499741</v>
      </c>
      <c r="W24" s="27">
        <v>147</v>
      </c>
      <c r="X24" s="31">
        <f t="shared" si="7"/>
        <v>1436.6938775510205</v>
      </c>
      <c r="Y24" s="29">
        <v>167615</v>
      </c>
      <c r="Z24" s="32">
        <f t="shared" si="42"/>
        <v>7496680</v>
      </c>
      <c r="AA24" s="33">
        <f t="shared" si="8"/>
        <v>1.0004083140803663</v>
      </c>
      <c r="AB24" s="158">
        <v>700000</v>
      </c>
      <c r="AC24" s="34">
        <f t="shared" si="43"/>
        <v>7420000</v>
      </c>
      <c r="AD24" s="158"/>
      <c r="AE24" s="25"/>
      <c r="AF24" s="25"/>
      <c r="AG24" s="25"/>
      <c r="AH24" s="25"/>
      <c r="AI24" s="25"/>
      <c r="AJ24" s="25"/>
      <c r="AK24" s="25"/>
      <c r="AL24" s="158"/>
      <c r="AM24" s="25"/>
      <c r="AN24" s="158"/>
      <c r="AO24" s="25"/>
      <c r="AP24" s="25"/>
      <c r="AQ24" s="158"/>
      <c r="AR24" s="35">
        <f t="shared" si="9"/>
        <v>0</v>
      </c>
      <c r="AS24" s="172" t="str">
        <f t="shared" si="10"/>
        <v/>
      </c>
      <c r="AT24" s="36">
        <f t="shared" si="11"/>
        <v>0</v>
      </c>
      <c r="AU24" s="173"/>
      <c r="AV24" s="82">
        <f t="shared" si="12"/>
        <v>20</v>
      </c>
      <c r="AW24" s="37"/>
      <c r="AX24" s="174" t="str">
        <f t="shared" si="13"/>
        <v/>
      </c>
      <c r="AY24" s="37"/>
      <c r="AZ24" s="174" t="str">
        <f t="shared" si="14"/>
        <v/>
      </c>
      <c r="BA24" s="37"/>
      <c r="BB24" s="174" t="str">
        <f t="shared" si="15"/>
        <v/>
      </c>
      <c r="BC24" s="37"/>
      <c r="BD24" s="174" t="str">
        <f t="shared" si="16"/>
        <v/>
      </c>
      <c r="BE24" s="37"/>
      <c r="BF24" s="174" t="str">
        <f t="shared" si="17"/>
        <v/>
      </c>
      <c r="BG24" s="37"/>
      <c r="BH24" s="174" t="str">
        <f t="shared" si="18"/>
        <v/>
      </c>
      <c r="BI24" s="37"/>
      <c r="BJ24" s="174" t="str">
        <f t="shared" si="19"/>
        <v/>
      </c>
      <c r="BK24" s="37"/>
      <c r="BL24" s="174" t="str">
        <f t="shared" si="20"/>
        <v/>
      </c>
      <c r="BM24" s="37"/>
      <c r="BN24" s="174" t="str">
        <f t="shared" si="21"/>
        <v/>
      </c>
      <c r="BO24" s="37"/>
      <c r="BP24" s="174" t="str">
        <f t="shared" si="22"/>
        <v/>
      </c>
      <c r="BQ24" s="37"/>
      <c r="BR24" s="174" t="str">
        <f t="shared" si="23"/>
        <v/>
      </c>
      <c r="BS24" s="37"/>
      <c r="BT24" s="174" t="str">
        <f t="shared" si="24"/>
        <v/>
      </c>
      <c r="BU24" s="37"/>
      <c r="BV24" s="174" t="str">
        <f t="shared" si="25"/>
        <v/>
      </c>
      <c r="BW24" s="37"/>
      <c r="BX24" s="174" t="str">
        <f t="shared" si="26"/>
        <v/>
      </c>
      <c r="BY24" s="37"/>
      <c r="BZ24" s="174" t="str">
        <f t="shared" si="27"/>
        <v/>
      </c>
      <c r="CA24" s="37"/>
      <c r="CB24" s="174" t="str">
        <f t="shared" si="28"/>
        <v/>
      </c>
      <c r="CC24" s="37"/>
      <c r="CD24" s="174" t="str">
        <f t="shared" si="29"/>
        <v/>
      </c>
      <c r="CE24" s="37"/>
      <c r="CF24" s="174" t="str">
        <f t="shared" si="30"/>
        <v/>
      </c>
      <c r="CG24" s="37"/>
      <c r="CH24" s="174" t="str">
        <f t="shared" si="31"/>
        <v/>
      </c>
      <c r="CI24" s="37"/>
      <c r="CJ24" s="174" t="str">
        <f t="shared" si="32"/>
        <v/>
      </c>
      <c r="CK24" s="37"/>
      <c r="CL24" s="174" t="str">
        <f t="shared" si="33"/>
        <v/>
      </c>
      <c r="CM24" s="37"/>
      <c r="CN24" s="174" t="str">
        <f t="shared" si="34"/>
        <v/>
      </c>
      <c r="CO24" s="37"/>
      <c r="CP24" s="174" t="str">
        <f t="shared" si="35"/>
        <v/>
      </c>
      <c r="CQ24" s="37"/>
      <c r="CR24" s="174" t="str">
        <f t="shared" si="36"/>
        <v/>
      </c>
      <c r="CS24" s="37"/>
      <c r="CT24" s="174" t="str">
        <f t="shared" si="37"/>
        <v/>
      </c>
      <c r="CU24" s="38"/>
      <c r="CV24" s="87"/>
      <c r="CW24" s="90"/>
      <c r="CX24" s="38"/>
      <c r="CY24" s="39"/>
      <c r="CZ24" s="37"/>
      <c r="DA24" s="39"/>
      <c r="DB24" s="24">
        <v>20</v>
      </c>
      <c r="DC24" s="96" t="str">
        <f t="shared" si="38"/>
        <v>土</v>
      </c>
      <c r="DF24" s="125"/>
      <c r="DG24" s="40"/>
      <c r="DH24" s="40"/>
      <c r="DI24" s="40"/>
      <c r="DJ24" s="40"/>
      <c r="DK24" s="40"/>
      <c r="DL24" s="40"/>
      <c r="DM24" s="40"/>
      <c r="DN24" s="40"/>
      <c r="DO24" s="40"/>
      <c r="DP24" s="40">
        <f t="shared" si="39"/>
        <v>0</v>
      </c>
      <c r="DQ24" s="172" t="str">
        <f t="shared" si="40"/>
        <v/>
      </c>
      <c r="DS24" s="189"/>
      <c r="DT24" s="190"/>
      <c r="DU24" s="190"/>
      <c r="DV24" s="191"/>
      <c r="DW24" s="41"/>
      <c r="DX24" s="42"/>
    </row>
    <row r="25" spans="1:128" ht="13.5" customHeight="1" x14ac:dyDescent="0.4">
      <c r="A25" s="104">
        <v>21</v>
      </c>
      <c r="B25" s="23" t="s">
        <v>89</v>
      </c>
      <c r="C25" s="164"/>
      <c r="D25" s="164"/>
      <c r="E25" s="24"/>
      <c r="F25" s="29"/>
      <c r="G25" s="25" t="str">
        <f>IF(SUM($F$5:F25)=0,"",SUM($F$5:F25))</f>
        <v/>
      </c>
      <c r="H25" s="43" t="str">
        <f t="shared" si="0"/>
        <v/>
      </c>
      <c r="I25" s="148" t="e">
        <f t="array" aca="1" ref="I25" ca="1">IF($A26="",$G25/($V25-$U$5+INDIRECT(IF(_xlfn.SHEET()&lt;6,"令和8年"&amp;_xlfn.SHEET()+7&amp;"月","令和9年"&amp;_xlfn.SHEET()-5&amp;"月")&amp;"!$U$5")),$G25/($V26-$U$5))</f>
        <v>#VALUE!</v>
      </c>
      <c r="J25" s="26" t="str">
        <f t="shared" si="1"/>
        <v/>
      </c>
      <c r="K25" s="27"/>
      <c r="L25" s="165">
        <f t="shared" si="2"/>
        <v>0</v>
      </c>
      <c r="M25" s="28" t="str">
        <f t="shared" si="3"/>
        <v/>
      </c>
      <c r="N25" s="166" t="str">
        <f t="shared" si="4"/>
        <v/>
      </c>
      <c r="O25" s="167" t="str">
        <f t="shared" si="5"/>
        <v/>
      </c>
      <c r="P25" s="168"/>
      <c r="Q25" s="169" t="str">
        <f t="shared" si="6"/>
        <v/>
      </c>
      <c r="R25" s="170">
        <v>16</v>
      </c>
      <c r="S25" s="171">
        <v>6</v>
      </c>
      <c r="T25" s="24" t="s">
        <v>84</v>
      </c>
      <c r="U25" s="29">
        <v>612867</v>
      </c>
      <c r="V25" s="30">
        <f t="shared" si="41"/>
        <v>8112608</v>
      </c>
      <c r="W25" s="27">
        <v>363</v>
      </c>
      <c r="X25" s="31">
        <f t="shared" si="7"/>
        <v>1688.3388429752067</v>
      </c>
      <c r="Y25" s="29">
        <v>223781</v>
      </c>
      <c r="Z25" s="32">
        <f t="shared" si="42"/>
        <v>7720461</v>
      </c>
      <c r="AA25" s="33">
        <f t="shared" si="8"/>
        <v>1.0507932104054407</v>
      </c>
      <c r="AB25" s="158">
        <v>700000</v>
      </c>
      <c r="AC25" s="34">
        <f t="shared" si="43"/>
        <v>8120000</v>
      </c>
      <c r="AD25" s="158"/>
      <c r="AE25" s="25"/>
      <c r="AF25" s="25"/>
      <c r="AG25" s="25"/>
      <c r="AH25" s="25"/>
      <c r="AI25" s="25"/>
      <c r="AJ25" s="25"/>
      <c r="AK25" s="25"/>
      <c r="AL25" s="158"/>
      <c r="AM25" s="25"/>
      <c r="AN25" s="158"/>
      <c r="AO25" s="25"/>
      <c r="AP25" s="25"/>
      <c r="AQ25" s="158"/>
      <c r="AR25" s="35">
        <f t="shared" si="9"/>
        <v>0</v>
      </c>
      <c r="AS25" s="172" t="str">
        <f t="shared" si="10"/>
        <v/>
      </c>
      <c r="AT25" s="36">
        <f t="shared" si="11"/>
        <v>0</v>
      </c>
      <c r="AU25" s="173"/>
      <c r="AV25" s="82">
        <f t="shared" si="12"/>
        <v>21</v>
      </c>
      <c r="AW25" s="37"/>
      <c r="AX25" s="174" t="str">
        <f t="shared" si="13"/>
        <v/>
      </c>
      <c r="AY25" s="37"/>
      <c r="AZ25" s="174" t="str">
        <f t="shared" si="14"/>
        <v/>
      </c>
      <c r="BA25" s="37"/>
      <c r="BB25" s="174" t="str">
        <f t="shared" si="15"/>
        <v/>
      </c>
      <c r="BC25" s="37"/>
      <c r="BD25" s="174" t="str">
        <f t="shared" si="16"/>
        <v/>
      </c>
      <c r="BE25" s="37"/>
      <c r="BF25" s="174" t="str">
        <f t="shared" si="17"/>
        <v/>
      </c>
      <c r="BG25" s="37"/>
      <c r="BH25" s="174" t="str">
        <f t="shared" si="18"/>
        <v/>
      </c>
      <c r="BI25" s="37"/>
      <c r="BJ25" s="174" t="str">
        <f t="shared" si="19"/>
        <v/>
      </c>
      <c r="BK25" s="37"/>
      <c r="BL25" s="174" t="str">
        <f t="shared" si="20"/>
        <v/>
      </c>
      <c r="BM25" s="37"/>
      <c r="BN25" s="174" t="str">
        <f t="shared" si="21"/>
        <v/>
      </c>
      <c r="BO25" s="37"/>
      <c r="BP25" s="174" t="str">
        <f t="shared" si="22"/>
        <v/>
      </c>
      <c r="BQ25" s="37"/>
      <c r="BR25" s="174" t="str">
        <f t="shared" si="23"/>
        <v/>
      </c>
      <c r="BS25" s="37"/>
      <c r="BT25" s="174" t="str">
        <f t="shared" si="24"/>
        <v/>
      </c>
      <c r="BU25" s="37"/>
      <c r="BV25" s="174" t="str">
        <f t="shared" si="25"/>
        <v/>
      </c>
      <c r="BW25" s="37"/>
      <c r="BX25" s="174" t="str">
        <f t="shared" si="26"/>
        <v/>
      </c>
      <c r="BY25" s="37"/>
      <c r="BZ25" s="174" t="str">
        <f t="shared" si="27"/>
        <v/>
      </c>
      <c r="CA25" s="37"/>
      <c r="CB25" s="174" t="str">
        <f t="shared" si="28"/>
        <v/>
      </c>
      <c r="CC25" s="37"/>
      <c r="CD25" s="174" t="str">
        <f t="shared" si="29"/>
        <v/>
      </c>
      <c r="CE25" s="37"/>
      <c r="CF25" s="174" t="str">
        <f t="shared" si="30"/>
        <v/>
      </c>
      <c r="CG25" s="37"/>
      <c r="CH25" s="174" t="str">
        <f t="shared" si="31"/>
        <v/>
      </c>
      <c r="CI25" s="37"/>
      <c r="CJ25" s="174" t="str">
        <f t="shared" si="32"/>
        <v/>
      </c>
      <c r="CK25" s="37"/>
      <c r="CL25" s="174" t="str">
        <f t="shared" si="33"/>
        <v/>
      </c>
      <c r="CM25" s="37"/>
      <c r="CN25" s="174" t="str">
        <f t="shared" si="34"/>
        <v/>
      </c>
      <c r="CO25" s="37"/>
      <c r="CP25" s="174" t="str">
        <f t="shared" si="35"/>
        <v/>
      </c>
      <c r="CQ25" s="37"/>
      <c r="CR25" s="174" t="str">
        <f t="shared" si="36"/>
        <v/>
      </c>
      <c r="CS25" s="37"/>
      <c r="CT25" s="174" t="str">
        <f t="shared" si="37"/>
        <v/>
      </c>
      <c r="CU25" s="38"/>
      <c r="CV25" s="87"/>
      <c r="CW25" s="90"/>
      <c r="CX25" s="38"/>
      <c r="CY25" s="39"/>
      <c r="CZ25" s="37"/>
      <c r="DA25" s="39"/>
      <c r="DB25" s="24">
        <v>21</v>
      </c>
      <c r="DC25" s="96" t="str">
        <f t="shared" si="38"/>
        <v>日</v>
      </c>
      <c r="DF25" s="125"/>
      <c r="DG25" s="40"/>
      <c r="DH25" s="40"/>
      <c r="DI25" s="40"/>
      <c r="DJ25" s="40"/>
      <c r="DK25" s="40"/>
      <c r="DL25" s="40"/>
      <c r="DM25" s="40"/>
      <c r="DN25" s="40"/>
      <c r="DO25" s="40"/>
      <c r="DP25" s="40">
        <f t="shared" si="39"/>
        <v>0</v>
      </c>
      <c r="DQ25" s="172" t="str">
        <f t="shared" si="40"/>
        <v/>
      </c>
      <c r="DS25" s="189"/>
      <c r="DT25" s="190"/>
      <c r="DU25" s="190"/>
      <c r="DV25" s="191"/>
      <c r="DW25" s="138"/>
      <c r="DX25" s="42"/>
    </row>
    <row r="26" spans="1:128" ht="13.5" customHeight="1" x14ac:dyDescent="0.4">
      <c r="A26" s="104">
        <v>22</v>
      </c>
      <c r="B26" s="23" t="s">
        <v>90</v>
      </c>
      <c r="C26" s="164"/>
      <c r="D26" s="164"/>
      <c r="E26" s="24"/>
      <c r="F26" s="29"/>
      <c r="G26" s="25" t="str">
        <f>IF(SUM($F$5:F26)=0,"",SUM($F$5:F26))</f>
        <v/>
      </c>
      <c r="H26" s="43" t="str">
        <f t="shared" si="0"/>
        <v/>
      </c>
      <c r="I26" s="148" t="e">
        <f t="array" aca="1" ref="I26" ca="1">IF($A27="",$G26/($V26-$U$5+INDIRECT(IF(_xlfn.SHEET()&lt;6,"令和8年"&amp;_xlfn.SHEET()+7&amp;"月","令和9年"&amp;_xlfn.SHEET()-5&amp;"月")&amp;"!$U$5")),$G26/($V27-$U$5))</f>
        <v>#VALUE!</v>
      </c>
      <c r="J26" s="26" t="str">
        <f t="shared" si="1"/>
        <v/>
      </c>
      <c r="K26" s="27"/>
      <c r="L26" s="165">
        <f t="shared" si="2"/>
        <v>0</v>
      </c>
      <c r="M26" s="28" t="str">
        <f t="shared" si="3"/>
        <v/>
      </c>
      <c r="N26" s="166" t="str">
        <f t="shared" si="4"/>
        <v/>
      </c>
      <c r="O26" s="167" t="str">
        <f t="shared" si="5"/>
        <v/>
      </c>
      <c r="P26" s="168"/>
      <c r="Q26" s="169" t="str">
        <f t="shared" si="6"/>
        <v/>
      </c>
      <c r="R26" s="170">
        <v>21</v>
      </c>
      <c r="S26" s="171">
        <v>6</v>
      </c>
      <c r="T26" s="24" t="s">
        <v>84</v>
      </c>
      <c r="U26" s="29">
        <v>791332</v>
      </c>
      <c r="V26" s="30">
        <f t="shared" si="41"/>
        <v>8903940</v>
      </c>
      <c r="W26" s="27">
        <v>427</v>
      </c>
      <c r="X26" s="31">
        <f t="shared" si="7"/>
        <v>1853.2365339578455</v>
      </c>
      <c r="Y26" s="29">
        <v>636870</v>
      </c>
      <c r="Z26" s="32">
        <f t="shared" si="42"/>
        <v>8357331</v>
      </c>
      <c r="AA26" s="33">
        <f t="shared" si="8"/>
        <v>1.0654047326831975</v>
      </c>
      <c r="AB26" s="158">
        <v>230000</v>
      </c>
      <c r="AC26" s="34">
        <f t="shared" si="43"/>
        <v>8350000</v>
      </c>
      <c r="AD26" s="158"/>
      <c r="AE26" s="25"/>
      <c r="AF26" s="25"/>
      <c r="AG26" s="25"/>
      <c r="AH26" s="25"/>
      <c r="AI26" s="25"/>
      <c r="AJ26" s="25"/>
      <c r="AK26" s="25"/>
      <c r="AL26" s="158"/>
      <c r="AM26" s="25"/>
      <c r="AN26" s="158"/>
      <c r="AO26" s="25"/>
      <c r="AP26" s="25"/>
      <c r="AQ26" s="158"/>
      <c r="AR26" s="35">
        <f t="shared" si="9"/>
        <v>0</v>
      </c>
      <c r="AS26" s="172" t="str">
        <f t="shared" si="10"/>
        <v/>
      </c>
      <c r="AT26" s="36">
        <f t="shared" si="11"/>
        <v>0</v>
      </c>
      <c r="AU26" s="173"/>
      <c r="AV26" s="82">
        <f t="shared" si="12"/>
        <v>22</v>
      </c>
      <c r="AW26" s="37"/>
      <c r="AX26" s="174" t="str">
        <f t="shared" si="13"/>
        <v/>
      </c>
      <c r="AY26" s="37"/>
      <c r="AZ26" s="174" t="str">
        <f t="shared" si="14"/>
        <v/>
      </c>
      <c r="BA26" s="37"/>
      <c r="BB26" s="174" t="str">
        <f t="shared" si="15"/>
        <v/>
      </c>
      <c r="BC26" s="37"/>
      <c r="BD26" s="174" t="str">
        <f t="shared" si="16"/>
        <v/>
      </c>
      <c r="BE26" s="37"/>
      <c r="BF26" s="174" t="str">
        <f t="shared" si="17"/>
        <v/>
      </c>
      <c r="BG26" s="37"/>
      <c r="BH26" s="174" t="str">
        <f t="shared" si="18"/>
        <v/>
      </c>
      <c r="BI26" s="37"/>
      <c r="BJ26" s="174" t="str">
        <f t="shared" si="19"/>
        <v/>
      </c>
      <c r="BK26" s="37"/>
      <c r="BL26" s="174" t="str">
        <f t="shared" si="20"/>
        <v/>
      </c>
      <c r="BM26" s="37"/>
      <c r="BN26" s="174" t="str">
        <f t="shared" si="21"/>
        <v/>
      </c>
      <c r="BO26" s="37"/>
      <c r="BP26" s="174" t="str">
        <f t="shared" si="22"/>
        <v/>
      </c>
      <c r="BQ26" s="37"/>
      <c r="BR26" s="174" t="str">
        <f t="shared" si="23"/>
        <v/>
      </c>
      <c r="BS26" s="37"/>
      <c r="BT26" s="174" t="str">
        <f t="shared" si="24"/>
        <v/>
      </c>
      <c r="BU26" s="37"/>
      <c r="BV26" s="174" t="str">
        <f t="shared" si="25"/>
        <v/>
      </c>
      <c r="BW26" s="37"/>
      <c r="BX26" s="174" t="str">
        <f t="shared" si="26"/>
        <v/>
      </c>
      <c r="BY26" s="37"/>
      <c r="BZ26" s="174" t="str">
        <f t="shared" si="27"/>
        <v/>
      </c>
      <c r="CA26" s="37"/>
      <c r="CB26" s="174" t="str">
        <f t="shared" si="28"/>
        <v/>
      </c>
      <c r="CC26" s="37"/>
      <c r="CD26" s="174" t="str">
        <f t="shared" si="29"/>
        <v/>
      </c>
      <c r="CE26" s="37"/>
      <c r="CF26" s="174" t="str">
        <f t="shared" si="30"/>
        <v/>
      </c>
      <c r="CG26" s="37"/>
      <c r="CH26" s="174" t="str">
        <f t="shared" si="31"/>
        <v/>
      </c>
      <c r="CI26" s="37"/>
      <c r="CJ26" s="174" t="str">
        <f t="shared" si="32"/>
        <v/>
      </c>
      <c r="CK26" s="37"/>
      <c r="CL26" s="174" t="str">
        <f t="shared" si="33"/>
        <v/>
      </c>
      <c r="CM26" s="37"/>
      <c r="CN26" s="174" t="str">
        <f t="shared" si="34"/>
        <v/>
      </c>
      <c r="CO26" s="37"/>
      <c r="CP26" s="174" t="str">
        <f t="shared" si="35"/>
        <v/>
      </c>
      <c r="CQ26" s="37"/>
      <c r="CR26" s="174" t="str">
        <f t="shared" si="36"/>
        <v/>
      </c>
      <c r="CS26" s="37"/>
      <c r="CT26" s="174" t="str">
        <f t="shared" si="37"/>
        <v/>
      </c>
      <c r="CU26" s="38"/>
      <c r="CV26" s="87"/>
      <c r="CW26" s="90"/>
      <c r="CX26" s="38"/>
      <c r="CY26" s="39"/>
      <c r="CZ26" s="37"/>
      <c r="DA26" s="39"/>
      <c r="DB26" s="24">
        <v>22</v>
      </c>
      <c r="DC26" s="96" t="str">
        <f t="shared" si="38"/>
        <v>月</v>
      </c>
      <c r="DF26" s="125"/>
      <c r="DG26" s="40"/>
      <c r="DH26" s="40"/>
      <c r="DI26" s="40"/>
      <c r="DJ26" s="40"/>
      <c r="DK26" s="40"/>
      <c r="DL26" s="40"/>
      <c r="DM26" s="40"/>
      <c r="DN26" s="40"/>
      <c r="DO26" s="40"/>
      <c r="DP26" s="40">
        <f t="shared" si="39"/>
        <v>0</v>
      </c>
      <c r="DQ26" s="172" t="str">
        <f t="shared" si="40"/>
        <v/>
      </c>
      <c r="DS26" s="189"/>
      <c r="DT26" s="190"/>
      <c r="DU26" s="190"/>
      <c r="DV26" s="191"/>
      <c r="DW26" s="41"/>
      <c r="DX26" s="42"/>
    </row>
    <row r="27" spans="1:128" ht="13.5" customHeight="1" x14ac:dyDescent="0.4">
      <c r="A27" s="104">
        <v>23</v>
      </c>
      <c r="B27" s="140" t="s">
        <v>91</v>
      </c>
      <c r="C27" s="164"/>
      <c r="D27" s="164"/>
      <c r="E27" s="24"/>
      <c r="F27" s="29"/>
      <c r="G27" s="25" t="str">
        <f>IF(SUM($F$5:F27)=0,"",SUM($F$5:F27))</f>
        <v/>
      </c>
      <c r="H27" s="43" t="str">
        <f t="shared" si="0"/>
        <v/>
      </c>
      <c r="I27" s="148" t="e">
        <f t="array" aca="1" ref="I27" ca="1">IF($A28="",$G27/($V27-$U$5+INDIRECT(IF(_xlfn.SHEET()&lt;6,"令和8年"&amp;_xlfn.SHEET()+7&amp;"月","令和9年"&amp;_xlfn.SHEET()-5&amp;"月")&amp;"!$U$5")),$G27/($V28-$U$5))</f>
        <v>#VALUE!</v>
      </c>
      <c r="J27" s="26" t="str">
        <f t="shared" si="1"/>
        <v/>
      </c>
      <c r="K27" s="27"/>
      <c r="L27" s="165">
        <f t="shared" si="2"/>
        <v>0</v>
      </c>
      <c r="M27" s="28" t="str">
        <f t="shared" si="3"/>
        <v/>
      </c>
      <c r="N27" s="166" t="str">
        <f t="shared" si="4"/>
        <v/>
      </c>
      <c r="O27" s="167" t="str">
        <f t="shared" si="5"/>
        <v/>
      </c>
      <c r="P27" s="168"/>
      <c r="Q27" s="169" t="str">
        <f t="shared" si="6"/>
        <v/>
      </c>
      <c r="R27" s="170">
        <v>19</v>
      </c>
      <c r="S27" s="171">
        <v>8</v>
      </c>
      <c r="T27" s="24" t="s">
        <v>84</v>
      </c>
      <c r="U27" s="29">
        <v>490207</v>
      </c>
      <c r="V27" s="30">
        <f t="shared" si="41"/>
        <v>9394147</v>
      </c>
      <c r="W27" s="27">
        <v>305</v>
      </c>
      <c r="X27" s="31">
        <f t="shared" si="7"/>
        <v>1607.2360655737705</v>
      </c>
      <c r="Y27" s="29">
        <v>676049</v>
      </c>
      <c r="Z27" s="32">
        <f t="shared" si="42"/>
        <v>9033380</v>
      </c>
      <c r="AA27" s="33">
        <f t="shared" si="8"/>
        <v>1.0399370999559412</v>
      </c>
      <c r="AB27" s="158">
        <v>700000</v>
      </c>
      <c r="AC27" s="34">
        <f t="shared" si="43"/>
        <v>9050000</v>
      </c>
      <c r="AD27" s="158"/>
      <c r="AE27" s="25"/>
      <c r="AF27" s="25"/>
      <c r="AG27" s="25"/>
      <c r="AH27" s="25"/>
      <c r="AI27" s="25"/>
      <c r="AJ27" s="25"/>
      <c r="AK27" s="25"/>
      <c r="AL27" s="158"/>
      <c r="AM27" s="25"/>
      <c r="AN27" s="158"/>
      <c r="AO27" s="25"/>
      <c r="AP27" s="25"/>
      <c r="AQ27" s="158"/>
      <c r="AR27" s="35">
        <f t="shared" si="9"/>
        <v>0</v>
      </c>
      <c r="AS27" s="172" t="str">
        <f t="shared" si="10"/>
        <v/>
      </c>
      <c r="AT27" s="36">
        <f t="shared" si="11"/>
        <v>0</v>
      </c>
      <c r="AU27" s="173"/>
      <c r="AV27" s="82">
        <f t="shared" si="12"/>
        <v>23</v>
      </c>
      <c r="AW27" s="37"/>
      <c r="AX27" s="174" t="str">
        <f t="shared" si="13"/>
        <v/>
      </c>
      <c r="AY27" s="37"/>
      <c r="AZ27" s="174" t="str">
        <f t="shared" si="14"/>
        <v/>
      </c>
      <c r="BA27" s="37"/>
      <c r="BB27" s="174" t="str">
        <f t="shared" si="15"/>
        <v/>
      </c>
      <c r="BC27" s="37"/>
      <c r="BD27" s="174" t="str">
        <f t="shared" si="16"/>
        <v/>
      </c>
      <c r="BE27" s="37"/>
      <c r="BF27" s="174" t="str">
        <f t="shared" si="17"/>
        <v/>
      </c>
      <c r="BG27" s="37"/>
      <c r="BH27" s="174" t="str">
        <f t="shared" si="18"/>
        <v/>
      </c>
      <c r="BI27" s="37"/>
      <c r="BJ27" s="174" t="str">
        <f t="shared" si="19"/>
        <v/>
      </c>
      <c r="BK27" s="37"/>
      <c r="BL27" s="174" t="str">
        <f t="shared" si="20"/>
        <v/>
      </c>
      <c r="BM27" s="37"/>
      <c r="BN27" s="174" t="str">
        <f t="shared" si="21"/>
        <v/>
      </c>
      <c r="BO27" s="37"/>
      <c r="BP27" s="174" t="str">
        <f t="shared" si="22"/>
        <v/>
      </c>
      <c r="BQ27" s="37"/>
      <c r="BR27" s="174" t="str">
        <f t="shared" si="23"/>
        <v/>
      </c>
      <c r="BS27" s="37"/>
      <c r="BT27" s="174" t="str">
        <f t="shared" si="24"/>
        <v/>
      </c>
      <c r="BU27" s="37"/>
      <c r="BV27" s="174" t="str">
        <f t="shared" si="25"/>
        <v/>
      </c>
      <c r="BW27" s="37"/>
      <c r="BX27" s="174" t="str">
        <f t="shared" si="26"/>
        <v/>
      </c>
      <c r="BY27" s="37"/>
      <c r="BZ27" s="174" t="str">
        <f t="shared" si="27"/>
        <v/>
      </c>
      <c r="CA27" s="37"/>
      <c r="CB27" s="174" t="str">
        <f t="shared" si="28"/>
        <v/>
      </c>
      <c r="CC27" s="37"/>
      <c r="CD27" s="174" t="str">
        <f t="shared" si="29"/>
        <v/>
      </c>
      <c r="CE27" s="37"/>
      <c r="CF27" s="174" t="str">
        <f t="shared" si="30"/>
        <v/>
      </c>
      <c r="CG27" s="37"/>
      <c r="CH27" s="174" t="str">
        <f t="shared" si="31"/>
        <v/>
      </c>
      <c r="CI27" s="37"/>
      <c r="CJ27" s="174" t="str">
        <f t="shared" si="32"/>
        <v/>
      </c>
      <c r="CK27" s="37"/>
      <c r="CL27" s="174" t="str">
        <f t="shared" si="33"/>
        <v/>
      </c>
      <c r="CM27" s="37"/>
      <c r="CN27" s="174" t="str">
        <f t="shared" si="34"/>
        <v/>
      </c>
      <c r="CO27" s="37"/>
      <c r="CP27" s="174" t="str">
        <f t="shared" si="35"/>
        <v/>
      </c>
      <c r="CQ27" s="37"/>
      <c r="CR27" s="174" t="str">
        <f t="shared" si="36"/>
        <v/>
      </c>
      <c r="CS27" s="37"/>
      <c r="CT27" s="174" t="str">
        <f t="shared" si="37"/>
        <v/>
      </c>
      <c r="CU27" s="38"/>
      <c r="CV27" s="87"/>
      <c r="CW27" s="90"/>
      <c r="CX27" s="38"/>
      <c r="CY27" s="39"/>
      <c r="CZ27" s="37"/>
      <c r="DA27" s="39"/>
      <c r="DB27" s="24">
        <v>23</v>
      </c>
      <c r="DC27" s="96" t="str">
        <f t="shared" si="38"/>
        <v>火</v>
      </c>
      <c r="DF27" s="125"/>
      <c r="DG27" s="40"/>
      <c r="DH27" s="40"/>
      <c r="DI27" s="40"/>
      <c r="DJ27" s="40"/>
      <c r="DK27" s="40"/>
      <c r="DL27" s="40"/>
      <c r="DM27" s="40"/>
      <c r="DN27" s="40"/>
      <c r="DO27" s="40"/>
      <c r="DP27" s="40">
        <f t="shared" si="39"/>
        <v>0</v>
      </c>
      <c r="DQ27" s="172" t="str">
        <f t="shared" si="40"/>
        <v/>
      </c>
      <c r="DS27" s="189"/>
      <c r="DT27" s="190"/>
      <c r="DU27" s="190"/>
      <c r="DV27" s="191"/>
      <c r="DW27" s="41"/>
      <c r="DX27" s="42"/>
    </row>
    <row r="28" spans="1:128" ht="13.5" customHeight="1" x14ac:dyDescent="0.4">
      <c r="A28" s="104">
        <v>24</v>
      </c>
      <c r="B28" s="23" t="s">
        <v>83</v>
      </c>
      <c r="C28" s="164"/>
      <c r="D28" s="164"/>
      <c r="E28" s="24"/>
      <c r="F28" s="29"/>
      <c r="G28" s="25" t="str">
        <f>IF(SUM($F$5:F28)=0,"",SUM($F$5:F28))</f>
        <v/>
      </c>
      <c r="H28" s="43" t="str">
        <f t="shared" si="0"/>
        <v/>
      </c>
      <c r="I28" s="148" t="e">
        <f t="array" aca="1" ref="I28" ca="1">IF($A29="",$G28/($V28-$U$5+INDIRECT(IF(_xlfn.SHEET()&lt;6,"令和8年"&amp;_xlfn.SHEET()+7&amp;"月","令和9年"&amp;_xlfn.SHEET()-5&amp;"月")&amp;"!$U$5")),$G28/($V29-$U$5))</f>
        <v>#VALUE!</v>
      </c>
      <c r="J28" s="26" t="str">
        <f t="shared" si="1"/>
        <v/>
      </c>
      <c r="K28" s="27"/>
      <c r="L28" s="165">
        <f t="shared" si="2"/>
        <v>0</v>
      </c>
      <c r="M28" s="28" t="str">
        <f t="shared" si="3"/>
        <v/>
      </c>
      <c r="N28" s="166" t="str">
        <f t="shared" si="4"/>
        <v/>
      </c>
      <c r="O28" s="167" t="str">
        <f t="shared" si="5"/>
        <v/>
      </c>
      <c r="P28" s="168"/>
      <c r="Q28" s="169" t="str">
        <f t="shared" si="6"/>
        <v/>
      </c>
      <c r="R28" s="170">
        <v>20</v>
      </c>
      <c r="S28" s="171">
        <v>5</v>
      </c>
      <c r="T28" s="24" t="s">
        <v>84</v>
      </c>
      <c r="U28" s="29">
        <v>144577</v>
      </c>
      <c r="V28" s="30">
        <f t="shared" si="41"/>
        <v>9538724</v>
      </c>
      <c r="W28" s="27">
        <v>103</v>
      </c>
      <c r="X28" s="31">
        <f t="shared" si="7"/>
        <v>1403.6601941747572</v>
      </c>
      <c r="Y28" s="29">
        <v>432867</v>
      </c>
      <c r="Z28" s="32">
        <f t="shared" si="42"/>
        <v>9466247</v>
      </c>
      <c r="AA28" s="33">
        <f t="shared" si="8"/>
        <v>1.0076563605407718</v>
      </c>
      <c r="AB28" s="158">
        <v>230000</v>
      </c>
      <c r="AC28" s="34">
        <f t="shared" si="43"/>
        <v>9280000</v>
      </c>
      <c r="AD28" s="158"/>
      <c r="AE28" s="25"/>
      <c r="AF28" s="25"/>
      <c r="AG28" s="25"/>
      <c r="AH28" s="25"/>
      <c r="AI28" s="25"/>
      <c r="AJ28" s="25"/>
      <c r="AK28" s="25"/>
      <c r="AL28" s="158"/>
      <c r="AM28" s="25"/>
      <c r="AN28" s="158"/>
      <c r="AO28" s="25"/>
      <c r="AP28" s="25"/>
      <c r="AQ28" s="158"/>
      <c r="AR28" s="35">
        <f t="shared" si="9"/>
        <v>0</v>
      </c>
      <c r="AS28" s="172" t="str">
        <f t="shared" si="10"/>
        <v/>
      </c>
      <c r="AT28" s="36">
        <f t="shared" si="11"/>
        <v>0</v>
      </c>
      <c r="AU28" s="173"/>
      <c r="AV28" s="82">
        <f t="shared" si="12"/>
        <v>24</v>
      </c>
      <c r="AW28" s="37"/>
      <c r="AX28" s="174" t="str">
        <f t="shared" si="13"/>
        <v/>
      </c>
      <c r="AY28" s="37"/>
      <c r="AZ28" s="174" t="str">
        <f t="shared" si="14"/>
        <v/>
      </c>
      <c r="BA28" s="37"/>
      <c r="BB28" s="174" t="str">
        <f t="shared" si="15"/>
        <v/>
      </c>
      <c r="BC28" s="37"/>
      <c r="BD28" s="174" t="str">
        <f t="shared" si="16"/>
        <v/>
      </c>
      <c r="BE28" s="37"/>
      <c r="BF28" s="174" t="str">
        <f t="shared" si="17"/>
        <v/>
      </c>
      <c r="BG28" s="37"/>
      <c r="BH28" s="174" t="str">
        <f t="shared" si="18"/>
        <v/>
      </c>
      <c r="BI28" s="37"/>
      <c r="BJ28" s="174" t="str">
        <f t="shared" si="19"/>
        <v/>
      </c>
      <c r="BK28" s="37"/>
      <c r="BL28" s="174" t="str">
        <f t="shared" si="20"/>
        <v/>
      </c>
      <c r="BM28" s="37"/>
      <c r="BN28" s="174" t="str">
        <f t="shared" si="21"/>
        <v/>
      </c>
      <c r="BO28" s="37"/>
      <c r="BP28" s="174" t="str">
        <f t="shared" si="22"/>
        <v/>
      </c>
      <c r="BQ28" s="37"/>
      <c r="BR28" s="174" t="str">
        <f t="shared" si="23"/>
        <v/>
      </c>
      <c r="BS28" s="37"/>
      <c r="BT28" s="174" t="str">
        <f t="shared" si="24"/>
        <v/>
      </c>
      <c r="BU28" s="37"/>
      <c r="BV28" s="174" t="str">
        <f t="shared" si="25"/>
        <v/>
      </c>
      <c r="BW28" s="37"/>
      <c r="BX28" s="174" t="str">
        <f t="shared" si="26"/>
        <v/>
      </c>
      <c r="BY28" s="37"/>
      <c r="BZ28" s="174" t="str">
        <f t="shared" si="27"/>
        <v/>
      </c>
      <c r="CA28" s="37"/>
      <c r="CB28" s="174" t="str">
        <f t="shared" si="28"/>
        <v/>
      </c>
      <c r="CC28" s="37"/>
      <c r="CD28" s="174" t="str">
        <f t="shared" si="29"/>
        <v/>
      </c>
      <c r="CE28" s="37"/>
      <c r="CF28" s="174" t="str">
        <f t="shared" si="30"/>
        <v/>
      </c>
      <c r="CG28" s="37"/>
      <c r="CH28" s="174" t="str">
        <f t="shared" si="31"/>
        <v/>
      </c>
      <c r="CI28" s="37"/>
      <c r="CJ28" s="174" t="str">
        <f t="shared" si="32"/>
        <v/>
      </c>
      <c r="CK28" s="37"/>
      <c r="CL28" s="174" t="str">
        <f t="shared" si="33"/>
        <v/>
      </c>
      <c r="CM28" s="37"/>
      <c r="CN28" s="174" t="str">
        <f t="shared" si="34"/>
        <v/>
      </c>
      <c r="CO28" s="37"/>
      <c r="CP28" s="174" t="str">
        <f t="shared" si="35"/>
        <v/>
      </c>
      <c r="CQ28" s="37"/>
      <c r="CR28" s="174" t="str">
        <f t="shared" si="36"/>
        <v/>
      </c>
      <c r="CS28" s="37"/>
      <c r="CT28" s="174" t="str">
        <f t="shared" si="37"/>
        <v/>
      </c>
      <c r="CU28" s="38"/>
      <c r="CV28" s="87"/>
      <c r="CW28" s="90"/>
      <c r="CX28" s="38"/>
      <c r="CY28" s="39"/>
      <c r="CZ28" s="37"/>
      <c r="DA28" s="39"/>
      <c r="DB28" s="24">
        <v>24</v>
      </c>
      <c r="DC28" s="96" t="str">
        <f t="shared" si="38"/>
        <v>水</v>
      </c>
      <c r="DF28" s="125"/>
      <c r="DG28" s="40"/>
      <c r="DH28" s="40"/>
      <c r="DI28" s="40"/>
      <c r="DJ28" s="40"/>
      <c r="DK28" s="40"/>
      <c r="DL28" s="40"/>
      <c r="DM28" s="40"/>
      <c r="DN28" s="40"/>
      <c r="DO28" s="40"/>
      <c r="DP28" s="40">
        <f t="shared" si="39"/>
        <v>0</v>
      </c>
      <c r="DQ28" s="172" t="str">
        <f t="shared" si="40"/>
        <v/>
      </c>
      <c r="DS28" s="189"/>
      <c r="DT28" s="190"/>
      <c r="DU28" s="190"/>
      <c r="DV28" s="191"/>
      <c r="DW28" s="138"/>
      <c r="DX28" s="42"/>
    </row>
    <row r="29" spans="1:128" ht="13.5" customHeight="1" x14ac:dyDescent="0.4">
      <c r="A29" s="104">
        <v>25</v>
      </c>
      <c r="B29" s="23" t="s">
        <v>85</v>
      </c>
      <c r="C29" s="164"/>
      <c r="D29" s="164"/>
      <c r="E29" s="24"/>
      <c r="F29" s="29"/>
      <c r="G29" s="25" t="str">
        <f>IF(SUM($F$5:F29)=0,"",SUM($F$5:F29))</f>
        <v/>
      </c>
      <c r="H29" s="43" t="str">
        <f t="shared" si="0"/>
        <v/>
      </c>
      <c r="I29" s="148" t="e">
        <f t="array" aca="1" ref="I29" ca="1">IF($A30="",$G29/($V29-$U$5+INDIRECT(IF(_xlfn.SHEET()&lt;6,"令和8年"&amp;_xlfn.SHEET()+7&amp;"月","令和9年"&amp;_xlfn.SHEET()-5&amp;"月")&amp;"!$U$5")),$G29/($V30-$U$5))</f>
        <v>#VALUE!</v>
      </c>
      <c r="J29" s="26" t="str">
        <f t="shared" si="1"/>
        <v/>
      </c>
      <c r="K29" s="27"/>
      <c r="L29" s="165">
        <f t="shared" si="2"/>
        <v>0</v>
      </c>
      <c r="M29" s="28" t="str">
        <f t="shared" si="3"/>
        <v/>
      </c>
      <c r="N29" s="166" t="str">
        <f t="shared" si="4"/>
        <v/>
      </c>
      <c r="O29" s="167" t="str">
        <f t="shared" si="5"/>
        <v/>
      </c>
      <c r="P29" s="168"/>
      <c r="Q29" s="169" t="str">
        <f t="shared" si="6"/>
        <v/>
      </c>
      <c r="R29" s="170">
        <v>19</v>
      </c>
      <c r="S29" s="171">
        <v>5</v>
      </c>
      <c r="T29" s="24" t="s">
        <v>93</v>
      </c>
      <c r="U29" s="29">
        <v>223708</v>
      </c>
      <c r="V29" s="30">
        <f t="shared" si="41"/>
        <v>9762432</v>
      </c>
      <c r="W29" s="27">
        <v>136</v>
      </c>
      <c r="X29" s="31">
        <f t="shared" si="7"/>
        <v>1644.9117647058824</v>
      </c>
      <c r="Y29" s="29">
        <v>128154</v>
      </c>
      <c r="Z29" s="32">
        <f t="shared" si="42"/>
        <v>9594401</v>
      </c>
      <c r="AA29" s="33">
        <f t="shared" si="8"/>
        <v>1.0175134435177349</v>
      </c>
      <c r="AB29" s="158">
        <v>230000</v>
      </c>
      <c r="AC29" s="34">
        <f t="shared" si="43"/>
        <v>9510000</v>
      </c>
      <c r="AD29" s="158"/>
      <c r="AE29" s="25"/>
      <c r="AF29" s="25"/>
      <c r="AG29" s="25"/>
      <c r="AH29" s="25"/>
      <c r="AI29" s="25"/>
      <c r="AJ29" s="25"/>
      <c r="AK29" s="25"/>
      <c r="AL29" s="158"/>
      <c r="AM29" s="25"/>
      <c r="AN29" s="158"/>
      <c r="AO29" s="25"/>
      <c r="AP29" s="25"/>
      <c r="AQ29" s="158"/>
      <c r="AR29" s="35">
        <f t="shared" si="9"/>
        <v>0</v>
      </c>
      <c r="AS29" s="172" t="str">
        <f t="shared" si="10"/>
        <v/>
      </c>
      <c r="AT29" s="36">
        <f t="shared" si="11"/>
        <v>0</v>
      </c>
      <c r="AU29" s="173"/>
      <c r="AV29" s="82">
        <f t="shared" si="12"/>
        <v>25</v>
      </c>
      <c r="AW29" s="37"/>
      <c r="AX29" s="174" t="str">
        <f t="shared" si="13"/>
        <v/>
      </c>
      <c r="AY29" s="37"/>
      <c r="AZ29" s="174" t="str">
        <f t="shared" si="14"/>
        <v/>
      </c>
      <c r="BA29" s="37"/>
      <c r="BB29" s="174" t="str">
        <f t="shared" si="15"/>
        <v/>
      </c>
      <c r="BC29" s="37"/>
      <c r="BD29" s="174" t="str">
        <f t="shared" si="16"/>
        <v/>
      </c>
      <c r="BE29" s="37"/>
      <c r="BF29" s="174" t="str">
        <f t="shared" si="17"/>
        <v/>
      </c>
      <c r="BG29" s="37"/>
      <c r="BH29" s="174" t="str">
        <f t="shared" si="18"/>
        <v/>
      </c>
      <c r="BI29" s="37"/>
      <c r="BJ29" s="174" t="str">
        <f t="shared" si="19"/>
        <v/>
      </c>
      <c r="BK29" s="37"/>
      <c r="BL29" s="174" t="str">
        <f t="shared" si="20"/>
        <v/>
      </c>
      <c r="BM29" s="37"/>
      <c r="BN29" s="174" t="str">
        <f t="shared" si="21"/>
        <v/>
      </c>
      <c r="BO29" s="37"/>
      <c r="BP29" s="174" t="str">
        <f t="shared" si="22"/>
        <v/>
      </c>
      <c r="BQ29" s="37"/>
      <c r="BR29" s="174" t="str">
        <f t="shared" si="23"/>
        <v/>
      </c>
      <c r="BS29" s="37"/>
      <c r="BT29" s="174" t="str">
        <f t="shared" si="24"/>
        <v/>
      </c>
      <c r="BU29" s="37"/>
      <c r="BV29" s="174" t="str">
        <f t="shared" si="25"/>
        <v/>
      </c>
      <c r="BW29" s="37"/>
      <c r="BX29" s="174" t="str">
        <f t="shared" si="26"/>
        <v/>
      </c>
      <c r="BY29" s="37"/>
      <c r="BZ29" s="174" t="str">
        <f t="shared" si="27"/>
        <v/>
      </c>
      <c r="CA29" s="37"/>
      <c r="CB29" s="174" t="str">
        <f t="shared" si="28"/>
        <v/>
      </c>
      <c r="CC29" s="37"/>
      <c r="CD29" s="174" t="str">
        <f t="shared" si="29"/>
        <v/>
      </c>
      <c r="CE29" s="37"/>
      <c r="CF29" s="174" t="str">
        <f t="shared" si="30"/>
        <v/>
      </c>
      <c r="CG29" s="37"/>
      <c r="CH29" s="174" t="str">
        <f t="shared" si="31"/>
        <v/>
      </c>
      <c r="CI29" s="37"/>
      <c r="CJ29" s="174" t="str">
        <f t="shared" si="32"/>
        <v/>
      </c>
      <c r="CK29" s="37"/>
      <c r="CL29" s="174" t="str">
        <f t="shared" si="33"/>
        <v/>
      </c>
      <c r="CM29" s="37"/>
      <c r="CN29" s="174" t="str">
        <f t="shared" si="34"/>
        <v/>
      </c>
      <c r="CO29" s="37"/>
      <c r="CP29" s="174" t="str">
        <f t="shared" si="35"/>
        <v/>
      </c>
      <c r="CQ29" s="37"/>
      <c r="CR29" s="174" t="str">
        <f t="shared" si="36"/>
        <v/>
      </c>
      <c r="CS29" s="37"/>
      <c r="CT29" s="174" t="str">
        <f t="shared" si="37"/>
        <v/>
      </c>
      <c r="CU29" s="38"/>
      <c r="CV29" s="87"/>
      <c r="CW29" s="90"/>
      <c r="CX29" s="38"/>
      <c r="CY29" s="39"/>
      <c r="CZ29" s="37"/>
      <c r="DA29" s="39"/>
      <c r="DB29" s="24">
        <v>25</v>
      </c>
      <c r="DC29" s="96" t="str">
        <f t="shared" si="38"/>
        <v>木</v>
      </c>
      <c r="DF29" s="125"/>
      <c r="DG29" s="40"/>
      <c r="DH29" s="40"/>
      <c r="DI29" s="40"/>
      <c r="DJ29" s="40"/>
      <c r="DK29" s="40"/>
      <c r="DL29" s="40"/>
      <c r="DM29" s="40"/>
      <c r="DN29" s="40"/>
      <c r="DO29" s="40"/>
      <c r="DP29" s="40">
        <f t="shared" si="39"/>
        <v>0</v>
      </c>
      <c r="DQ29" s="172" t="str">
        <f t="shared" si="40"/>
        <v/>
      </c>
      <c r="DS29" s="189"/>
      <c r="DT29" s="190"/>
      <c r="DU29" s="190"/>
      <c r="DV29" s="191"/>
      <c r="DW29" s="41"/>
      <c r="DX29" s="42"/>
    </row>
    <row r="30" spans="1:128" ht="13.5" customHeight="1" x14ac:dyDescent="0.4">
      <c r="A30" s="104">
        <v>26</v>
      </c>
      <c r="B30" s="23" t="s">
        <v>86</v>
      </c>
      <c r="C30" s="164"/>
      <c r="D30" s="164"/>
      <c r="E30" s="24"/>
      <c r="F30" s="29"/>
      <c r="G30" s="25" t="str">
        <f>IF(SUM($F$5:F30)=0,"",SUM($F$5:F30))</f>
        <v/>
      </c>
      <c r="H30" s="43" t="str">
        <f t="shared" si="0"/>
        <v/>
      </c>
      <c r="I30" s="148" t="e">
        <f t="array" aca="1" ref="I30" ca="1">IF($A31="",$G30/($V30-$U$5+INDIRECT(IF(_xlfn.SHEET()&lt;6,"令和8年"&amp;_xlfn.SHEET()+7&amp;"月","令和9年"&amp;_xlfn.SHEET()-5&amp;"月")&amp;"!$U$5")),$G30/($V31-$U$5))</f>
        <v>#VALUE!</v>
      </c>
      <c r="J30" s="26" t="str">
        <f t="shared" si="1"/>
        <v/>
      </c>
      <c r="K30" s="27"/>
      <c r="L30" s="165">
        <f t="shared" si="2"/>
        <v>0</v>
      </c>
      <c r="M30" s="28" t="str">
        <f t="shared" si="3"/>
        <v/>
      </c>
      <c r="N30" s="166" t="str">
        <f t="shared" si="4"/>
        <v/>
      </c>
      <c r="O30" s="167" t="str">
        <f t="shared" si="5"/>
        <v/>
      </c>
      <c r="P30" s="168"/>
      <c r="Q30" s="169" t="str">
        <f t="shared" si="6"/>
        <v/>
      </c>
      <c r="R30" s="170">
        <v>12</v>
      </c>
      <c r="S30" s="171">
        <v>10</v>
      </c>
      <c r="T30" s="24" t="s">
        <v>84</v>
      </c>
      <c r="U30" s="29">
        <v>205236</v>
      </c>
      <c r="V30" s="30">
        <f t="shared" si="41"/>
        <v>9967668</v>
      </c>
      <c r="W30" s="27">
        <v>141</v>
      </c>
      <c r="X30" s="31">
        <f t="shared" si="7"/>
        <v>1455.5744680851064</v>
      </c>
      <c r="Y30" s="29">
        <v>222876</v>
      </c>
      <c r="Z30" s="32">
        <f t="shared" si="42"/>
        <v>9817277</v>
      </c>
      <c r="AA30" s="33">
        <f t="shared" si="8"/>
        <v>1.0153190136124304</v>
      </c>
      <c r="AB30" s="158">
        <v>230000</v>
      </c>
      <c r="AC30" s="34">
        <f t="shared" si="43"/>
        <v>9740000</v>
      </c>
      <c r="AD30" s="158"/>
      <c r="AE30" s="25"/>
      <c r="AF30" s="25"/>
      <c r="AG30" s="25"/>
      <c r="AH30" s="25"/>
      <c r="AI30" s="25"/>
      <c r="AJ30" s="25"/>
      <c r="AK30" s="25"/>
      <c r="AL30" s="158"/>
      <c r="AM30" s="25"/>
      <c r="AN30" s="158"/>
      <c r="AO30" s="25"/>
      <c r="AP30" s="25"/>
      <c r="AQ30" s="158"/>
      <c r="AR30" s="35">
        <f t="shared" si="9"/>
        <v>0</v>
      </c>
      <c r="AS30" s="172" t="str">
        <f t="shared" si="10"/>
        <v/>
      </c>
      <c r="AT30" s="36">
        <f t="shared" si="11"/>
        <v>0</v>
      </c>
      <c r="AU30" s="173"/>
      <c r="AV30" s="82">
        <f t="shared" si="12"/>
        <v>26</v>
      </c>
      <c r="AW30" s="37"/>
      <c r="AX30" s="174" t="str">
        <f t="shared" si="13"/>
        <v/>
      </c>
      <c r="AY30" s="37"/>
      <c r="AZ30" s="174" t="str">
        <f t="shared" si="14"/>
        <v/>
      </c>
      <c r="BA30" s="37"/>
      <c r="BB30" s="174" t="str">
        <f t="shared" si="15"/>
        <v/>
      </c>
      <c r="BC30" s="37"/>
      <c r="BD30" s="174" t="str">
        <f t="shared" si="16"/>
        <v/>
      </c>
      <c r="BE30" s="37"/>
      <c r="BF30" s="174" t="str">
        <f t="shared" si="17"/>
        <v/>
      </c>
      <c r="BG30" s="37"/>
      <c r="BH30" s="174" t="str">
        <f t="shared" si="18"/>
        <v/>
      </c>
      <c r="BI30" s="37"/>
      <c r="BJ30" s="174" t="str">
        <f t="shared" si="19"/>
        <v/>
      </c>
      <c r="BK30" s="37"/>
      <c r="BL30" s="174" t="str">
        <f t="shared" si="20"/>
        <v/>
      </c>
      <c r="BM30" s="37"/>
      <c r="BN30" s="174" t="str">
        <f t="shared" si="21"/>
        <v/>
      </c>
      <c r="BO30" s="37"/>
      <c r="BP30" s="174" t="str">
        <f t="shared" si="22"/>
        <v/>
      </c>
      <c r="BQ30" s="37"/>
      <c r="BR30" s="174" t="str">
        <f t="shared" si="23"/>
        <v/>
      </c>
      <c r="BS30" s="37"/>
      <c r="BT30" s="174" t="str">
        <f t="shared" si="24"/>
        <v/>
      </c>
      <c r="BU30" s="37"/>
      <c r="BV30" s="174" t="str">
        <f t="shared" si="25"/>
        <v/>
      </c>
      <c r="BW30" s="37"/>
      <c r="BX30" s="174" t="str">
        <f t="shared" si="26"/>
        <v/>
      </c>
      <c r="BY30" s="37"/>
      <c r="BZ30" s="174" t="str">
        <f t="shared" si="27"/>
        <v/>
      </c>
      <c r="CA30" s="37"/>
      <c r="CB30" s="174" t="str">
        <f t="shared" si="28"/>
        <v/>
      </c>
      <c r="CC30" s="37"/>
      <c r="CD30" s="174" t="str">
        <f t="shared" si="29"/>
        <v/>
      </c>
      <c r="CE30" s="37"/>
      <c r="CF30" s="174" t="str">
        <f t="shared" si="30"/>
        <v/>
      </c>
      <c r="CG30" s="37"/>
      <c r="CH30" s="174" t="str">
        <f t="shared" si="31"/>
        <v/>
      </c>
      <c r="CI30" s="37"/>
      <c r="CJ30" s="174" t="str">
        <f t="shared" si="32"/>
        <v/>
      </c>
      <c r="CK30" s="37"/>
      <c r="CL30" s="174" t="str">
        <f t="shared" si="33"/>
        <v/>
      </c>
      <c r="CM30" s="37"/>
      <c r="CN30" s="174" t="str">
        <f t="shared" si="34"/>
        <v/>
      </c>
      <c r="CO30" s="37"/>
      <c r="CP30" s="174" t="str">
        <f t="shared" si="35"/>
        <v/>
      </c>
      <c r="CQ30" s="37"/>
      <c r="CR30" s="174" t="str">
        <f t="shared" si="36"/>
        <v/>
      </c>
      <c r="CS30" s="37"/>
      <c r="CT30" s="174" t="str">
        <f t="shared" si="37"/>
        <v/>
      </c>
      <c r="CU30" s="38"/>
      <c r="CV30" s="87"/>
      <c r="CW30" s="90"/>
      <c r="CX30" s="38"/>
      <c r="CY30" s="39"/>
      <c r="CZ30" s="37"/>
      <c r="DA30" s="39"/>
      <c r="DB30" s="24">
        <v>26</v>
      </c>
      <c r="DC30" s="96" t="str">
        <f t="shared" si="38"/>
        <v>金</v>
      </c>
      <c r="DF30" s="125"/>
      <c r="DG30" s="40"/>
      <c r="DH30" s="40"/>
      <c r="DI30" s="40"/>
      <c r="DJ30" s="40"/>
      <c r="DK30" s="40"/>
      <c r="DL30" s="40"/>
      <c r="DM30" s="40"/>
      <c r="DN30" s="40"/>
      <c r="DO30" s="40"/>
      <c r="DP30" s="40">
        <f t="shared" si="39"/>
        <v>0</v>
      </c>
      <c r="DQ30" s="172" t="str">
        <f t="shared" si="40"/>
        <v/>
      </c>
      <c r="DS30" s="189"/>
      <c r="DT30" s="190"/>
      <c r="DU30" s="190"/>
      <c r="DV30" s="191"/>
      <c r="DW30" s="41"/>
      <c r="DX30" s="42"/>
    </row>
    <row r="31" spans="1:128" ht="13.5" customHeight="1" x14ac:dyDescent="0.4">
      <c r="A31" s="104">
        <v>27</v>
      </c>
      <c r="B31" s="23" t="s">
        <v>88</v>
      </c>
      <c r="C31" s="164"/>
      <c r="D31" s="164"/>
      <c r="E31" s="24"/>
      <c r="F31" s="29"/>
      <c r="G31" s="25" t="str">
        <f>IF(SUM($F$5:F31)=0,"",SUM($F$5:F31))</f>
        <v/>
      </c>
      <c r="H31" s="43" t="str">
        <f t="shared" si="0"/>
        <v/>
      </c>
      <c r="I31" s="148" t="e">
        <f t="array" aca="1" ref="I31" ca="1">IF($A32="",$G31/($V31-$U$5+INDIRECT(IF(_xlfn.SHEET()&lt;6,"令和8年"&amp;_xlfn.SHEET()+7&amp;"月","令和9年"&amp;_xlfn.SHEET()-5&amp;"月")&amp;"!$U$5")),$G31/($V32-$U$5))</f>
        <v>#VALUE!</v>
      </c>
      <c r="J31" s="26" t="str">
        <f t="shared" si="1"/>
        <v/>
      </c>
      <c r="K31" s="27"/>
      <c r="L31" s="165">
        <f t="shared" si="2"/>
        <v>0</v>
      </c>
      <c r="M31" s="28" t="str">
        <f t="shared" si="3"/>
        <v/>
      </c>
      <c r="N31" s="166" t="str">
        <f t="shared" si="4"/>
        <v/>
      </c>
      <c r="O31" s="167" t="str">
        <f t="shared" si="5"/>
        <v/>
      </c>
      <c r="P31" s="168"/>
      <c r="Q31" s="169" t="str">
        <f t="shared" si="6"/>
        <v/>
      </c>
      <c r="R31" s="170">
        <v>20</v>
      </c>
      <c r="S31" s="171">
        <v>6</v>
      </c>
      <c r="T31" s="24" t="s">
        <v>92</v>
      </c>
      <c r="U31" s="29">
        <v>221506</v>
      </c>
      <c r="V31" s="30">
        <f t="shared" si="41"/>
        <v>10189174</v>
      </c>
      <c r="W31" s="27">
        <v>123</v>
      </c>
      <c r="X31" s="31">
        <f t="shared" si="7"/>
        <v>1800.8617886178861</v>
      </c>
      <c r="Y31" s="29">
        <v>171556</v>
      </c>
      <c r="Z31" s="32">
        <f t="shared" si="42"/>
        <v>9988833</v>
      </c>
      <c r="AA31" s="33">
        <f t="shared" si="8"/>
        <v>1.0200564970903008</v>
      </c>
      <c r="AB31" s="158">
        <v>700000</v>
      </c>
      <c r="AC31" s="34">
        <f t="shared" si="43"/>
        <v>10440000</v>
      </c>
      <c r="AD31" s="158"/>
      <c r="AE31" s="25"/>
      <c r="AF31" s="25"/>
      <c r="AG31" s="25"/>
      <c r="AH31" s="25"/>
      <c r="AI31" s="25"/>
      <c r="AJ31" s="25"/>
      <c r="AK31" s="25"/>
      <c r="AL31" s="158"/>
      <c r="AM31" s="25"/>
      <c r="AN31" s="158"/>
      <c r="AO31" s="25"/>
      <c r="AP31" s="25"/>
      <c r="AQ31" s="158"/>
      <c r="AR31" s="35">
        <f t="shared" si="9"/>
        <v>0</v>
      </c>
      <c r="AS31" s="172" t="str">
        <f t="shared" si="10"/>
        <v/>
      </c>
      <c r="AT31" s="36">
        <f t="shared" si="11"/>
        <v>0</v>
      </c>
      <c r="AU31" s="173"/>
      <c r="AV31" s="82">
        <f t="shared" si="12"/>
        <v>27</v>
      </c>
      <c r="AW31" s="37"/>
      <c r="AX31" s="174" t="str">
        <f t="shared" si="13"/>
        <v/>
      </c>
      <c r="AY31" s="37"/>
      <c r="AZ31" s="174" t="str">
        <f t="shared" si="14"/>
        <v/>
      </c>
      <c r="BA31" s="37"/>
      <c r="BB31" s="174" t="str">
        <f t="shared" si="15"/>
        <v/>
      </c>
      <c r="BC31" s="37"/>
      <c r="BD31" s="174" t="str">
        <f t="shared" si="16"/>
        <v/>
      </c>
      <c r="BE31" s="37"/>
      <c r="BF31" s="174" t="str">
        <f t="shared" si="17"/>
        <v/>
      </c>
      <c r="BG31" s="37"/>
      <c r="BH31" s="174" t="str">
        <f t="shared" si="18"/>
        <v/>
      </c>
      <c r="BI31" s="37"/>
      <c r="BJ31" s="174" t="str">
        <f t="shared" si="19"/>
        <v/>
      </c>
      <c r="BK31" s="37"/>
      <c r="BL31" s="174" t="str">
        <f t="shared" si="20"/>
        <v/>
      </c>
      <c r="BM31" s="37"/>
      <c r="BN31" s="174" t="str">
        <f t="shared" si="21"/>
        <v/>
      </c>
      <c r="BO31" s="37"/>
      <c r="BP31" s="174" t="str">
        <f t="shared" si="22"/>
        <v/>
      </c>
      <c r="BQ31" s="37"/>
      <c r="BR31" s="174" t="str">
        <f t="shared" si="23"/>
        <v/>
      </c>
      <c r="BS31" s="37"/>
      <c r="BT31" s="174" t="str">
        <f t="shared" si="24"/>
        <v/>
      </c>
      <c r="BU31" s="37"/>
      <c r="BV31" s="174" t="str">
        <f t="shared" si="25"/>
        <v/>
      </c>
      <c r="BW31" s="37"/>
      <c r="BX31" s="174" t="str">
        <f t="shared" si="26"/>
        <v/>
      </c>
      <c r="BY31" s="37"/>
      <c r="BZ31" s="174" t="str">
        <f t="shared" si="27"/>
        <v/>
      </c>
      <c r="CA31" s="37"/>
      <c r="CB31" s="174" t="str">
        <f t="shared" si="28"/>
        <v/>
      </c>
      <c r="CC31" s="37"/>
      <c r="CD31" s="174" t="str">
        <f t="shared" si="29"/>
        <v/>
      </c>
      <c r="CE31" s="37"/>
      <c r="CF31" s="174" t="str">
        <f t="shared" si="30"/>
        <v/>
      </c>
      <c r="CG31" s="37"/>
      <c r="CH31" s="174" t="str">
        <f t="shared" si="31"/>
        <v/>
      </c>
      <c r="CI31" s="37"/>
      <c r="CJ31" s="174" t="str">
        <f t="shared" si="32"/>
        <v/>
      </c>
      <c r="CK31" s="37"/>
      <c r="CL31" s="174" t="str">
        <f t="shared" si="33"/>
        <v/>
      </c>
      <c r="CM31" s="37"/>
      <c r="CN31" s="174" t="str">
        <f t="shared" si="34"/>
        <v/>
      </c>
      <c r="CO31" s="37"/>
      <c r="CP31" s="174" t="str">
        <f t="shared" si="35"/>
        <v/>
      </c>
      <c r="CQ31" s="37"/>
      <c r="CR31" s="174" t="str">
        <f t="shared" si="36"/>
        <v/>
      </c>
      <c r="CS31" s="37"/>
      <c r="CT31" s="174" t="str">
        <f t="shared" si="37"/>
        <v/>
      </c>
      <c r="CU31" s="38"/>
      <c r="CV31" s="87"/>
      <c r="CW31" s="90"/>
      <c r="CX31" s="38"/>
      <c r="CY31" s="39"/>
      <c r="CZ31" s="37"/>
      <c r="DA31" s="39"/>
      <c r="DB31" s="24">
        <v>27</v>
      </c>
      <c r="DC31" s="96" t="str">
        <f t="shared" si="38"/>
        <v>土</v>
      </c>
      <c r="DF31" s="125"/>
      <c r="DG31" s="40"/>
      <c r="DH31" s="40"/>
      <c r="DI31" s="40"/>
      <c r="DJ31" s="40"/>
      <c r="DK31" s="40"/>
      <c r="DL31" s="40"/>
      <c r="DM31" s="40"/>
      <c r="DN31" s="40"/>
      <c r="DO31" s="40"/>
      <c r="DP31" s="40">
        <f t="shared" si="39"/>
        <v>0</v>
      </c>
      <c r="DQ31" s="172" t="str">
        <f t="shared" si="40"/>
        <v/>
      </c>
      <c r="DS31" s="189"/>
      <c r="DT31" s="190"/>
      <c r="DU31" s="190"/>
      <c r="DV31" s="191"/>
      <c r="DW31" s="138"/>
      <c r="DX31" s="42"/>
    </row>
    <row r="32" spans="1:128" ht="13.5" customHeight="1" thickBot="1" x14ac:dyDescent="0.45">
      <c r="A32" s="104">
        <v>28</v>
      </c>
      <c r="B32" s="23" t="s">
        <v>89</v>
      </c>
      <c r="C32" s="164"/>
      <c r="D32" s="164"/>
      <c r="E32" s="24"/>
      <c r="F32" s="29"/>
      <c r="G32" s="25" t="str">
        <f>IF(SUM($F$5:F32)=0,"",SUM($F$5:F32))</f>
        <v/>
      </c>
      <c r="H32" s="43" t="str">
        <f t="shared" si="0"/>
        <v/>
      </c>
      <c r="I32" s="148" t="e">
        <f t="array" aca="1" ref="I32" ca="1">IF($A33="",$G32/($V32-$U$5+INDIRECT(IF(_xlfn.SHEET()&lt;6,"令和8年"&amp;_xlfn.SHEET()+7&amp;"月","令和9年"&amp;_xlfn.SHEET()-5&amp;"月")&amp;"!$U$5")),$G32/($V33-$U$5))</f>
        <v>#VALUE!</v>
      </c>
      <c r="J32" s="26" t="str">
        <f t="shared" si="1"/>
        <v/>
      </c>
      <c r="K32" s="27"/>
      <c r="L32" s="165">
        <f t="shared" si="2"/>
        <v>0</v>
      </c>
      <c r="M32" s="28" t="str">
        <f t="shared" si="3"/>
        <v/>
      </c>
      <c r="N32" s="166" t="str">
        <f t="shared" si="4"/>
        <v/>
      </c>
      <c r="O32" s="167" t="str">
        <f t="shared" si="5"/>
        <v/>
      </c>
      <c r="P32" s="168"/>
      <c r="Q32" s="169" t="str">
        <f t="shared" si="6"/>
        <v/>
      </c>
      <c r="R32" s="170">
        <v>15</v>
      </c>
      <c r="S32" s="171">
        <v>3</v>
      </c>
      <c r="T32" s="24" t="s">
        <v>127</v>
      </c>
      <c r="U32" s="29">
        <v>575375</v>
      </c>
      <c r="V32" s="30">
        <f t="shared" si="41"/>
        <v>10764549</v>
      </c>
      <c r="W32" s="27">
        <v>371</v>
      </c>
      <c r="X32" s="31">
        <f t="shared" si="7"/>
        <v>1550.8760107816711</v>
      </c>
      <c r="Y32" s="29">
        <v>184196</v>
      </c>
      <c r="Z32" s="32">
        <f t="shared" si="42"/>
        <v>10173029</v>
      </c>
      <c r="AA32" s="33">
        <f t="shared" si="8"/>
        <v>1.05814590718261</v>
      </c>
      <c r="AB32" s="158">
        <v>700000</v>
      </c>
      <c r="AC32" s="34">
        <f t="shared" si="43"/>
        <v>11140000</v>
      </c>
      <c r="AD32" s="158"/>
      <c r="AE32" s="25"/>
      <c r="AF32" s="25"/>
      <c r="AG32" s="25"/>
      <c r="AH32" s="25"/>
      <c r="AI32" s="25"/>
      <c r="AJ32" s="25"/>
      <c r="AK32" s="25"/>
      <c r="AL32" s="158"/>
      <c r="AM32" s="25"/>
      <c r="AN32" s="158"/>
      <c r="AO32" s="25"/>
      <c r="AP32" s="25"/>
      <c r="AQ32" s="158"/>
      <c r="AR32" s="35">
        <f t="shared" si="9"/>
        <v>0</v>
      </c>
      <c r="AS32" s="172" t="str">
        <f t="shared" si="10"/>
        <v/>
      </c>
      <c r="AT32" s="36">
        <f t="shared" si="11"/>
        <v>0</v>
      </c>
      <c r="AU32" s="173"/>
      <c r="AV32" s="82">
        <f t="shared" si="12"/>
        <v>28</v>
      </c>
      <c r="AW32" s="37"/>
      <c r="AX32" s="174" t="str">
        <f t="shared" si="13"/>
        <v/>
      </c>
      <c r="AY32" s="37"/>
      <c r="AZ32" s="174" t="str">
        <f t="shared" si="14"/>
        <v/>
      </c>
      <c r="BA32" s="37"/>
      <c r="BB32" s="174" t="str">
        <f t="shared" si="15"/>
        <v/>
      </c>
      <c r="BC32" s="37"/>
      <c r="BD32" s="174" t="str">
        <f t="shared" si="16"/>
        <v/>
      </c>
      <c r="BE32" s="37"/>
      <c r="BF32" s="174" t="str">
        <f t="shared" si="17"/>
        <v/>
      </c>
      <c r="BG32" s="37"/>
      <c r="BH32" s="174" t="str">
        <f t="shared" si="18"/>
        <v/>
      </c>
      <c r="BI32" s="37"/>
      <c r="BJ32" s="174" t="str">
        <f t="shared" si="19"/>
        <v/>
      </c>
      <c r="BK32" s="37"/>
      <c r="BL32" s="174" t="str">
        <f t="shared" si="20"/>
        <v/>
      </c>
      <c r="BM32" s="37"/>
      <c r="BN32" s="174" t="str">
        <f t="shared" si="21"/>
        <v/>
      </c>
      <c r="BO32" s="37"/>
      <c r="BP32" s="174" t="str">
        <f t="shared" si="22"/>
        <v/>
      </c>
      <c r="BQ32" s="37"/>
      <c r="BR32" s="174" t="str">
        <f t="shared" si="23"/>
        <v/>
      </c>
      <c r="BS32" s="37"/>
      <c r="BT32" s="174" t="str">
        <f t="shared" si="24"/>
        <v/>
      </c>
      <c r="BU32" s="37"/>
      <c r="BV32" s="174" t="str">
        <f t="shared" si="25"/>
        <v/>
      </c>
      <c r="BW32" s="37"/>
      <c r="BX32" s="174" t="str">
        <f t="shared" si="26"/>
        <v/>
      </c>
      <c r="BY32" s="37"/>
      <c r="BZ32" s="174" t="str">
        <f t="shared" si="27"/>
        <v/>
      </c>
      <c r="CA32" s="37"/>
      <c r="CB32" s="174" t="str">
        <f t="shared" si="28"/>
        <v/>
      </c>
      <c r="CC32" s="37"/>
      <c r="CD32" s="174" t="str">
        <f t="shared" si="29"/>
        <v/>
      </c>
      <c r="CE32" s="37"/>
      <c r="CF32" s="174" t="str">
        <f t="shared" si="30"/>
        <v/>
      </c>
      <c r="CG32" s="37"/>
      <c r="CH32" s="174" t="str">
        <f t="shared" si="31"/>
        <v/>
      </c>
      <c r="CI32" s="37"/>
      <c r="CJ32" s="174" t="str">
        <f t="shared" si="32"/>
        <v/>
      </c>
      <c r="CK32" s="37"/>
      <c r="CL32" s="174" t="str">
        <f t="shared" si="33"/>
        <v/>
      </c>
      <c r="CM32" s="37"/>
      <c r="CN32" s="174" t="str">
        <f t="shared" si="34"/>
        <v/>
      </c>
      <c r="CO32" s="37"/>
      <c r="CP32" s="174" t="str">
        <f t="shared" si="35"/>
        <v/>
      </c>
      <c r="CQ32" s="37"/>
      <c r="CR32" s="174" t="str">
        <f t="shared" si="36"/>
        <v/>
      </c>
      <c r="CS32" s="37"/>
      <c r="CT32" s="174" t="str">
        <f t="shared" si="37"/>
        <v/>
      </c>
      <c r="CU32" s="38"/>
      <c r="CV32" s="87"/>
      <c r="CW32" s="90"/>
      <c r="CX32" s="38"/>
      <c r="CY32" s="39"/>
      <c r="CZ32" s="37"/>
      <c r="DA32" s="39"/>
      <c r="DB32" s="24">
        <v>28</v>
      </c>
      <c r="DC32" s="96" t="str">
        <f t="shared" si="38"/>
        <v>日</v>
      </c>
      <c r="DF32" s="125"/>
      <c r="DG32" s="40"/>
      <c r="DH32" s="40"/>
      <c r="DI32" s="40"/>
      <c r="DJ32" s="40"/>
      <c r="DK32" s="40"/>
      <c r="DL32" s="40"/>
      <c r="DM32" s="40"/>
      <c r="DN32" s="40"/>
      <c r="DO32" s="40"/>
      <c r="DP32" s="40">
        <f t="shared" si="39"/>
        <v>0</v>
      </c>
      <c r="DQ32" s="172" t="str">
        <f t="shared" si="40"/>
        <v/>
      </c>
      <c r="DS32" s="189"/>
      <c r="DT32" s="190"/>
      <c r="DU32" s="190"/>
      <c r="DV32" s="191"/>
      <c r="DW32" s="41"/>
      <c r="DX32" s="42"/>
    </row>
    <row r="33" spans="1:128" ht="13.5" hidden="1" customHeight="1" thickTop="1" thickBot="1" x14ac:dyDescent="0.45">
      <c r="A33" s="104">
        <v>29</v>
      </c>
      <c r="B33" s="23" t="s">
        <v>83</v>
      </c>
      <c r="C33" s="164"/>
      <c r="D33" s="164"/>
      <c r="E33" s="24"/>
      <c r="F33" s="29"/>
      <c r="G33" s="25" t="str">
        <f>IF(SUM($F$5:F33)=0,"",SUM($F$5:F33))</f>
        <v/>
      </c>
      <c r="H33" s="43" t="str">
        <f t="shared" si="0"/>
        <v/>
      </c>
      <c r="I33" s="148" t="e">
        <f t="array" aca="1" ref="I33" ca="1">IF($A34="",$G33/($V33-$U$5+INDIRECT(IF(_xlfn.SHEET()&lt;6,"令和8年"&amp;_xlfn.SHEET()+7&amp;"月","令和9年"&amp;_xlfn.SHEET()-5&amp;"月")&amp;"!$U$5")),$G33/($V34-$U$5))</f>
        <v>#VALUE!</v>
      </c>
      <c r="J33" s="26" t="str">
        <f t="shared" si="1"/>
        <v/>
      </c>
      <c r="K33" s="27"/>
      <c r="L33" s="165" t="str">
        <f t="shared" si="2"/>
        <v/>
      </c>
      <c r="M33" s="28" t="str">
        <f t="shared" si="3"/>
        <v/>
      </c>
      <c r="N33" s="166" t="str">
        <f t="shared" si="4"/>
        <v/>
      </c>
      <c r="O33" s="167" t="str">
        <f t="shared" si="5"/>
        <v/>
      </c>
      <c r="P33" s="168"/>
      <c r="Q33" s="169" t="str">
        <f t="shared" si="6"/>
        <v/>
      </c>
      <c r="R33" s="170"/>
      <c r="S33" s="171"/>
      <c r="T33" s="24"/>
      <c r="U33" s="29"/>
      <c r="V33" s="30">
        <f t="shared" si="41"/>
        <v>10764549</v>
      </c>
      <c r="W33" s="27"/>
      <c r="X33" s="31" t="str">
        <f t="shared" si="7"/>
        <v/>
      </c>
      <c r="Y33" s="29"/>
      <c r="Z33" s="32">
        <f t="shared" si="42"/>
        <v>10173029</v>
      </c>
      <c r="AA33" s="33">
        <f t="shared" si="8"/>
        <v>1.05814590718261</v>
      </c>
      <c r="AB33" s="158">
        <f>AB36/31</f>
        <v>0</v>
      </c>
      <c r="AC33" s="34">
        <f t="shared" si="43"/>
        <v>11140000</v>
      </c>
      <c r="AD33" s="158"/>
      <c r="AE33" s="25"/>
      <c r="AF33" s="25"/>
      <c r="AG33" s="25"/>
      <c r="AH33" s="25"/>
      <c r="AI33" s="25"/>
      <c r="AJ33" s="25"/>
      <c r="AK33" s="25"/>
      <c r="AL33" s="158"/>
      <c r="AM33" s="25"/>
      <c r="AN33" s="158"/>
      <c r="AO33" s="25"/>
      <c r="AP33" s="25"/>
      <c r="AQ33" s="158"/>
      <c r="AR33" s="35">
        <f t="shared" si="9"/>
        <v>0</v>
      </c>
      <c r="AS33" s="172" t="str">
        <f t="shared" si="10"/>
        <v/>
      </c>
      <c r="AT33" s="36">
        <f t="shared" si="11"/>
        <v>0</v>
      </c>
      <c r="AU33" s="173"/>
      <c r="AV33" s="82">
        <f t="shared" si="12"/>
        <v>29</v>
      </c>
      <c r="AW33" s="37"/>
      <c r="AX33" s="174" t="str">
        <f t="shared" si="13"/>
        <v/>
      </c>
      <c r="AY33" s="37"/>
      <c r="AZ33" s="174" t="str">
        <f t="shared" si="14"/>
        <v/>
      </c>
      <c r="BA33" s="37"/>
      <c r="BB33" s="174" t="str">
        <f t="shared" si="15"/>
        <v/>
      </c>
      <c r="BC33" s="37"/>
      <c r="BD33" s="174" t="str">
        <f t="shared" si="16"/>
        <v/>
      </c>
      <c r="BE33" s="37"/>
      <c r="BF33" s="174" t="str">
        <f t="shared" si="17"/>
        <v/>
      </c>
      <c r="BG33" s="37"/>
      <c r="BH33" s="174" t="str">
        <f t="shared" si="18"/>
        <v/>
      </c>
      <c r="BI33" s="37"/>
      <c r="BJ33" s="174" t="str">
        <f t="shared" si="19"/>
        <v/>
      </c>
      <c r="BK33" s="37"/>
      <c r="BL33" s="174" t="str">
        <f t="shared" si="20"/>
        <v/>
      </c>
      <c r="BM33" s="37"/>
      <c r="BN33" s="174" t="str">
        <f t="shared" si="21"/>
        <v/>
      </c>
      <c r="BO33" s="37"/>
      <c r="BP33" s="174" t="str">
        <f t="shared" si="22"/>
        <v/>
      </c>
      <c r="BQ33" s="37"/>
      <c r="BR33" s="174" t="str">
        <f t="shared" si="23"/>
        <v/>
      </c>
      <c r="BS33" s="37"/>
      <c r="BT33" s="174" t="str">
        <f t="shared" si="24"/>
        <v/>
      </c>
      <c r="BU33" s="37"/>
      <c r="BV33" s="174" t="str">
        <f t="shared" si="25"/>
        <v/>
      </c>
      <c r="BW33" s="37"/>
      <c r="BX33" s="174" t="str">
        <f t="shared" si="26"/>
        <v/>
      </c>
      <c r="BY33" s="37"/>
      <c r="BZ33" s="174" t="str">
        <f t="shared" si="27"/>
        <v/>
      </c>
      <c r="CA33" s="37"/>
      <c r="CB33" s="174" t="str">
        <f t="shared" si="28"/>
        <v/>
      </c>
      <c r="CC33" s="37"/>
      <c r="CD33" s="174" t="str">
        <f t="shared" si="29"/>
        <v/>
      </c>
      <c r="CE33" s="37"/>
      <c r="CF33" s="174" t="str">
        <f t="shared" si="30"/>
        <v/>
      </c>
      <c r="CG33" s="37"/>
      <c r="CH33" s="174" t="str">
        <f t="shared" si="31"/>
        <v/>
      </c>
      <c r="CI33" s="37"/>
      <c r="CJ33" s="174" t="str">
        <f t="shared" si="32"/>
        <v/>
      </c>
      <c r="CK33" s="37"/>
      <c r="CL33" s="174" t="str">
        <f t="shared" si="33"/>
        <v/>
      </c>
      <c r="CM33" s="37"/>
      <c r="CN33" s="174" t="str">
        <f t="shared" si="34"/>
        <v/>
      </c>
      <c r="CO33" s="37"/>
      <c r="CP33" s="174" t="str">
        <f t="shared" si="35"/>
        <v/>
      </c>
      <c r="CQ33" s="37"/>
      <c r="CR33" s="174" t="str">
        <f t="shared" si="36"/>
        <v/>
      </c>
      <c r="CS33" s="37"/>
      <c r="CT33" s="174" t="str">
        <f t="shared" si="37"/>
        <v/>
      </c>
      <c r="CU33" s="38"/>
      <c r="CV33" s="87"/>
      <c r="CW33" s="90"/>
      <c r="CX33" s="38"/>
      <c r="CY33" s="39"/>
      <c r="CZ33" s="37"/>
      <c r="DA33" s="39"/>
      <c r="DB33" s="24">
        <v>29</v>
      </c>
      <c r="DC33" s="96" t="str">
        <f t="shared" si="38"/>
        <v>水</v>
      </c>
      <c r="DF33" s="125"/>
      <c r="DG33" s="40"/>
      <c r="DH33" s="40"/>
      <c r="DI33" s="40"/>
      <c r="DJ33" s="40"/>
      <c r="DK33" s="40"/>
      <c r="DL33" s="40"/>
      <c r="DM33" s="40"/>
      <c r="DN33" s="40"/>
      <c r="DO33" s="40"/>
      <c r="DP33" s="40">
        <f t="shared" si="39"/>
        <v>0</v>
      </c>
      <c r="DQ33" s="172" t="str">
        <f t="shared" si="40"/>
        <v/>
      </c>
      <c r="DS33" s="189"/>
      <c r="DT33" s="190"/>
      <c r="DU33" s="190"/>
      <c r="DV33" s="191"/>
      <c r="DW33" s="41"/>
      <c r="DX33" s="42"/>
    </row>
    <row r="34" spans="1:128" ht="13.5" hidden="1" customHeight="1" x14ac:dyDescent="0.4">
      <c r="A34" s="104">
        <v>30</v>
      </c>
      <c r="B34" s="23" t="s">
        <v>85</v>
      </c>
      <c r="C34" s="164"/>
      <c r="D34" s="164"/>
      <c r="E34" s="24"/>
      <c r="F34" s="29"/>
      <c r="G34" s="25" t="str">
        <f>IF(SUM($F$5:F34)=0,"",SUM($F$5:F34))</f>
        <v/>
      </c>
      <c r="H34" s="43" t="str">
        <f t="shared" si="0"/>
        <v/>
      </c>
      <c r="I34" s="148" t="e">
        <f t="array" aca="1" ref="I34" ca="1">IF($A35="",$G34/($V34-$U$5+INDIRECT(IF(_xlfn.SHEET()&lt;6,"令和8年"&amp;_xlfn.SHEET()+7&amp;"月","令和9年"&amp;_xlfn.SHEET()-5&amp;"月")&amp;"!$U$5")),$G34/($V35-$U$5))</f>
        <v>#VALUE!</v>
      </c>
      <c r="J34" s="26" t="str">
        <f t="shared" si="1"/>
        <v/>
      </c>
      <c r="K34" s="27"/>
      <c r="L34" s="165" t="str">
        <f t="shared" si="2"/>
        <v/>
      </c>
      <c r="M34" s="28" t="str">
        <f t="shared" si="3"/>
        <v/>
      </c>
      <c r="N34" s="166" t="str">
        <f t="shared" si="4"/>
        <v/>
      </c>
      <c r="O34" s="167" t="str">
        <f t="shared" si="5"/>
        <v/>
      </c>
      <c r="P34" s="168"/>
      <c r="Q34" s="169" t="str">
        <f t="shared" si="6"/>
        <v/>
      </c>
      <c r="R34" s="170"/>
      <c r="S34" s="171"/>
      <c r="T34" s="24"/>
      <c r="U34" s="29"/>
      <c r="V34" s="30">
        <f t="shared" si="41"/>
        <v>10764549</v>
      </c>
      <c r="W34" s="27"/>
      <c r="X34" s="31" t="str">
        <f t="shared" si="7"/>
        <v/>
      </c>
      <c r="Y34" s="29"/>
      <c r="Z34" s="32">
        <f t="shared" si="42"/>
        <v>10173029</v>
      </c>
      <c r="AA34" s="33">
        <f t="shared" si="8"/>
        <v>1.05814590718261</v>
      </c>
      <c r="AB34" s="158">
        <f>AB36/31</f>
        <v>0</v>
      </c>
      <c r="AC34" s="34">
        <f t="shared" si="43"/>
        <v>11140000</v>
      </c>
      <c r="AD34" s="158"/>
      <c r="AE34" s="25"/>
      <c r="AF34" s="25"/>
      <c r="AG34" s="25"/>
      <c r="AH34" s="25"/>
      <c r="AI34" s="25"/>
      <c r="AJ34" s="25"/>
      <c r="AK34" s="25"/>
      <c r="AL34" s="158"/>
      <c r="AM34" s="25"/>
      <c r="AN34" s="158"/>
      <c r="AO34" s="25"/>
      <c r="AP34" s="25"/>
      <c r="AQ34" s="158"/>
      <c r="AR34" s="35">
        <f t="shared" si="9"/>
        <v>0</v>
      </c>
      <c r="AS34" s="172" t="str">
        <f t="shared" si="10"/>
        <v/>
      </c>
      <c r="AT34" s="36">
        <f t="shared" si="11"/>
        <v>0</v>
      </c>
      <c r="AU34" s="173"/>
      <c r="AV34" s="82">
        <f t="shared" si="12"/>
        <v>30</v>
      </c>
      <c r="AW34" s="37"/>
      <c r="AX34" s="174" t="str">
        <f t="shared" si="13"/>
        <v/>
      </c>
      <c r="AY34" s="37"/>
      <c r="AZ34" s="174" t="str">
        <f t="shared" si="14"/>
        <v/>
      </c>
      <c r="BA34" s="37"/>
      <c r="BB34" s="174" t="str">
        <f t="shared" si="15"/>
        <v/>
      </c>
      <c r="BC34" s="37"/>
      <c r="BD34" s="174" t="str">
        <f t="shared" si="16"/>
        <v/>
      </c>
      <c r="BE34" s="37"/>
      <c r="BF34" s="174" t="str">
        <f t="shared" si="17"/>
        <v/>
      </c>
      <c r="BG34" s="37"/>
      <c r="BH34" s="174" t="str">
        <f t="shared" si="18"/>
        <v/>
      </c>
      <c r="BI34" s="37"/>
      <c r="BJ34" s="174" t="str">
        <f t="shared" si="19"/>
        <v/>
      </c>
      <c r="BK34" s="37"/>
      <c r="BL34" s="174" t="str">
        <f t="shared" si="20"/>
        <v/>
      </c>
      <c r="BM34" s="37"/>
      <c r="BN34" s="174" t="str">
        <f t="shared" si="21"/>
        <v/>
      </c>
      <c r="BO34" s="37"/>
      <c r="BP34" s="174" t="str">
        <f t="shared" si="22"/>
        <v/>
      </c>
      <c r="BQ34" s="37"/>
      <c r="BR34" s="174" t="str">
        <f t="shared" si="23"/>
        <v/>
      </c>
      <c r="BS34" s="37"/>
      <c r="BT34" s="174" t="str">
        <f t="shared" si="24"/>
        <v/>
      </c>
      <c r="BU34" s="37"/>
      <c r="BV34" s="174" t="str">
        <f t="shared" si="25"/>
        <v/>
      </c>
      <c r="BW34" s="37"/>
      <c r="BX34" s="174" t="str">
        <f t="shared" si="26"/>
        <v/>
      </c>
      <c r="BY34" s="37"/>
      <c r="BZ34" s="174" t="str">
        <f t="shared" si="27"/>
        <v/>
      </c>
      <c r="CA34" s="37"/>
      <c r="CB34" s="174" t="str">
        <f t="shared" si="28"/>
        <v/>
      </c>
      <c r="CC34" s="37"/>
      <c r="CD34" s="174" t="str">
        <f t="shared" si="29"/>
        <v/>
      </c>
      <c r="CE34" s="37"/>
      <c r="CF34" s="174" t="str">
        <f t="shared" si="30"/>
        <v/>
      </c>
      <c r="CG34" s="37"/>
      <c r="CH34" s="174" t="str">
        <f t="shared" si="31"/>
        <v/>
      </c>
      <c r="CI34" s="37"/>
      <c r="CJ34" s="174" t="str">
        <f t="shared" si="32"/>
        <v/>
      </c>
      <c r="CK34" s="37"/>
      <c r="CL34" s="174" t="str">
        <f t="shared" si="33"/>
        <v/>
      </c>
      <c r="CM34" s="37"/>
      <c r="CN34" s="174" t="str">
        <f t="shared" si="34"/>
        <v/>
      </c>
      <c r="CO34" s="37"/>
      <c r="CP34" s="174" t="str">
        <f t="shared" si="35"/>
        <v/>
      </c>
      <c r="CQ34" s="37"/>
      <c r="CR34" s="174" t="str">
        <f t="shared" si="36"/>
        <v/>
      </c>
      <c r="CS34" s="37"/>
      <c r="CT34" s="174" t="str">
        <f t="shared" si="37"/>
        <v/>
      </c>
      <c r="CU34" s="38"/>
      <c r="CV34" s="87"/>
      <c r="CW34" s="90"/>
      <c r="CX34" s="38"/>
      <c r="CY34" s="39"/>
      <c r="CZ34" s="37"/>
      <c r="DA34" s="39"/>
      <c r="DB34" s="24">
        <v>30</v>
      </c>
      <c r="DC34" s="96" t="str">
        <f t="shared" si="38"/>
        <v>木</v>
      </c>
      <c r="DF34" s="125"/>
      <c r="DG34" s="40"/>
      <c r="DH34" s="40"/>
      <c r="DI34" s="40"/>
      <c r="DJ34" s="40"/>
      <c r="DK34" s="40"/>
      <c r="DL34" s="40"/>
      <c r="DM34" s="40"/>
      <c r="DN34" s="40"/>
      <c r="DO34" s="40"/>
      <c r="DP34" s="40">
        <f t="shared" si="39"/>
        <v>0</v>
      </c>
      <c r="DQ34" s="172" t="str">
        <f t="shared" si="40"/>
        <v/>
      </c>
      <c r="DS34" s="189"/>
      <c r="DT34" s="190"/>
      <c r="DU34" s="190"/>
      <c r="DV34" s="191"/>
      <c r="DW34" s="41"/>
      <c r="DX34" s="42"/>
    </row>
    <row r="35" spans="1:128" ht="13.5" hidden="1" customHeight="1" thickBot="1" x14ac:dyDescent="0.45">
      <c r="A35" s="105">
        <v>31</v>
      </c>
      <c r="B35" s="23" t="s">
        <v>86</v>
      </c>
      <c r="C35" s="175"/>
      <c r="D35" s="175"/>
      <c r="E35" s="24"/>
      <c r="F35" s="29"/>
      <c r="G35" s="25" t="str">
        <f>IF(SUM($F$5:F35)=0,"",SUM($F$5:F35))</f>
        <v/>
      </c>
      <c r="H35" s="43" t="str">
        <f t="shared" si="0"/>
        <v/>
      </c>
      <c r="I35" s="148" t="e">
        <f t="array" aca="1" ref="I35" ca="1">IF($A36="",$G35/($V35-$U$5+INDIRECT(IF(_xlfn.SHEET()&lt;6,"令和8年"&amp;_xlfn.SHEET()+7&amp;"月","令和9年"&amp;_xlfn.SHEET()-5&amp;"月")&amp;"!$U$5")),$G35/($V36-$U$5))</f>
        <v>#VALUE!</v>
      </c>
      <c r="J35" s="26" t="str">
        <f t="shared" si="1"/>
        <v/>
      </c>
      <c r="K35" s="27"/>
      <c r="L35" s="165" t="str">
        <f t="shared" si="2"/>
        <v/>
      </c>
      <c r="M35" s="28" t="str">
        <f t="shared" si="3"/>
        <v/>
      </c>
      <c r="N35" s="166" t="str">
        <f t="shared" si="4"/>
        <v/>
      </c>
      <c r="O35" s="167" t="str">
        <f t="shared" si="5"/>
        <v/>
      </c>
      <c r="P35" s="168"/>
      <c r="Q35" s="169" t="str">
        <f t="shared" si="6"/>
        <v/>
      </c>
      <c r="R35" s="170"/>
      <c r="S35" s="176"/>
      <c r="T35" s="24"/>
      <c r="U35" s="29"/>
      <c r="V35" s="30">
        <f t="shared" si="41"/>
        <v>10764549</v>
      </c>
      <c r="W35" s="27"/>
      <c r="X35" s="31" t="str">
        <f t="shared" si="7"/>
        <v/>
      </c>
      <c r="Y35" s="29"/>
      <c r="Z35" s="32">
        <f t="shared" si="42"/>
        <v>10173029</v>
      </c>
      <c r="AA35" s="33">
        <f t="shared" si="8"/>
        <v>1.05814590718261</v>
      </c>
      <c r="AB35" s="74">
        <f>AB36/31</f>
        <v>0</v>
      </c>
      <c r="AC35" s="34">
        <f t="shared" si="43"/>
        <v>11140000</v>
      </c>
      <c r="AD35" s="158"/>
      <c r="AE35" s="25"/>
      <c r="AF35" s="25"/>
      <c r="AG35" s="25"/>
      <c r="AH35" s="25"/>
      <c r="AI35" s="25"/>
      <c r="AJ35" s="25"/>
      <c r="AK35" s="25"/>
      <c r="AL35" s="158"/>
      <c r="AM35" s="25"/>
      <c r="AN35" s="158"/>
      <c r="AO35" s="25"/>
      <c r="AP35" s="25"/>
      <c r="AQ35" s="158"/>
      <c r="AR35" s="35">
        <f t="shared" si="9"/>
        <v>0</v>
      </c>
      <c r="AS35" s="172" t="str">
        <f t="shared" si="10"/>
        <v/>
      </c>
      <c r="AT35" s="36">
        <f t="shared" si="11"/>
        <v>0</v>
      </c>
      <c r="AU35" s="173"/>
      <c r="AV35" s="82">
        <f t="shared" si="12"/>
        <v>31</v>
      </c>
      <c r="AW35" s="37"/>
      <c r="AX35" s="174" t="str">
        <f t="shared" si="13"/>
        <v/>
      </c>
      <c r="AY35" s="37"/>
      <c r="AZ35" s="174" t="str">
        <f t="shared" si="14"/>
        <v/>
      </c>
      <c r="BA35" s="37"/>
      <c r="BB35" s="174" t="str">
        <f t="shared" si="15"/>
        <v/>
      </c>
      <c r="BC35" s="37"/>
      <c r="BD35" s="174" t="str">
        <f t="shared" si="16"/>
        <v/>
      </c>
      <c r="BE35" s="37"/>
      <c r="BF35" s="174" t="str">
        <f t="shared" si="17"/>
        <v/>
      </c>
      <c r="BG35" s="37"/>
      <c r="BH35" s="174" t="str">
        <f t="shared" si="18"/>
        <v/>
      </c>
      <c r="BI35" s="37"/>
      <c r="BJ35" s="174" t="str">
        <f t="shared" si="19"/>
        <v/>
      </c>
      <c r="BK35" s="37"/>
      <c r="BL35" s="174" t="str">
        <f t="shared" si="20"/>
        <v/>
      </c>
      <c r="BM35" s="37"/>
      <c r="BN35" s="174" t="str">
        <f t="shared" si="21"/>
        <v/>
      </c>
      <c r="BO35" s="37"/>
      <c r="BP35" s="174" t="str">
        <f t="shared" si="22"/>
        <v/>
      </c>
      <c r="BQ35" s="37"/>
      <c r="BR35" s="174" t="str">
        <f t="shared" si="23"/>
        <v/>
      </c>
      <c r="BS35" s="37"/>
      <c r="BT35" s="174" t="str">
        <f t="shared" si="24"/>
        <v/>
      </c>
      <c r="BU35" s="37"/>
      <c r="BV35" s="174" t="str">
        <f t="shared" si="25"/>
        <v/>
      </c>
      <c r="BW35" s="37"/>
      <c r="BX35" s="174" t="str">
        <f t="shared" si="26"/>
        <v/>
      </c>
      <c r="BY35" s="37"/>
      <c r="BZ35" s="174" t="str">
        <f t="shared" si="27"/>
        <v/>
      </c>
      <c r="CA35" s="37"/>
      <c r="CB35" s="174" t="str">
        <f t="shared" si="28"/>
        <v/>
      </c>
      <c r="CC35" s="37"/>
      <c r="CD35" s="174" t="str">
        <f t="shared" si="29"/>
        <v/>
      </c>
      <c r="CE35" s="37"/>
      <c r="CF35" s="174" t="str">
        <f t="shared" si="30"/>
        <v/>
      </c>
      <c r="CG35" s="37"/>
      <c r="CH35" s="174" t="str">
        <f t="shared" si="31"/>
        <v/>
      </c>
      <c r="CI35" s="37"/>
      <c r="CJ35" s="174" t="str">
        <f t="shared" si="32"/>
        <v/>
      </c>
      <c r="CK35" s="37"/>
      <c r="CL35" s="174" t="str">
        <f t="shared" si="33"/>
        <v/>
      </c>
      <c r="CM35" s="37"/>
      <c r="CN35" s="174" t="str">
        <f t="shared" si="34"/>
        <v/>
      </c>
      <c r="CO35" s="37"/>
      <c r="CP35" s="174" t="str">
        <f t="shared" si="35"/>
        <v/>
      </c>
      <c r="CQ35" s="37"/>
      <c r="CR35" s="174" t="str">
        <f t="shared" si="36"/>
        <v/>
      </c>
      <c r="CS35" s="37"/>
      <c r="CT35" s="174" t="str">
        <f t="shared" si="37"/>
        <v/>
      </c>
      <c r="CU35" s="38"/>
      <c r="CV35" s="87"/>
      <c r="CW35" s="90"/>
      <c r="CX35" s="38"/>
      <c r="CY35" s="39"/>
      <c r="CZ35" s="37"/>
      <c r="DA35" s="39"/>
      <c r="DB35" s="24">
        <v>31</v>
      </c>
      <c r="DC35" s="96" t="str">
        <f t="shared" si="38"/>
        <v>金</v>
      </c>
      <c r="DF35" s="125"/>
      <c r="DG35" s="40"/>
      <c r="DH35" s="40"/>
      <c r="DI35" s="40"/>
      <c r="DJ35" s="40"/>
      <c r="DK35" s="40"/>
      <c r="DL35" s="40"/>
      <c r="DM35" s="40"/>
      <c r="DN35" s="40"/>
      <c r="DO35" s="40"/>
      <c r="DP35" s="40">
        <f t="shared" si="39"/>
        <v>0</v>
      </c>
      <c r="DQ35" s="172" t="str">
        <f t="shared" si="40"/>
        <v/>
      </c>
      <c r="DS35" s="189"/>
      <c r="DT35" s="190"/>
      <c r="DU35" s="190"/>
      <c r="DV35" s="191"/>
      <c r="DW35" s="41"/>
      <c r="DX35" s="42"/>
    </row>
    <row r="36" spans="1:128" ht="18.75" customHeight="1" thickTop="1" thickBot="1" x14ac:dyDescent="0.45">
      <c r="A36" s="62"/>
      <c r="B36" s="103"/>
      <c r="C36" s="103"/>
      <c r="D36" s="103"/>
      <c r="E36" s="44" t="s">
        <v>95</v>
      </c>
      <c r="F36" s="25">
        <f>SUM(F5:F35)</f>
        <v>0</v>
      </c>
      <c r="G36" s="25"/>
      <c r="H36" s="43"/>
      <c r="I36" s="148"/>
      <c r="J36" s="26"/>
      <c r="K36" s="45">
        <f>SUM(K4:K35)</f>
        <v>0</v>
      </c>
      <c r="L36" s="165">
        <f t="shared" si="2"/>
        <v>0</v>
      </c>
      <c r="M36" s="46"/>
      <c r="N36" s="47" t="str">
        <f t="shared" si="4"/>
        <v/>
      </c>
      <c r="O36" s="48"/>
      <c r="P36" s="177"/>
      <c r="Q36" s="178"/>
      <c r="R36" s="49"/>
      <c r="S36" s="128"/>
      <c r="T36" s="50" t="s">
        <v>95</v>
      </c>
      <c r="U36" s="51">
        <f>SUM(U5:U35)</f>
        <v>10764549</v>
      </c>
      <c r="V36" s="30"/>
      <c r="W36" s="52">
        <f>SUM(W5:W35)</f>
        <v>6320</v>
      </c>
      <c r="X36" s="53"/>
      <c r="Y36" s="25">
        <f>SUM(Y5:Y35)</f>
        <v>10173029</v>
      </c>
      <c r="Z36" s="32"/>
      <c r="AA36" s="54"/>
      <c r="AB36" s="55"/>
      <c r="AC36" s="54"/>
      <c r="AD36" s="158">
        <f t="shared" ref="AD36:AR36" si="44">SUM(AD5:AD35)</f>
        <v>0</v>
      </c>
      <c r="AE36" s="25">
        <f t="shared" si="44"/>
        <v>0</v>
      </c>
      <c r="AF36" s="25">
        <f t="shared" si="44"/>
        <v>0</v>
      </c>
      <c r="AG36" s="25">
        <f t="shared" si="44"/>
        <v>0</v>
      </c>
      <c r="AH36" s="25">
        <f t="shared" si="44"/>
        <v>0</v>
      </c>
      <c r="AI36" s="25">
        <f t="shared" si="44"/>
        <v>0</v>
      </c>
      <c r="AJ36" s="25">
        <f t="shared" si="44"/>
        <v>0</v>
      </c>
      <c r="AK36" s="25">
        <f t="shared" si="44"/>
        <v>0</v>
      </c>
      <c r="AL36" s="25">
        <f t="shared" si="44"/>
        <v>0</v>
      </c>
      <c r="AM36" s="25">
        <f t="shared" si="44"/>
        <v>0</v>
      </c>
      <c r="AN36" s="25">
        <f t="shared" si="44"/>
        <v>0</v>
      </c>
      <c r="AO36" s="25">
        <f t="shared" si="44"/>
        <v>0</v>
      </c>
      <c r="AP36" s="25">
        <f t="shared" si="44"/>
        <v>0</v>
      </c>
      <c r="AQ36" s="158">
        <f t="shared" si="44"/>
        <v>0</v>
      </c>
      <c r="AR36" s="56">
        <f t="shared" si="44"/>
        <v>0</v>
      </c>
      <c r="AS36" s="179" t="str">
        <f>IF(ISERROR((AR36/$F36)),"",AR36/$F36)</f>
        <v/>
      </c>
      <c r="AT36" s="77">
        <f>SUM(AT5:AT35)</f>
        <v>0</v>
      </c>
      <c r="AU36" s="173"/>
      <c r="AV36" s="83" t="s">
        <v>95</v>
      </c>
      <c r="AW36" s="57">
        <f>SUM(AW5:AW35)</f>
        <v>0</v>
      </c>
      <c r="AX36" s="57"/>
      <c r="AY36" s="57">
        <f>SUM(AY5:AY35)</f>
        <v>0</v>
      </c>
      <c r="AZ36" s="57"/>
      <c r="BA36" s="57">
        <f>SUM(BA5:BA35)</f>
        <v>0</v>
      </c>
      <c r="BB36" s="57"/>
      <c r="BC36" s="57">
        <f>SUM(BC5:BC35)</f>
        <v>0</v>
      </c>
      <c r="BD36" s="57"/>
      <c r="BE36" s="57">
        <f>SUM(BE5:BE35)</f>
        <v>0</v>
      </c>
      <c r="BF36" s="57"/>
      <c r="BG36" s="57">
        <f>SUM(BG5:BG35)</f>
        <v>0</v>
      </c>
      <c r="BH36" s="57"/>
      <c r="BI36" s="57">
        <f>SUM(BI5:BI35)</f>
        <v>0</v>
      </c>
      <c r="BJ36" s="57"/>
      <c r="BK36" s="57">
        <f>SUM(BK5:BK35)</f>
        <v>0</v>
      </c>
      <c r="BL36" s="57"/>
      <c r="BM36" s="57">
        <f>SUM(BM5:BM35)</f>
        <v>0</v>
      </c>
      <c r="BN36" s="57"/>
      <c r="BO36" s="57">
        <f>SUM(BO5:BO35)</f>
        <v>0</v>
      </c>
      <c r="BP36" s="57"/>
      <c r="BQ36" s="57">
        <f>SUM(BQ5:BQ35)</f>
        <v>0</v>
      </c>
      <c r="BR36" s="57"/>
      <c r="BS36" s="57">
        <f>SUM(BS5:BS35)</f>
        <v>0</v>
      </c>
      <c r="BT36" s="57"/>
      <c r="BU36" s="57">
        <f>SUM(BU5:BU35)</f>
        <v>0</v>
      </c>
      <c r="BV36" s="57"/>
      <c r="BW36" s="57">
        <f>SUM(BW5:BW35)</f>
        <v>0</v>
      </c>
      <c r="BX36" s="57"/>
      <c r="BY36" s="57">
        <f>SUM(BY5:BY35)</f>
        <v>0</v>
      </c>
      <c r="BZ36" s="57"/>
      <c r="CA36" s="57">
        <f>SUM(CA5:CA35)</f>
        <v>0</v>
      </c>
      <c r="CB36" s="57"/>
      <c r="CC36" s="57">
        <f>SUM(CC5:CC35)</f>
        <v>0</v>
      </c>
      <c r="CD36" s="58"/>
      <c r="CE36" s="57">
        <f>SUM(CE5:CE35)</f>
        <v>0</v>
      </c>
      <c r="CF36" s="58"/>
      <c r="CG36" s="57">
        <f>SUM(CG5:CG35)</f>
        <v>0</v>
      </c>
      <c r="CH36" s="57"/>
      <c r="CI36" s="57">
        <f>SUM(CI5:CI35)</f>
        <v>0</v>
      </c>
      <c r="CJ36" s="58"/>
      <c r="CK36" s="57">
        <f>SUM(CK5:CK35)</f>
        <v>0</v>
      </c>
      <c r="CL36" s="58"/>
      <c r="CM36" s="57">
        <f>SUM(CM5:CM35)</f>
        <v>0</v>
      </c>
      <c r="CN36" s="57"/>
      <c r="CO36" s="57">
        <f>SUM(CO5:CO35)</f>
        <v>0</v>
      </c>
      <c r="CP36" s="58"/>
      <c r="CQ36" s="57">
        <f>SUM(CQ5:CQ35)</f>
        <v>0</v>
      </c>
      <c r="CR36" s="58"/>
      <c r="CS36" s="57">
        <f>SUM(CS5:CS35)</f>
        <v>0</v>
      </c>
      <c r="CT36" s="60"/>
      <c r="CU36" s="59">
        <f>SUM(CU5:CU35)</f>
        <v>0</v>
      </c>
      <c r="CV36" s="60">
        <f>SUM(CV5:CV35)</f>
        <v>0</v>
      </c>
      <c r="CW36" s="91"/>
      <c r="CX36" s="59">
        <f>SUM(CX5:CX35)</f>
        <v>0</v>
      </c>
      <c r="CY36" s="39">
        <f>SUM(CY5:CY35)</f>
        <v>0</v>
      </c>
      <c r="CZ36" s="57">
        <f>SUM(CZ5:CZ35)</f>
        <v>0</v>
      </c>
      <c r="DA36" s="61">
        <f>SUM(DA5:DA35)</f>
        <v>0</v>
      </c>
      <c r="DB36" s="44"/>
      <c r="DC36" s="96"/>
      <c r="DF36" s="125">
        <f t="shared" ref="DF36:DP36" si="45">SUM(DF5:DF35)</f>
        <v>0</v>
      </c>
      <c r="DG36" s="40">
        <f t="shared" si="45"/>
        <v>0</v>
      </c>
      <c r="DH36" s="40">
        <f t="shared" si="45"/>
        <v>0</v>
      </c>
      <c r="DI36" s="40">
        <f t="shared" si="45"/>
        <v>0</v>
      </c>
      <c r="DJ36" s="40">
        <f t="shared" si="45"/>
        <v>0</v>
      </c>
      <c r="DK36" s="40">
        <f t="shared" si="45"/>
        <v>0</v>
      </c>
      <c r="DL36" s="40">
        <f t="shared" si="45"/>
        <v>0</v>
      </c>
      <c r="DM36" s="40">
        <f t="shared" si="45"/>
        <v>0</v>
      </c>
      <c r="DN36" s="40">
        <f t="shared" si="45"/>
        <v>0</v>
      </c>
      <c r="DO36" s="40">
        <f t="shared" si="45"/>
        <v>0</v>
      </c>
      <c r="DP36" s="40">
        <f t="shared" si="45"/>
        <v>0</v>
      </c>
      <c r="DQ36" s="179" t="str">
        <f>IF(ISERROR((DP36/$F36)),"",DP36/$F36)</f>
        <v/>
      </c>
      <c r="DS36" s="198" t="s">
        <v>96</v>
      </c>
      <c r="DT36" s="199"/>
      <c r="DU36" s="199"/>
      <c r="DV36" s="199"/>
      <c r="DW36" s="199"/>
      <c r="DX36" s="199"/>
    </row>
    <row r="37" spans="1:128" ht="19.149999999999999" customHeight="1" thickTop="1" thickBot="1" x14ac:dyDescent="0.45">
      <c r="E37" s="62" t="s">
        <v>97</v>
      </c>
      <c r="F37" s="66" t="str">
        <f>IF(ISERROR(AVERAGE(F5:F35)),"",AVERAGE(F5:F35))</f>
        <v/>
      </c>
      <c r="G37" s="66"/>
      <c r="H37" s="100" t="str">
        <f>IF(ISERROR(F37/U37),"",(F37/U37))</f>
        <v/>
      </c>
      <c r="I37" s="149"/>
      <c r="J37" s="101" t="str">
        <f>IF(ISERROR(F37/AC5),"",(F37/AC5))</f>
        <v/>
      </c>
      <c r="K37" s="102" t="str">
        <f>IF(ISERROR(AVERAGE(K4:K35)),"",AVERAGE(K4:K35))</f>
        <v/>
      </c>
      <c r="L37" s="180" t="str">
        <f t="shared" si="2"/>
        <v/>
      </c>
      <c r="M37" s="102" t="str">
        <f>IF(ISERROR(AVERAGE(M4:M35)),"",AVERAGE(M4:M35))</f>
        <v/>
      </c>
      <c r="N37" s="181" t="str">
        <f t="shared" si="4"/>
        <v/>
      </c>
      <c r="O37" s="182" t="e">
        <f>AVERAGE(O4:O35)</f>
        <v>#DIV/0!</v>
      </c>
      <c r="P37" s="183"/>
      <c r="Q37" s="184" t="e">
        <f>AVERAGE(Q4:Q35)</f>
        <v>#DIV/0!</v>
      </c>
      <c r="T37" s="62" t="s">
        <v>97</v>
      </c>
      <c r="U37" s="63">
        <f>IF(ISERROR(AVERAGE(U5:U35)),"",AVERAGE(U5:U35))</f>
        <v>384448.17857142858</v>
      </c>
      <c r="V37" s="64"/>
      <c r="W37" s="65">
        <f>IF(ISERROR(AVERAGE(W5:W35)),"",AVERAGE(W5:W35))</f>
        <v>225.71428571428572</v>
      </c>
      <c r="X37" s="65">
        <f>IF(ISERROR(AVERAGE(X5:X35)),"",AVERAGE(X5:X35))</f>
        <v>1680.3440828641537</v>
      </c>
      <c r="Y37" s="66">
        <f>IF(ISERROR(AVERAGE(Y5:Y35)),"",AVERAGE(Y5:Y35))</f>
        <v>363322.46428571426</v>
      </c>
      <c r="Z37" s="66"/>
      <c r="AA37" s="67"/>
      <c r="AB37" s="201" t="s">
        <v>98</v>
      </c>
      <c r="AC37" s="202"/>
      <c r="AD37" s="68" t="str">
        <f t="shared" ref="AD37:AQ37" si="46">IF(ISERROR(AVERAGE(AD5:AD35)),"",AVERAGE(AD5:AD35))</f>
        <v/>
      </c>
      <c r="AE37" s="66" t="str">
        <f t="shared" si="46"/>
        <v/>
      </c>
      <c r="AF37" s="66" t="str">
        <f t="shared" si="46"/>
        <v/>
      </c>
      <c r="AG37" s="66" t="str">
        <f t="shared" si="46"/>
        <v/>
      </c>
      <c r="AH37" s="66" t="str">
        <f t="shared" si="46"/>
        <v/>
      </c>
      <c r="AI37" s="66" t="str">
        <f t="shared" si="46"/>
        <v/>
      </c>
      <c r="AJ37" s="66" t="str">
        <f t="shared" si="46"/>
        <v/>
      </c>
      <c r="AK37" s="66" t="str">
        <f t="shared" si="46"/>
        <v/>
      </c>
      <c r="AL37" s="66" t="str">
        <f t="shared" si="46"/>
        <v/>
      </c>
      <c r="AM37" s="66" t="str">
        <f t="shared" si="46"/>
        <v/>
      </c>
      <c r="AN37" s="66" t="str">
        <f t="shared" si="46"/>
        <v/>
      </c>
      <c r="AO37" s="66" t="str">
        <f t="shared" si="46"/>
        <v/>
      </c>
      <c r="AP37" s="66" t="str">
        <f t="shared" si="46"/>
        <v/>
      </c>
      <c r="AQ37" s="69" t="str">
        <f t="shared" si="46"/>
        <v/>
      </c>
      <c r="AR37" s="70"/>
      <c r="AS37" s="185"/>
      <c r="AT37" s="185"/>
      <c r="AU37" s="186"/>
      <c r="AV37" s="84" t="s">
        <v>97</v>
      </c>
      <c r="AW37" s="72" t="str">
        <f>IF(ISERROR(AVERAGE(AW5:AW35)),"",AVERAGE(AW5:AW35))</f>
        <v/>
      </c>
      <c r="AX37" s="187" t="e">
        <f>AVERAGE(AX5:AX35)</f>
        <v>#DIV/0!</v>
      </c>
      <c r="AY37" s="72" t="str">
        <f>IF(ISERROR(AVERAGE(AY5:AY35)),"",AVERAGE(AY5:AY35))</f>
        <v/>
      </c>
      <c r="AZ37" s="187" t="e">
        <f>AVERAGE(AZ5:AZ35)</f>
        <v>#DIV/0!</v>
      </c>
      <c r="BA37" s="72" t="str">
        <f>IF(ISERROR(AVERAGE(BA5:BA35)),"",AVERAGE(BA5:BA35))</f>
        <v/>
      </c>
      <c r="BB37" s="187" t="e">
        <f>AVERAGE(BB5:BB35)</f>
        <v>#DIV/0!</v>
      </c>
      <c r="BC37" s="72" t="str">
        <f>IF(ISERROR(AVERAGE(BC5:BC35)),"",AVERAGE(BC5:BC35))</f>
        <v/>
      </c>
      <c r="BD37" s="187" t="e">
        <f>AVERAGE(BD5:BD35)</f>
        <v>#DIV/0!</v>
      </c>
      <c r="BE37" s="72" t="str">
        <f>IF(ISERROR(AVERAGE(BE5:BE35)),"",AVERAGE(BE5:BE35))</f>
        <v/>
      </c>
      <c r="BF37" s="187" t="e">
        <f>AVERAGE(BF5:BF35)</f>
        <v>#DIV/0!</v>
      </c>
      <c r="BG37" s="72" t="str">
        <f>IF(ISERROR(AVERAGE(BG5:BG35)),"",AVERAGE(BG5:BG35))</f>
        <v/>
      </c>
      <c r="BH37" s="187" t="e">
        <f>AVERAGE(BH5:BH35)</f>
        <v>#DIV/0!</v>
      </c>
      <c r="BI37" s="72" t="str">
        <f>IF(ISERROR(AVERAGE(BI5:BI35)),"",AVERAGE(BI5:BI35))</f>
        <v/>
      </c>
      <c r="BJ37" s="187" t="e">
        <f>AVERAGE(BJ5:BJ35)</f>
        <v>#DIV/0!</v>
      </c>
      <c r="BK37" s="72" t="str">
        <f>IF(ISERROR(AVERAGE(BK5:BK35)),"",AVERAGE(BK5:BK35))</f>
        <v/>
      </c>
      <c r="BL37" s="187" t="e">
        <f>AVERAGE(BL5:BL35)</f>
        <v>#DIV/0!</v>
      </c>
      <c r="BM37" s="72" t="str">
        <f>IF(ISERROR(AVERAGE(BM5:BM35)),"",AVERAGE(BM5:BM35))</f>
        <v/>
      </c>
      <c r="BN37" s="187" t="e">
        <f>AVERAGE(BN5:BN35)</f>
        <v>#DIV/0!</v>
      </c>
      <c r="BO37" s="72" t="str">
        <f>IF(ISERROR(AVERAGE(BO5:BO35)),"",AVERAGE(BO5:BO35))</f>
        <v/>
      </c>
      <c r="BP37" s="187" t="e">
        <f>AVERAGE(BP5:BP35)</f>
        <v>#DIV/0!</v>
      </c>
      <c r="BQ37" s="72" t="str">
        <f>IF(ISERROR(AVERAGE(BQ5:BQ35)),"",AVERAGE(BQ5:BQ35))</f>
        <v/>
      </c>
      <c r="BR37" s="187" t="e">
        <f>AVERAGE(BR5:BR35)</f>
        <v>#DIV/0!</v>
      </c>
      <c r="BS37" s="72" t="str">
        <f>IF(ISERROR(AVERAGE(BS5:BS35)),"",AVERAGE(BS5:BS35))</f>
        <v/>
      </c>
      <c r="BT37" s="187" t="e">
        <f>AVERAGE(BT5:BT35)</f>
        <v>#DIV/0!</v>
      </c>
      <c r="BU37" s="72" t="str">
        <f>IF(ISERROR(AVERAGE(BU5:BU35)),"",AVERAGE(BU5:BU35))</f>
        <v/>
      </c>
      <c r="BV37" s="187" t="e">
        <f>AVERAGE(BV5:BV35)</f>
        <v>#DIV/0!</v>
      </c>
      <c r="BW37" s="72" t="str">
        <f>IF(ISERROR(AVERAGE(BW5:BW35)),"",AVERAGE(BW5:BW35))</f>
        <v/>
      </c>
      <c r="BX37" s="187" t="e">
        <f>AVERAGE(BX5:BX35)</f>
        <v>#DIV/0!</v>
      </c>
      <c r="BY37" s="72" t="str">
        <f>IF(ISERROR(AVERAGE(BY5:BY35)),"",AVERAGE(BY5:BY35))</f>
        <v/>
      </c>
      <c r="BZ37" s="187" t="e">
        <f>AVERAGE(BZ5:BZ35)</f>
        <v>#DIV/0!</v>
      </c>
      <c r="CA37" s="72" t="str">
        <f>IF(ISERROR(AVERAGE(CA5:CA35)),"",AVERAGE(CA5:CA35))</f>
        <v/>
      </c>
      <c r="CB37" s="187" t="e">
        <f>AVERAGE(CB5:CB35)</f>
        <v>#DIV/0!</v>
      </c>
      <c r="CC37" s="72" t="str">
        <f>IF(ISERROR(AVERAGE(CC5:CC35)),"",AVERAGE(CC5:CC35))</f>
        <v/>
      </c>
      <c r="CD37" s="187" t="e">
        <f>AVERAGE(CD5:CD35)</f>
        <v>#DIV/0!</v>
      </c>
      <c r="CE37" s="72" t="str">
        <f>IF(ISERROR(AVERAGE(CE5:CE35)),"",AVERAGE(CE5:CE35))</f>
        <v/>
      </c>
      <c r="CF37" s="187" t="e">
        <f>AVERAGE(CF5:CF35)</f>
        <v>#DIV/0!</v>
      </c>
      <c r="CG37" s="72" t="str">
        <f>IF(ISERROR(AVERAGE(CG5:CG35)),"",AVERAGE(CG5:CG35))</f>
        <v/>
      </c>
      <c r="CH37" s="187" t="e">
        <f>AVERAGE(CH5:CH35)</f>
        <v>#DIV/0!</v>
      </c>
      <c r="CI37" s="72" t="str">
        <f>IF(ISERROR(AVERAGE(CI5:CI35)),"",AVERAGE(CI5:CI35))</f>
        <v/>
      </c>
      <c r="CJ37" s="187" t="e">
        <f>AVERAGE(CJ5:CJ35)</f>
        <v>#DIV/0!</v>
      </c>
      <c r="CK37" s="72" t="str">
        <f>IF(ISERROR(AVERAGE(CK5:CK35)),"",AVERAGE(CK5:CK35))</f>
        <v/>
      </c>
      <c r="CL37" s="187" t="e">
        <f>AVERAGE(CL5:CL35)</f>
        <v>#DIV/0!</v>
      </c>
      <c r="CM37" s="72" t="str">
        <f>IF(ISERROR(AVERAGE(CM5:CM35)),"",AVERAGE(CM5:CM35))</f>
        <v/>
      </c>
      <c r="CN37" s="187" t="e">
        <f>AVERAGE(CN5:CN35)</f>
        <v>#DIV/0!</v>
      </c>
      <c r="CO37" s="72" t="str">
        <f>IF(ISERROR(AVERAGE(CO5:CO35)),"",AVERAGE(CO5:CO35))</f>
        <v/>
      </c>
      <c r="CP37" s="187" t="e">
        <f>AVERAGE(CP5:CP35)</f>
        <v>#DIV/0!</v>
      </c>
      <c r="CQ37" s="72" t="str">
        <f>IF(ISERROR(AVERAGE(CQ5:CQ35)),"",AVERAGE(CQ5:CQ35))</f>
        <v/>
      </c>
      <c r="CR37" s="187" t="e">
        <f>AVERAGE(CR5:CR35)</f>
        <v>#DIV/0!</v>
      </c>
      <c r="CS37" s="72" t="str">
        <f>IF(ISERROR(AVERAGE(CS5:CS35)),"",AVERAGE(CS5:CS35))</f>
        <v/>
      </c>
      <c r="CT37" s="188" t="e">
        <f>AVERAGE(CT5:CT35)</f>
        <v>#DIV/0!</v>
      </c>
      <c r="CU37" s="71" t="str">
        <f>IF(ISERROR(AVERAGE(CU5:CU35)),"",AVERAGE(CU5:CU35))</f>
        <v/>
      </c>
      <c r="CV37" s="88" t="str">
        <f>IF(ISERROR(AVERAGE(CV5:CV35)),"",AVERAGE(CV5:CV35))</f>
        <v/>
      </c>
      <c r="CW37" s="92"/>
      <c r="CX37" s="71" t="str">
        <f>IF(ISERROR(AVERAGE(CX5:CX35)),"",AVERAGE(CX5:CX35))</f>
        <v/>
      </c>
      <c r="CY37" s="154" t="str">
        <f>IF(ISERROR(AVERAGE(CY5:CY35)),"",AVERAGE(CY5:CY35))</f>
        <v/>
      </c>
      <c r="CZ37" s="72" t="str">
        <f>IF(ISERROR(AVERAGE(CZ5:CZ35)),"",AVERAGE(CZ5:CZ35))</f>
        <v/>
      </c>
      <c r="DA37" s="72" t="str">
        <f>IF(ISERROR(AVERAGE(DA5:DA35)),"",AVERAGE(DA5:DA35))</f>
        <v/>
      </c>
      <c r="DB37" s="98"/>
      <c r="DC37" s="99"/>
      <c r="DF37" s="126" t="e">
        <f t="shared" ref="DF37:DP37" si="47">AVERAGE(DF5:DF35)</f>
        <v>#DIV/0!</v>
      </c>
      <c r="DG37" s="127" t="e">
        <f t="shared" si="47"/>
        <v>#DIV/0!</v>
      </c>
      <c r="DH37" s="127" t="e">
        <f t="shared" si="47"/>
        <v>#DIV/0!</v>
      </c>
      <c r="DI37" s="127" t="e">
        <f t="shared" si="47"/>
        <v>#DIV/0!</v>
      </c>
      <c r="DJ37" s="127" t="e">
        <f t="shared" si="47"/>
        <v>#DIV/0!</v>
      </c>
      <c r="DK37" s="127" t="e">
        <f t="shared" si="47"/>
        <v>#DIV/0!</v>
      </c>
      <c r="DL37" s="127" t="e">
        <f t="shared" si="47"/>
        <v>#DIV/0!</v>
      </c>
      <c r="DM37" s="127" t="e">
        <f t="shared" si="47"/>
        <v>#DIV/0!</v>
      </c>
      <c r="DN37" s="127" t="e">
        <f t="shared" si="47"/>
        <v>#DIV/0!</v>
      </c>
      <c r="DO37" s="127" t="e">
        <f t="shared" si="47"/>
        <v>#DIV/0!</v>
      </c>
      <c r="DP37" s="127">
        <f t="shared" si="47"/>
        <v>0</v>
      </c>
      <c r="DQ37" s="188"/>
      <c r="DS37" s="198" t="s">
        <v>99</v>
      </c>
      <c r="DT37" s="199"/>
      <c r="DU37" s="199"/>
      <c r="DV37" s="199"/>
      <c r="DW37" s="199"/>
      <c r="DX37" s="199"/>
    </row>
    <row r="38" spans="1:128" ht="19.149999999999999" customHeight="1" thickTop="1" thickBot="1" x14ac:dyDescent="0.45">
      <c r="DS38" s="198" t="s">
        <v>100</v>
      </c>
      <c r="DT38" s="199"/>
      <c r="DU38" s="199"/>
      <c r="DV38" s="199"/>
      <c r="DW38" s="199"/>
      <c r="DX38" s="199"/>
    </row>
    <row r="39" spans="1:128" ht="18.75" customHeight="1" thickTop="1" x14ac:dyDescent="0.4">
      <c r="E39" s="196" t="s">
        <v>101</v>
      </c>
      <c r="F39" s="197"/>
      <c r="H39" s="137" t="s">
        <v>12</v>
      </c>
      <c r="T39" s="200" t="s">
        <v>102</v>
      </c>
      <c r="U39" s="197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 spans="1:128" ht="18.75" customHeight="1" thickBot="1" x14ac:dyDescent="0.45">
      <c r="E40" s="133" t="s">
        <v>95</v>
      </c>
      <c r="F40" s="135" t="e">
        <f>(令和9年1月!G35-令和9年1月!G19)+令和9年2月!G19</f>
        <v>#VALUE!</v>
      </c>
      <c r="H40" s="142" t="str">
        <f>IF(ISERROR(F40/U40),"",(F40/U40))</f>
        <v/>
      </c>
      <c r="I40" s="146"/>
      <c r="T40" s="133" t="s">
        <v>95</v>
      </c>
      <c r="U40" s="135">
        <f>(令和9年1月!V35-令和9年1月!V19)+令和9年2月!V19</f>
        <v>10624307</v>
      </c>
    </row>
    <row r="41" spans="1:128" ht="18.75" customHeight="1" thickTop="1" thickBot="1" x14ac:dyDescent="0.45">
      <c r="E41" s="134" t="s">
        <v>97</v>
      </c>
      <c r="F41" s="136" t="e">
        <f>F40/31</f>
        <v>#VALUE!</v>
      </c>
      <c r="T41" s="134" t="s">
        <v>97</v>
      </c>
      <c r="U41" s="136">
        <f>U40/31</f>
        <v>342719.58064516127</v>
      </c>
    </row>
    <row r="42" spans="1:128" ht="13.9" customHeight="1" thickTop="1" x14ac:dyDescent="0.4"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</row>
  </sheetData>
  <mergeCells count="44">
    <mergeCell ref="DS21:DV21"/>
    <mergeCell ref="DS31:DV31"/>
    <mergeCell ref="DS38:DX38"/>
    <mergeCell ref="DS35:DV35"/>
    <mergeCell ref="AB37:AC37"/>
    <mergeCell ref="DS37:DX37"/>
    <mergeCell ref="DS5:DV5"/>
    <mergeCell ref="G1:G2"/>
    <mergeCell ref="DS11:DV11"/>
    <mergeCell ref="AX1:BC2"/>
    <mergeCell ref="DS14:DV14"/>
    <mergeCell ref="DS12:DV12"/>
    <mergeCell ref="E39:F39"/>
    <mergeCell ref="DS8:DV8"/>
    <mergeCell ref="DS27:DV27"/>
    <mergeCell ref="DS29:DV29"/>
    <mergeCell ref="DS19:DV19"/>
    <mergeCell ref="DS10:DV10"/>
    <mergeCell ref="DS13:DV13"/>
    <mergeCell ref="DS9:DV9"/>
    <mergeCell ref="DS34:DV34"/>
    <mergeCell ref="DS28:DV28"/>
    <mergeCell ref="DS24:DV24"/>
    <mergeCell ref="DS15:DV15"/>
    <mergeCell ref="DS23:DV23"/>
    <mergeCell ref="DS17:DV17"/>
    <mergeCell ref="DS36:DX36"/>
    <mergeCell ref="T39:U39"/>
    <mergeCell ref="A1:E2"/>
    <mergeCell ref="DS30:DV30"/>
    <mergeCell ref="DS33:DV33"/>
    <mergeCell ref="DS4:DV4"/>
    <mergeCell ref="DS20:DV20"/>
    <mergeCell ref="DS16:DV16"/>
    <mergeCell ref="DS7:DV7"/>
    <mergeCell ref="DS25:DV25"/>
    <mergeCell ref="DS32:DV32"/>
    <mergeCell ref="DS26:DV26"/>
    <mergeCell ref="DS22:DV22"/>
    <mergeCell ref="F1:F2"/>
    <mergeCell ref="DS18:DV18"/>
    <mergeCell ref="H1:K2"/>
    <mergeCell ref="M1:M2"/>
    <mergeCell ref="DS6:DV6"/>
  </mergeCells>
  <phoneticPr fontId="3"/>
  <conditionalFormatting sqref="B5:D35">
    <cfRule type="expression" dxfId="160" priority="40" stopIfTrue="1">
      <formula>(B5)="土"</formula>
    </cfRule>
    <cfRule type="expression" dxfId="159" priority="41" stopIfTrue="1">
      <formula>(B5)="日"</formula>
    </cfRule>
  </conditionalFormatting>
  <conditionalFormatting sqref="R5:S35">
    <cfRule type="expression" dxfId="158" priority="1" stopIfTrue="1">
      <formula>(R5)="土"</formula>
    </cfRule>
    <cfRule type="expression" dxfId="157" priority="2" stopIfTrue="1">
      <formula>(R5)="日"</formula>
    </cfRule>
  </conditionalFormatting>
  <conditionalFormatting sqref="AX5:AX34">
    <cfRule type="cellIs" dxfId="156" priority="31" operator="equal">
      <formula>0</formula>
    </cfRule>
  </conditionalFormatting>
  <conditionalFormatting sqref="AZ5:AZ34">
    <cfRule type="cellIs" dxfId="155" priority="30" operator="equal">
      <formula>0</formula>
    </cfRule>
  </conditionalFormatting>
  <conditionalFormatting sqref="BB5:BB34">
    <cfRule type="cellIs" dxfId="154" priority="29" operator="equal">
      <formula>0</formula>
    </cfRule>
  </conditionalFormatting>
  <conditionalFormatting sqref="BD5:BD34">
    <cfRule type="cellIs" dxfId="153" priority="28" operator="equal">
      <formula>0</formula>
    </cfRule>
  </conditionalFormatting>
  <conditionalFormatting sqref="BF5:BF34">
    <cfRule type="cellIs" dxfId="152" priority="27" operator="equal">
      <formula>0</formula>
    </cfRule>
  </conditionalFormatting>
  <conditionalFormatting sqref="BH5:BH34">
    <cfRule type="cellIs" dxfId="151" priority="26" operator="equal">
      <formula>0</formula>
    </cfRule>
  </conditionalFormatting>
  <conditionalFormatting sqref="BJ5:BJ34">
    <cfRule type="cellIs" dxfId="150" priority="25" operator="equal">
      <formula>0</formula>
    </cfRule>
  </conditionalFormatting>
  <conditionalFormatting sqref="BL5:BL34">
    <cfRule type="cellIs" dxfId="149" priority="24" operator="equal">
      <formula>0</formula>
    </cfRule>
  </conditionalFormatting>
  <conditionalFormatting sqref="BN5:BN34">
    <cfRule type="cellIs" dxfId="148" priority="23" operator="equal">
      <formula>0</formula>
    </cfRule>
  </conditionalFormatting>
  <conditionalFormatting sqref="BP5:BP34">
    <cfRule type="cellIs" dxfId="147" priority="22" operator="equal">
      <formula>0</formula>
    </cfRule>
  </conditionalFormatting>
  <conditionalFormatting sqref="BR5:BR34">
    <cfRule type="cellIs" dxfId="146" priority="21" operator="equal">
      <formula>0</formula>
    </cfRule>
  </conditionalFormatting>
  <conditionalFormatting sqref="BT5:BT34">
    <cfRule type="cellIs" dxfId="145" priority="20" operator="equal">
      <formula>0</formula>
    </cfRule>
  </conditionalFormatting>
  <conditionalFormatting sqref="BV5:BV34">
    <cfRule type="cellIs" dxfId="144" priority="19" operator="equal">
      <formula>0</formula>
    </cfRule>
  </conditionalFormatting>
  <conditionalFormatting sqref="BX5:BX34">
    <cfRule type="cellIs" dxfId="143" priority="18" operator="equal">
      <formula>0</formula>
    </cfRule>
  </conditionalFormatting>
  <conditionalFormatting sqref="BZ5:BZ34">
    <cfRule type="cellIs" dxfId="142" priority="17" operator="equal">
      <formula>0</formula>
    </cfRule>
  </conditionalFormatting>
  <conditionalFormatting sqref="CB5:CB34">
    <cfRule type="cellIs" dxfId="141" priority="16" operator="equal">
      <formula>0</formula>
    </cfRule>
  </conditionalFormatting>
  <conditionalFormatting sqref="CD5:CD34">
    <cfRule type="cellIs" dxfId="140" priority="15" operator="equal">
      <formula>0</formula>
    </cfRule>
  </conditionalFormatting>
  <conditionalFormatting sqref="CF5:CF34">
    <cfRule type="cellIs" dxfId="139" priority="14" operator="equal">
      <formula>0</formula>
    </cfRule>
  </conditionalFormatting>
  <conditionalFormatting sqref="CH5:CH34">
    <cfRule type="cellIs" dxfId="138" priority="13" operator="equal">
      <formula>0</formula>
    </cfRule>
  </conditionalFormatting>
  <conditionalFormatting sqref="CJ5:CJ34">
    <cfRule type="cellIs" dxfId="137" priority="12" operator="equal">
      <formula>0</formula>
    </cfRule>
  </conditionalFormatting>
  <conditionalFormatting sqref="CL5:CL34">
    <cfRule type="cellIs" dxfId="136" priority="11" operator="equal">
      <formula>0</formula>
    </cfRule>
  </conditionalFormatting>
  <conditionalFormatting sqref="CN5:CN34">
    <cfRule type="cellIs" dxfId="135" priority="10" operator="equal">
      <formula>0</formula>
    </cfRule>
  </conditionalFormatting>
  <conditionalFormatting sqref="CP5:CP34">
    <cfRule type="cellIs" dxfId="134" priority="9" operator="equal">
      <formula>0</formula>
    </cfRule>
  </conditionalFormatting>
  <conditionalFormatting sqref="CR5:CR34">
    <cfRule type="cellIs" dxfId="133" priority="8" operator="equal">
      <formula>0</formula>
    </cfRule>
  </conditionalFormatting>
  <conditionalFormatting sqref="CT5:CT34">
    <cfRule type="cellIs" dxfId="132" priority="7" operator="equal">
      <formula>0</formula>
    </cfRule>
  </conditionalFormatting>
  <conditionalFormatting sqref="DC5:DC36">
    <cfRule type="expression" dxfId="131" priority="3" stopIfTrue="1">
      <formula>(DC5)="土"</formula>
    </cfRule>
    <cfRule type="expression" dxfId="130" priority="4" stopIfTrue="1">
      <formula>(DC5)="日"</formula>
    </cfRule>
  </conditionalFormatting>
  <pageMargins left="0.12" right="0.18" top="0.75" bottom="0.75" header="0.3" footer="0.3"/>
  <pageSetup paperSize="9" orientation="landscape" horizontalDpi="429496729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B42"/>
  <sheetViews>
    <sheetView topLeftCell="CS1" zoomScaleNormal="100" workbookViewId="0">
      <pane ySplit="4" topLeftCell="A13" activePane="bottomLeft" state="frozen"/>
      <selection pane="bottomLeft" activeCell="DD4" sqref="DD4"/>
    </sheetView>
  </sheetViews>
  <sheetFormatPr defaultRowHeight="13.5" x14ac:dyDescent="0.4"/>
  <cols>
    <col min="1" max="4" width="3.125" style="5" customWidth="1"/>
    <col min="5" max="5" width="5.625" style="5" customWidth="1"/>
    <col min="6" max="6" width="10.625" style="73" customWidth="1"/>
    <col min="7" max="7" width="12.5" style="73" customWidth="1"/>
    <col min="8" max="10" width="8.625" style="2" customWidth="1"/>
    <col min="11" max="11" width="5.625" style="2" customWidth="1"/>
    <col min="12" max="12" width="4.625" style="2" customWidth="1"/>
    <col min="13" max="13" width="5.625" style="2" customWidth="1"/>
    <col min="14" max="17" width="4.625" style="2" customWidth="1"/>
    <col min="18" max="19" width="3.125" style="5" customWidth="1"/>
    <col min="20" max="20" width="5.625" style="5" customWidth="1"/>
    <col min="21" max="21" width="7.625" style="73" customWidth="1"/>
    <col min="22" max="22" width="8.625" style="73" customWidth="1"/>
    <col min="23" max="24" width="5.625" style="2" customWidth="1"/>
    <col min="25" max="25" width="6.625" style="2" customWidth="1"/>
    <col min="26" max="26" width="9.875" style="2" customWidth="1"/>
    <col min="27" max="38" width="8.625" style="73" customWidth="1"/>
    <col min="39" max="43" width="8.625" style="73" hidden="1" customWidth="1"/>
    <col min="44" max="44" width="12.5" style="2" customWidth="1"/>
    <col min="45" max="45" width="6.75" style="2" customWidth="1"/>
    <col min="46" max="46" width="12.625" style="2" customWidth="1"/>
    <col min="47" max="47" width="8.625" style="161" customWidth="1"/>
    <col min="48" max="48" width="5.5" style="2" bestFit="1" customWidth="1"/>
    <col min="49" max="98" width="6.75" style="2" customWidth="1"/>
    <col min="99" max="100" width="8.625" style="2" customWidth="1"/>
    <col min="101" max="101" width="2.875" style="2" customWidth="1"/>
    <col min="102" max="102" width="10.625" style="2" customWidth="1"/>
    <col min="103" max="103" width="6.625" style="2" customWidth="1"/>
    <col min="104" max="104" width="10.625" style="2" customWidth="1"/>
    <col min="105" max="105" width="6.625" style="2" customWidth="1"/>
    <col min="106" max="107" width="3.125" style="5" customWidth="1"/>
    <col min="108" max="108" width="1.125" style="2" customWidth="1"/>
    <col min="109" max="109" width="2.375" style="2" customWidth="1"/>
    <col min="110" max="120" width="7.625" style="6" hidden="1" customWidth="1"/>
    <col min="121" max="121" width="6.75" style="2" hidden="1" customWidth="1"/>
    <col min="122" max="122" width="8.75" style="2" customWidth="1"/>
    <col min="123" max="126" width="8.625" style="2" customWidth="1"/>
    <col min="127" max="127" width="12.625" style="2" customWidth="1"/>
    <col min="128" max="128" width="8.625" style="2" customWidth="1"/>
    <col min="129" max="303" width="9" style="2" customWidth="1"/>
    <col min="304" max="305" width="3.125" style="2" customWidth="1"/>
    <col min="306" max="306" width="5.875" style="2" bestFit="1" customWidth="1"/>
    <col min="307" max="307" width="5.625" style="2" customWidth="1"/>
    <col min="308" max="308" width="10.625" style="2" customWidth="1"/>
    <col min="309" max="309" width="12.625" style="2" customWidth="1"/>
    <col min="310" max="310" width="8.625" style="2" customWidth="1"/>
    <col min="311" max="311" width="5.625" style="2" customWidth="1"/>
    <col min="312" max="312" width="4.625" style="2" customWidth="1"/>
    <col min="313" max="313" width="5.625" style="2" customWidth="1"/>
    <col min="314" max="317" width="4.625" style="2" customWidth="1"/>
    <col min="318" max="318" width="7.625" style="2" customWidth="1"/>
    <col min="319" max="319" width="8.625" style="2" customWidth="1"/>
    <col min="320" max="321" width="5.625" style="2" customWidth="1"/>
    <col min="322" max="322" width="6.625" style="2" customWidth="1"/>
    <col min="323" max="323" width="9.875" style="2" customWidth="1"/>
    <col min="324" max="325" width="8.625" style="2" customWidth="1"/>
    <col min="326" max="326" width="5.5" style="2" bestFit="1" customWidth="1"/>
    <col min="327" max="368" width="6.75" style="2" customWidth="1"/>
    <col min="369" max="369" width="9" style="2" customWidth="1"/>
    <col min="370" max="370" width="9.875" style="2" customWidth="1"/>
    <col min="371" max="371" width="2.875" style="2" customWidth="1"/>
    <col min="372" max="372" width="12.25" style="2" customWidth="1"/>
    <col min="373" max="373" width="6.375" style="2" customWidth="1"/>
    <col min="374" max="375" width="3.125" style="2" customWidth="1"/>
    <col min="376" max="376" width="1.125" style="2" customWidth="1"/>
    <col min="377" max="377" width="9" style="2" customWidth="1"/>
    <col min="378" max="378" width="2.375" style="2" customWidth="1"/>
    <col min="379" max="396" width="7.625" style="2" customWidth="1"/>
    <col min="397" max="559" width="9" style="2" customWidth="1"/>
    <col min="560" max="561" width="3.125" style="2" customWidth="1"/>
    <col min="562" max="562" width="5.875" style="2" bestFit="1" customWidth="1"/>
    <col min="563" max="563" width="5.625" style="2" customWidth="1"/>
    <col min="564" max="564" width="10.625" style="2" customWidth="1"/>
    <col min="565" max="565" width="12.625" style="2" customWidth="1"/>
    <col min="566" max="566" width="8.625" style="2" customWidth="1"/>
    <col min="567" max="567" width="5.625" style="2" customWidth="1"/>
    <col min="568" max="568" width="4.625" style="2" customWidth="1"/>
    <col min="569" max="569" width="5.625" style="2" customWidth="1"/>
    <col min="570" max="573" width="4.625" style="2" customWidth="1"/>
    <col min="574" max="574" width="7.625" style="2" customWidth="1"/>
    <col min="575" max="575" width="8.625" style="2" customWidth="1"/>
    <col min="576" max="577" width="5.625" style="2" customWidth="1"/>
    <col min="578" max="578" width="6.625" style="2" customWidth="1"/>
    <col min="579" max="579" width="9.875" style="2" customWidth="1"/>
    <col min="580" max="581" width="8.625" style="2" customWidth="1"/>
    <col min="582" max="582" width="5.5" style="2" bestFit="1" customWidth="1"/>
    <col min="583" max="624" width="6.75" style="2" customWidth="1"/>
    <col min="625" max="625" width="9" style="2" customWidth="1"/>
    <col min="626" max="626" width="9.875" style="2" customWidth="1"/>
    <col min="627" max="627" width="2.875" style="2" customWidth="1"/>
    <col min="628" max="628" width="12.25" style="2" customWidth="1"/>
    <col min="629" max="629" width="6.375" style="2" customWidth="1"/>
    <col min="630" max="631" width="3.125" style="2" customWidth="1"/>
    <col min="632" max="632" width="1.125" style="2" customWidth="1"/>
    <col min="633" max="633" width="9" style="2" customWidth="1"/>
    <col min="634" max="634" width="2.375" style="2" customWidth="1"/>
    <col min="635" max="652" width="7.625" style="2" customWidth="1"/>
    <col min="653" max="815" width="9" style="2" customWidth="1"/>
    <col min="816" max="817" width="3.125" style="2" customWidth="1"/>
    <col min="818" max="818" width="5.875" style="2" bestFit="1" customWidth="1"/>
    <col min="819" max="819" width="5.625" style="2" customWidth="1"/>
    <col min="820" max="820" width="10.625" style="2" customWidth="1"/>
    <col min="821" max="821" width="12.625" style="2" customWidth="1"/>
    <col min="822" max="822" width="8.625" style="2" customWidth="1"/>
    <col min="823" max="823" width="5.625" style="2" customWidth="1"/>
    <col min="824" max="824" width="4.625" style="2" customWidth="1"/>
    <col min="825" max="825" width="5.625" style="2" customWidth="1"/>
    <col min="826" max="829" width="4.625" style="2" customWidth="1"/>
    <col min="830" max="830" width="7.625" style="2" customWidth="1"/>
    <col min="831" max="831" width="8.625" style="2" customWidth="1"/>
    <col min="832" max="833" width="5.625" style="2" customWidth="1"/>
    <col min="834" max="834" width="6.625" style="2" customWidth="1"/>
    <col min="835" max="835" width="9.875" style="2" customWidth="1"/>
    <col min="836" max="837" width="8.625" style="2" customWidth="1"/>
    <col min="838" max="838" width="5.5" style="2" bestFit="1" customWidth="1"/>
    <col min="839" max="880" width="6.75" style="2" customWidth="1"/>
    <col min="881" max="881" width="9" style="2" customWidth="1"/>
    <col min="882" max="882" width="9.875" style="2" customWidth="1"/>
    <col min="883" max="883" width="2.875" style="2" customWidth="1"/>
    <col min="884" max="884" width="12.25" style="2" customWidth="1"/>
    <col min="885" max="885" width="6.375" style="2" customWidth="1"/>
    <col min="886" max="887" width="3.125" style="2" customWidth="1"/>
    <col min="888" max="888" width="1.125" style="2" customWidth="1"/>
    <col min="889" max="889" width="9" style="2" customWidth="1"/>
    <col min="890" max="890" width="2.375" style="2" customWidth="1"/>
    <col min="891" max="908" width="7.625" style="2" customWidth="1"/>
    <col min="909" max="1071" width="9" style="2" customWidth="1"/>
    <col min="1072" max="1073" width="3.125" style="2" customWidth="1"/>
    <col min="1074" max="1074" width="5.875" style="2" bestFit="1" customWidth="1"/>
    <col min="1075" max="1075" width="5.625" style="2" customWidth="1"/>
    <col min="1076" max="1076" width="10.625" style="2" customWidth="1"/>
    <col min="1077" max="1077" width="12.625" style="2" customWidth="1"/>
    <col min="1078" max="1078" width="8.625" style="2" customWidth="1"/>
    <col min="1079" max="1079" width="5.625" style="2" customWidth="1"/>
    <col min="1080" max="1080" width="4.625" style="2" customWidth="1"/>
    <col min="1081" max="1081" width="5.625" style="2" customWidth="1"/>
    <col min="1082" max="1085" width="4.625" style="2" customWidth="1"/>
    <col min="1086" max="1086" width="7.625" style="2" customWidth="1"/>
    <col min="1087" max="1087" width="8.625" style="2" customWidth="1"/>
    <col min="1088" max="1089" width="5.625" style="2" customWidth="1"/>
    <col min="1090" max="1090" width="6.625" style="2" customWidth="1"/>
    <col min="1091" max="1091" width="9.875" style="2" customWidth="1"/>
    <col min="1092" max="1093" width="8.625" style="2" customWidth="1"/>
    <col min="1094" max="1094" width="5.5" style="2" bestFit="1" customWidth="1"/>
    <col min="1095" max="1136" width="6.75" style="2" customWidth="1"/>
    <col min="1137" max="1137" width="9" style="2" customWidth="1"/>
    <col min="1138" max="1138" width="9.875" style="2" customWidth="1"/>
    <col min="1139" max="1139" width="2.875" style="2" customWidth="1"/>
    <col min="1140" max="1140" width="12.25" style="2" customWidth="1"/>
    <col min="1141" max="1141" width="6.375" style="2" customWidth="1"/>
    <col min="1142" max="1143" width="3.125" style="2" customWidth="1"/>
    <col min="1144" max="1144" width="1.125" style="2" customWidth="1"/>
    <col min="1145" max="1145" width="9" style="2" customWidth="1"/>
    <col min="1146" max="1146" width="2.375" style="2" customWidth="1"/>
    <col min="1147" max="1164" width="7.625" style="2" customWidth="1"/>
    <col min="1165" max="1327" width="9" style="2" customWidth="1"/>
    <col min="1328" max="1329" width="3.125" style="2" customWidth="1"/>
    <col min="1330" max="1330" width="5.875" style="2" bestFit="1" customWidth="1"/>
    <col min="1331" max="1331" width="5.625" style="2" customWidth="1"/>
    <col min="1332" max="1332" width="10.625" style="2" customWidth="1"/>
    <col min="1333" max="1333" width="12.625" style="2" customWidth="1"/>
    <col min="1334" max="1334" width="8.625" style="2" customWidth="1"/>
    <col min="1335" max="1335" width="5.625" style="2" customWidth="1"/>
    <col min="1336" max="1336" width="4.625" style="2" customWidth="1"/>
    <col min="1337" max="1337" width="5.625" style="2" customWidth="1"/>
    <col min="1338" max="1341" width="4.625" style="2" customWidth="1"/>
    <col min="1342" max="1342" width="7.625" style="2" customWidth="1"/>
    <col min="1343" max="1343" width="8.625" style="2" customWidth="1"/>
    <col min="1344" max="1345" width="5.625" style="2" customWidth="1"/>
    <col min="1346" max="1346" width="6.625" style="2" customWidth="1"/>
    <col min="1347" max="1347" width="9.875" style="2" customWidth="1"/>
    <col min="1348" max="1349" width="8.625" style="2" customWidth="1"/>
    <col min="1350" max="1350" width="5.5" style="2" bestFit="1" customWidth="1"/>
    <col min="1351" max="1392" width="6.75" style="2" customWidth="1"/>
    <col min="1393" max="1393" width="9" style="2" customWidth="1"/>
    <col min="1394" max="1394" width="9.875" style="2" customWidth="1"/>
    <col min="1395" max="1395" width="2.875" style="2" customWidth="1"/>
    <col min="1396" max="1396" width="12.25" style="2" customWidth="1"/>
    <col min="1397" max="1397" width="6.375" style="2" customWidth="1"/>
    <col min="1398" max="1399" width="3.125" style="2" customWidth="1"/>
    <col min="1400" max="1400" width="1.125" style="2" customWidth="1"/>
    <col min="1401" max="1401" width="9" style="2" customWidth="1"/>
    <col min="1402" max="1402" width="2.375" style="2" customWidth="1"/>
    <col min="1403" max="1420" width="7.625" style="2" customWidth="1"/>
    <col min="1421" max="1583" width="9" style="2" customWidth="1"/>
    <col min="1584" max="1585" width="3.125" style="2" customWidth="1"/>
    <col min="1586" max="1586" width="5.875" style="2" bestFit="1" customWidth="1"/>
    <col min="1587" max="1587" width="5.625" style="2" customWidth="1"/>
    <col min="1588" max="1588" width="10.625" style="2" customWidth="1"/>
    <col min="1589" max="1589" width="12.625" style="2" customWidth="1"/>
    <col min="1590" max="1590" width="8.625" style="2" customWidth="1"/>
    <col min="1591" max="1591" width="5.625" style="2" customWidth="1"/>
    <col min="1592" max="1592" width="4.625" style="2" customWidth="1"/>
    <col min="1593" max="1593" width="5.625" style="2" customWidth="1"/>
    <col min="1594" max="1597" width="4.625" style="2" customWidth="1"/>
    <col min="1598" max="1598" width="7.625" style="2" customWidth="1"/>
    <col min="1599" max="1599" width="8.625" style="2" customWidth="1"/>
    <col min="1600" max="1601" width="5.625" style="2" customWidth="1"/>
    <col min="1602" max="1602" width="6.625" style="2" customWidth="1"/>
    <col min="1603" max="1603" width="9.875" style="2" customWidth="1"/>
    <col min="1604" max="1605" width="8.625" style="2" customWidth="1"/>
    <col min="1606" max="1606" width="5.5" style="2" bestFit="1" customWidth="1"/>
    <col min="1607" max="1648" width="6.75" style="2" customWidth="1"/>
    <col min="1649" max="1649" width="9" style="2" customWidth="1"/>
    <col min="1650" max="1650" width="9.875" style="2" customWidth="1"/>
    <col min="1651" max="1651" width="2.875" style="2" customWidth="1"/>
    <col min="1652" max="1652" width="12.25" style="2" customWidth="1"/>
    <col min="1653" max="1653" width="6.375" style="2" customWidth="1"/>
    <col min="1654" max="1655" width="3.125" style="2" customWidth="1"/>
    <col min="1656" max="1656" width="1.125" style="2" customWidth="1"/>
    <col min="1657" max="1657" width="9" style="2" customWidth="1"/>
    <col min="1658" max="1658" width="2.375" style="2" customWidth="1"/>
    <col min="1659" max="1676" width="7.625" style="2" customWidth="1"/>
    <col min="1677" max="1839" width="9" style="2" customWidth="1"/>
    <col min="1840" max="1841" width="3.125" style="2" customWidth="1"/>
    <col min="1842" max="1842" width="5.875" style="2" bestFit="1" customWidth="1"/>
    <col min="1843" max="1843" width="5.625" style="2" customWidth="1"/>
    <col min="1844" max="1844" width="10.625" style="2" customWidth="1"/>
    <col min="1845" max="1845" width="12.625" style="2" customWidth="1"/>
    <col min="1846" max="1846" width="8.625" style="2" customWidth="1"/>
    <col min="1847" max="1847" width="5.625" style="2" customWidth="1"/>
    <col min="1848" max="1848" width="4.625" style="2" customWidth="1"/>
    <col min="1849" max="1849" width="5.625" style="2" customWidth="1"/>
    <col min="1850" max="1853" width="4.625" style="2" customWidth="1"/>
    <col min="1854" max="1854" width="7.625" style="2" customWidth="1"/>
    <col min="1855" max="1855" width="8.625" style="2" customWidth="1"/>
    <col min="1856" max="1857" width="5.625" style="2" customWidth="1"/>
    <col min="1858" max="1858" width="6.625" style="2" customWidth="1"/>
    <col min="1859" max="1859" width="9.875" style="2" customWidth="1"/>
    <col min="1860" max="1861" width="8.625" style="2" customWidth="1"/>
    <col min="1862" max="1862" width="5.5" style="2" bestFit="1" customWidth="1"/>
    <col min="1863" max="1904" width="6.75" style="2" customWidth="1"/>
    <col min="1905" max="1905" width="9" style="2" customWidth="1"/>
    <col min="1906" max="1906" width="9.875" style="2" customWidth="1"/>
    <col min="1907" max="1907" width="2.875" style="2" customWidth="1"/>
    <col min="1908" max="1908" width="12.25" style="2" customWidth="1"/>
    <col min="1909" max="1909" width="6.375" style="2" customWidth="1"/>
    <col min="1910" max="1911" width="3.125" style="2" customWidth="1"/>
    <col min="1912" max="1912" width="1.125" style="2" customWidth="1"/>
    <col min="1913" max="1913" width="9" style="2" customWidth="1"/>
    <col min="1914" max="1914" width="2.375" style="2" customWidth="1"/>
    <col min="1915" max="1932" width="7.625" style="2" customWidth="1"/>
    <col min="1933" max="2095" width="9" style="2" customWidth="1"/>
    <col min="2096" max="2097" width="3.125" style="2" customWidth="1"/>
    <col min="2098" max="2098" width="5.875" style="2" bestFit="1" customWidth="1"/>
    <col min="2099" max="2099" width="5.625" style="2" customWidth="1"/>
    <col min="2100" max="2100" width="10.625" style="2" customWidth="1"/>
    <col min="2101" max="2101" width="12.625" style="2" customWidth="1"/>
    <col min="2102" max="2102" width="8.625" style="2" customWidth="1"/>
    <col min="2103" max="2103" width="5.625" style="2" customWidth="1"/>
    <col min="2104" max="2104" width="4.625" style="2" customWidth="1"/>
    <col min="2105" max="2105" width="5.625" style="2" customWidth="1"/>
    <col min="2106" max="2109" width="4.625" style="2" customWidth="1"/>
    <col min="2110" max="2110" width="7.625" style="2" customWidth="1"/>
    <col min="2111" max="2111" width="8.625" style="2" customWidth="1"/>
    <col min="2112" max="2113" width="5.625" style="2" customWidth="1"/>
    <col min="2114" max="2114" width="6.625" style="2" customWidth="1"/>
    <col min="2115" max="2115" width="9.875" style="2" customWidth="1"/>
    <col min="2116" max="2117" width="8.625" style="2" customWidth="1"/>
    <col min="2118" max="2118" width="5.5" style="2" bestFit="1" customWidth="1"/>
    <col min="2119" max="2160" width="6.75" style="2" customWidth="1"/>
    <col min="2161" max="2161" width="9" style="2" customWidth="1"/>
    <col min="2162" max="2162" width="9.875" style="2" customWidth="1"/>
    <col min="2163" max="2163" width="2.875" style="2" customWidth="1"/>
    <col min="2164" max="2164" width="12.25" style="2" customWidth="1"/>
    <col min="2165" max="2165" width="6.375" style="2" customWidth="1"/>
    <col min="2166" max="2167" width="3.125" style="2" customWidth="1"/>
    <col min="2168" max="2168" width="1.125" style="2" customWidth="1"/>
    <col min="2169" max="2169" width="9" style="2" customWidth="1"/>
    <col min="2170" max="2170" width="2.375" style="2" customWidth="1"/>
    <col min="2171" max="2188" width="7.625" style="2" customWidth="1"/>
    <col min="2189" max="2351" width="9" style="2" customWidth="1"/>
    <col min="2352" max="2353" width="3.125" style="2" customWidth="1"/>
    <col min="2354" max="2354" width="5.875" style="2" bestFit="1" customWidth="1"/>
    <col min="2355" max="2355" width="5.625" style="2" customWidth="1"/>
    <col min="2356" max="2356" width="10.625" style="2" customWidth="1"/>
    <col min="2357" max="2357" width="12.625" style="2" customWidth="1"/>
    <col min="2358" max="2358" width="8.625" style="2" customWidth="1"/>
    <col min="2359" max="2359" width="5.625" style="2" customWidth="1"/>
    <col min="2360" max="2360" width="4.625" style="2" customWidth="1"/>
    <col min="2361" max="2361" width="5.625" style="2" customWidth="1"/>
    <col min="2362" max="2365" width="4.625" style="2" customWidth="1"/>
    <col min="2366" max="2366" width="7.625" style="2" customWidth="1"/>
    <col min="2367" max="2367" width="8.625" style="2" customWidth="1"/>
    <col min="2368" max="2369" width="5.625" style="2" customWidth="1"/>
    <col min="2370" max="2370" width="6.625" style="2" customWidth="1"/>
    <col min="2371" max="2371" width="9.875" style="2" customWidth="1"/>
    <col min="2372" max="2373" width="8.625" style="2" customWidth="1"/>
    <col min="2374" max="2374" width="5.5" style="2" bestFit="1" customWidth="1"/>
    <col min="2375" max="2416" width="6.75" style="2" customWidth="1"/>
    <col min="2417" max="2417" width="9" style="2" customWidth="1"/>
    <col min="2418" max="2418" width="9.875" style="2" customWidth="1"/>
    <col min="2419" max="2419" width="2.875" style="2" customWidth="1"/>
    <col min="2420" max="2420" width="12.25" style="2" customWidth="1"/>
    <col min="2421" max="2421" width="6.375" style="2" customWidth="1"/>
    <col min="2422" max="2423" width="3.125" style="2" customWidth="1"/>
    <col min="2424" max="2424" width="1.125" style="2" customWidth="1"/>
    <col min="2425" max="2425" width="9" style="2" customWidth="1"/>
    <col min="2426" max="2426" width="2.375" style="2" customWidth="1"/>
    <col min="2427" max="2444" width="7.625" style="2" customWidth="1"/>
    <col min="2445" max="2607" width="9" style="2" customWidth="1"/>
    <col min="2608" max="2609" width="3.125" style="2" customWidth="1"/>
    <col min="2610" max="2610" width="5.875" style="2" bestFit="1" customWidth="1"/>
    <col min="2611" max="2611" width="5.625" style="2" customWidth="1"/>
    <col min="2612" max="2612" width="10.625" style="2" customWidth="1"/>
    <col min="2613" max="2613" width="12.625" style="2" customWidth="1"/>
    <col min="2614" max="2614" width="8.625" style="2" customWidth="1"/>
    <col min="2615" max="2615" width="5.625" style="2" customWidth="1"/>
    <col min="2616" max="2616" width="4.625" style="2" customWidth="1"/>
    <col min="2617" max="2617" width="5.625" style="2" customWidth="1"/>
    <col min="2618" max="2621" width="4.625" style="2" customWidth="1"/>
    <col min="2622" max="2622" width="7.625" style="2" customWidth="1"/>
    <col min="2623" max="2623" width="8.625" style="2" customWidth="1"/>
    <col min="2624" max="2625" width="5.625" style="2" customWidth="1"/>
    <col min="2626" max="2626" width="6.625" style="2" customWidth="1"/>
    <col min="2627" max="2627" width="9.875" style="2" customWidth="1"/>
    <col min="2628" max="2629" width="8.625" style="2" customWidth="1"/>
    <col min="2630" max="2630" width="5.5" style="2" bestFit="1" customWidth="1"/>
    <col min="2631" max="2672" width="6.75" style="2" customWidth="1"/>
    <col min="2673" max="2673" width="9" style="2" customWidth="1"/>
    <col min="2674" max="2674" width="9.875" style="2" customWidth="1"/>
    <col min="2675" max="2675" width="2.875" style="2" customWidth="1"/>
    <col min="2676" max="2676" width="12.25" style="2" customWidth="1"/>
    <col min="2677" max="2677" width="6.375" style="2" customWidth="1"/>
    <col min="2678" max="2679" width="3.125" style="2" customWidth="1"/>
    <col min="2680" max="2680" width="1.125" style="2" customWidth="1"/>
    <col min="2681" max="2681" width="9" style="2" customWidth="1"/>
    <col min="2682" max="2682" width="2.375" style="2" customWidth="1"/>
    <col min="2683" max="2700" width="7.625" style="2" customWidth="1"/>
    <col min="2701" max="2863" width="9" style="2" customWidth="1"/>
    <col min="2864" max="2865" width="3.125" style="2" customWidth="1"/>
    <col min="2866" max="2866" width="5.875" style="2" bestFit="1" customWidth="1"/>
    <col min="2867" max="2867" width="5.625" style="2" customWidth="1"/>
    <col min="2868" max="2868" width="10.625" style="2" customWidth="1"/>
    <col min="2869" max="2869" width="12.625" style="2" customWidth="1"/>
    <col min="2870" max="2870" width="8.625" style="2" customWidth="1"/>
    <col min="2871" max="2871" width="5.625" style="2" customWidth="1"/>
    <col min="2872" max="2872" width="4.625" style="2" customWidth="1"/>
    <col min="2873" max="2873" width="5.625" style="2" customWidth="1"/>
    <col min="2874" max="2877" width="4.625" style="2" customWidth="1"/>
    <col min="2878" max="2878" width="7.625" style="2" customWidth="1"/>
    <col min="2879" max="2879" width="8.625" style="2" customWidth="1"/>
    <col min="2880" max="2881" width="5.625" style="2" customWidth="1"/>
    <col min="2882" max="2882" width="6.625" style="2" customWidth="1"/>
    <col min="2883" max="2883" width="9.875" style="2" customWidth="1"/>
    <col min="2884" max="2885" width="8.625" style="2" customWidth="1"/>
    <col min="2886" max="2886" width="5.5" style="2" bestFit="1" customWidth="1"/>
    <col min="2887" max="2928" width="6.75" style="2" customWidth="1"/>
    <col min="2929" max="2929" width="9" style="2" customWidth="1"/>
    <col min="2930" max="2930" width="9.875" style="2" customWidth="1"/>
    <col min="2931" max="2931" width="2.875" style="2" customWidth="1"/>
    <col min="2932" max="2932" width="12.25" style="2" customWidth="1"/>
    <col min="2933" max="2933" width="6.375" style="2" customWidth="1"/>
    <col min="2934" max="2935" width="3.125" style="2" customWidth="1"/>
    <col min="2936" max="2936" width="1.125" style="2" customWidth="1"/>
    <col min="2937" max="2937" width="9" style="2" customWidth="1"/>
    <col min="2938" max="2938" width="2.375" style="2" customWidth="1"/>
    <col min="2939" max="2956" width="7.625" style="2" customWidth="1"/>
    <col min="2957" max="3119" width="9" style="2" customWidth="1"/>
    <col min="3120" max="3121" width="3.125" style="2" customWidth="1"/>
    <col min="3122" max="3122" width="5.875" style="2" bestFit="1" customWidth="1"/>
    <col min="3123" max="3123" width="5.625" style="2" customWidth="1"/>
    <col min="3124" max="3124" width="10.625" style="2" customWidth="1"/>
    <col min="3125" max="3125" width="12.625" style="2" customWidth="1"/>
    <col min="3126" max="3126" width="8.625" style="2" customWidth="1"/>
    <col min="3127" max="3127" width="5.625" style="2" customWidth="1"/>
    <col min="3128" max="3128" width="4.625" style="2" customWidth="1"/>
    <col min="3129" max="3129" width="5.625" style="2" customWidth="1"/>
    <col min="3130" max="3133" width="4.625" style="2" customWidth="1"/>
    <col min="3134" max="3134" width="7.625" style="2" customWidth="1"/>
    <col min="3135" max="3135" width="8.625" style="2" customWidth="1"/>
    <col min="3136" max="3137" width="5.625" style="2" customWidth="1"/>
    <col min="3138" max="3138" width="6.625" style="2" customWidth="1"/>
    <col min="3139" max="3139" width="9.875" style="2" customWidth="1"/>
    <col min="3140" max="3141" width="8.625" style="2" customWidth="1"/>
    <col min="3142" max="3142" width="5.5" style="2" bestFit="1" customWidth="1"/>
    <col min="3143" max="3184" width="6.75" style="2" customWidth="1"/>
    <col min="3185" max="3185" width="9" style="2" customWidth="1"/>
    <col min="3186" max="3186" width="9.875" style="2" customWidth="1"/>
    <col min="3187" max="3187" width="2.875" style="2" customWidth="1"/>
    <col min="3188" max="3188" width="12.25" style="2" customWidth="1"/>
    <col min="3189" max="3189" width="6.375" style="2" customWidth="1"/>
    <col min="3190" max="3191" width="3.125" style="2" customWidth="1"/>
    <col min="3192" max="3192" width="1.125" style="2" customWidth="1"/>
    <col min="3193" max="3193" width="9" style="2" customWidth="1"/>
    <col min="3194" max="3194" width="2.375" style="2" customWidth="1"/>
    <col min="3195" max="3212" width="7.625" style="2" customWidth="1"/>
    <col min="3213" max="3375" width="9" style="2" customWidth="1"/>
    <col min="3376" max="3377" width="3.125" style="2" customWidth="1"/>
    <col min="3378" max="3378" width="5.875" style="2" bestFit="1" customWidth="1"/>
    <col min="3379" max="3379" width="5.625" style="2" customWidth="1"/>
    <col min="3380" max="3380" width="10.625" style="2" customWidth="1"/>
    <col min="3381" max="3381" width="12.625" style="2" customWidth="1"/>
    <col min="3382" max="3382" width="8.625" style="2" customWidth="1"/>
    <col min="3383" max="3383" width="5.625" style="2" customWidth="1"/>
    <col min="3384" max="3384" width="4.625" style="2" customWidth="1"/>
    <col min="3385" max="3385" width="5.625" style="2" customWidth="1"/>
    <col min="3386" max="3389" width="4.625" style="2" customWidth="1"/>
    <col min="3390" max="3390" width="7.625" style="2" customWidth="1"/>
    <col min="3391" max="3391" width="8.625" style="2" customWidth="1"/>
    <col min="3392" max="3393" width="5.625" style="2" customWidth="1"/>
    <col min="3394" max="3394" width="6.625" style="2" customWidth="1"/>
    <col min="3395" max="3395" width="9.875" style="2" customWidth="1"/>
    <col min="3396" max="3397" width="8.625" style="2" customWidth="1"/>
    <col min="3398" max="3398" width="5.5" style="2" bestFit="1" customWidth="1"/>
    <col min="3399" max="3440" width="6.75" style="2" customWidth="1"/>
    <col min="3441" max="3441" width="9" style="2" customWidth="1"/>
    <col min="3442" max="3442" width="9.875" style="2" customWidth="1"/>
    <col min="3443" max="3443" width="2.875" style="2" customWidth="1"/>
    <col min="3444" max="3444" width="12.25" style="2" customWidth="1"/>
    <col min="3445" max="3445" width="6.375" style="2" customWidth="1"/>
    <col min="3446" max="3447" width="3.125" style="2" customWidth="1"/>
    <col min="3448" max="3448" width="1.125" style="2" customWidth="1"/>
    <col min="3449" max="3449" width="9" style="2" customWidth="1"/>
    <col min="3450" max="3450" width="2.375" style="2" customWidth="1"/>
    <col min="3451" max="3468" width="7.625" style="2" customWidth="1"/>
    <col min="3469" max="3631" width="9" style="2" customWidth="1"/>
    <col min="3632" max="3633" width="3.125" style="2" customWidth="1"/>
    <col min="3634" max="3634" width="5.875" style="2" bestFit="1" customWidth="1"/>
    <col min="3635" max="3635" width="5.625" style="2" customWidth="1"/>
    <col min="3636" max="3636" width="10.625" style="2" customWidth="1"/>
    <col min="3637" max="3637" width="12.625" style="2" customWidth="1"/>
    <col min="3638" max="3638" width="8.625" style="2" customWidth="1"/>
    <col min="3639" max="3639" width="5.625" style="2" customWidth="1"/>
    <col min="3640" max="3640" width="4.625" style="2" customWidth="1"/>
    <col min="3641" max="3641" width="5.625" style="2" customWidth="1"/>
    <col min="3642" max="3645" width="4.625" style="2" customWidth="1"/>
    <col min="3646" max="3646" width="7.625" style="2" customWidth="1"/>
    <col min="3647" max="3647" width="8.625" style="2" customWidth="1"/>
    <col min="3648" max="3649" width="5.625" style="2" customWidth="1"/>
    <col min="3650" max="3650" width="6.625" style="2" customWidth="1"/>
    <col min="3651" max="3651" width="9.875" style="2" customWidth="1"/>
    <col min="3652" max="3653" width="8.625" style="2" customWidth="1"/>
    <col min="3654" max="3654" width="5.5" style="2" bestFit="1" customWidth="1"/>
    <col min="3655" max="3696" width="6.75" style="2" customWidth="1"/>
    <col min="3697" max="3697" width="9" style="2" customWidth="1"/>
    <col min="3698" max="3698" width="9.875" style="2" customWidth="1"/>
    <col min="3699" max="3699" width="2.875" style="2" customWidth="1"/>
    <col min="3700" max="3700" width="12.25" style="2" customWidth="1"/>
    <col min="3701" max="3701" width="6.375" style="2" customWidth="1"/>
    <col min="3702" max="3703" width="3.125" style="2" customWidth="1"/>
    <col min="3704" max="3704" width="1.125" style="2" customWidth="1"/>
    <col min="3705" max="3705" width="9" style="2" customWidth="1"/>
    <col min="3706" max="3706" width="2.375" style="2" customWidth="1"/>
    <col min="3707" max="3724" width="7.625" style="2" customWidth="1"/>
    <col min="3725" max="3887" width="9" style="2" customWidth="1"/>
    <col min="3888" max="3889" width="3.125" style="2" customWidth="1"/>
    <col min="3890" max="3890" width="5.875" style="2" bestFit="1" customWidth="1"/>
    <col min="3891" max="3891" width="5.625" style="2" customWidth="1"/>
    <col min="3892" max="3892" width="10.625" style="2" customWidth="1"/>
    <col min="3893" max="3893" width="12.625" style="2" customWidth="1"/>
    <col min="3894" max="3894" width="8.625" style="2" customWidth="1"/>
    <col min="3895" max="3895" width="5.625" style="2" customWidth="1"/>
    <col min="3896" max="3896" width="4.625" style="2" customWidth="1"/>
    <col min="3897" max="3897" width="5.625" style="2" customWidth="1"/>
    <col min="3898" max="3901" width="4.625" style="2" customWidth="1"/>
    <col min="3902" max="3902" width="7.625" style="2" customWidth="1"/>
    <col min="3903" max="3903" width="8.625" style="2" customWidth="1"/>
    <col min="3904" max="3905" width="5.625" style="2" customWidth="1"/>
    <col min="3906" max="3906" width="6.625" style="2" customWidth="1"/>
    <col min="3907" max="3907" width="9.875" style="2" customWidth="1"/>
    <col min="3908" max="3909" width="8.625" style="2" customWidth="1"/>
    <col min="3910" max="3910" width="5.5" style="2" bestFit="1" customWidth="1"/>
    <col min="3911" max="3952" width="6.75" style="2" customWidth="1"/>
    <col min="3953" max="3953" width="9" style="2" customWidth="1"/>
    <col min="3954" max="3954" width="9.875" style="2" customWidth="1"/>
    <col min="3955" max="3955" width="2.875" style="2" customWidth="1"/>
    <col min="3956" max="3956" width="12.25" style="2" customWidth="1"/>
    <col min="3957" max="3957" width="6.375" style="2" customWidth="1"/>
    <col min="3958" max="3959" width="3.125" style="2" customWidth="1"/>
    <col min="3960" max="3960" width="1.125" style="2" customWidth="1"/>
    <col min="3961" max="3961" width="9" style="2" customWidth="1"/>
    <col min="3962" max="3962" width="2.375" style="2" customWidth="1"/>
    <col min="3963" max="3980" width="7.625" style="2" customWidth="1"/>
    <col min="3981" max="4143" width="9" style="2" customWidth="1"/>
    <col min="4144" max="4145" width="3.125" style="2" customWidth="1"/>
    <col min="4146" max="4146" width="5.875" style="2" bestFit="1" customWidth="1"/>
    <col min="4147" max="4147" width="5.625" style="2" customWidth="1"/>
    <col min="4148" max="4148" width="10.625" style="2" customWidth="1"/>
    <col min="4149" max="4149" width="12.625" style="2" customWidth="1"/>
    <col min="4150" max="4150" width="8.625" style="2" customWidth="1"/>
    <col min="4151" max="4151" width="5.625" style="2" customWidth="1"/>
    <col min="4152" max="4152" width="4.625" style="2" customWidth="1"/>
    <col min="4153" max="4153" width="5.625" style="2" customWidth="1"/>
    <col min="4154" max="4157" width="4.625" style="2" customWidth="1"/>
    <col min="4158" max="4158" width="7.625" style="2" customWidth="1"/>
    <col min="4159" max="4159" width="8.625" style="2" customWidth="1"/>
    <col min="4160" max="4161" width="5.625" style="2" customWidth="1"/>
    <col min="4162" max="4162" width="6.625" style="2" customWidth="1"/>
    <col min="4163" max="4163" width="9.875" style="2" customWidth="1"/>
    <col min="4164" max="4165" width="8.625" style="2" customWidth="1"/>
    <col min="4166" max="4166" width="5.5" style="2" bestFit="1" customWidth="1"/>
    <col min="4167" max="4208" width="6.75" style="2" customWidth="1"/>
    <col min="4209" max="4209" width="9" style="2" customWidth="1"/>
    <col min="4210" max="4210" width="9.875" style="2" customWidth="1"/>
    <col min="4211" max="4211" width="2.875" style="2" customWidth="1"/>
    <col min="4212" max="4212" width="12.25" style="2" customWidth="1"/>
    <col min="4213" max="4213" width="6.375" style="2" customWidth="1"/>
    <col min="4214" max="4215" width="3.125" style="2" customWidth="1"/>
    <col min="4216" max="4216" width="1.125" style="2" customWidth="1"/>
    <col min="4217" max="4217" width="9" style="2" customWidth="1"/>
    <col min="4218" max="4218" width="2.375" style="2" customWidth="1"/>
    <col min="4219" max="4236" width="7.625" style="2" customWidth="1"/>
    <col min="4237" max="4399" width="9" style="2" customWidth="1"/>
    <col min="4400" max="4401" width="3.125" style="2" customWidth="1"/>
    <col min="4402" max="4402" width="5.875" style="2" bestFit="1" customWidth="1"/>
    <col min="4403" max="4403" width="5.625" style="2" customWidth="1"/>
    <col min="4404" max="4404" width="10.625" style="2" customWidth="1"/>
    <col min="4405" max="4405" width="12.625" style="2" customWidth="1"/>
    <col min="4406" max="4406" width="8.625" style="2" customWidth="1"/>
    <col min="4407" max="4407" width="5.625" style="2" customWidth="1"/>
    <col min="4408" max="4408" width="4.625" style="2" customWidth="1"/>
    <col min="4409" max="4409" width="5.625" style="2" customWidth="1"/>
    <col min="4410" max="4413" width="4.625" style="2" customWidth="1"/>
    <col min="4414" max="4414" width="7.625" style="2" customWidth="1"/>
    <col min="4415" max="4415" width="8.625" style="2" customWidth="1"/>
    <col min="4416" max="4417" width="5.625" style="2" customWidth="1"/>
    <col min="4418" max="4418" width="6.625" style="2" customWidth="1"/>
    <col min="4419" max="4419" width="9.875" style="2" customWidth="1"/>
    <col min="4420" max="4421" width="8.625" style="2" customWidth="1"/>
    <col min="4422" max="4422" width="5.5" style="2" bestFit="1" customWidth="1"/>
    <col min="4423" max="4464" width="6.75" style="2" customWidth="1"/>
    <col min="4465" max="4465" width="9" style="2" customWidth="1"/>
    <col min="4466" max="4466" width="9.875" style="2" customWidth="1"/>
    <col min="4467" max="4467" width="2.875" style="2" customWidth="1"/>
    <col min="4468" max="4468" width="12.25" style="2" customWidth="1"/>
    <col min="4469" max="4469" width="6.375" style="2" customWidth="1"/>
    <col min="4470" max="4471" width="3.125" style="2" customWidth="1"/>
    <col min="4472" max="4472" width="1.125" style="2" customWidth="1"/>
    <col min="4473" max="4473" width="9" style="2" customWidth="1"/>
    <col min="4474" max="4474" width="2.375" style="2" customWidth="1"/>
    <col min="4475" max="4492" width="7.625" style="2" customWidth="1"/>
    <col min="4493" max="4655" width="9" style="2" customWidth="1"/>
    <col min="4656" max="4657" width="3.125" style="2" customWidth="1"/>
    <col min="4658" max="4658" width="5.875" style="2" bestFit="1" customWidth="1"/>
    <col min="4659" max="4659" width="5.625" style="2" customWidth="1"/>
    <col min="4660" max="4660" width="10.625" style="2" customWidth="1"/>
    <col min="4661" max="4661" width="12.625" style="2" customWidth="1"/>
    <col min="4662" max="4662" width="8.625" style="2" customWidth="1"/>
    <col min="4663" max="4663" width="5.625" style="2" customWidth="1"/>
    <col min="4664" max="4664" width="4.625" style="2" customWidth="1"/>
    <col min="4665" max="4665" width="5.625" style="2" customWidth="1"/>
    <col min="4666" max="4669" width="4.625" style="2" customWidth="1"/>
    <col min="4670" max="4670" width="7.625" style="2" customWidth="1"/>
    <col min="4671" max="4671" width="8.625" style="2" customWidth="1"/>
    <col min="4672" max="4673" width="5.625" style="2" customWidth="1"/>
    <col min="4674" max="4674" width="6.625" style="2" customWidth="1"/>
    <col min="4675" max="4675" width="9.875" style="2" customWidth="1"/>
    <col min="4676" max="4677" width="8.625" style="2" customWidth="1"/>
    <col min="4678" max="4678" width="5.5" style="2" bestFit="1" customWidth="1"/>
    <col min="4679" max="4720" width="6.75" style="2" customWidth="1"/>
    <col min="4721" max="4721" width="9" style="2" customWidth="1"/>
    <col min="4722" max="4722" width="9.875" style="2" customWidth="1"/>
    <col min="4723" max="4723" width="2.875" style="2" customWidth="1"/>
    <col min="4724" max="4724" width="12.25" style="2" customWidth="1"/>
    <col min="4725" max="4725" width="6.375" style="2" customWidth="1"/>
    <col min="4726" max="4727" width="3.125" style="2" customWidth="1"/>
    <col min="4728" max="4728" width="1.125" style="2" customWidth="1"/>
    <col min="4729" max="4729" width="9" style="2" customWidth="1"/>
    <col min="4730" max="4730" width="2.375" style="2" customWidth="1"/>
    <col min="4731" max="4748" width="7.625" style="2" customWidth="1"/>
    <col min="4749" max="4911" width="9" style="2" customWidth="1"/>
    <col min="4912" max="4913" width="3.125" style="2" customWidth="1"/>
    <col min="4914" max="4914" width="5.875" style="2" bestFit="1" customWidth="1"/>
    <col min="4915" max="4915" width="5.625" style="2" customWidth="1"/>
    <col min="4916" max="4916" width="10.625" style="2" customWidth="1"/>
    <col min="4917" max="4917" width="12.625" style="2" customWidth="1"/>
    <col min="4918" max="4918" width="8.625" style="2" customWidth="1"/>
    <col min="4919" max="4919" width="5.625" style="2" customWidth="1"/>
    <col min="4920" max="4920" width="4.625" style="2" customWidth="1"/>
    <col min="4921" max="4921" width="5.625" style="2" customWidth="1"/>
    <col min="4922" max="4925" width="4.625" style="2" customWidth="1"/>
    <col min="4926" max="4926" width="7.625" style="2" customWidth="1"/>
    <col min="4927" max="4927" width="8.625" style="2" customWidth="1"/>
    <col min="4928" max="4929" width="5.625" style="2" customWidth="1"/>
    <col min="4930" max="4930" width="6.625" style="2" customWidth="1"/>
    <col min="4931" max="4931" width="9.875" style="2" customWidth="1"/>
    <col min="4932" max="4933" width="8.625" style="2" customWidth="1"/>
    <col min="4934" max="4934" width="5.5" style="2" bestFit="1" customWidth="1"/>
    <col min="4935" max="4976" width="6.75" style="2" customWidth="1"/>
    <col min="4977" max="4977" width="9" style="2" customWidth="1"/>
    <col min="4978" max="4978" width="9.875" style="2" customWidth="1"/>
    <col min="4979" max="4979" width="2.875" style="2" customWidth="1"/>
    <col min="4980" max="4980" width="12.25" style="2" customWidth="1"/>
    <col min="4981" max="4981" width="6.375" style="2" customWidth="1"/>
    <col min="4982" max="4983" width="3.125" style="2" customWidth="1"/>
    <col min="4984" max="4984" width="1.125" style="2" customWidth="1"/>
    <col min="4985" max="4985" width="9" style="2" customWidth="1"/>
    <col min="4986" max="4986" width="2.375" style="2" customWidth="1"/>
    <col min="4987" max="5004" width="7.625" style="2" customWidth="1"/>
    <col min="5005" max="5167" width="9" style="2" customWidth="1"/>
    <col min="5168" max="5169" width="3.125" style="2" customWidth="1"/>
    <col min="5170" max="5170" width="5.875" style="2" bestFit="1" customWidth="1"/>
    <col min="5171" max="5171" width="5.625" style="2" customWidth="1"/>
    <col min="5172" max="5172" width="10.625" style="2" customWidth="1"/>
    <col min="5173" max="5173" width="12.625" style="2" customWidth="1"/>
    <col min="5174" max="5174" width="8.625" style="2" customWidth="1"/>
    <col min="5175" max="5175" width="5.625" style="2" customWidth="1"/>
    <col min="5176" max="5176" width="4.625" style="2" customWidth="1"/>
    <col min="5177" max="5177" width="5.625" style="2" customWidth="1"/>
    <col min="5178" max="5181" width="4.625" style="2" customWidth="1"/>
    <col min="5182" max="5182" width="7.625" style="2" customWidth="1"/>
    <col min="5183" max="5183" width="8.625" style="2" customWidth="1"/>
    <col min="5184" max="5185" width="5.625" style="2" customWidth="1"/>
    <col min="5186" max="5186" width="6.625" style="2" customWidth="1"/>
    <col min="5187" max="5187" width="9.875" style="2" customWidth="1"/>
    <col min="5188" max="5189" width="8.625" style="2" customWidth="1"/>
    <col min="5190" max="5190" width="5.5" style="2" bestFit="1" customWidth="1"/>
    <col min="5191" max="5232" width="6.75" style="2" customWidth="1"/>
    <col min="5233" max="5233" width="9" style="2" customWidth="1"/>
    <col min="5234" max="5234" width="9.875" style="2" customWidth="1"/>
    <col min="5235" max="5235" width="2.875" style="2" customWidth="1"/>
    <col min="5236" max="5236" width="12.25" style="2" customWidth="1"/>
    <col min="5237" max="5237" width="6.375" style="2" customWidth="1"/>
    <col min="5238" max="5239" width="3.125" style="2" customWidth="1"/>
    <col min="5240" max="5240" width="1.125" style="2" customWidth="1"/>
    <col min="5241" max="5241" width="9" style="2" customWidth="1"/>
    <col min="5242" max="5242" width="2.375" style="2" customWidth="1"/>
    <col min="5243" max="5260" width="7.625" style="2" customWidth="1"/>
    <col min="5261" max="5423" width="9" style="2" customWidth="1"/>
    <col min="5424" max="5425" width="3.125" style="2" customWidth="1"/>
    <col min="5426" max="5426" width="5.875" style="2" bestFit="1" customWidth="1"/>
    <col min="5427" max="5427" width="5.625" style="2" customWidth="1"/>
    <col min="5428" max="5428" width="10.625" style="2" customWidth="1"/>
    <col min="5429" max="5429" width="12.625" style="2" customWidth="1"/>
    <col min="5430" max="5430" width="8.625" style="2" customWidth="1"/>
    <col min="5431" max="5431" width="5.625" style="2" customWidth="1"/>
    <col min="5432" max="5432" width="4.625" style="2" customWidth="1"/>
    <col min="5433" max="5433" width="5.625" style="2" customWidth="1"/>
    <col min="5434" max="5437" width="4.625" style="2" customWidth="1"/>
    <col min="5438" max="5438" width="7.625" style="2" customWidth="1"/>
    <col min="5439" max="5439" width="8.625" style="2" customWidth="1"/>
    <col min="5440" max="5441" width="5.625" style="2" customWidth="1"/>
    <col min="5442" max="5442" width="6.625" style="2" customWidth="1"/>
    <col min="5443" max="5443" width="9.875" style="2" customWidth="1"/>
    <col min="5444" max="5445" width="8.625" style="2" customWidth="1"/>
    <col min="5446" max="5446" width="5.5" style="2" bestFit="1" customWidth="1"/>
    <col min="5447" max="5488" width="6.75" style="2" customWidth="1"/>
    <col min="5489" max="5489" width="9" style="2" customWidth="1"/>
    <col min="5490" max="5490" width="9.875" style="2" customWidth="1"/>
    <col min="5491" max="5491" width="2.875" style="2" customWidth="1"/>
    <col min="5492" max="5492" width="12.25" style="2" customWidth="1"/>
    <col min="5493" max="5493" width="6.375" style="2" customWidth="1"/>
    <col min="5494" max="5495" width="3.125" style="2" customWidth="1"/>
    <col min="5496" max="5496" width="1.125" style="2" customWidth="1"/>
    <col min="5497" max="5497" width="9" style="2" customWidth="1"/>
    <col min="5498" max="5498" width="2.375" style="2" customWidth="1"/>
    <col min="5499" max="5516" width="7.625" style="2" customWidth="1"/>
    <col min="5517" max="5679" width="9" style="2" customWidth="1"/>
    <col min="5680" max="5681" width="3.125" style="2" customWidth="1"/>
    <col min="5682" max="5682" width="5.875" style="2" bestFit="1" customWidth="1"/>
    <col min="5683" max="5683" width="5.625" style="2" customWidth="1"/>
    <col min="5684" max="5684" width="10.625" style="2" customWidth="1"/>
    <col min="5685" max="5685" width="12.625" style="2" customWidth="1"/>
    <col min="5686" max="5686" width="8.625" style="2" customWidth="1"/>
    <col min="5687" max="5687" width="5.625" style="2" customWidth="1"/>
    <col min="5688" max="5688" width="4.625" style="2" customWidth="1"/>
    <col min="5689" max="5689" width="5.625" style="2" customWidth="1"/>
    <col min="5690" max="5693" width="4.625" style="2" customWidth="1"/>
    <col min="5694" max="5694" width="7.625" style="2" customWidth="1"/>
    <col min="5695" max="5695" width="8.625" style="2" customWidth="1"/>
    <col min="5696" max="5697" width="5.625" style="2" customWidth="1"/>
    <col min="5698" max="5698" width="6.625" style="2" customWidth="1"/>
    <col min="5699" max="5699" width="9.875" style="2" customWidth="1"/>
    <col min="5700" max="5701" width="8.625" style="2" customWidth="1"/>
    <col min="5702" max="5702" width="5.5" style="2" bestFit="1" customWidth="1"/>
    <col min="5703" max="5744" width="6.75" style="2" customWidth="1"/>
    <col min="5745" max="5745" width="9" style="2" customWidth="1"/>
    <col min="5746" max="5746" width="9.875" style="2" customWidth="1"/>
    <col min="5747" max="5747" width="2.875" style="2" customWidth="1"/>
    <col min="5748" max="5748" width="12.25" style="2" customWidth="1"/>
    <col min="5749" max="5749" width="6.375" style="2" customWidth="1"/>
    <col min="5750" max="5751" width="3.125" style="2" customWidth="1"/>
    <col min="5752" max="5752" width="1.125" style="2" customWidth="1"/>
    <col min="5753" max="5753" width="9" style="2" customWidth="1"/>
    <col min="5754" max="5754" width="2.375" style="2" customWidth="1"/>
    <col min="5755" max="5772" width="7.625" style="2" customWidth="1"/>
    <col min="5773" max="5935" width="9" style="2" customWidth="1"/>
    <col min="5936" max="5937" width="3.125" style="2" customWidth="1"/>
    <col min="5938" max="5938" width="5.875" style="2" bestFit="1" customWidth="1"/>
    <col min="5939" max="5939" width="5.625" style="2" customWidth="1"/>
    <col min="5940" max="5940" width="10.625" style="2" customWidth="1"/>
    <col min="5941" max="5941" width="12.625" style="2" customWidth="1"/>
    <col min="5942" max="5942" width="8.625" style="2" customWidth="1"/>
    <col min="5943" max="5943" width="5.625" style="2" customWidth="1"/>
    <col min="5944" max="5944" width="4.625" style="2" customWidth="1"/>
    <col min="5945" max="5945" width="5.625" style="2" customWidth="1"/>
    <col min="5946" max="5949" width="4.625" style="2" customWidth="1"/>
    <col min="5950" max="5950" width="7.625" style="2" customWidth="1"/>
    <col min="5951" max="5951" width="8.625" style="2" customWidth="1"/>
    <col min="5952" max="5953" width="5.625" style="2" customWidth="1"/>
    <col min="5954" max="5954" width="6.625" style="2" customWidth="1"/>
    <col min="5955" max="5955" width="9.875" style="2" customWidth="1"/>
    <col min="5956" max="5957" width="8.625" style="2" customWidth="1"/>
    <col min="5958" max="5958" width="5.5" style="2" bestFit="1" customWidth="1"/>
    <col min="5959" max="6000" width="6.75" style="2" customWidth="1"/>
    <col min="6001" max="6001" width="9" style="2" customWidth="1"/>
    <col min="6002" max="6002" width="9.875" style="2" customWidth="1"/>
    <col min="6003" max="6003" width="2.875" style="2" customWidth="1"/>
    <col min="6004" max="6004" width="12.25" style="2" customWidth="1"/>
    <col min="6005" max="6005" width="6.375" style="2" customWidth="1"/>
    <col min="6006" max="6007" width="3.125" style="2" customWidth="1"/>
    <col min="6008" max="6008" width="1.125" style="2" customWidth="1"/>
    <col min="6009" max="6009" width="9" style="2" customWidth="1"/>
    <col min="6010" max="6010" width="2.375" style="2" customWidth="1"/>
    <col min="6011" max="6028" width="7.625" style="2" customWidth="1"/>
    <col min="6029" max="6191" width="9" style="2" customWidth="1"/>
    <col min="6192" max="6193" width="3.125" style="2" customWidth="1"/>
    <col min="6194" max="6194" width="5.875" style="2" bestFit="1" customWidth="1"/>
    <col min="6195" max="6195" width="5.625" style="2" customWidth="1"/>
    <col min="6196" max="6196" width="10.625" style="2" customWidth="1"/>
    <col min="6197" max="6197" width="12.625" style="2" customWidth="1"/>
    <col min="6198" max="6198" width="8.625" style="2" customWidth="1"/>
    <col min="6199" max="6199" width="5.625" style="2" customWidth="1"/>
    <col min="6200" max="6200" width="4.625" style="2" customWidth="1"/>
    <col min="6201" max="6201" width="5.625" style="2" customWidth="1"/>
    <col min="6202" max="6205" width="4.625" style="2" customWidth="1"/>
    <col min="6206" max="6206" width="7.625" style="2" customWidth="1"/>
    <col min="6207" max="6207" width="8.625" style="2" customWidth="1"/>
    <col min="6208" max="6209" width="5.625" style="2" customWidth="1"/>
    <col min="6210" max="6210" width="6.625" style="2" customWidth="1"/>
    <col min="6211" max="6211" width="9.875" style="2" customWidth="1"/>
    <col min="6212" max="6213" width="8.625" style="2" customWidth="1"/>
    <col min="6214" max="6214" width="5.5" style="2" bestFit="1" customWidth="1"/>
    <col min="6215" max="6256" width="6.75" style="2" customWidth="1"/>
    <col min="6257" max="6257" width="9" style="2" customWidth="1"/>
    <col min="6258" max="6258" width="9.875" style="2" customWidth="1"/>
    <col min="6259" max="6259" width="2.875" style="2" customWidth="1"/>
    <col min="6260" max="6260" width="12.25" style="2" customWidth="1"/>
    <col min="6261" max="6261" width="6.375" style="2" customWidth="1"/>
    <col min="6262" max="6263" width="3.125" style="2" customWidth="1"/>
    <col min="6264" max="6264" width="1.125" style="2" customWidth="1"/>
    <col min="6265" max="6265" width="9" style="2" customWidth="1"/>
    <col min="6266" max="6266" width="2.375" style="2" customWidth="1"/>
    <col min="6267" max="6284" width="7.625" style="2" customWidth="1"/>
    <col min="6285" max="6447" width="9" style="2" customWidth="1"/>
    <col min="6448" max="6449" width="3.125" style="2" customWidth="1"/>
    <col min="6450" max="6450" width="5.875" style="2" bestFit="1" customWidth="1"/>
    <col min="6451" max="6451" width="5.625" style="2" customWidth="1"/>
    <col min="6452" max="6452" width="10.625" style="2" customWidth="1"/>
    <col min="6453" max="6453" width="12.625" style="2" customWidth="1"/>
    <col min="6454" max="6454" width="8.625" style="2" customWidth="1"/>
    <col min="6455" max="6455" width="5.625" style="2" customWidth="1"/>
    <col min="6456" max="6456" width="4.625" style="2" customWidth="1"/>
    <col min="6457" max="6457" width="5.625" style="2" customWidth="1"/>
    <col min="6458" max="6461" width="4.625" style="2" customWidth="1"/>
    <col min="6462" max="6462" width="7.625" style="2" customWidth="1"/>
    <col min="6463" max="6463" width="8.625" style="2" customWidth="1"/>
    <col min="6464" max="6465" width="5.625" style="2" customWidth="1"/>
    <col min="6466" max="6466" width="6.625" style="2" customWidth="1"/>
    <col min="6467" max="6467" width="9.875" style="2" customWidth="1"/>
    <col min="6468" max="6469" width="8.625" style="2" customWidth="1"/>
    <col min="6470" max="6470" width="5.5" style="2" bestFit="1" customWidth="1"/>
    <col min="6471" max="6512" width="6.75" style="2" customWidth="1"/>
    <col min="6513" max="6513" width="9" style="2" customWidth="1"/>
    <col min="6514" max="6514" width="9.875" style="2" customWidth="1"/>
    <col min="6515" max="6515" width="2.875" style="2" customWidth="1"/>
    <col min="6516" max="6516" width="12.25" style="2" customWidth="1"/>
    <col min="6517" max="6517" width="6.375" style="2" customWidth="1"/>
    <col min="6518" max="6519" width="3.125" style="2" customWidth="1"/>
    <col min="6520" max="6520" width="1.125" style="2" customWidth="1"/>
    <col min="6521" max="6521" width="9" style="2" customWidth="1"/>
    <col min="6522" max="6522" width="2.375" style="2" customWidth="1"/>
    <col min="6523" max="6540" width="7.625" style="2" customWidth="1"/>
    <col min="6541" max="6703" width="9" style="2" customWidth="1"/>
    <col min="6704" max="6705" width="3.125" style="2" customWidth="1"/>
    <col min="6706" max="6706" width="5.875" style="2" bestFit="1" customWidth="1"/>
    <col min="6707" max="6707" width="5.625" style="2" customWidth="1"/>
    <col min="6708" max="6708" width="10.625" style="2" customWidth="1"/>
    <col min="6709" max="6709" width="12.625" style="2" customWidth="1"/>
    <col min="6710" max="6710" width="8.625" style="2" customWidth="1"/>
    <col min="6711" max="6711" width="5.625" style="2" customWidth="1"/>
    <col min="6712" max="6712" width="4.625" style="2" customWidth="1"/>
    <col min="6713" max="6713" width="5.625" style="2" customWidth="1"/>
    <col min="6714" max="6717" width="4.625" style="2" customWidth="1"/>
    <col min="6718" max="6718" width="7.625" style="2" customWidth="1"/>
    <col min="6719" max="6719" width="8.625" style="2" customWidth="1"/>
    <col min="6720" max="6721" width="5.625" style="2" customWidth="1"/>
    <col min="6722" max="6722" width="6.625" style="2" customWidth="1"/>
    <col min="6723" max="6723" width="9.875" style="2" customWidth="1"/>
    <col min="6724" max="6725" width="8.625" style="2" customWidth="1"/>
    <col min="6726" max="6726" width="5.5" style="2" bestFit="1" customWidth="1"/>
    <col min="6727" max="6768" width="6.75" style="2" customWidth="1"/>
    <col min="6769" max="6769" width="9" style="2" customWidth="1"/>
    <col min="6770" max="6770" width="9.875" style="2" customWidth="1"/>
    <col min="6771" max="6771" width="2.875" style="2" customWidth="1"/>
    <col min="6772" max="6772" width="12.25" style="2" customWidth="1"/>
    <col min="6773" max="6773" width="6.375" style="2" customWidth="1"/>
    <col min="6774" max="6775" width="3.125" style="2" customWidth="1"/>
    <col min="6776" max="6776" width="1.125" style="2" customWidth="1"/>
    <col min="6777" max="6777" width="9" style="2" customWidth="1"/>
    <col min="6778" max="6778" width="2.375" style="2" customWidth="1"/>
    <col min="6779" max="6796" width="7.625" style="2" customWidth="1"/>
    <col min="6797" max="6959" width="9" style="2" customWidth="1"/>
    <col min="6960" max="6961" width="3.125" style="2" customWidth="1"/>
    <col min="6962" max="6962" width="5.875" style="2" bestFit="1" customWidth="1"/>
    <col min="6963" max="6963" width="5.625" style="2" customWidth="1"/>
    <col min="6964" max="6964" width="10.625" style="2" customWidth="1"/>
    <col min="6965" max="6965" width="12.625" style="2" customWidth="1"/>
    <col min="6966" max="6966" width="8.625" style="2" customWidth="1"/>
    <col min="6967" max="6967" width="5.625" style="2" customWidth="1"/>
    <col min="6968" max="6968" width="4.625" style="2" customWidth="1"/>
    <col min="6969" max="6969" width="5.625" style="2" customWidth="1"/>
    <col min="6970" max="6973" width="4.625" style="2" customWidth="1"/>
    <col min="6974" max="6974" width="7.625" style="2" customWidth="1"/>
    <col min="6975" max="6975" width="8.625" style="2" customWidth="1"/>
    <col min="6976" max="6977" width="5.625" style="2" customWidth="1"/>
    <col min="6978" max="6978" width="6.625" style="2" customWidth="1"/>
    <col min="6979" max="6979" width="9.875" style="2" customWidth="1"/>
    <col min="6980" max="6981" width="8.625" style="2" customWidth="1"/>
    <col min="6982" max="6982" width="5.5" style="2" bestFit="1" customWidth="1"/>
    <col min="6983" max="7024" width="6.75" style="2" customWidth="1"/>
    <col min="7025" max="7025" width="9" style="2" customWidth="1"/>
    <col min="7026" max="7026" width="9.875" style="2" customWidth="1"/>
    <col min="7027" max="7027" width="2.875" style="2" customWidth="1"/>
    <col min="7028" max="7028" width="12.25" style="2" customWidth="1"/>
    <col min="7029" max="7029" width="6.375" style="2" customWidth="1"/>
    <col min="7030" max="7031" width="3.125" style="2" customWidth="1"/>
    <col min="7032" max="7032" width="1.125" style="2" customWidth="1"/>
    <col min="7033" max="7033" width="9" style="2" customWidth="1"/>
    <col min="7034" max="7034" width="2.375" style="2" customWidth="1"/>
    <col min="7035" max="7052" width="7.625" style="2" customWidth="1"/>
    <col min="7053" max="7215" width="9" style="2" customWidth="1"/>
    <col min="7216" max="7217" width="3.125" style="2" customWidth="1"/>
    <col min="7218" max="7218" width="5.875" style="2" bestFit="1" customWidth="1"/>
    <col min="7219" max="7219" width="5.625" style="2" customWidth="1"/>
    <col min="7220" max="7220" width="10.625" style="2" customWidth="1"/>
    <col min="7221" max="7221" width="12.625" style="2" customWidth="1"/>
    <col min="7222" max="7222" width="8.625" style="2" customWidth="1"/>
    <col min="7223" max="7223" width="5.625" style="2" customWidth="1"/>
    <col min="7224" max="7224" width="4.625" style="2" customWidth="1"/>
    <col min="7225" max="7225" width="5.625" style="2" customWidth="1"/>
    <col min="7226" max="7229" width="4.625" style="2" customWidth="1"/>
    <col min="7230" max="7230" width="7.625" style="2" customWidth="1"/>
    <col min="7231" max="7231" width="8.625" style="2" customWidth="1"/>
    <col min="7232" max="7233" width="5.625" style="2" customWidth="1"/>
    <col min="7234" max="7234" width="6.625" style="2" customWidth="1"/>
    <col min="7235" max="7235" width="9.875" style="2" customWidth="1"/>
    <col min="7236" max="7237" width="8.625" style="2" customWidth="1"/>
    <col min="7238" max="7238" width="5.5" style="2" bestFit="1" customWidth="1"/>
    <col min="7239" max="7280" width="6.75" style="2" customWidth="1"/>
    <col min="7281" max="7281" width="9" style="2" customWidth="1"/>
    <col min="7282" max="7282" width="9.875" style="2" customWidth="1"/>
    <col min="7283" max="7283" width="2.875" style="2" customWidth="1"/>
    <col min="7284" max="7284" width="12.25" style="2" customWidth="1"/>
    <col min="7285" max="7285" width="6.375" style="2" customWidth="1"/>
    <col min="7286" max="7287" width="3.125" style="2" customWidth="1"/>
    <col min="7288" max="7288" width="1.125" style="2" customWidth="1"/>
    <col min="7289" max="7289" width="9" style="2" customWidth="1"/>
    <col min="7290" max="7290" width="2.375" style="2" customWidth="1"/>
    <col min="7291" max="7308" width="7.625" style="2" customWidth="1"/>
    <col min="7309" max="7471" width="9" style="2" customWidth="1"/>
    <col min="7472" max="7473" width="3.125" style="2" customWidth="1"/>
    <col min="7474" max="7474" width="5.875" style="2" bestFit="1" customWidth="1"/>
    <col min="7475" max="7475" width="5.625" style="2" customWidth="1"/>
    <col min="7476" max="7476" width="10.625" style="2" customWidth="1"/>
    <col min="7477" max="7477" width="12.625" style="2" customWidth="1"/>
    <col min="7478" max="7478" width="8.625" style="2" customWidth="1"/>
    <col min="7479" max="7479" width="5.625" style="2" customWidth="1"/>
    <col min="7480" max="7480" width="4.625" style="2" customWidth="1"/>
    <col min="7481" max="7481" width="5.625" style="2" customWidth="1"/>
    <col min="7482" max="7485" width="4.625" style="2" customWidth="1"/>
    <col min="7486" max="7486" width="7.625" style="2" customWidth="1"/>
    <col min="7487" max="7487" width="8.625" style="2" customWidth="1"/>
    <col min="7488" max="7489" width="5.625" style="2" customWidth="1"/>
    <col min="7490" max="7490" width="6.625" style="2" customWidth="1"/>
    <col min="7491" max="7491" width="9.875" style="2" customWidth="1"/>
    <col min="7492" max="7493" width="8.625" style="2" customWidth="1"/>
    <col min="7494" max="7494" width="5.5" style="2" bestFit="1" customWidth="1"/>
    <col min="7495" max="7536" width="6.75" style="2" customWidth="1"/>
    <col min="7537" max="7537" width="9" style="2" customWidth="1"/>
    <col min="7538" max="7538" width="9.875" style="2" customWidth="1"/>
    <col min="7539" max="7539" width="2.875" style="2" customWidth="1"/>
    <col min="7540" max="7540" width="12.25" style="2" customWidth="1"/>
    <col min="7541" max="7541" width="6.375" style="2" customWidth="1"/>
    <col min="7542" max="7543" width="3.125" style="2" customWidth="1"/>
    <col min="7544" max="7544" width="1.125" style="2" customWidth="1"/>
    <col min="7545" max="7545" width="9" style="2" customWidth="1"/>
    <col min="7546" max="7546" width="2.375" style="2" customWidth="1"/>
    <col min="7547" max="7564" width="7.625" style="2" customWidth="1"/>
    <col min="7565" max="7727" width="9" style="2" customWidth="1"/>
    <col min="7728" max="7729" width="3.125" style="2" customWidth="1"/>
    <col min="7730" max="7730" width="5.875" style="2" bestFit="1" customWidth="1"/>
    <col min="7731" max="7731" width="5.625" style="2" customWidth="1"/>
    <col min="7732" max="7732" width="10.625" style="2" customWidth="1"/>
    <col min="7733" max="7733" width="12.625" style="2" customWidth="1"/>
    <col min="7734" max="7734" width="8.625" style="2" customWidth="1"/>
    <col min="7735" max="7735" width="5.625" style="2" customWidth="1"/>
    <col min="7736" max="7736" width="4.625" style="2" customWidth="1"/>
    <col min="7737" max="7737" width="5.625" style="2" customWidth="1"/>
    <col min="7738" max="7741" width="4.625" style="2" customWidth="1"/>
    <col min="7742" max="7742" width="7.625" style="2" customWidth="1"/>
    <col min="7743" max="7743" width="8.625" style="2" customWidth="1"/>
    <col min="7744" max="7745" width="5.625" style="2" customWidth="1"/>
    <col min="7746" max="7746" width="6.625" style="2" customWidth="1"/>
    <col min="7747" max="7747" width="9.875" style="2" customWidth="1"/>
    <col min="7748" max="7749" width="8.625" style="2" customWidth="1"/>
    <col min="7750" max="7750" width="5.5" style="2" bestFit="1" customWidth="1"/>
    <col min="7751" max="7792" width="6.75" style="2" customWidth="1"/>
    <col min="7793" max="7793" width="9" style="2" customWidth="1"/>
    <col min="7794" max="7794" width="9.875" style="2" customWidth="1"/>
    <col min="7795" max="7795" width="2.875" style="2" customWidth="1"/>
    <col min="7796" max="7796" width="12.25" style="2" customWidth="1"/>
    <col min="7797" max="7797" width="6.375" style="2" customWidth="1"/>
    <col min="7798" max="7799" width="3.125" style="2" customWidth="1"/>
    <col min="7800" max="7800" width="1.125" style="2" customWidth="1"/>
    <col min="7801" max="7801" width="9" style="2" customWidth="1"/>
    <col min="7802" max="7802" width="2.375" style="2" customWidth="1"/>
    <col min="7803" max="7820" width="7.625" style="2" customWidth="1"/>
    <col min="7821" max="7983" width="9" style="2" customWidth="1"/>
    <col min="7984" max="7985" width="3.125" style="2" customWidth="1"/>
    <col min="7986" max="7986" width="5.875" style="2" bestFit="1" customWidth="1"/>
    <col min="7987" max="7987" width="5.625" style="2" customWidth="1"/>
    <col min="7988" max="7988" width="10.625" style="2" customWidth="1"/>
    <col min="7989" max="7989" width="12.625" style="2" customWidth="1"/>
    <col min="7990" max="7990" width="8.625" style="2" customWidth="1"/>
    <col min="7991" max="7991" width="5.625" style="2" customWidth="1"/>
    <col min="7992" max="7992" width="4.625" style="2" customWidth="1"/>
    <col min="7993" max="7993" width="5.625" style="2" customWidth="1"/>
    <col min="7994" max="7997" width="4.625" style="2" customWidth="1"/>
    <col min="7998" max="7998" width="7.625" style="2" customWidth="1"/>
    <col min="7999" max="7999" width="8.625" style="2" customWidth="1"/>
    <col min="8000" max="8001" width="5.625" style="2" customWidth="1"/>
    <col min="8002" max="8002" width="6.625" style="2" customWidth="1"/>
    <col min="8003" max="8003" width="9.875" style="2" customWidth="1"/>
    <col min="8004" max="8005" width="8.625" style="2" customWidth="1"/>
    <col min="8006" max="8006" width="5.5" style="2" bestFit="1" customWidth="1"/>
    <col min="8007" max="8048" width="6.75" style="2" customWidth="1"/>
    <col min="8049" max="8049" width="9" style="2" customWidth="1"/>
    <col min="8050" max="8050" width="9.875" style="2" customWidth="1"/>
    <col min="8051" max="8051" width="2.875" style="2" customWidth="1"/>
    <col min="8052" max="8052" width="12.25" style="2" customWidth="1"/>
    <col min="8053" max="8053" width="6.375" style="2" customWidth="1"/>
    <col min="8054" max="8055" width="3.125" style="2" customWidth="1"/>
    <col min="8056" max="8056" width="1.125" style="2" customWidth="1"/>
    <col min="8057" max="8057" width="9" style="2" customWidth="1"/>
    <col min="8058" max="8058" width="2.375" style="2" customWidth="1"/>
    <col min="8059" max="8076" width="7.625" style="2" customWidth="1"/>
    <col min="8077" max="8239" width="9" style="2" customWidth="1"/>
    <col min="8240" max="8241" width="3.125" style="2" customWidth="1"/>
    <col min="8242" max="8242" width="5.875" style="2" bestFit="1" customWidth="1"/>
    <col min="8243" max="8243" width="5.625" style="2" customWidth="1"/>
    <col min="8244" max="8244" width="10.625" style="2" customWidth="1"/>
    <col min="8245" max="8245" width="12.625" style="2" customWidth="1"/>
    <col min="8246" max="8246" width="8.625" style="2" customWidth="1"/>
    <col min="8247" max="8247" width="5.625" style="2" customWidth="1"/>
    <col min="8248" max="8248" width="4.625" style="2" customWidth="1"/>
    <col min="8249" max="8249" width="5.625" style="2" customWidth="1"/>
    <col min="8250" max="8253" width="4.625" style="2" customWidth="1"/>
    <col min="8254" max="8254" width="7.625" style="2" customWidth="1"/>
    <col min="8255" max="8255" width="8.625" style="2" customWidth="1"/>
    <col min="8256" max="8257" width="5.625" style="2" customWidth="1"/>
    <col min="8258" max="8258" width="6.625" style="2" customWidth="1"/>
    <col min="8259" max="8259" width="9.875" style="2" customWidth="1"/>
    <col min="8260" max="8261" width="8.625" style="2" customWidth="1"/>
    <col min="8262" max="8262" width="5.5" style="2" bestFit="1" customWidth="1"/>
    <col min="8263" max="8304" width="6.75" style="2" customWidth="1"/>
    <col min="8305" max="8305" width="9" style="2" customWidth="1"/>
    <col min="8306" max="8306" width="9.875" style="2" customWidth="1"/>
    <col min="8307" max="8307" width="2.875" style="2" customWidth="1"/>
    <col min="8308" max="8308" width="12.25" style="2" customWidth="1"/>
    <col min="8309" max="8309" width="6.375" style="2" customWidth="1"/>
    <col min="8310" max="8311" width="3.125" style="2" customWidth="1"/>
    <col min="8312" max="8312" width="1.125" style="2" customWidth="1"/>
    <col min="8313" max="8313" width="9" style="2" customWidth="1"/>
    <col min="8314" max="8314" width="2.375" style="2" customWidth="1"/>
    <col min="8315" max="8332" width="7.625" style="2" customWidth="1"/>
    <col min="8333" max="8495" width="9" style="2" customWidth="1"/>
    <col min="8496" max="8497" width="3.125" style="2" customWidth="1"/>
    <col min="8498" max="8498" width="5.875" style="2" bestFit="1" customWidth="1"/>
    <col min="8499" max="8499" width="5.625" style="2" customWidth="1"/>
    <col min="8500" max="8500" width="10.625" style="2" customWidth="1"/>
    <col min="8501" max="8501" width="12.625" style="2" customWidth="1"/>
    <col min="8502" max="8502" width="8.625" style="2" customWidth="1"/>
    <col min="8503" max="8503" width="5.625" style="2" customWidth="1"/>
    <col min="8504" max="8504" width="4.625" style="2" customWidth="1"/>
    <col min="8505" max="8505" width="5.625" style="2" customWidth="1"/>
    <col min="8506" max="8509" width="4.625" style="2" customWidth="1"/>
    <col min="8510" max="8510" width="7.625" style="2" customWidth="1"/>
    <col min="8511" max="8511" width="8.625" style="2" customWidth="1"/>
    <col min="8512" max="8513" width="5.625" style="2" customWidth="1"/>
    <col min="8514" max="8514" width="6.625" style="2" customWidth="1"/>
    <col min="8515" max="8515" width="9.875" style="2" customWidth="1"/>
    <col min="8516" max="8517" width="8.625" style="2" customWidth="1"/>
    <col min="8518" max="8518" width="5.5" style="2" bestFit="1" customWidth="1"/>
    <col min="8519" max="8560" width="6.75" style="2" customWidth="1"/>
    <col min="8561" max="8561" width="9" style="2" customWidth="1"/>
    <col min="8562" max="8562" width="9.875" style="2" customWidth="1"/>
    <col min="8563" max="8563" width="2.875" style="2" customWidth="1"/>
    <col min="8564" max="8564" width="12.25" style="2" customWidth="1"/>
    <col min="8565" max="8565" width="6.375" style="2" customWidth="1"/>
    <col min="8566" max="8567" width="3.125" style="2" customWidth="1"/>
    <col min="8568" max="8568" width="1.125" style="2" customWidth="1"/>
    <col min="8569" max="8569" width="9" style="2" customWidth="1"/>
    <col min="8570" max="8570" width="2.375" style="2" customWidth="1"/>
    <col min="8571" max="8588" width="7.625" style="2" customWidth="1"/>
    <col min="8589" max="8751" width="9" style="2" customWidth="1"/>
    <col min="8752" max="8753" width="3.125" style="2" customWidth="1"/>
    <col min="8754" max="8754" width="5.875" style="2" bestFit="1" customWidth="1"/>
    <col min="8755" max="8755" width="5.625" style="2" customWidth="1"/>
    <col min="8756" max="8756" width="10.625" style="2" customWidth="1"/>
    <col min="8757" max="8757" width="12.625" style="2" customWidth="1"/>
    <col min="8758" max="8758" width="8.625" style="2" customWidth="1"/>
    <col min="8759" max="8759" width="5.625" style="2" customWidth="1"/>
    <col min="8760" max="8760" width="4.625" style="2" customWidth="1"/>
    <col min="8761" max="8761" width="5.625" style="2" customWidth="1"/>
    <col min="8762" max="8765" width="4.625" style="2" customWidth="1"/>
    <col min="8766" max="8766" width="7.625" style="2" customWidth="1"/>
    <col min="8767" max="8767" width="8.625" style="2" customWidth="1"/>
    <col min="8768" max="8769" width="5.625" style="2" customWidth="1"/>
    <col min="8770" max="8770" width="6.625" style="2" customWidth="1"/>
    <col min="8771" max="8771" width="9.875" style="2" customWidth="1"/>
    <col min="8772" max="8773" width="8.625" style="2" customWidth="1"/>
    <col min="8774" max="8774" width="5.5" style="2" bestFit="1" customWidth="1"/>
    <col min="8775" max="8816" width="6.75" style="2" customWidth="1"/>
    <col min="8817" max="8817" width="9" style="2" customWidth="1"/>
    <col min="8818" max="8818" width="9.875" style="2" customWidth="1"/>
    <col min="8819" max="8819" width="2.875" style="2" customWidth="1"/>
    <col min="8820" max="8820" width="12.25" style="2" customWidth="1"/>
    <col min="8821" max="8821" width="6.375" style="2" customWidth="1"/>
    <col min="8822" max="8823" width="3.125" style="2" customWidth="1"/>
    <col min="8824" max="8824" width="1.125" style="2" customWidth="1"/>
    <col min="8825" max="8825" width="9" style="2" customWidth="1"/>
    <col min="8826" max="8826" width="2.375" style="2" customWidth="1"/>
    <col min="8827" max="8844" width="7.625" style="2" customWidth="1"/>
    <col min="8845" max="9007" width="9" style="2" customWidth="1"/>
    <col min="9008" max="9009" width="3.125" style="2" customWidth="1"/>
    <col min="9010" max="9010" width="5.875" style="2" bestFit="1" customWidth="1"/>
    <col min="9011" max="9011" width="5.625" style="2" customWidth="1"/>
    <col min="9012" max="9012" width="10.625" style="2" customWidth="1"/>
    <col min="9013" max="9013" width="12.625" style="2" customWidth="1"/>
    <col min="9014" max="9014" width="8.625" style="2" customWidth="1"/>
    <col min="9015" max="9015" width="5.625" style="2" customWidth="1"/>
    <col min="9016" max="9016" width="4.625" style="2" customWidth="1"/>
    <col min="9017" max="9017" width="5.625" style="2" customWidth="1"/>
    <col min="9018" max="9021" width="4.625" style="2" customWidth="1"/>
    <col min="9022" max="9022" width="7.625" style="2" customWidth="1"/>
    <col min="9023" max="9023" width="8.625" style="2" customWidth="1"/>
    <col min="9024" max="9025" width="5.625" style="2" customWidth="1"/>
    <col min="9026" max="9026" width="6.625" style="2" customWidth="1"/>
    <col min="9027" max="9027" width="9.875" style="2" customWidth="1"/>
    <col min="9028" max="9029" width="8.625" style="2" customWidth="1"/>
    <col min="9030" max="9030" width="5.5" style="2" bestFit="1" customWidth="1"/>
    <col min="9031" max="9072" width="6.75" style="2" customWidth="1"/>
    <col min="9073" max="9073" width="9" style="2" customWidth="1"/>
    <col min="9074" max="9074" width="9.875" style="2" customWidth="1"/>
    <col min="9075" max="9075" width="2.875" style="2" customWidth="1"/>
    <col min="9076" max="9076" width="12.25" style="2" customWidth="1"/>
    <col min="9077" max="9077" width="6.375" style="2" customWidth="1"/>
    <col min="9078" max="9079" width="3.125" style="2" customWidth="1"/>
    <col min="9080" max="9080" width="1.125" style="2" customWidth="1"/>
    <col min="9081" max="9081" width="9" style="2" customWidth="1"/>
    <col min="9082" max="9082" width="2.375" style="2" customWidth="1"/>
    <col min="9083" max="9100" width="7.625" style="2" customWidth="1"/>
    <col min="9101" max="9263" width="9" style="2" customWidth="1"/>
    <col min="9264" max="9265" width="3.125" style="2" customWidth="1"/>
    <col min="9266" max="9266" width="5.875" style="2" bestFit="1" customWidth="1"/>
    <col min="9267" max="9267" width="5.625" style="2" customWidth="1"/>
    <col min="9268" max="9268" width="10.625" style="2" customWidth="1"/>
    <col min="9269" max="9269" width="12.625" style="2" customWidth="1"/>
    <col min="9270" max="9270" width="8.625" style="2" customWidth="1"/>
    <col min="9271" max="9271" width="5.625" style="2" customWidth="1"/>
    <col min="9272" max="9272" width="4.625" style="2" customWidth="1"/>
    <col min="9273" max="9273" width="5.625" style="2" customWidth="1"/>
    <col min="9274" max="9277" width="4.625" style="2" customWidth="1"/>
    <col min="9278" max="9278" width="7.625" style="2" customWidth="1"/>
    <col min="9279" max="9279" width="8.625" style="2" customWidth="1"/>
    <col min="9280" max="9281" width="5.625" style="2" customWidth="1"/>
    <col min="9282" max="9282" width="6.625" style="2" customWidth="1"/>
    <col min="9283" max="9283" width="9.875" style="2" customWidth="1"/>
    <col min="9284" max="9285" width="8.625" style="2" customWidth="1"/>
    <col min="9286" max="9286" width="5.5" style="2" bestFit="1" customWidth="1"/>
    <col min="9287" max="9328" width="6.75" style="2" customWidth="1"/>
    <col min="9329" max="9329" width="9" style="2" customWidth="1"/>
    <col min="9330" max="9330" width="9.875" style="2" customWidth="1"/>
    <col min="9331" max="9331" width="2.875" style="2" customWidth="1"/>
    <col min="9332" max="9332" width="12.25" style="2" customWidth="1"/>
    <col min="9333" max="9333" width="6.375" style="2" customWidth="1"/>
    <col min="9334" max="9335" width="3.125" style="2" customWidth="1"/>
    <col min="9336" max="9336" width="1.125" style="2" customWidth="1"/>
    <col min="9337" max="9337" width="9" style="2" customWidth="1"/>
    <col min="9338" max="9338" width="2.375" style="2" customWidth="1"/>
    <col min="9339" max="9356" width="7.625" style="2" customWidth="1"/>
    <col min="9357" max="9519" width="9" style="2" customWidth="1"/>
    <col min="9520" max="9521" width="3.125" style="2" customWidth="1"/>
    <col min="9522" max="9522" width="5.875" style="2" bestFit="1" customWidth="1"/>
    <col min="9523" max="9523" width="5.625" style="2" customWidth="1"/>
    <col min="9524" max="9524" width="10.625" style="2" customWidth="1"/>
    <col min="9525" max="9525" width="12.625" style="2" customWidth="1"/>
    <col min="9526" max="9526" width="8.625" style="2" customWidth="1"/>
    <col min="9527" max="9527" width="5.625" style="2" customWidth="1"/>
    <col min="9528" max="9528" width="4.625" style="2" customWidth="1"/>
    <col min="9529" max="9529" width="5.625" style="2" customWidth="1"/>
    <col min="9530" max="9533" width="4.625" style="2" customWidth="1"/>
    <col min="9534" max="9534" width="7.625" style="2" customWidth="1"/>
    <col min="9535" max="9535" width="8.625" style="2" customWidth="1"/>
    <col min="9536" max="9537" width="5.625" style="2" customWidth="1"/>
    <col min="9538" max="9538" width="6.625" style="2" customWidth="1"/>
    <col min="9539" max="9539" width="9.875" style="2" customWidth="1"/>
    <col min="9540" max="9541" width="8.625" style="2" customWidth="1"/>
    <col min="9542" max="9542" width="5.5" style="2" bestFit="1" customWidth="1"/>
    <col min="9543" max="9584" width="6.75" style="2" customWidth="1"/>
    <col min="9585" max="9585" width="9" style="2" customWidth="1"/>
    <col min="9586" max="9586" width="9.875" style="2" customWidth="1"/>
    <col min="9587" max="9587" width="2.875" style="2" customWidth="1"/>
    <col min="9588" max="9588" width="12.25" style="2" customWidth="1"/>
    <col min="9589" max="9589" width="6.375" style="2" customWidth="1"/>
    <col min="9590" max="9591" width="3.125" style="2" customWidth="1"/>
    <col min="9592" max="9592" width="1.125" style="2" customWidth="1"/>
    <col min="9593" max="9593" width="9" style="2" customWidth="1"/>
    <col min="9594" max="9594" width="2.375" style="2" customWidth="1"/>
    <col min="9595" max="9612" width="7.625" style="2" customWidth="1"/>
    <col min="9613" max="9775" width="9" style="2" customWidth="1"/>
    <col min="9776" max="9777" width="3.125" style="2" customWidth="1"/>
    <col min="9778" max="9778" width="5.875" style="2" bestFit="1" customWidth="1"/>
    <col min="9779" max="9779" width="5.625" style="2" customWidth="1"/>
    <col min="9780" max="9780" width="10.625" style="2" customWidth="1"/>
    <col min="9781" max="9781" width="12.625" style="2" customWidth="1"/>
    <col min="9782" max="9782" width="8.625" style="2" customWidth="1"/>
    <col min="9783" max="9783" width="5.625" style="2" customWidth="1"/>
    <col min="9784" max="9784" width="4.625" style="2" customWidth="1"/>
    <col min="9785" max="9785" width="5.625" style="2" customWidth="1"/>
    <col min="9786" max="9789" width="4.625" style="2" customWidth="1"/>
    <col min="9790" max="9790" width="7.625" style="2" customWidth="1"/>
    <col min="9791" max="9791" width="8.625" style="2" customWidth="1"/>
    <col min="9792" max="9793" width="5.625" style="2" customWidth="1"/>
    <col min="9794" max="9794" width="6.625" style="2" customWidth="1"/>
    <col min="9795" max="9795" width="9.875" style="2" customWidth="1"/>
    <col min="9796" max="9797" width="8.625" style="2" customWidth="1"/>
    <col min="9798" max="9798" width="5.5" style="2" bestFit="1" customWidth="1"/>
    <col min="9799" max="9840" width="6.75" style="2" customWidth="1"/>
    <col min="9841" max="9841" width="9" style="2" customWidth="1"/>
    <col min="9842" max="9842" width="9.875" style="2" customWidth="1"/>
    <col min="9843" max="9843" width="2.875" style="2" customWidth="1"/>
    <col min="9844" max="9844" width="12.25" style="2" customWidth="1"/>
    <col min="9845" max="9845" width="6.375" style="2" customWidth="1"/>
    <col min="9846" max="9847" width="3.125" style="2" customWidth="1"/>
    <col min="9848" max="9848" width="1.125" style="2" customWidth="1"/>
    <col min="9849" max="9849" width="9" style="2" customWidth="1"/>
    <col min="9850" max="9850" width="2.375" style="2" customWidth="1"/>
    <col min="9851" max="9868" width="7.625" style="2" customWidth="1"/>
    <col min="9869" max="10031" width="9" style="2" customWidth="1"/>
    <col min="10032" max="10033" width="3.125" style="2" customWidth="1"/>
    <col min="10034" max="10034" width="5.875" style="2" bestFit="1" customWidth="1"/>
    <col min="10035" max="10035" width="5.625" style="2" customWidth="1"/>
    <col min="10036" max="10036" width="10.625" style="2" customWidth="1"/>
    <col min="10037" max="10037" width="12.625" style="2" customWidth="1"/>
    <col min="10038" max="10038" width="8.625" style="2" customWidth="1"/>
    <col min="10039" max="10039" width="5.625" style="2" customWidth="1"/>
    <col min="10040" max="10040" width="4.625" style="2" customWidth="1"/>
    <col min="10041" max="10041" width="5.625" style="2" customWidth="1"/>
    <col min="10042" max="10045" width="4.625" style="2" customWidth="1"/>
    <col min="10046" max="10046" width="7.625" style="2" customWidth="1"/>
    <col min="10047" max="10047" width="8.625" style="2" customWidth="1"/>
    <col min="10048" max="10049" width="5.625" style="2" customWidth="1"/>
    <col min="10050" max="10050" width="6.625" style="2" customWidth="1"/>
    <col min="10051" max="10051" width="9.875" style="2" customWidth="1"/>
    <col min="10052" max="10053" width="8.625" style="2" customWidth="1"/>
    <col min="10054" max="10054" width="5.5" style="2" bestFit="1" customWidth="1"/>
    <col min="10055" max="10096" width="6.75" style="2" customWidth="1"/>
    <col min="10097" max="10097" width="9" style="2" customWidth="1"/>
    <col min="10098" max="10098" width="9.875" style="2" customWidth="1"/>
    <col min="10099" max="10099" width="2.875" style="2" customWidth="1"/>
    <col min="10100" max="10100" width="12.25" style="2" customWidth="1"/>
    <col min="10101" max="10101" width="6.375" style="2" customWidth="1"/>
    <col min="10102" max="10103" width="3.125" style="2" customWidth="1"/>
    <col min="10104" max="10104" width="1.125" style="2" customWidth="1"/>
    <col min="10105" max="10105" width="9" style="2" customWidth="1"/>
    <col min="10106" max="10106" width="2.375" style="2" customWidth="1"/>
    <col min="10107" max="10124" width="7.625" style="2" customWidth="1"/>
    <col min="10125" max="10287" width="9" style="2" customWidth="1"/>
    <col min="10288" max="10289" width="3.125" style="2" customWidth="1"/>
    <col min="10290" max="10290" width="5.875" style="2" bestFit="1" customWidth="1"/>
    <col min="10291" max="10291" width="5.625" style="2" customWidth="1"/>
    <col min="10292" max="10292" width="10.625" style="2" customWidth="1"/>
    <col min="10293" max="10293" width="12.625" style="2" customWidth="1"/>
    <col min="10294" max="10294" width="8.625" style="2" customWidth="1"/>
    <col min="10295" max="10295" width="5.625" style="2" customWidth="1"/>
    <col min="10296" max="10296" width="4.625" style="2" customWidth="1"/>
    <col min="10297" max="10297" width="5.625" style="2" customWidth="1"/>
    <col min="10298" max="10301" width="4.625" style="2" customWidth="1"/>
    <col min="10302" max="10302" width="7.625" style="2" customWidth="1"/>
    <col min="10303" max="10303" width="8.625" style="2" customWidth="1"/>
    <col min="10304" max="10305" width="5.625" style="2" customWidth="1"/>
    <col min="10306" max="10306" width="6.625" style="2" customWidth="1"/>
    <col min="10307" max="10307" width="9.875" style="2" customWidth="1"/>
    <col min="10308" max="10309" width="8.625" style="2" customWidth="1"/>
    <col min="10310" max="10310" width="5.5" style="2" bestFit="1" customWidth="1"/>
    <col min="10311" max="10352" width="6.75" style="2" customWidth="1"/>
    <col min="10353" max="10353" width="9" style="2" customWidth="1"/>
    <col min="10354" max="10354" width="9.875" style="2" customWidth="1"/>
    <col min="10355" max="10355" width="2.875" style="2" customWidth="1"/>
    <col min="10356" max="10356" width="12.25" style="2" customWidth="1"/>
    <col min="10357" max="10357" width="6.375" style="2" customWidth="1"/>
    <col min="10358" max="10359" width="3.125" style="2" customWidth="1"/>
    <col min="10360" max="10360" width="1.125" style="2" customWidth="1"/>
    <col min="10361" max="10361" width="9" style="2" customWidth="1"/>
    <col min="10362" max="10362" width="2.375" style="2" customWidth="1"/>
    <col min="10363" max="10380" width="7.625" style="2" customWidth="1"/>
    <col min="10381" max="10543" width="9" style="2" customWidth="1"/>
    <col min="10544" max="10545" width="3.125" style="2" customWidth="1"/>
    <col min="10546" max="10546" width="5.875" style="2" bestFit="1" customWidth="1"/>
    <col min="10547" max="10547" width="5.625" style="2" customWidth="1"/>
    <col min="10548" max="10548" width="10.625" style="2" customWidth="1"/>
    <col min="10549" max="10549" width="12.625" style="2" customWidth="1"/>
    <col min="10550" max="10550" width="8.625" style="2" customWidth="1"/>
    <col min="10551" max="10551" width="5.625" style="2" customWidth="1"/>
    <col min="10552" max="10552" width="4.625" style="2" customWidth="1"/>
    <col min="10553" max="10553" width="5.625" style="2" customWidth="1"/>
    <col min="10554" max="10557" width="4.625" style="2" customWidth="1"/>
    <col min="10558" max="10558" width="7.625" style="2" customWidth="1"/>
    <col min="10559" max="10559" width="8.625" style="2" customWidth="1"/>
    <col min="10560" max="10561" width="5.625" style="2" customWidth="1"/>
    <col min="10562" max="10562" width="6.625" style="2" customWidth="1"/>
    <col min="10563" max="10563" width="9.875" style="2" customWidth="1"/>
    <col min="10564" max="10565" width="8.625" style="2" customWidth="1"/>
    <col min="10566" max="10566" width="5.5" style="2" bestFit="1" customWidth="1"/>
    <col min="10567" max="10608" width="6.75" style="2" customWidth="1"/>
    <col min="10609" max="10609" width="9" style="2" customWidth="1"/>
    <col min="10610" max="10610" width="9.875" style="2" customWidth="1"/>
    <col min="10611" max="10611" width="2.875" style="2" customWidth="1"/>
    <col min="10612" max="10612" width="12.25" style="2" customWidth="1"/>
    <col min="10613" max="10613" width="6.375" style="2" customWidth="1"/>
    <col min="10614" max="10615" width="3.125" style="2" customWidth="1"/>
    <col min="10616" max="10616" width="1.125" style="2" customWidth="1"/>
    <col min="10617" max="10617" width="9" style="2" customWidth="1"/>
    <col min="10618" max="10618" width="2.375" style="2" customWidth="1"/>
    <col min="10619" max="10636" width="7.625" style="2" customWidth="1"/>
    <col min="10637" max="10799" width="9" style="2" customWidth="1"/>
    <col min="10800" max="10801" width="3.125" style="2" customWidth="1"/>
    <col min="10802" max="10802" width="5.875" style="2" bestFit="1" customWidth="1"/>
    <col min="10803" max="10803" width="5.625" style="2" customWidth="1"/>
    <col min="10804" max="10804" width="10.625" style="2" customWidth="1"/>
    <col min="10805" max="10805" width="12.625" style="2" customWidth="1"/>
    <col min="10806" max="10806" width="8.625" style="2" customWidth="1"/>
    <col min="10807" max="10807" width="5.625" style="2" customWidth="1"/>
    <col min="10808" max="10808" width="4.625" style="2" customWidth="1"/>
    <col min="10809" max="10809" width="5.625" style="2" customWidth="1"/>
    <col min="10810" max="10813" width="4.625" style="2" customWidth="1"/>
    <col min="10814" max="10814" width="7.625" style="2" customWidth="1"/>
    <col min="10815" max="10815" width="8.625" style="2" customWidth="1"/>
    <col min="10816" max="10817" width="5.625" style="2" customWidth="1"/>
    <col min="10818" max="10818" width="6.625" style="2" customWidth="1"/>
    <col min="10819" max="10819" width="9.875" style="2" customWidth="1"/>
    <col min="10820" max="10821" width="8.625" style="2" customWidth="1"/>
    <col min="10822" max="10822" width="5.5" style="2" bestFit="1" customWidth="1"/>
    <col min="10823" max="10864" width="6.75" style="2" customWidth="1"/>
    <col min="10865" max="10865" width="9" style="2" customWidth="1"/>
    <col min="10866" max="10866" width="9.875" style="2" customWidth="1"/>
    <col min="10867" max="10867" width="2.875" style="2" customWidth="1"/>
    <col min="10868" max="10868" width="12.25" style="2" customWidth="1"/>
    <col min="10869" max="10869" width="6.375" style="2" customWidth="1"/>
    <col min="10870" max="10871" width="3.125" style="2" customWidth="1"/>
    <col min="10872" max="10872" width="1.125" style="2" customWidth="1"/>
    <col min="10873" max="10873" width="9" style="2" customWidth="1"/>
    <col min="10874" max="10874" width="2.375" style="2" customWidth="1"/>
    <col min="10875" max="10892" width="7.625" style="2" customWidth="1"/>
    <col min="10893" max="11055" width="9" style="2" customWidth="1"/>
    <col min="11056" max="11057" width="3.125" style="2" customWidth="1"/>
    <col min="11058" max="11058" width="5.875" style="2" bestFit="1" customWidth="1"/>
    <col min="11059" max="11059" width="5.625" style="2" customWidth="1"/>
    <col min="11060" max="11060" width="10.625" style="2" customWidth="1"/>
    <col min="11061" max="11061" width="12.625" style="2" customWidth="1"/>
    <col min="11062" max="11062" width="8.625" style="2" customWidth="1"/>
    <col min="11063" max="11063" width="5.625" style="2" customWidth="1"/>
    <col min="11064" max="11064" width="4.625" style="2" customWidth="1"/>
    <col min="11065" max="11065" width="5.625" style="2" customWidth="1"/>
    <col min="11066" max="11069" width="4.625" style="2" customWidth="1"/>
    <col min="11070" max="11070" width="7.625" style="2" customWidth="1"/>
    <col min="11071" max="11071" width="8.625" style="2" customWidth="1"/>
    <col min="11072" max="11073" width="5.625" style="2" customWidth="1"/>
    <col min="11074" max="11074" width="6.625" style="2" customWidth="1"/>
    <col min="11075" max="11075" width="9.875" style="2" customWidth="1"/>
    <col min="11076" max="11077" width="8.625" style="2" customWidth="1"/>
    <col min="11078" max="11078" width="5.5" style="2" bestFit="1" customWidth="1"/>
    <col min="11079" max="11120" width="6.75" style="2" customWidth="1"/>
    <col min="11121" max="11121" width="9" style="2" customWidth="1"/>
    <col min="11122" max="11122" width="9.875" style="2" customWidth="1"/>
    <col min="11123" max="11123" width="2.875" style="2" customWidth="1"/>
    <col min="11124" max="11124" width="12.25" style="2" customWidth="1"/>
    <col min="11125" max="11125" width="6.375" style="2" customWidth="1"/>
    <col min="11126" max="11127" width="3.125" style="2" customWidth="1"/>
    <col min="11128" max="11128" width="1.125" style="2" customWidth="1"/>
    <col min="11129" max="11129" width="9" style="2" customWidth="1"/>
    <col min="11130" max="11130" width="2.375" style="2" customWidth="1"/>
    <col min="11131" max="11148" width="7.625" style="2" customWidth="1"/>
    <col min="11149" max="11311" width="9" style="2" customWidth="1"/>
    <col min="11312" max="11313" width="3.125" style="2" customWidth="1"/>
    <col min="11314" max="11314" width="5.875" style="2" bestFit="1" customWidth="1"/>
    <col min="11315" max="11315" width="5.625" style="2" customWidth="1"/>
    <col min="11316" max="11316" width="10.625" style="2" customWidth="1"/>
    <col min="11317" max="11317" width="12.625" style="2" customWidth="1"/>
    <col min="11318" max="11318" width="8.625" style="2" customWidth="1"/>
    <col min="11319" max="11319" width="5.625" style="2" customWidth="1"/>
    <col min="11320" max="11320" width="4.625" style="2" customWidth="1"/>
    <col min="11321" max="11321" width="5.625" style="2" customWidth="1"/>
    <col min="11322" max="11325" width="4.625" style="2" customWidth="1"/>
    <col min="11326" max="11326" width="7.625" style="2" customWidth="1"/>
    <col min="11327" max="11327" width="8.625" style="2" customWidth="1"/>
    <col min="11328" max="11329" width="5.625" style="2" customWidth="1"/>
    <col min="11330" max="11330" width="6.625" style="2" customWidth="1"/>
    <col min="11331" max="11331" width="9.875" style="2" customWidth="1"/>
    <col min="11332" max="11333" width="8.625" style="2" customWidth="1"/>
    <col min="11334" max="11334" width="5.5" style="2" bestFit="1" customWidth="1"/>
    <col min="11335" max="11376" width="6.75" style="2" customWidth="1"/>
    <col min="11377" max="11377" width="9" style="2" customWidth="1"/>
    <col min="11378" max="11378" width="9.875" style="2" customWidth="1"/>
    <col min="11379" max="11379" width="2.875" style="2" customWidth="1"/>
    <col min="11380" max="11380" width="12.25" style="2" customWidth="1"/>
    <col min="11381" max="11381" width="6.375" style="2" customWidth="1"/>
    <col min="11382" max="11383" width="3.125" style="2" customWidth="1"/>
    <col min="11384" max="11384" width="1.125" style="2" customWidth="1"/>
    <col min="11385" max="11385" width="9" style="2" customWidth="1"/>
    <col min="11386" max="11386" width="2.375" style="2" customWidth="1"/>
    <col min="11387" max="11404" width="7.625" style="2" customWidth="1"/>
    <col min="11405" max="11567" width="9" style="2" customWidth="1"/>
    <col min="11568" max="11569" width="3.125" style="2" customWidth="1"/>
    <col min="11570" max="11570" width="5.875" style="2" bestFit="1" customWidth="1"/>
    <col min="11571" max="11571" width="5.625" style="2" customWidth="1"/>
    <col min="11572" max="11572" width="10.625" style="2" customWidth="1"/>
    <col min="11573" max="11573" width="12.625" style="2" customWidth="1"/>
    <col min="11574" max="11574" width="8.625" style="2" customWidth="1"/>
    <col min="11575" max="11575" width="5.625" style="2" customWidth="1"/>
    <col min="11576" max="11576" width="4.625" style="2" customWidth="1"/>
    <col min="11577" max="11577" width="5.625" style="2" customWidth="1"/>
    <col min="11578" max="11581" width="4.625" style="2" customWidth="1"/>
    <col min="11582" max="11582" width="7.625" style="2" customWidth="1"/>
    <col min="11583" max="11583" width="8.625" style="2" customWidth="1"/>
    <col min="11584" max="11585" width="5.625" style="2" customWidth="1"/>
    <col min="11586" max="11586" width="6.625" style="2" customWidth="1"/>
    <col min="11587" max="11587" width="9.875" style="2" customWidth="1"/>
    <col min="11588" max="11589" width="8.625" style="2" customWidth="1"/>
    <col min="11590" max="11590" width="5.5" style="2" bestFit="1" customWidth="1"/>
    <col min="11591" max="11632" width="6.75" style="2" customWidth="1"/>
    <col min="11633" max="11633" width="9" style="2" customWidth="1"/>
    <col min="11634" max="11634" width="9.875" style="2" customWidth="1"/>
    <col min="11635" max="11635" width="2.875" style="2" customWidth="1"/>
    <col min="11636" max="11636" width="12.25" style="2" customWidth="1"/>
    <col min="11637" max="11637" width="6.375" style="2" customWidth="1"/>
    <col min="11638" max="11639" width="3.125" style="2" customWidth="1"/>
    <col min="11640" max="11640" width="1.125" style="2" customWidth="1"/>
    <col min="11641" max="11641" width="9" style="2" customWidth="1"/>
    <col min="11642" max="11642" width="2.375" style="2" customWidth="1"/>
    <col min="11643" max="11660" width="7.625" style="2" customWidth="1"/>
    <col min="11661" max="11823" width="9" style="2" customWidth="1"/>
    <col min="11824" max="11825" width="3.125" style="2" customWidth="1"/>
    <col min="11826" max="11826" width="5.875" style="2" bestFit="1" customWidth="1"/>
    <col min="11827" max="11827" width="5.625" style="2" customWidth="1"/>
    <col min="11828" max="11828" width="10.625" style="2" customWidth="1"/>
    <col min="11829" max="11829" width="12.625" style="2" customWidth="1"/>
    <col min="11830" max="11830" width="8.625" style="2" customWidth="1"/>
    <col min="11831" max="11831" width="5.625" style="2" customWidth="1"/>
    <col min="11832" max="11832" width="4.625" style="2" customWidth="1"/>
    <col min="11833" max="11833" width="5.625" style="2" customWidth="1"/>
    <col min="11834" max="11837" width="4.625" style="2" customWidth="1"/>
    <col min="11838" max="11838" width="7.625" style="2" customWidth="1"/>
    <col min="11839" max="11839" width="8.625" style="2" customWidth="1"/>
    <col min="11840" max="11841" width="5.625" style="2" customWidth="1"/>
    <col min="11842" max="11842" width="6.625" style="2" customWidth="1"/>
    <col min="11843" max="11843" width="9.875" style="2" customWidth="1"/>
    <col min="11844" max="11845" width="8.625" style="2" customWidth="1"/>
    <col min="11846" max="11846" width="5.5" style="2" bestFit="1" customWidth="1"/>
    <col min="11847" max="11888" width="6.75" style="2" customWidth="1"/>
    <col min="11889" max="11889" width="9" style="2" customWidth="1"/>
    <col min="11890" max="11890" width="9.875" style="2" customWidth="1"/>
    <col min="11891" max="11891" width="2.875" style="2" customWidth="1"/>
    <col min="11892" max="11892" width="12.25" style="2" customWidth="1"/>
    <col min="11893" max="11893" width="6.375" style="2" customWidth="1"/>
    <col min="11894" max="11895" width="3.125" style="2" customWidth="1"/>
    <col min="11896" max="11896" width="1.125" style="2" customWidth="1"/>
    <col min="11897" max="11897" width="9" style="2" customWidth="1"/>
    <col min="11898" max="11898" width="2.375" style="2" customWidth="1"/>
    <col min="11899" max="11916" width="7.625" style="2" customWidth="1"/>
    <col min="11917" max="12079" width="9" style="2" customWidth="1"/>
    <col min="12080" max="12081" width="3.125" style="2" customWidth="1"/>
    <col min="12082" max="12082" width="5.875" style="2" bestFit="1" customWidth="1"/>
    <col min="12083" max="12083" width="5.625" style="2" customWidth="1"/>
    <col min="12084" max="12084" width="10.625" style="2" customWidth="1"/>
    <col min="12085" max="12085" width="12.625" style="2" customWidth="1"/>
    <col min="12086" max="12086" width="8.625" style="2" customWidth="1"/>
    <col min="12087" max="12087" width="5.625" style="2" customWidth="1"/>
    <col min="12088" max="12088" width="4.625" style="2" customWidth="1"/>
    <col min="12089" max="12089" width="5.625" style="2" customWidth="1"/>
    <col min="12090" max="12093" width="4.625" style="2" customWidth="1"/>
    <col min="12094" max="12094" width="7.625" style="2" customWidth="1"/>
    <col min="12095" max="12095" width="8.625" style="2" customWidth="1"/>
    <col min="12096" max="12097" width="5.625" style="2" customWidth="1"/>
    <col min="12098" max="12098" width="6.625" style="2" customWidth="1"/>
    <col min="12099" max="12099" width="9.875" style="2" customWidth="1"/>
    <col min="12100" max="12101" width="8.625" style="2" customWidth="1"/>
    <col min="12102" max="12102" width="5.5" style="2" bestFit="1" customWidth="1"/>
    <col min="12103" max="12144" width="6.75" style="2" customWidth="1"/>
    <col min="12145" max="12145" width="9" style="2" customWidth="1"/>
    <col min="12146" max="12146" width="9.875" style="2" customWidth="1"/>
    <col min="12147" max="12147" width="2.875" style="2" customWidth="1"/>
    <col min="12148" max="12148" width="12.25" style="2" customWidth="1"/>
    <col min="12149" max="12149" width="6.375" style="2" customWidth="1"/>
    <col min="12150" max="12151" width="3.125" style="2" customWidth="1"/>
    <col min="12152" max="12152" width="1.125" style="2" customWidth="1"/>
    <col min="12153" max="12153" width="9" style="2" customWidth="1"/>
    <col min="12154" max="12154" width="2.375" style="2" customWidth="1"/>
    <col min="12155" max="12172" width="7.625" style="2" customWidth="1"/>
    <col min="12173" max="12335" width="9" style="2" customWidth="1"/>
    <col min="12336" max="12337" width="3.125" style="2" customWidth="1"/>
    <col min="12338" max="12338" width="5.875" style="2" bestFit="1" customWidth="1"/>
    <col min="12339" max="12339" width="5.625" style="2" customWidth="1"/>
    <col min="12340" max="12340" width="10.625" style="2" customWidth="1"/>
    <col min="12341" max="12341" width="12.625" style="2" customWidth="1"/>
    <col min="12342" max="12342" width="8.625" style="2" customWidth="1"/>
    <col min="12343" max="12343" width="5.625" style="2" customWidth="1"/>
    <col min="12344" max="12344" width="4.625" style="2" customWidth="1"/>
    <col min="12345" max="12345" width="5.625" style="2" customWidth="1"/>
    <col min="12346" max="12349" width="4.625" style="2" customWidth="1"/>
    <col min="12350" max="12350" width="7.625" style="2" customWidth="1"/>
    <col min="12351" max="12351" width="8.625" style="2" customWidth="1"/>
    <col min="12352" max="12353" width="5.625" style="2" customWidth="1"/>
    <col min="12354" max="12354" width="6.625" style="2" customWidth="1"/>
    <col min="12355" max="12355" width="9.875" style="2" customWidth="1"/>
    <col min="12356" max="12357" width="8.625" style="2" customWidth="1"/>
    <col min="12358" max="12358" width="5.5" style="2" bestFit="1" customWidth="1"/>
    <col min="12359" max="12400" width="6.75" style="2" customWidth="1"/>
    <col min="12401" max="12401" width="9" style="2" customWidth="1"/>
    <col min="12402" max="12402" width="9.875" style="2" customWidth="1"/>
    <col min="12403" max="12403" width="2.875" style="2" customWidth="1"/>
    <col min="12404" max="12404" width="12.25" style="2" customWidth="1"/>
    <col min="12405" max="12405" width="6.375" style="2" customWidth="1"/>
    <col min="12406" max="12407" width="3.125" style="2" customWidth="1"/>
    <col min="12408" max="12408" width="1.125" style="2" customWidth="1"/>
    <col min="12409" max="12409" width="9" style="2" customWidth="1"/>
    <col min="12410" max="12410" width="2.375" style="2" customWidth="1"/>
    <col min="12411" max="12428" width="7.625" style="2" customWidth="1"/>
    <col min="12429" max="12591" width="9" style="2" customWidth="1"/>
    <col min="12592" max="12593" width="3.125" style="2" customWidth="1"/>
    <col min="12594" max="12594" width="5.875" style="2" bestFit="1" customWidth="1"/>
    <col min="12595" max="12595" width="5.625" style="2" customWidth="1"/>
    <col min="12596" max="12596" width="10.625" style="2" customWidth="1"/>
    <col min="12597" max="12597" width="12.625" style="2" customWidth="1"/>
    <col min="12598" max="12598" width="8.625" style="2" customWidth="1"/>
    <col min="12599" max="12599" width="5.625" style="2" customWidth="1"/>
    <col min="12600" max="12600" width="4.625" style="2" customWidth="1"/>
    <col min="12601" max="12601" width="5.625" style="2" customWidth="1"/>
    <col min="12602" max="12605" width="4.625" style="2" customWidth="1"/>
    <col min="12606" max="12606" width="7.625" style="2" customWidth="1"/>
    <col min="12607" max="12607" width="8.625" style="2" customWidth="1"/>
    <col min="12608" max="12609" width="5.625" style="2" customWidth="1"/>
    <col min="12610" max="12610" width="6.625" style="2" customWidth="1"/>
    <col min="12611" max="12611" width="9.875" style="2" customWidth="1"/>
    <col min="12612" max="12613" width="8.625" style="2" customWidth="1"/>
    <col min="12614" max="12614" width="5.5" style="2" bestFit="1" customWidth="1"/>
    <col min="12615" max="12656" width="6.75" style="2" customWidth="1"/>
    <col min="12657" max="12657" width="9" style="2" customWidth="1"/>
    <col min="12658" max="12658" width="9.875" style="2" customWidth="1"/>
    <col min="12659" max="12659" width="2.875" style="2" customWidth="1"/>
    <col min="12660" max="12660" width="12.25" style="2" customWidth="1"/>
    <col min="12661" max="12661" width="6.375" style="2" customWidth="1"/>
    <col min="12662" max="12663" width="3.125" style="2" customWidth="1"/>
    <col min="12664" max="12664" width="1.125" style="2" customWidth="1"/>
    <col min="12665" max="12665" width="9" style="2" customWidth="1"/>
    <col min="12666" max="12666" width="2.375" style="2" customWidth="1"/>
    <col min="12667" max="12684" width="7.625" style="2" customWidth="1"/>
    <col min="12685" max="12847" width="9" style="2" customWidth="1"/>
    <col min="12848" max="12849" width="3.125" style="2" customWidth="1"/>
    <col min="12850" max="12850" width="5.875" style="2" bestFit="1" customWidth="1"/>
    <col min="12851" max="12851" width="5.625" style="2" customWidth="1"/>
    <col min="12852" max="12852" width="10.625" style="2" customWidth="1"/>
    <col min="12853" max="12853" width="12.625" style="2" customWidth="1"/>
    <col min="12854" max="12854" width="8.625" style="2" customWidth="1"/>
    <col min="12855" max="12855" width="5.625" style="2" customWidth="1"/>
    <col min="12856" max="12856" width="4.625" style="2" customWidth="1"/>
    <col min="12857" max="12857" width="5.625" style="2" customWidth="1"/>
    <col min="12858" max="12861" width="4.625" style="2" customWidth="1"/>
    <col min="12862" max="12862" width="7.625" style="2" customWidth="1"/>
    <col min="12863" max="12863" width="8.625" style="2" customWidth="1"/>
    <col min="12864" max="12865" width="5.625" style="2" customWidth="1"/>
    <col min="12866" max="12866" width="6.625" style="2" customWidth="1"/>
    <col min="12867" max="12867" width="9.875" style="2" customWidth="1"/>
    <col min="12868" max="12869" width="8.625" style="2" customWidth="1"/>
    <col min="12870" max="12870" width="5.5" style="2" bestFit="1" customWidth="1"/>
    <col min="12871" max="12912" width="6.75" style="2" customWidth="1"/>
    <col min="12913" max="12913" width="9" style="2" customWidth="1"/>
    <col min="12914" max="12914" width="9.875" style="2" customWidth="1"/>
    <col min="12915" max="12915" width="2.875" style="2" customWidth="1"/>
    <col min="12916" max="12916" width="12.25" style="2" customWidth="1"/>
    <col min="12917" max="12917" width="6.375" style="2" customWidth="1"/>
    <col min="12918" max="12919" width="3.125" style="2" customWidth="1"/>
    <col min="12920" max="12920" width="1.125" style="2" customWidth="1"/>
    <col min="12921" max="12921" width="9" style="2" customWidth="1"/>
    <col min="12922" max="12922" width="2.375" style="2" customWidth="1"/>
    <col min="12923" max="12940" width="7.625" style="2" customWidth="1"/>
    <col min="12941" max="13103" width="9" style="2" customWidth="1"/>
    <col min="13104" max="13105" width="3.125" style="2" customWidth="1"/>
    <col min="13106" max="13106" width="5.875" style="2" bestFit="1" customWidth="1"/>
    <col min="13107" max="13107" width="5.625" style="2" customWidth="1"/>
    <col min="13108" max="13108" width="10.625" style="2" customWidth="1"/>
    <col min="13109" max="13109" width="12.625" style="2" customWidth="1"/>
    <col min="13110" max="13110" width="8.625" style="2" customWidth="1"/>
    <col min="13111" max="13111" width="5.625" style="2" customWidth="1"/>
    <col min="13112" max="13112" width="4.625" style="2" customWidth="1"/>
    <col min="13113" max="13113" width="5.625" style="2" customWidth="1"/>
    <col min="13114" max="13117" width="4.625" style="2" customWidth="1"/>
    <col min="13118" max="13118" width="7.625" style="2" customWidth="1"/>
    <col min="13119" max="13119" width="8.625" style="2" customWidth="1"/>
    <col min="13120" max="13121" width="5.625" style="2" customWidth="1"/>
    <col min="13122" max="13122" width="6.625" style="2" customWidth="1"/>
    <col min="13123" max="13123" width="9.875" style="2" customWidth="1"/>
    <col min="13124" max="13125" width="8.625" style="2" customWidth="1"/>
    <col min="13126" max="13126" width="5.5" style="2" bestFit="1" customWidth="1"/>
    <col min="13127" max="13168" width="6.75" style="2" customWidth="1"/>
    <col min="13169" max="13169" width="9" style="2" customWidth="1"/>
    <col min="13170" max="13170" width="9.875" style="2" customWidth="1"/>
    <col min="13171" max="13171" width="2.875" style="2" customWidth="1"/>
    <col min="13172" max="13172" width="12.25" style="2" customWidth="1"/>
    <col min="13173" max="13173" width="6.375" style="2" customWidth="1"/>
    <col min="13174" max="13175" width="3.125" style="2" customWidth="1"/>
    <col min="13176" max="13176" width="1.125" style="2" customWidth="1"/>
    <col min="13177" max="13177" width="9" style="2" customWidth="1"/>
    <col min="13178" max="13178" width="2.375" style="2" customWidth="1"/>
    <col min="13179" max="13196" width="7.625" style="2" customWidth="1"/>
    <col min="13197" max="13359" width="9" style="2" customWidth="1"/>
    <col min="13360" max="13361" width="3.125" style="2" customWidth="1"/>
    <col min="13362" max="13362" width="5.875" style="2" bestFit="1" customWidth="1"/>
    <col min="13363" max="13363" width="5.625" style="2" customWidth="1"/>
    <col min="13364" max="13364" width="10.625" style="2" customWidth="1"/>
    <col min="13365" max="13365" width="12.625" style="2" customWidth="1"/>
    <col min="13366" max="13366" width="8.625" style="2" customWidth="1"/>
    <col min="13367" max="13367" width="5.625" style="2" customWidth="1"/>
    <col min="13368" max="13368" width="4.625" style="2" customWidth="1"/>
    <col min="13369" max="13369" width="5.625" style="2" customWidth="1"/>
    <col min="13370" max="13373" width="4.625" style="2" customWidth="1"/>
    <col min="13374" max="13374" width="7.625" style="2" customWidth="1"/>
    <col min="13375" max="13375" width="8.625" style="2" customWidth="1"/>
    <col min="13376" max="13377" width="5.625" style="2" customWidth="1"/>
    <col min="13378" max="13378" width="6.625" style="2" customWidth="1"/>
    <col min="13379" max="13379" width="9.875" style="2" customWidth="1"/>
    <col min="13380" max="13381" width="8.625" style="2" customWidth="1"/>
    <col min="13382" max="13382" width="5.5" style="2" bestFit="1" customWidth="1"/>
    <col min="13383" max="13424" width="6.75" style="2" customWidth="1"/>
    <col min="13425" max="13425" width="9" style="2" customWidth="1"/>
    <col min="13426" max="13426" width="9.875" style="2" customWidth="1"/>
    <col min="13427" max="13427" width="2.875" style="2" customWidth="1"/>
    <col min="13428" max="13428" width="12.25" style="2" customWidth="1"/>
    <col min="13429" max="13429" width="6.375" style="2" customWidth="1"/>
    <col min="13430" max="13431" width="3.125" style="2" customWidth="1"/>
    <col min="13432" max="13432" width="1.125" style="2" customWidth="1"/>
    <col min="13433" max="13433" width="9" style="2" customWidth="1"/>
    <col min="13434" max="13434" width="2.375" style="2" customWidth="1"/>
    <col min="13435" max="13452" width="7.625" style="2" customWidth="1"/>
    <col min="13453" max="13615" width="9" style="2" customWidth="1"/>
    <col min="13616" max="13617" width="3.125" style="2" customWidth="1"/>
    <col min="13618" max="13618" width="5.875" style="2" bestFit="1" customWidth="1"/>
    <col min="13619" max="13619" width="5.625" style="2" customWidth="1"/>
    <col min="13620" max="13620" width="10.625" style="2" customWidth="1"/>
    <col min="13621" max="13621" width="12.625" style="2" customWidth="1"/>
    <col min="13622" max="13622" width="8.625" style="2" customWidth="1"/>
    <col min="13623" max="13623" width="5.625" style="2" customWidth="1"/>
    <col min="13624" max="13624" width="4.625" style="2" customWidth="1"/>
    <col min="13625" max="13625" width="5.625" style="2" customWidth="1"/>
    <col min="13626" max="13629" width="4.625" style="2" customWidth="1"/>
    <col min="13630" max="13630" width="7.625" style="2" customWidth="1"/>
    <col min="13631" max="13631" width="8.625" style="2" customWidth="1"/>
    <col min="13632" max="13633" width="5.625" style="2" customWidth="1"/>
    <col min="13634" max="13634" width="6.625" style="2" customWidth="1"/>
    <col min="13635" max="13635" width="9.875" style="2" customWidth="1"/>
    <col min="13636" max="13637" width="8.625" style="2" customWidth="1"/>
    <col min="13638" max="13638" width="5.5" style="2" bestFit="1" customWidth="1"/>
    <col min="13639" max="13680" width="6.75" style="2" customWidth="1"/>
    <col min="13681" max="13681" width="9" style="2" customWidth="1"/>
    <col min="13682" max="13682" width="9.875" style="2" customWidth="1"/>
    <col min="13683" max="13683" width="2.875" style="2" customWidth="1"/>
    <col min="13684" max="13684" width="12.25" style="2" customWidth="1"/>
    <col min="13685" max="13685" width="6.375" style="2" customWidth="1"/>
    <col min="13686" max="13687" width="3.125" style="2" customWidth="1"/>
    <col min="13688" max="13688" width="1.125" style="2" customWidth="1"/>
    <col min="13689" max="13689" width="9" style="2" customWidth="1"/>
    <col min="13690" max="13690" width="2.375" style="2" customWidth="1"/>
    <col min="13691" max="13708" width="7.625" style="2" customWidth="1"/>
    <col min="13709" max="13871" width="9" style="2" customWidth="1"/>
    <col min="13872" max="13873" width="3.125" style="2" customWidth="1"/>
    <col min="13874" max="13874" width="5.875" style="2" bestFit="1" customWidth="1"/>
    <col min="13875" max="13875" width="5.625" style="2" customWidth="1"/>
    <col min="13876" max="13876" width="10.625" style="2" customWidth="1"/>
    <col min="13877" max="13877" width="12.625" style="2" customWidth="1"/>
    <col min="13878" max="13878" width="8.625" style="2" customWidth="1"/>
    <col min="13879" max="13879" width="5.625" style="2" customWidth="1"/>
    <col min="13880" max="13880" width="4.625" style="2" customWidth="1"/>
    <col min="13881" max="13881" width="5.625" style="2" customWidth="1"/>
    <col min="13882" max="13885" width="4.625" style="2" customWidth="1"/>
    <col min="13886" max="13886" width="7.625" style="2" customWidth="1"/>
    <col min="13887" max="13887" width="8.625" style="2" customWidth="1"/>
    <col min="13888" max="13889" width="5.625" style="2" customWidth="1"/>
    <col min="13890" max="13890" width="6.625" style="2" customWidth="1"/>
    <col min="13891" max="13891" width="9.875" style="2" customWidth="1"/>
    <col min="13892" max="13893" width="8.625" style="2" customWidth="1"/>
    <col min="13894" max="13894" width="5.5" style="2" bestFit="1" customWidth="1"/>
    <col min="13895" max="13936" width="6.75" style="2" customWidth="1"/>
    <col min="13937" max="13937" width="9" style="2" customWidth="1"/>
    <col min="13938" max="13938" width="9.875" style="2" customWidth="1"/>
    <col min="13939" max="13939" width="2.875" style="2" customWidth="1"/>
    <col min="13940" max="13940" width="12.25" style="2" customWidth="1"/>
    <col min="13941" max="13941" width="6.375" style="2" customWidth="1"/>
    <col min="13942" max="13943" width="3.125" style="2" customWidth="1"/>
    <col min="13944" max="13944" width="1.125" style="2" customWidth="1"/>
    <col min="13945" max="13945" width="9" style="2" customWidth="1"/>
    <col min="13946" max="13946" width="2.375" style="2" customWidth="1"/>
    <col min="13947" max="13964" width="7.625" style="2" customWidth="1"/>
    <col min="13965" max="14127" width="9" style="2" customWidth="1"/>
    <col min="14128" max="14129" width="3.125" style="2" customWidth="1"/>
    <col min="14130" max="14130" width="5.875" style="2" bestFit="1" customWidth="1"/>
    <col min="14131" max="14131" width="5.625" style="2" customWidth="1"/>
    <col min="14132" max="14132" width="10.625" style="2" customWidth="1"/>
    <col min="14133" max="14133" width="12.625" style="2" customWidth="1"/>
    <col min="14134" max="14134" width="8.625" style="2" customWidth="1"/>
    <col min="14135" max="14135" width="5.625" style="2" customWidth="1"/>
    <col min="14136" max="14136" width="4.625" style="2" customWidth="1"/>
    <col min="14137" max="14137" width="5.625" style="2" customWidth="1"/>
    <col min="14138" max="14141" width="4.625" style="2" customWidth="1"/>
    <col min="14142" max="14142" width="7.625" style="2" customWidth="1"/>
    <col min="14143" max="14143" width="8.625" style="2" customWidth="1"/>
    <col min="14144" max="14145" width="5.625" style="2" customWidth="1"/>
    <col min="14146" max="14146" width="6.625" style="2" customWidth="1"/>
    <col min="14147" max="14147" width="9.875" style="2" customWidth="1"/>
    <col min="14148" max="14149" width="8.625" style="2" customWidth="1"/>
    <col min="14150" max="14150" width="5.5" style="2" bestFit="1" customWidth="1"/>
    <col min="14151" max="14192" width="6.75" style="2" customWidth="1"/>
    <col min="14193" max="14193" width="9" style="2" customWidth="1"/>
    <col min="14194" max="14194" width="9.875" style="2" customWidth="1"/>
    <col min="14195" max="14195" width="2.875" style="2" customWidth="1"/>
    <col min="14196" max="14196" width="12.25" style="2" customWidth="1"/>
    <col min="14197" max="14197" width="6.375" style="2" customWidth="1"/>
    <col min="14198" max="14199" width="3.125" style="2" customWidth="1"/>
    <col min="14200" max="14200" width="1.125" style="2" customWidth="1"/>
    <col min="14201" max="14201" width="9" style="2" customWidth="1"/>
    <col min="14202" max="14202" width="2.375" style="2" customWidth="1"/>
    <col min="14203" max="14220" width="7.625" style="2" customWidth="1"/>
    <col min="14221" max="14383" width="9" style="2" customWidth="1"/>
    <col min="14384" max="14385" width="3.125" style="2" customWidth="1"/>
    <col min="14386" max="14386" width="5.875" style="2" bestFit="1" customWidth="1"/>
    <col min="14387" max="14387" width="5.625" style="2" customWidth="1"/>
    <col min="14388" max="14388" width="10.625" style="2" customWidth="1"/>
    <col min="14389" max="14389" width="12.625" style="2" customWidth="1"/>
    <col min="14390" max="14390" width="8.625" style="2" customWidth="1"/>
    <col min="14391" max="14391" width="5.625" style="2" customWidth="1"/>
    <col min="14392" max="14392" width="4.625" style="2" customWidth="1"/>
    <col min="14393" max="14393" width="5.625" style="2" customWidth="1"/>
    <col min="14394" max="14397" width="4.625" style="2" customWidth="1"/>
    <col min="14398" max="14398" width="7.625" style="2" customWidth="1"/>
    <col min="14399" max="14399" width="8.625" style="2" customWidth="1"/>
    <col min="14400" max="14401" width="5.625" style="2" customWidth="1"/>
    <col min="14402" max="14402" width="6.625" style="2" customWidth="1"/>
    <col min="14403" max="14403" width="9.875" style="2" customWidth="1"/>
    <col min="14404" max="14405" width="8.625" style="2" customWidth="1"/>
    <col min="14406" max="14406" width="5.5" style="2" bestFit="1" customWidth="1"/>
    <col min="14407" max="14448" width="6.75" style="2" customWidth="1"/>
    <col min="14449" max="14449" width="9" style="2" customWidth="1"/>
    <col min="14450" max="14450" width="9.875" style="2" customWidth="1"/>
    <col min="14451" max="14451" width="2.875" style="2" customWidth="1"/>
    <col min="14452" max="14452" width="12.25" style="2" customWidth="1"/>
    <col min="14453" max="14453" width="6.375" style="2" customWidth="1"/>
    <col min="14454" max="14455" width="3.125" style="2" customWidth="1"/>
    <col min="14456" max="14456" width="1.125" style="2" customWidth="1"/>
    <col min="14457" max="14457" width="9" style="2" customWidth="1"/>
    <col min="14458" max="14458" width="2.375" style="2" customWidth="1"/>
    <col min="14459" max="14476" width="7.625" style="2" customWidth="1"/>
    <col min="14477" max="14639" width="9" style="2" customWidth="1"/>
    <col min="14640" max="14641" width="3.125" style="2" customWidth="1"/>
    <col min="14642" max="14642" width="5.875" style="2" bestFit="1" customWidth="1"/>
    <col min="14643" max="14643" width="5.625" style="2" customWidth="1"/>
    <col min="14644" max="14644" width="10.625" style="2" customWidth="1"/>
    <col min="14645" max="14645" width="12.625" style="2" customWidth="1"/>
    <col min="14646" max="14646" width="8.625" style="2" customWidth="1"/>
    <col min="14647" max="14647" width="5.625" style="2" customWidth="1"/>
    <col min="14648" max="14648" width="4.625" style="2" customWidth="1"/>
    <col min="14649" max="14649" width="5.625" style="2" customWidth="1"/>
    <col min="14650" max="14653" width="4.625" style="2" customWidth="1"/>
    <col min="14654" max="14654" width="7.625" style="2" customWidth="1"/>
    <col min="14655" max="14655" width="8.625" style="2" customWidth="1"/>
    <col min="14656" max="14657" width="5.625" style="2" customWidth="1"/>
    <col min="14658" max="14658" width="6.625" style="2" customWidth="1"/>
    <col min="14659" max="14659" width="9.875" style="2" customWidth="1"/>
    <col min="14660" max="14661" width="8.625" style="2" customWidth="1"/>
    <col min="14662" max="14662" width="5.5" style="2" bestFit="1" customWidth="1"/>
    <col min="14663" max="14704" width="6.75" style="2" customWidth="1"/>
    <col min="14705" max="14705" width="9" style="2" customWidth="1"/>
    <col min="14706" max="14706" width="9.875" style="2" customWidth="1"/>
    <col min="14707" max="14707" width="2.875" style="2" customWidth="1"/>
    <col min="14708" max="14708" width="12.25" style="2" customWidth="1"/>
    <col min="14709" max="14709" width="6.375" style="2" customWidth="1"/>
    <col min="14710" max="14711" width="3.125" style="2" customWidth="1"/>
    <col min="14712" max="14712" width="1.125" style="2" customWidth="1"/>
    <col min="14713" max="14713" width="9" style="2" customWidth="1"/>
    <col min="14714" max="14714" width="2.375" style="2" customWidth="1"/>
    <col min="14715" max="14732" width="7.625" style="2" customWidth="1"/>
    <col min="14733" max="14895" width="9" style="2" customWidth="1"/>
    <col min="14896" max="14897" width="3.125" style="2" customWidth="1"/>
    <col min="14898" max="14898" width="5.875" style="2" bestFit="1" customWidth="1"/>
    <col min="14899" max="14899" width="5.625" style="2" customWidth="1"/>
    <col min="14900" max="14900" width="10.625" style="2" customWidth="1"/>
    <col min="14901" max="14901" width="12.625" style="2" customWidth="1"/>
    <col min="14902" max="14902" width="8.625" style="2" customWidth="1"/>
    <col min="14903" max="14903" width="5.625" style="2" customWidth="1"/>
    <col min="14904" max="14904" width="4.625" style="2" customWidth="1"/>
    <col min="14905" max="14905" width="5.625" style="2" customWidth="1"/>
    <col min="14906" max="14909" width="4.625" style="2" customWidth="1"/>
    <col min="14910" max="14910" width="7.625" style="2" customWidth="1"/>
    <col min="14911" max="14911" width="8.625" style="2" customWidth="1"/>
    <col min="14912" max="14913" width="5.625" style="2" customWidth="1"/>
    <col min="14914" max="14914" width="6.625" style="2" customWidth="1"/>
    <col min="14915" max="14915" width="9.875" style="2" customWidth="1"/>
    <col min="14916" max="14917" width="8.625" style="2" customWidth="1"/>
    <col min="14918" max="14918" width="5.5" style="2" bestFit="1" customWidth="1"/>
    <col min="14919" max="14960" width="6.75" style="2" customWidth="1"/>
    <col min="14961" max="14961" width="9" style="2" customWidth="1"/>
    <col min="14962" max="14962" width="9.875" style="2" customWidth="1"/>
    <col min="14963" max="14963" width="2.875" style="2" customWidth="1"/>
    <col min="14964" max="14964" width="12.25" style="2" customWidth="1"/>
    <col min="14965" max="14965" width="6.375" style="2" customWidth="1"/>
    <col min="14966" max="14967" width="3.125" style="2" customWidth="1"/>
    <col min="14968" max="14968" width="1.125" style="2" customWidth="1"/>
    <col min="14969" max="14969" width="9" style="2" customWidth="1"/>
    <col min="14970" max="14970" width="2.375" style="2" customWidth="1"/>
    <col min="14971" max="14988" width="7.625" style="2" customWidth="1"/>
    <col min="14989" max="15151" width="9" style="2" customWidth="1"/>
    <col min="15152" max="15153" width="3.125" style="2" customWidth="1"/>
    <col min="15154" max="15154" width="5.875" style="2" bestFit="1" customWidth="1"/>
    <col min="15155" max="15155" width="5.625" style="2" customWidth="1"/>
    <col min="15156" max="15156" width="10.625" style="2" customWidth="1"/>
    <col min="15157" max="15157" width="12.625" style="2" customWidth="1"/>
    <col min="15158" max="15158" width="8.625" style="2" customWidth="1"/>
    <col min="15159" max="15159" width="5.625" style="2" customWidth="1"/>
    <col min="15160" max="15160" width="4.625" style="2" customWidth="1"/>
    <col min="15161" max="15161" width="5.625" style="2" customWidth="1"/>
    <col min="15162" max="15165" width="4.625" style="2" customWidth="1"/>
    <col min="15166" max="15166" width="7.625" style="2" customWidth="1"/>
    <col min="15167" max="15167" width="8.625" style="2" customWidth="1"/>
    <col min="15168" max="15169" width="5.625" style="2" customWidth="1"/>
    <col min="15170" max="15170" width="6.625" style="2" customWidth="1"/>
    <col min="15171" max="15171" width="9.875" style="2" customWidth="1"/>
    <col min="15172" max="15173" width="8.625" style="2" customWidth="1"/>
    <col min="15174" max="15174" width="5.5" style="2" bestFit="1" customWidth="1"/>
    <col min="15175" max="15216" width="6.75" style="2" customWidth="1"/>
    <col min="15217" max="15217" width="9" style="2" customWidth="1"/>
    <col min="15218" max="15218" width="9.875" style="2" customWidth="1"/>
    <col min="15219" max="15219" width="2.875" style="2" customWidth="1"/>
    <col min="15220" max="15220" width="12.25" style="2" customWidth="1"/>
    <col min="15221" max="15221" width="6.375" style="2" customWidth="1"/>
    <col min="15222" max="15223" width="3.125" style="2" customWidth="1"/>
    <col min="15224" max="15224" width="1.125" style="2" customWidth="1"/>
    <col min="15225" max="15225" width="9" style="2" customWidth="1"/>
    <col min="15226" max="15226" width="2.375" style="2" customWidth="1"/>
    <col min="15227" max="15244" width="7.625" style="2" customWidth="1"/>
    <col min="15245" max="15407" width="9" style="2" customWidth="1"/>
    <col min="15408" max="15409" width="3.125" style="2" customWidth="1"/>
    <col min="15410" max="15410" width="5.875" style="2" bestFit="1" customWidth="1"/>
    <col min="15411" max="15411" width="5.625" style="2" customWidth="1"/>
    <col min="15412" max="15412" width="10.625" style="2" customWidth="1"/>
    <col min="15413" max="15413" width="12.625" style="2" customWidth="1"/>
    <col min="15414" max="15414" width="8.625" style="2" customWidth="1"/>
    <col min="15415" max="15415" width="5.625" style="2" customWidth="1"/>
    <col min="15416" max="15416" width="4.625" style="2" customWidth="1"/>
    <col min="15417" max="15417" width="5.625" style="2" customWidth="1"/>
    <col min="15418" max="15421" width="4.625" style="2" customWidth="1"/>
    <col min="15422" max="15422" width="7.625" style="2" customWidth="1"/>
    <col min="15423" max="15423" width="8.625" style="2" customWidth="1"/>
    <col min="15424" max="15425" width="5.625" style="2" customWidth="1"/>
    <col min="15426" max="15426" width="6.625" style="2" customWidth="1"/>
    <col min="15427" max="15427" width="9.875" style="2" customWidth="1"/>
    <col min="15428" max="15429" width="8.625" style="2" customWidth="1"/>
    <col min="15430" max="15430" width="5.5" style="2" bestFit="1" customWidth="1"/>
    <col min="15431" max="15472" width="6.75" style="2" customWidth="1"/>
    <col min="15473" max="15473" width="9" style="2" customWidth="1"/>
    <col min="15474" max="15474" width="9.875" style="2" customWidth="1"/>
    <col min="15475" max="15475" width="2.875" style="2" customWidth="1"/>
    <col min="15476" max="15476" width="12.25" style="2" customWidth="1"/>
    <col min="15477" max="15477" width="6.375" style="2" customWidth="1"/>
    <col min="15478" max="15479" width="3.125" style="2" customWidth="1"/>
    <col min="15480" max="15480" width="1.125" style="2" customWidth="1"/>
    <col min="15481" max="15481" width="9" style="2" customWidth="1"/>
    <col min="15482" max="15482" width="2.375" style="2" customWidth="1"/>
    <col min="15483" max="15500" width="7.625" style="2" customWidth="1"/>
    <col min="15501" max="15663" width="9" style="2" customWidth="1"/>
    <col min="15664" max="15665" width="3.125" style="2" customWidth="1"/>
    <col min="15666" max="15666" width="5.875" style="2" bestFit="1" customWidth="1"/>
    <col min="15667" max="15667" width="5.625" style="2" customWidth="1"/>
    <col min="15668" max="15668" width="10.625" style="2" customWidth="1"/>
    <col min="15669" max="15669" width="12.625" style="2" customWidth="1"/>
    <col min="15670" max="15670" width="8.625" style="2" customWidth="1"/>
    <col min="15671" max="15671" width="5.625" style="2" customWidth="1"/>
    <col min="15672" max="15672" width="4.625" style="2" customWidth="1"/>
    <col min="15673" max="15673" width="5.625" style="2" customWidth="1"/>
    <col min="15674" max="15677" width="4.625" style="2" customWidth="1"/>
    <col min="15678" max="15678" width="7.625" style="2" customWidth="1"/>
    <col min="15679" max="15679" width="8.625" style="2" customWidth="1"/>
    <col min="15680" max="15681" width="5.625" style="2" customWidth="1"/>
    <col min="15682" max="15682" width="6.625" style="2" customWidth="1"/>
    <col min="15683" max="15683" width="9.875" style="2" customWidth="1"/>
    <col min="15684" max="15685" width="8.625" style="2" customWidth="1"/>
    <col min="15686" max="15686" width="5.5" style="2" bestFit="1" customWidth="1"/>
    <col min="15687" max="15728" width="6.75" style="2" customWidth="1"/>
    <col min="15729" max="15729" width="9" style="2" customWidth="1"/>
    <col min="15730" max="15730" width="9.875" style="2" customWidth="1"/>
    <col min="15731" max="15731" width="2.875" style="2" customWidth="1"/>
    <col min="15732" max="15732" width="12.25" style="2" customWidth="1"/>
    <col min="15733" max="15733" width="6.375" style="2" customWidth="1"/>
    <col min="15734" max="15735" width="3.125" style="2" customWidth="1"/>
    <col min="15736" max="15736" width="1.125" style="2" customWidth="1"/>
    <col min="15737" max="15737" width="9" style="2" customWidth="1"/>
    <col min="15738" max="15738" width="2.375" style="2" customWidth="1"/>
    <col min="15739" max="15756" width="7.625" style="2" customWidth="1"/>
    <col min="15757" max="15919" width="9" style="2" customWidth="1"/>
    <col min="15920" max="15921" width="3.125" style="2" customWidth="1"/>
    <col min="15922" max="15922" width="5.875" style="2" bestFit="1" customWidth="1"/>
    <col min="15923" max="15923" width="5.625" style="2" customWidth="1"/>
    <col min="15924" max="15924" width="10.625" style="2" customWidth="1"/>
    <col min="15925" max="15925" width="12.625" style="2" customWidth="1"/>
    <col min="15926" max="15926" width="8.625" style="2" customWidth="1"/>
    <col min="15927" max="15927" width="5.625" style="2" customWidth="1"/>
    <col min="15928" max="15928" width="4.625" style="2" customWidth="1"/>
    <col min="15929" max="15929" width="5.625" style="2" customWidth="1"/>
    <col min="15930" max="15933" width="4.625" style="2" customWidth="1"/>
    <col min="15934" max="15934" width="7.625" style="2" customWidth="1"/>
    <col min="15935" max="15935" width="8.625" style="2" customWidth="1"/>
    <col min="15936" max="15937" width="5.625" style="2" customWidth="1"/>
    <col min="15938" max="15938" width="6.625" style="2" customWidth="1"/>
    <col min="15939" max="15939" width="9.875" style="2" customWidth="1"/>
    <col min="15940" max="15941" width="8.625" style="2" customWidth="1"/>
    <col min="15942" max="15942" width="5.5" style="2" bestFit="1" customWidth="1"/>
    <col min="15943" max="15984" width="6.75" style="2" customWidth="1"/>
    <col min="15985" max="15985" width="9" style="2" customWidth="1"/>
    <col min="15986" max="15986" width="9.875" style="2" customWidth="1"/>
    <col min="15987" max="15987" width="2.875" style="2" customWidth="1"/>
    <col min="15988" max="15988" width="12.25" style="2" customWidth="1"/>
    <col min="15989" max="15989" width="6.375" style="2" customWidth="1"/>
    <col min="15990" max="15991" width="3.125" style="2" customWidth="1"/>
    <col min="15992" max="15992" width="1.125" style="2" customWidth="1"/>
    <col min="15993" max="15993" width="9" style="2" customWidth="1"/>
    <col min="15994" max="15994" width="2.375" style="2" customWidth="1"/>
    <col min="15995" max="16012" width="7.625" style="2" customWidth="1"/>
    <col min="16013" max="16175" width="9" style="2" customWidth="1"/>
    <col min="16176" max="16177" width="3.125" style="2" customWidth="1"/>
    <col min="16178" max="16178" width="5.875" style="2" bestFit="1" customWidth="1"/>
    <col min="16179" max="16179" width="5.625" style="2" customWidth="1"/>
    <col min="16180" max="16180" width="10.625" style="2" customWidth="1"/>
    <col min="16181" max="16181" width="12.625" style="2" customWidth="1"/>
    <col min="16182" max="16182" width="8.625" style="2" customWidth="1"/>
    <col min="16183" max="16183" width="5.625" style="2" customWidth="1"/>
    <col min="16184" max="16184" width="4.625" style="2" customWidth="1"/>
    <col min="16185" max="16185" width="5.625" style="2" customWidth="1"/>
    <col min="16186" max="16189" width="4.625" style="2" customWidth="1"/>
    <col min="16190" max="16190" width="7.625" style="2" customWidth="1"/>
    <col min="16191" max="16191" width="8.625" style="2" customWidth="1"/>
    <col min="16192" max="16193" width="5.625" style="2" customWidth="1"/>
    <col min="16194" max="16194" width="6.625" style="2" customWidth="1"/>
    <col min="16195" max="16195" width="9.875" style="2" customWidth="1"/>
    <col min="16196" max="16197" width="8.625" style="2" customWidth="1"/>
    <col min="16198" max="16198" width="5.5" style="2" bestFit="1" customWidth="1"/>
    <col min="16199" max="16240" width="6.75" style="2" customWidth="1"/>
    <col min="16241" max="16241" width="9" style="2" customWidth="1"/>
    <col min="16242" max="16242" width="9.875" style="2" customWidth="1"/>
    <col min="16243" max="16243" width="2.875" style="2" customWidth="1"/>
    <col min="16244" max="16244" width="12.25" style="2" customWidth="1"/>
    <col min="16245" max="16245" width="6.375" style="2" customWidth="1"/>
    <col min="16246" max="16247" width="3.125" style="2" customWidth="1"/>
    <col min="16248" max="16248" width="1.125" style="2" customWidth="1"/>
    <col min="16249" max="16249" width="9" style="2" customWidth="1"/>
    <col min="16250" max="16250" width="2.375" style="2" customWidth="1"/>
    <col min="16251" max="16268" width="7.625" style="2" customWidth="1"/>
    <col min="16269" max="16384" width="9" style="2" customWidth="1"/>
  </cols>
  <sheetData>
    <row r="1" spans="1:132" ht="13.5" customHeight="1" x14ac:dyDescent="0.4">
      <c r="A1" s="203" t="str">
        <f>令和8年7月!$A$1</f>
        <v>天理</v>
      </c>
      <c r="B1" s="193"/>
      <c r="C1" s="193"/>
      <c r="D1" s="193"/>
      <c r="E1" s="193"/>
      <c r="F1" s="192" t="s">
        <v>0</v>
      </c>
      <c r="G1" s="195" t="s">
        <v>1</v>
      </c>
      <c r="H1" s="194" t="s">
        <v>122</v>
      </c>
      <c r="I1" s="193"/>
      <c r="J1" s="193"/>
      <c r="K1" s="193"/>
      <c r="L1" s="159"/>
      <c r="M1" s="194" t="s">
        <v>128</v>
      </c>
      <c r="N1" s="159"/>
      <c r="O1" s="159"/>
      <c r="P1" s="159"/>
      <c r="Q1" s="159"/>
      <c r="R1" s="159"/>
      <c r="S1" s="159"/>
      <c r="T1" s="159"/>
      <c r="U1" s="1"/>
      <c r="V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U1" s="162"/>
      <c r="AX1" s="204" t="s">
        <v>4</v>
      </c>
      <c r="AY1" s="199"/>
      <c r="AZ1" s="199"/>
      <c r="BA1" s="199"/>
      <c r="BB1" s="199"/>
      <c r="BC1" s="199"/>
      <c r="BD1" s="4"/>
    </row>
    <row r="2" spans="1:132" ht="13.5" customHeight="1" x14ac:dyDescent="0.4">
      <c r="A2" s="193"/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59"/>
      <c r="M2" s="193"/>
      <c r="N2" s="159"/>
      <c r="O2" s="159"/>
      <c r="P2" s="159"/>
      <c r="Q2" s="159"/>
      <c r="R2" s="159"/>
      <c r="S2" s="159"/>
      <c r="T2" s="159"/>
      <c r="U2" s="1"/>
      <c r="V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U2" s="162"/>
      <c r="AX2" s="199"/>
      <c r="AY2" s="199"/>
      <c r="AZ2" s="199"/>
      <c r="BA2" s="199"/>
      <c r="BB2" s="199"/>
      <c r="BC2" s="199"/>
      <c r="BD2" s="4"/>
    </row>
    <row r="3" spans="1:132" ht="13.9" customHeight="1" thickBot="1" x14ac:dyDescent="0.45">
      <c r="AC3" s="7"/>
      <c r="AV3" s="2">
        <v>95</v>
      </c>
      <c r="AW3" s="2">
        <v>1</v>
      </c>
      <c r="AY3" s="2">
        <v>2</v>
      </c>
      <c r="BA3" s="2">
        <v>3</v>
      </c>
      <c r="BC3" s="2">
        <v>4</v>
      </c>
      <c r="BE3" s="2">
        <v>6</v>
      </c>
      <c r="BG3" s="2">
        <v>7</v>
      </c>
      <c r="BI3" s="2">
        <v>8</v>
      </c>
      <c r="BK3" s="2">
        <v>9</v>
      </c>
      <c r="BM3" s="2">
        <v>10</v>
      </c>
      <c r="BO3" s="2">
        <v>11</v>
      </c>
      <c r="BQ3" s="2">
        <v>12</v>
      </c>
      <c r="BS3" s="2">
        <v>15</v>
      </c>
      <c r="BU3" s="2">
        <v>28</v>
      </c>
      <c r="BW3" s="2">
        <v>33</v>
      </c>
      <c r="BY3" s="2">
        <v>40</v>
      </c>
      <c r="CA3" s="2">
        <v>41</v>
      </c>
      <c r="CC3" s="2">
        <v>45</v>
      </c>
      <c r="CE3" s="2">
        <v>46</v>
      </c>
      <c r="CG3" s="2">
        <v>36</v>
      </c>
      <c r="CI3" s="2">
        <v>47</v>
      </c>
      <c r="CK3" s="2">
        <v>31</v>
      </c>
      <c r="CM3" s="2">
        <v>48</v>
      </c>
    </row>
    <row r="4" spans="1:132" ht="26.45" customHeight="1" thickTop="1" thickBot="1" x14ac:dyDescent="0.45">
      <c r="A4" s="106" t="s">
        <v>5</v>
      </c>
      <c r="B4" s="94" t="s">
        <v>6</v>
      </c>
      <c r="C4" s="131" t="s">
        <v>7</v>
      </c>
      <c r="D4" s="131" t="s">
        <v>8</v>
      </c>
      <c r="E4" s="107" t="s">
        <v>9</v>
      </c>
      <c r="F4" s="108" t="s">
        <v>10</v>
      </c>
      <c r="G4" s="109" t="s">
        <v>11</v>
      </c>
      <c r="H4" s="110" t="s">
        <v>12</v>
      </c>
      <c r="I4" s="147" t="s">
        <v>13</v>
      </c>
      <c r="J4" s="111" t="s">
        <v>14</v>
      </c>
      <c r="K4" s="112" t="s">
        <v>15</v>
      </c>
      <c r="L4" s="113" t="s">
        <v>16</v>
      </c>
      <c r="M4" s="114" t="s">
        <v>17</v>
      </c>
      <c r="N4" s="115" t="s">
        <v>16</v>
      </c>
      <c r="O4" s="116" t="s">
        <v>18</v>
      </c>
      <c r="P4" s="117" t="s">
        <v>19</v>
      </c>
      <c r="Q4" s="118" t="s">
        <v>20</v>
      </c>
      <c r="R4" s="129" t="s">
        <v>21</v>
      </c>
      <c r="S4" s="130" t="s">
        <v>22</v>
      </c>
      <c r="T4" s="8" t="s">
        <v>23</v>
      </c>
      <c r="U4" s="9" t="s">
        <v>24</v>
      </c>
      <c r="V4" s="10" t="s">
        <v>25</v>
      </c>
      <c r="W4" s="11" t="s">
        <v>26</v>
      </c>
      <c r="X4" s="12" t="s">
        <v>27</v>
      </c>
      <c r="Y4" s="13" t="s">
        <v>28</v>
      </c>
      <c r="Z4" s="119" t="s">
        <v>29</v>
      </c>
      <c r="AA4" s="14" t="s">
        <v>30</v>
      </c>
      <c r="AB4" s="15" t="s">
        <v>31</v>
      </c>
      <c r="AC4" s="16" t="s">
        <v>32</v>
      </c>
      <c r="AD4" s="17" t="s">
        <v>33</v>
      </c>
      <c r="AE4" s="18" t="s">
        <v>34</v>
      </c>
      <c r="AF4" s="18" t="s">
        <v>35</v>
      </c>
      <c r="AG4" s="18" t="s">
        <v>36</v>
      </c>
      <c r="AH4" s="18" t="s">
        <v>37</v>
      </c>
      <c r="AI4" s="18" t="s">
        <v>38</v>
      </c>
      <c r="AJ4" s="18" t="s">
        <v>39</v>
      </c>
      <c r="AK4" s="18" t="s">
        <v>40</v>
      </c>
      <c r="AL4" s="17" t="s">
        <v>41</v>
      </c>
      <c r="AM4" s="18" t="str">
        <f>令和8年7月!$AM$4</f>
        <v>フリー①</v>
      </c>
      <c r="AN4" s="132" t="str">
        <f>令和8年7月!$AN$4</f>
        <v>フリー②</v>
      </c>
      <c r="AO4" s="18" t="str">
        <f>令和8年7月!$AO$4</f>
        <v>フリー③</v>
      </c>
      <c r="AP4" s="18" t="str">
        <f>令和8年7月!$AP$4</f>
        <v>フリー④</v>
      </c>
      <c r="AQ4" s="78" t="str">
        <f>令和8年7月!$AQ$4</f>
        <v>フリー⑤</v>
      </c>
      <c r="AR4" s="19" t="s">
        <v>47</v>
      </c>
      <c r="AS4" s="20" t="s">
        <v>48</v>
      </c>
      <c r="AT4" s="21" t="s">
        <v>49</v>
      </c>
      <c r="AU4" s="163"/>
      <c r="AV4" s="80" t="s">
        <v>144</v>
      </c>
      <c r="AW4" s="76" t="s">
        <v>145</v>
      </c>
      <c r="AX4" s="75" t="s">
        <v>146</v>
      </c>
      <c r="AY4" s="76" t="s">
        <v>147</v>
      </c>
      <c r="AZ4" s="75" t="s">
        <v>146</v>
      </c>
      <c r="BA4" s="76" t="s">
        <v>52</v>
      </c>
      <c r="BB4" s="75" t="s">
        <v>146</v>
      </c>
      <c r="BC4" s="76" t="s">
        <v>53</v>
      </c>
      <c r="BD4" s="75" t="s">
        <v>146</v>
      </c>
      <c r="BE4" s="76" t="s">
        <v>148</v>
      </c>
      <c r="BF4" s="75" t="s">
        <v>146</v>
      </c>
      <c r="BG4" s="76" t="s">
        <v>149</v>
      </c>
      <c r="BH4" s="75" t="s">
        <v>146</v>
      </c>
      <c r="BI4" s="76" t="s">
        <v>150</v>
      </c>
      <c r="BJ4" s="75" t="s">
        <v>146</v>
      </c>
      <c r="BK4" s="76" t="s">
        <v>57</v>
      </c>
      <c r="BL4" s="75" t="s">
        <v>146</v>
      </c>
      <c r="BM4" s="76" t="s">
        <v>58</v>
      </c>
      <c r="BN4" s="75" t="s">
        <v>146</v>
      </c>
      <c r="BO4" s="76" t="s">
        <v>151</v>
      </c>
      <c r="BP4" s="75" t="s">
        <v>146</v>
      </c>
      <c r="BQ4" s="76" t="s">
        <v>60</v>
      </c>
      <c r="BR4" s="75" t="s">
        <v>146</v>
      </c>
      <c r="BS4" s="76" t="s">
        <v>152</v>
      </c>
      <c r="BT4" s="75" t="s">
        <v>146</v>
      </c>
      <c r="BU4" s="76" t="s">
        <v>153</v>
      </c>
      <c r="BV4" s="75" t="s">
        <v>146</v>
      </c>
      <c r="BW4" s="76" t="s">
        <v>154</v>
      </c>
      <c r="BX4" s="75" t="s">
        <v>48</v>
      </c>
      <c r="BY4" s="76" t="s">
        <v>155</v>
      </c>
      <c r="BZ4" s="75" t="s">
        <v>156</v>
      </c>
      <c r="CA4" s="76" t="s">
        <v>157</v>
      </c>
      <c r="CB4" s="75" t="s">
        <v>48</v>
      </c>
      <c r="CC4" s="76" t="s">
        <v>158</v>
      </c>
      <c r="CD4" s="81" t="s">
        <v>48</v>
      </c>
      <c r="CE4" s="76" t="s">
        <v>159</v>
      </c>
      <c r="CF4" s="81" t="s">
        <v>48</v>
      </c>
      <c r="CG4" s="76" t="s">
        <v>160</v>
      </c>
      <c r="CH4" s="75" t="s">
        <v>48</v>
      </c>
      <c r="CI4" s="76" t="s">
        <v>161</v>
      </c>
      <c r="CJ4" s="81" t="s">
        <v>48</v>
      </c>
      <c r="CK4" s="76" t="s">
        <v>162</v>
      </c>
      <c r="CL4" s="81" t="s">
        <v>48</v>
      </c>
      <c r="CM4" s="76" t="s">
        <v>163</v>
      </c>
      <c r="CN4" s="75" t="s">
        <v>48</v>
      </c>
      <c r="CO4" s="76" t="s">
        <v>67</v>
      </c>
      <c r="CP4" s="81" t="s">
        <v>48</v>
      </c>
      <c r="CQ4" s="76" t="s">
        <v>68</v>
      </c>
      <c r="CR4" s="81" t="s">
        <v>48</v>
      </c>
      <c r="CS4" s="76" t="s">
        <v>69</v>
      </c>
      <c r="CT4" s="20" t="s">
        <v>48</v>
      </c>
      <c r="CU4" s="85" t="s">
        <v>70</v>
      </c>
      <c r="CV4" s="86" t="s">
        <v>71</v>
      </c>
      <c r="CW4" s="89"/>
      <c r="CX4" s="85" t="s">
        <v>104</v>
      </c>
      <c r="CY4" s="153" t="s">
        <v>15</v>
      </c>
      <c r="CZ4" s="155" t="s">
        <v>105</v>
      </c>
      <c r="DA4" s="93" t="s">
        <v>15</v>
      </c>
      <c r="DB4" s="94" t="s">
        <v>5</v>
      </c>
      <c r="DC4" s="95" t="s">
        <v>6</v>
      </c>
      <c r="DD4" s="2" t="s">
        <v>164</v>
      </c>
      <c r="DF4" s="121" t="s">
        <v>74</v>
      </c>
      <c r="DG4" s="122" t="s">
        <v>75</v>
      </c>
      <c r="DH4" s="122" t="s">
        <v>76</v>
      </c>
      <c r="DI4" s="122" t="s">
        <v>77</v>
      </c>
      <c r="DJ4" s="122" t="s">
        <v>78</v>
      </c>
      <c r="DK4" s="122" t="s">
        <v>42</v>
      </c>
      <c r="DL4" s="122" t="s">
        <v>43</v>
      </c>
      <c r="DM4" s="122" t="s">
        <v>44</v>
      </c>
      <c r="DN4" s="122" t="s">
        <v>45</v>
      </c>
      <c r="DO4" s="122" t="s">
        <v>46</v>
      </c>
      <c r="DP4" s="123" t="s">
        <v>79</v>
      </c>
      <c r="DQ4" s="124" t="s">
        <v>48</v>
      </c>
      <c r="DS4" s="205" t="s">
        <v>80</v>
      </c>
      <c r="DT4" s="206"/>
      <c r="DU4" s="206"/>
      <c r="DV4" s="207"/>
      <c r="DW4" s="160" t="s">
        <v>81</v>
      </c>
      <c r="DX4" s="160" t="s">
        <v>82</v>
      </c>
      <c r="DY4" s="22"/>
      <c r="DZ4" s="22"/>
      <c r="EA4" s="22"/>
    </row>
    <row r="5" spans="1:132" ht="13.5" customHeight="1" x14ac:dyDescent="0.4">
      <c r="A5" s="104">
        <v>1</v>
      </c>
      <c r="B5" s="23" t="s">
        <v>90</v>
      </c>
      <c r="C5" s="164"/>
      <c r="D5" s="164"/>
      <c r="E5" s="24"/>
      <c r="F5" s="29"/>
      <c r="G5" s="25" t="str">
        <f>IF(SUM($F$5:F5)=0,"",SUM($F$5:F5))</f>
        <v/>
      </c>
      <c r="H5" s="43" t="str">
        <f t="shared" ref="H5:H35" si="0">IF(ISERROR(G5/V5),"",(G5/V5))</f>
        <v/>
      </c>
      <c r="I5" s="148" t="e">
        <f t="array" aca="1" ref="I5" ca="1">IF($A6="",$G5/($V5-$U$5+INDIRECT(IF(_xlfn.SHEET()&lt;6,"令和8年"&amp;_xlfn.SHEET()+7&amp;"月","令和9年"&amp;_xlfn.SHEET()-5&amp;"月")&amp;"!$U$5")),$G5/($V6-$U$5))</f>
        <v>#VALUE!</v>
      </c>
      <c r="J5" s="26" t="str">
        <f t="shared" ref="J5:J35" si="1">IFERROR(G5/AC5,"")</f>
        <v/>
      </c>
      <c r="K5" s="27"/>
      <c r="L5" s="165">
        <f t="shared" ref="L5:L37" si="2">IF(ISERROR(K5/W5),"",(K5/W5))</f>
        <v>0</v>
      </c>
      <c r="M5" s="28" t="str">
        <f t="shared" ref="M5:M35" si="3">IF(ISERROR(F5/K5),"",(F5/K5))</f>
        <v/>
      </c>
      <c r="N5" s="166" t="str">
        <f t="shared" ref="N5:N37" si="4">IF(ISERROR(M5/X5),"",(M5/X5))</f>
        <v/>
      </c>
      <c r="O5" s="167" t="str">
        <f t="shared" ref="O5:O35" si="5">IF(ISERROR(F5/P5),"",(F5/P5))</f>
        <v/>
      </c>
      <c r="P5" s="168"/>
      <c r="Q5" s="169" t="str">
        <f t="shared" ref="Q5:Q35" si="6">IF(ISERROR(P5/K5),"",(P5/K5))</f>
        <v/>
      </c>
      <c r="R5" s="170">
        <v>17</v>
      </c>
      <c r="S5" s="171">
        <v>3</v>
      </c>
      <c r="T5" s="24" t="s">
        <v>84</v>
      </c>
      <c r="U5" s="29">
        <v>577274</v>
      </c>
      <c r="V5" s="30">
        <f>SUM(U5)</f>
        <v>577274</v>
      </c>
      <c r="W5" s="27">
        <v>371</v>
      </c>
      <c r="X5" s="31">
        <f t="shared" ref="X5:X35" si="7">IF(ISERROR(U5/W5),"",(U5/W5))</f>
        <v>1555.9946091644206</v>
      </c>
      <c r="Y5" s="29">
        <v>626997</v>
      </c>
      <c r="Z5" s="32">
        <f>SUM(Y5)</f>
        <v>626997</v>
      </c>
      <c r="AA5" s="33">
        <f t="shared" ref="AA5:AA35" si="8">IF(ISERROR(V5/Z5),"",(V5/Z5))</f>
        <v>0.92069659025481776</v>
      </c>
      <c r="AB5" s="158">
        <v>230000</v>
      </c>
      <c r="AC5" s="34">
        <f>AB5</f>
        <v>230000</v>
      </c>
      <c r="AD5" s="158"/>
      <c r="AE5" s="25"/>
      <c r="AF5" s="25"/>
      <c r="AG5" s="25"/>
      <c r="AH5" s="25"/>
      <c r="AI5" s="25"/>
      <c r="AJ5" s="25"/>
      <c r="AK5" s="25"/>
      <c r="AL5" s="158"/>
      <c r="AM5" s="25"/>
      <c r="AN5" s="158"/>
      <c r="AO5" s="25"/>
      <c r="AP5" s="25"/>
      <c r="AQ5" s="158"/>
      <c r="AR5" s="35">
        <f t="shared" ref="AR5:AR35" si="9">SUM(AD5:AQ5)</f>
        <v>0</v>
      </c>
      <c r="AS5" s="172" t="str">
        <f t="shared" ref="AS5:AS35" si="10">IF(ISERROR((AR5/F5)),"",AR5/F5)</f>
        <v/>
      </c>
      <c r="AT5" s="36">
        <f t="shared" ref="AT5:AT35" si="11">F5-AR5+DW5</f>
        <v>0</v>
      </c>
      <c r="AU5" s="173"/>
      <c r="AV5" s="82">
        <f t="shared" ref="AV5:AV35" si="12">A5</f>
        <v>1</v>
      </c>
      <c r="AW5" s="37"/>
      <c r="AX5" s="174" t="str">
        <f t="shared" ref="AX5:AX35" si="13">IF(ISERROR((AW5/$F5)),"",AW5/$F5)</f>
        <v/>
      </c>
      <c r="AY5" s="37"/>
      <c r="AZ5" s="174" t="str">
        <f t="shared" ref="AZ5:AZ35" si="14">IF(ISERROR((AY5/$F5)),"",AY5/$F5)</f>
        <v/>
      </c>
      <c r="BA5" s="37"/>
      <c r="BB5" s="174" t="str">
        <f t="shared" ref="BB5:BB35" si="15">IF(ISERROR((BA5/$F5)),"",BA5/$F5)</f>
        <v/>
      </c>
      <c r="BC5" s="37"/>
      <c r="BD5" s="174" t="str">
        <f t="shared" ref="BD5:BD35" si="16">IF(ISERROR((BC5/$F5)),"",BC5/$F5)</f>
        <v/>
      </c>
      <c r="BE5" s="37"/>
      <c r="BF5" s="174" t="str">
        <f t="shared" ref="BF5:BF35" si="17">IF(ISERROR((BE5/$F5)),"",BE5/$F5)</f>
        <v/>
      </c>
      <c r="BG5" s="37"/>
      <c r="BH5" s="174" t="str">
        <f t="shared" ref="BH5:BH35" si="18">IF(ISERROR((BG5/$F5)),"",BG5/$F5)</f>
        <v/>
      </c>
      <c r="BI5" s="37"/>
      <c r="BJ5" s="174" t="str">
        <f t="shared" ref="BJ5:BJ35" si="19">IF(ISERROR((BI5/$F5)),"",BI5/$F5)</f>
        <v/>
      </c>
      <c r="BK5" s="37"/>
      <c r="BL5" s="174" t="str">
        <f t="shared" ref="BL5:BL35" si="20">IF(ISERROR((BK5/$F5)),"",BK5/$F5)</f>
        <v/>
      </c>
      <c r="BM5" s="37"/>
      <c r="BN5" s="174" t="str">
        <f t="shared" ref="BN5:BN35" si="21">IF(ISERROR((BM5/$F5)),"",BM5/$F5)</f>
        <v/>
      </c>
      <c r="BO5" s="37"/>
      <c r="BP5" s="174" t="str">
        <f t="shared" ref="BP5:BP35" si="22">IF(ISERROR((BO5/$F5)),"",BO5/$F5)</f>
        <v/>
      </c>
      <c r="BQ5" s="37"/>
      <c r="BR5" s="174" t="str">
        <f t="shared" ref="BR5:BR35" si="23">IF(ISERROR((BQ5/$F5)),"",BQ5/$F5)</f>
        <v/>
      </c>
      <c r="BS5" s="37"/>
      <c r="BT5" s="174" t="str">
        <f t="shared" ref="BT5:BT35" si="24">IF(ISERROR((BS5/$F5)),"",BS5/$F5)</f>
        <v/>
      </c>
      <c r="BU5" s="37"/>
      <c r="BV5" s="174" t="str">
        <f t="shared" ref="BV5:BV35" si="25">IF(ISERROR((BU5/$F5)),"",BU5/$F5)</f>
        <v/>
      </c>
      <c r="BW5" s="37"/>
      <c r="BX5" s="174" t="str">
        <f t="shared" ref="BX5:BX35" si="26">IF(ISERROR((BW5/$F5)),"",BW5/$F5)</f>
        <v/>
      </c>
      <c r="BY5" s="37"/>
      <c r="BZ5" s="174" t="str">
        <f t="shared" ref="BZ5:BZ35" si="27">IF(ISERROR((BY5/$F5)),"",BY5/$F5)</f>
        <v/>
      </c>
      <c r="CA5" s="37"/>
      <c r="CB5" s="174" t="str">
        <f t="shared" ref="CB5:CB35" si="28">IF(ISERROR((CA5/$F5)),"",CA5/$F5)</f>
        <v/>
      </c>
      <c r="CC5" s="37"/>
      <c r="CD5" s="174" t="str">
        <f t="shared" ref="CD5:CD35" si="29">IF(ISERROR((CC5/$F5)),"",CC5/$F5)</f>
        <v/>
      </c>
      <c r="CE5" s="37"/>
      <c r="CF5" s="174" t="str">
        <f t="shared" ref="CF5:CF35" si="30">IF(ISERROR((CE5/$F5)),"",CE5/$F5)</f>
        <v/>
      </c>
      <c r="CG5" s="37"/>
      <c r="CH5" s="174" t="str">
        <f t="shared" ref="CH5:CH35" si="31">IF(ISERROR((CG5/$F5)),"",CG5/$F5)</f>
        <v/>
      </c>
      <c r="CI5" s="37"/>
      <c r="CJ5" s="174" t="str">
        <f t="shared" ref="CJ5:CJ35" si="32">IF(ISERROR((CI5/$F5)),"",CI5/$F5)</f>
        <v/>
      </c>
      <c r="CK5" s="37"/>
      <c r="CL5" s="174" t="str">
        <f t="shared" ref="CL5:CL35" si="33">IF(ISERROR((CK5/$F5)),"",CK5/$F5)</f>
        <v/>
      </c>
      <c r="CM5" s="37"/>
      <c r="CN5" s="174" t="str">
        <f t="shared" ref="CN5:CN35" si="34">IF(ISERROR((CM5/$F5)),"",CM5/$F5)</f>
        <v/>
      </c>
      <c r="CO5" s="37"/>
      <c r="CP5" s="174" t="str">
        <f t="shared" ref="CP5:CP35" si="35">IF(ISERROR((CO5/$F5)),"",CO5/$F5)</f>
        <v/>
      </c>
      <c r="CQ5" s="37"/>
      <c r="CR5" s="174" t="str">
        <f t="shared" ref="CR5:CR35" si="36">IF(ISERROR((CQ5/$F5)),"",CQ5/$F5)</f>
        <v/>
      </c>
      <c r="CS5" s="37"/>
      <c r="CT5" s="174" t="str">
        <f t="shared" ref="CT5:CT35" si="37">IF(ISERROR((CS5/$F5)),"",CS5/$F5)</f>
        <v/>
      </c>
      <c r="CU5" s="38"/>
      <c r="CV5" s="87"/>
      <c r="CW5" s="90"/>
      <c r="CX5" s="38"/>
      <c r="CY5" s="39"/>
      <c r="CZ5" s="37"/>
      <c r="DA5" s="39"/>
      <c r="DB5" s="24">
        <v>1</v>
      </c>
      <c r="DC5" s="96" t="str">
        <f t="shared" ref="DC5:DC35" si="38">B5</f>
        <v>月</v>
      </c>
      <c r="DF5" s="125"/>
      <c r="DG5" s="40"/>
      <c r="DH5" s="40"/>
      <c r="DI5" s="40"/>
      <c r="DJ5" s="40"/>
      <c r="DK5" s="40"/>
      <c r="DL5" s="40"/>
      <c r="DM5" s="40"/>
      <c r="DN5" s="40"/>
      <c r="DO5" s="40"/>
      <c r="DP5" s="40">
        <f t="shared" ref="DP5:DP35" si="39">SUM(DF5:DO5)</f>
        <v>0</v>
      </c>
      <c r="DQ5" s="172" t="str">
        <f t="shared" ref="DQ5:DQ35" si="40">IF(ISERROR((DP5/F5)),"",DP5/F5)</f>
        <v/>
      </c>
      <c r="DS5" s="189"/>
      <c r="DT5" s="190"/>
      <c r="DU5" s="190"/>
      <c r="DV5" s="191"/>
      <c r="DW5" s="41"/>
      <c r="DX5" s="42"/>
      <c r="DY5" s="22"/>
      <c r="DZ5" s="22"/>
      <c r="EA5" s="22"/>
    </row>
    <row r="6" spans="1:132" ht="13.5" customHeight="1" x14ac:dyDescent="0.4">
      <c r="A6" s="104">
        <v>2</v>
      </c>
      <c r="B6" s="23" t="s">
        <v>91</v>
      </c>
      <c r="C6" s="164"/>
      <c r="D6" s="164"/>
      <c r="E6" s="24"/>
      <c r="F6" s="29"/>
      <c r="G6" s="25" t="str">
        <f>IF(SUM($F$5:F6)=0,"",SUM($F$5:F6))</f>
        <v/>
      </c>
      <c r="H6" s="43" t="str">
        <f t="shared" si="0"/>
        <v/>
      </c>
      <c r="I6" s="148" t="e">
        <f t="array" aca="1" ref="I6" ca="1">IF($A7="",$G6/($V6-$U$5+INDIRECT(IF(_xlfn.SHEET()&lt;6,"令和8年"&amp;_xlfn.SHEET()+7&amp;"月","令和9年"&amp;_xlfn.SHEET()-5&amp;"月")&amp;"!$U$5")),$G6/($V7-$U$5))</f>
        <v>#VALUE!</v>
      </c>
      <c r="J6" s="26" t="str">
        <f t="shared" si="1"/>
        <v/>
      </c>
      <c r="K6" s="27"/>
      <c r="L6" s="165">
        <f t="shared" si="2"/>
        <v>0</v>
      </c>
      <c r="M6" s="28" t="str">
        <f t="shared" si="3"/>
        <v/>
      </c>
      <c r="N6" s="166" t="str">
        <f t="shared" si="4"/>
        <v/>
      </c>
      <c r="O6" s="167" t="str">
        <f t="shared" si="5"/>
        <v/>
      </c>
      <c r="P6" s="168"/>
      <c r="Q6" s="169" t="str">
        <f t="shared" si="6"/>
        <v/>
      </c>
      <c r="R6" s="170">
        <v>17</v>
      </c>
      <c r="S6" s="171">
        <v>5</v>
      </c>
      <c r="T6" s="24" t="s">
        <v>94</v>
      </c>
      <c r="U6" s="29">
        <v>185202</v>
      </c>
      <c r="V6" s="30">
        <f t="shared" ref="V6:V35" si="41">SUM(V5+U6)</f>
        <v>762476</v>
      </c>
      <c r="W6" s="27">
        <v>96</v>
      </c>
      <c r="X6" s="31">
        <f t="shared" si="7"/>
        <v>1929.1875</v>
      </c>
      <c r="Y6" s="29">
        <v>712860</v>
      </c>
      <c r="Z6" s="32">
        <f t="shared" ref="Z6:Z35" si="42">SUM(Z5+Y6)</f>
        <v>1339857</v>
      </c>
      <c r="AA6" s="33">
        <f t="shared" si="8"/>
        <v>0.56907266969534809</v>
      </c>
      <c r="AB6" s="158">
        <v>230000</v>
      </c>
      <c r="AC6" s="34">
        <f t="shared" ref="AC6:AC35" si="43">AB6+AC5</f>
        <v>460000</v>
      </c>
      <c r="AD6" s="158"/>
      <c r="AE6" s="25"/>
      <c r="AF6" s="25"/>
      <c r="AG6" s="25"/>
      <c r="AH6" s="25"/>
      <c r="AI6" s="25"/>
      <c r="AJ6" s="25"/>
      <c r="AK6" s="25"/>
      <c r="AL6" s="158"/>
      <c r="AM6" s="25"/>
      <c r="AN6" s="158"/>
      <c r="AO6" s="25"/>
      <c r="AP6" s="25"/>
      <c r="AQ6" s="158"/>
      <c r="AR6" s="35">
        <f t="shared" si="9"/>
        <v>0</v>
      </c>
      <c r="AS6" s="172" t="str">
        <f t="shared" si="10"/>
        <v/>
      </c>
      <c r="AT6" s="36">
        <f t="shared" si="11"/>
        <v>0</v>
      </c>
      <c r="AU6" s="173"/>
      <c r="AV6" s="82">
        <f t="shared" si="12"/>
        <v>2</v>
      </c>
      <c r="AW6" s="37"/>
      <c r="AX6" s="174" t="str">
        <f t="shared" si="13"/>
        <v/>
      </c>
      <c r="AY6" s="37"/>
      <c r="AZ6" s="174" t="str">
        <f t="shared" si="14"/>
        <v/>
      </c>
      <c r="BA6" s="37"/>
      <c r="BB6" s="174" t="str">
        <f t="shared" si="15"/>
        <v/>
      </c>
      <c r="BC6" s="37"/>
      <c r="BD6" s="174" t="str">
        <f t="shared" si="16"/>
        <v/>
      </c>
      <c r="BE6" s="37"/>
      <c r="BF6" s="174" t="str">
        <f t="shared" si="17"/>
        <v/>
      </c>
      <c r="BG6" s="37"/>
      <c r="BH6" s="174" t="str">
        <f t="shared" si="18"/>
        <v/>
      </c>
      <c r="BI6" s="37"/>
      <c r="BJ6" s="174" t="str">
        <f t="shared" si="19"/>
        <v/>
      </c>
      <c r="BK6" s="37"/>
      <c r="BL6" s="174" t="str">
        <f t="shared" si="20"/>
        <v/>
      </c>
      <c r="BM6" s="37"/>
      <c r="BN6" s="174" t="str">
        <f t="shared" si="21"/>
        <v/>
      </c>
      <c r="BO6" s="37"/>
      <c r="BP6" s="174" t="str">
        <f t="shared" si="22"/>
        <v/>
      </c>
      <c r="BQ6" s="37"/>
      <c r="BR6" s="174" t="str">
        <f t="shared" si="23"/>
        <v/>
      </c>
      <c r="BS6" s="37"/>
      <c r="BT6" s="174" t="str">
        <f t="shared" si="24"/>
        <v/>
      </c>
      <c r="BU6" s="37"/>
      <c r="BV6" s="174" t="str">
        <f t="shared" si="25"/>
        <v/>
      </c>
      <c r="BW6" s="37"/>
      <c r="BX6" s="174" t="str">
        <f t="shared" si="26"/>
        <v/>
      </c>
      <c r="BY6" s="37"/>
      <c r="BZ6" s="174" t="str">
        <f t="shared" si="27"/>
        <v/>
      </c>
      <c r="CA6" s="37"/>
      <c r="CB6" s="174" t="str">
        <f t="shared" si="28"/>
        <v/>
      </c>
      <c r="CC6" s="37"/>
      <c r="CD6" s="174" t="str">
        <f t="shared" si="29"/>
        <v/>
      </c>
      <c r="CE6" s="37"/>
      <c r="CF6" s="174" t="str">
        <f t="shared" si="30"/>
        <v/>
      </c>
      <c r="CG6" s="37"/>
      <c r="CH6" s="174" t="str">
        <f t="shared" si="31"/>
        <v/>
      </c>
      <c r="CI6" s="37"/>
      <c r="CJ6" s="174" t="str">
        <f t="shared" si="32"/>
        <v/>
      </c>
      <c r="CK6" s="37"/>
      <c r="CL6" s="174" t="str">
        <f t="shared" si="33"/>
        <v/>
      </c>
      <c r="CM6" s="37"/>
      <c r="CN6" s="174" t="str">
        <f t="shared" si="34"/>
        <v/>
      </c>
      <c r="CO6" s="37"/>
      <c r="CP6" s="174" t="str">
        <f t="shared" si="35"/>
        <v/>
      </c>
      <c r="CQ6" s="37"/>
      <c r="CR6" s="174" t="str">
        <f t="shared" si="36"/>
        <v/>
      </c>
      <c r="CS6" s="37"/>
      <c r="CT6" s="174" t="str">
        <f t="shared" si="37"/>
        <v/>
      </c>
      <c r="CU6" s="38"/>
      <c r="CV6" s="87"/>
      <c r="CW6" s="90"/>
      <c r="CX6" s="38"/>
      <c r="CY6" s="39"/>
      <c r="CZ6" s="37"/>
      <c r="DA6" s="39"/>
      <c r="DB6" s="24">
        <v>2</v>
      </c>
      <c r="DC6" s="96" t="str">
        <f t="shared" si="38"/>
        <v>火</v>
      </c>
      <c r="DF6" s="125"/>
      <c r="DG6" s="40"/>
      <c r="DH6" s="40"/>
      <c r="DI6" s="40"/>
      <c r="DJ6" s="40"/>
      <c r="DK6" s="40"/>
      <c r="DL6" s="40"/>
      <c r="DM6" s="40"/>
      <c r="DN6" s="40"/>
      <c r="DO6" s="40"/>
      <c r="DP6" s="40">
        <f t="shared" si="39"/>
        <v>0</v>
      </c>
      <c r="DQ6" s="172" t="str">
        <f t="shared" si="40"/>
        <v/>
      </c>
      <c r="DS6" s="189"/>
      <c r="DT6" s="190"/>
      <c r="DU6" s="190"/>
      <c r="DV6" s="191"/>
      <c r="DW6" s="41"/>
      <c r="DX6" s="42"/>
      <c r="DY6" s="22"/>
      <c r="DZ6" s="22"/>
      <c r="EA6" s="22"/>
    </row>
    <row r="7" spans="1:132" ht="13.5" customHeight="1" x14ac:dyDescent="0.4">
      <c r="A7" s="104">
        <v>3</v>
      </c>
      <c r="B7" s="23" t="s">
        <v>83</v>
      </c>
      <c r="C7" s="164"/>
      <c r="D7" s="164"/>
      <c r="E7" s="24"/>
      <c r="F7" s="29"/>
      <c r="G7" s="25" t="str">
        <f>IF(SUM($F$5:F7)=0,"",SUM($F$5:F7))</f>
        <v/>
      </c>
      <c r="H7" s="43" t="str">
        <f t="shared" si="0"/>
        <v/>
      </c>
      <c r="I7" s="148" t="e">
        <f t="array" aca="1" ref="I7" ca="1">IF($A8="",$G7/($V7-$U$5+INDIRECT(IF(_xlfn.SHEET()&lt;6,"令和8年"&amp;_xlfn.SHEET()+7&amp;"月","令和9年"&amp;_xlfn.SHEET()-5&amp;"月")&amp;"!$U$5")),$G7/($V8-$U$5))</f>
        <v>#VALUE!</v>
      </c>
      <c r="J7" s="26" t="str">
        <f t="shared" si="1"/>
        <v/>
      </c>
      <c r="K7" s="27"/>
      <c r="L7" s="165">
        <f t="shared" si="2"/>
        <v>0</v>
      </c>
      <c r="M7" s="28" t="str">
        <f t="shared" si="3"/>
        <v/>
      </c>
      <c r="N7" s="166" t="str">
        <f t="shared" si="4"/>
        <v/>
      </c>
      <c r="O7" s="167" t="str">
        <f t="shared" si="5"/>
        <v/>
      </c>
      <c r="P7" s="168"/>
      <c r="Q7" s="169" t="str">
        <f t="shared" si="6"/>
        <v/>
      </c>
      <c r="R7" s="170">
        <v>13</v>
      </c>
      <c r="S7" s="171">
        <v>10</v>
      </c>
      <c r="T7" s="24" t="s">
        <v>93</v>
      </c>
      <c r="U7" s="29">
        <v>163332</v>
      </c>
      <c r="V7" s="30">
        <f t="shared" si="41"/>
        <v>925808</v>
      </c>
      <c r="W7" s="27">
        <v>105</v>
      </c>
      <c r="X7" s="31">
        <f t="shared" si="7"/>
        <v>1555.5428571428572</v>
      </c>
      <c r="Y7" s="29">
        <v>191047</v>
      </c>
      <c r="Z7" s="32">
        <f t="shared" si="42"/>
        <v>1530904</v>
      </c>
      <c r="AA7" s="33">
        <f t="shared" si="8"/>
        <v>0.60474595402455023</v>
      </c>
      <c r="AB7" s="158">
        <v>230000</v>
      </c>
      <c r="AC7" s="34">
        <f t="shared" si="43"/>
        <v>690000</v>
      </c>
      <c r="AD7" s="158"/>
      <c r="AE7" s="25"/>
      <c r="AF7" s="25"/>
      <c r="AG7" s="25"/>
      <c r="AH7" s="25"/>
      <c r="AI7" s="25"/>
      <c r="AJ7" s="25"/>
      <c r="AK7" s="25"/>
      <c r="AL7" s="158"/>
      <c r="AM7" s="25"/>
      <c r="AN7" s="158"/>
      <c r="AO7" s="25"/>
      <c r="AP7" s="25"/>
      <c r="AQ7" s="158"/>
      <c r="AR7" s="35">
        <f t="shared" si="9"/>
        <v>0</v>
      </c>
      <c r="AS7" s="172" t="str">
        <f t="shared" si="10"/>
        <v/>
      </c>
      <c r="AT7" s="36">
        <f t="shared" si="11"/>
        <v>0</v>
      </c>
      <c r="AU7" s="173"/>
      <c r="AV7" s="82">
        <f t="shared" si="12"/>
        <v>3</v>
      </c>
      <c r="AW7" s="37"/>
      <c r="AX7" s="174" t="str">
        <f t="shared" si="13"/>
        <v/>
      </c>
      <c r="AY7" s="37"/>
      <c r="AZ7" s="174" t="str">
        <f t="shared" si="14"/>
        <v/>
      </c>
      <c r="BA7" s="37"/>
      <c r="BB7" s="174" t="str">
        <f t="shared" si="15"/>
        <v/>
      </c>
      <c r="BC7" s="37"/>
      <c r="BD7" s="174" t="str">
        <f t="shared" si="16"/>
        <v/>
      </c>
      <c r="BE7" s="37"/>
      <c r="BF7" s="174" t="str">
        <f t="shared" si="17"/>
        <v/>
      </c>
      <c r="BG7" s="37"/>
      <c r="BH7" s="174" t="str">
        <f t="shared" si="18"/>
        <v/>
      </c>
      <c r="BI7" s="37"/>
      <c r="BJ7" s="174" t="str">
        <f t="shared" si="19"/>
        <v/>
      </c>
      <c r="BK7" s="37"/>
      <c r="BL7" s="174" t="str">
        <f t="shared" si="20"/>
        <v/>
      </c>
      <c r="BM7" s="37"/>
      <c r="BN7" s="174" t="str">
        <f t="shared" si="21"/>
        <v/>
      </c>
      <c r="BO7" s="37"/>
      <c r="BP7" s="174" t="str">
        <f t="shared" si="22"/>
        <v/>
      </c>
      <c r="BQ7" s="37"/>
      <c r="BR7" s="174" t="str">
        <f t="shared" si="23"/>
        <v/>
      </c>
      <c r="BS7" s="37"/>
      <c r="BT7" s="174" t="str">
        <f t="shared" si="24"/>
        <v/>
      </c>
      <c r="BU7" s="37"/>
      <c r="BV7" s="174" t="str">
        <f t="shared" si="25"/>
        <v/>
      </c>
      <c r="BW7" s="37"/>
      <c r="BX7" s="174" t="str">
        <f t="shared" si="26"/>
        <v/>
      </c>
      <c r="BY7" s="37"/>
      <c r="BZ7" s="174" t="str">
        <f t="shared" si="27"/>
        <v/>
      </c>
      <c r="CA7" s="37"/>
      <c r="CB7" s="174" t="str">
        <f t="shared" si="28"/>
        <v/>
      </c>
      <c r="CC7" s="37"/>
      <c r="CD7" s="174" t="str">
        <f t="shared" si="29"/>
        <v/>
      </c>
      <c r="CE7" s="37"/>
      <c r="CF7" s="174" t="str">
        <f t="shared" si="30"/>
        <v/>
      </c>
      <c r="CG7" s="37"/>
      <c r="CH7" s="174" t="str">
        <f t="shared" si="31"/>
        <v/>
      </c>
      <c r="CI7" s="37"/>
      <c r="CJ7" s="174" t="str">
        <f t="shared" si="32"/>
        <v/>
      </c>
      <c r="CK7" s="37"/>
      <c r="CL7" s="174" t="str">
        <f t="shared" si="33"/>
        <v/>
      </c>
      <c r="CM7" s="37"/>
      <c r="CN7" s="174" t="str">
        <f t="shared" si="34"/>
        <v/>
      </c>
      <c r="CO7" s="37"/>
      <c r="CP7" s="174" t="str">
        <f t="shared" si="35"/>
        <v/>
      </c>
      <c r="CQ7" s="37"/>
      <c r="CR7" s="174" t="str">
        <f t="shared" si="36"/>
        <v/>
      </c>
      <c r="CS7" s="37"/>
      <c r="CT7" s="174" t="str">
        <f t="shared" si="37"/>
        <v/>
      </c>
      <c r="CU7" s="38"/>
      <c r="CV7" s="87"/>
      <c r="CW7" s="90"/>
      <c r="CX7" s="38"/>
      <c r="CY7" s="39"/>
      <c r="CZ7" s="37"/>
      <c r="DA7" s="39"/>
      <c r="DB7" s="24">
        <v>3</v>
      </c>
      <c r="DC7" s="96" t="str">
        <f t="shared" si="38"/>
        <v>水</v>
      </c>
      <c r="DF7" s="125"/>
      <c r="DG7" s="40"/>
      <c r="DH7" s="40"/>
      <c r="DI7" s="40"/>
      <c r="DJ7" s="40"/>
      <c r="DK7" s="40"/>
      <c r="DL7" s="40"/>
      <c r="DM7" s="40"/>
      <c r="DN7" s="40"/>
      <c r="DO7" s="40"/>
      <c r="DP7" s="40">
        <f t="shared" si="39"/>
        <v>0</v>
      </c>
      <c r="DQ7" s="172" t="str">
        <f t="shared" si="40"/>
        <v/>
      </c>
      <c r="DS7" s="189"/>
      <c r="DT7" s="190"/>
      <c r="DU7" s="190"/>
      <c r="DV7" s="191"/>
      <c r="DW7" s="138"/>
      <c r="DX7" s="42"/>
      <c r="DY7" s="139"/>
      <c r="DZ7" s="139"/>
      <c r="EA7" s="139"/>
      <c r="EB7" s="139"/>
    </row>
    <row r="8" spans="1:132" ht="13.5" customHeight="1" x14ac:dyDescent="0.4">
      <c r="A8" s="104">
        <v>4</v>
      </c>
      <c r="B8" s="23" t="s">
        <v>85</v>
      </c>
      <c r="C8" s="164"/>
      <c r="D8" s="164"/>
      <c r="E8" s="24"/>
      <c r="F8" s="29"/>
      <c r="G8" s="25" t="str">
        <f>IF(SUM($F$5:F8)=0,"",SUM($F$5:F8))</f>
        <v/>
      </c>
      <c r="H8" s="43" t="str">
        <f t="shared" si="0"/>
        <v/>
      </c>
      <c r="I8" s="148" t="e">
        <f t="array" aca="1" ref="I8" ca="1">IF($A9="",$G8/($V8-$U$5+INDIRECT(IF(_xlfn.SHEET()&lt;6,"令和8年"&amp;_xlfn.SHEET()+7&amp;"月","令和9年"&amp;_xlfn.SHEET()-5&amp;"月")&amp;"!$U$5")),$G8/($V9-$U$5))</f>
        <v>#VALUE!</v>
      </c>
      <c r="J8" s="26" t="str">
        <f t="shared" si="1"/>
        <v/>
      </c>
      <c r="K8" s="27"/>
      <c r="L8" s="165">
        <f t="shared" si="2"/>
        <v>0</v>
      </c>
      <c r="M8" s="28" t="str">
        <f t="shared" si="3"/>
        <v/>
      </c>
      <c r="N8" s="166" t="str">
        <f t="shared" si="4"/>
        <v/>
      </c>
      <c r="O8" s="167" t="str">
        <f t="shared" si="5"/>
        <v/>
      </c>
      <c r="P8" s="168"/>
      <c r="Q8" s="169" t="str">
        <f t="shared" si="6"/>
        <v/>
      </c>
      <c r="R8" s="170">
        <v>15</v>
      </c>
      <c r="S8" s="171">
        <v>5</v>
      </c>
      <c r="T8" s="24" t="s">
        <v>129</v>
      </c>
      <c r="U8" s="29">
        <v>194971</v>
      </c>
      <c r="V8" s="30">
        <f t="shared" si="41"/>
        <v>1120779</v>
      </c>
      <c r="W8" s="27">
        <v>147</v>
      </c>
      <c r="X8" s="31">
        <f t="shared" si="7"/>
        <v>1326.3333333333333</v>
      </c>
      <c r="Y8" s="29">
        <v>163956</v>
      </c>
      <c r="Z8" s="32">
        <f t="shared" si="42"/>
        <v>1694860</v>
      </c>
      <c r="AA8" s="33">
        <f t="shared" si="8"/>
        <v>0.66128116776606916</v>
      </c>
      <c r="AB8" s="158">
        <v>230000</v>
      </c>
      <c r="AC8" s="34">
        <f t="shared" si="43"/>
        <v>920000</v>
      </c>
      <c r="AD8" s="158"/>
      <c r="AE8" s="25"/>
      <c r="AF8" s="25"/>
      <c r="AG8" s="25"/>
      <c r="AH8" s="25"/>
      <c r="AI8" s="25"/>
      <c r="AJ8" s="25"/>
      <c r="AK8" s="79"/>
      <c r="AL8" s="120"/>
      <c r="AM8" s="79"/>
      <c r="AN8" s="120"/>
      <c r="AO8" s="79"/>
      <c r="AP8" s="79"/>
      <c r="AQ8" s="158"/>
      <c r="AR8" s="35">
        <f t="shared" si="9"/>
        <v>0</v>
      </c>
      <c r="AS8" s="172" t="str">
        <f t="shared" si="10"/>
        <v/>
      </c>
      <c r="AT8" s="36">
        <f t="shared" si="11"/>
        <v>0</v>
      </c>
      <c r="AU8" s="173"/>
      <c r="AV8" s="82">
        <f t="shared" si="12"/>
        <v>4</v>
      </c>
      <c r="AW8" s="37"/>
      <c r="AX8" s="174" t="str">
        <f t="shared" si="13"/>
        <v/>
      </c>
      <c r="AY8" s="37"/>
      <c r="AZ8" s="174" t="str">
        <f t="shared" si="14"/>
        <v/>
      </c>
      <c r="BA8" s="37"/>
      <c r="BB8" s="174" t="str">
        <f t="shared" si="15"/>
        <v/>
      </c>
      <c r="BC8" s="37"/>
      <c r="BD8" s="174" t="str">
        <f t="shared" si="16"/>
        <v/>
      </c>
      <c r="BE8" s="37"/>
      <c r="BF8" s="174" t="str">
        <f t="shared" si="17"/>
        <v/>
      </c>
      <c r="BG8" s="37"/>
      <c r="BH8" s="174" t="str">
        <f t="shared" si="18"/>
        <v/>
      </c>
      <c r="BI8" s="37"/>
      <c r="BJ8" s="174" t="str">
        <f t="shared" si="19"/>
        <v/>
      </c>
      <c r="BK8" s="37"/>
      <c r="BL8" s="174" t="str">
        <f t="shared" si="20"/>
        <v/>
      </c>
      <c r="BM8" s="37"/>
      <c r="BN8" s="174" t="str">
        <f t="shared" si="21"/>
        <v/>
      </c>
      <c r="BO8" s="37"/>
      <c r="BP8" s="174" t="str">
        <f t="shared" si="22"/>
        <v/>
      </c>
      <c r="BQ8" s="37"/>
      <c r="BR8" s="174" t="str">
        <f t="shared" si="23"/>
        <v/>
      </c>
      <c r="BS8" s="37"/>
      <c r="BT8" s="174" t="str">
        <f t="shared" si="24"/>
        <v/>
      </c>
      <c r="BU8" s="37"/>
      <c r="BV8" s="174" t="str">
        <f t="shared" si="25"/>
        <v/>
      </c>
      <c r="BW8" s="37"/>
      <c r="BX8" s="174" t="str">
        <f t="shared" si="26"/>
        <v/>
      </c>
      <c r="BY8" s="37"/>
      <c r="BZ8" s="174" t="str">
        <f t="shared" si="27"/>
        <v/>
      </c>
      <c r="CA8" s="37"/>
      <c r="CB8" s="174" t="str">
        <f t="shared" si="28"/>
        <v/>
      </c>
      <c r="CC8" s="37"/>
      <c r="CD8" s="174" t="str">
        <f t="shared" si="29"/>
        <v/>
      </c>
      <c r="CE8" s="37"/>
      <c r="CF8" s="174" t="str">
        <f t="shared" si="30"/>
        <v/>
      </c>
      <c r="CG8" s="37"/>
      <c r="CH8" s="174" t="str">
        <f t="shared" si="31"/>
        <v/>
      </c>
      <c r="CI8" s="37"/>
      <c r="CJ8" s="174" t="str">
        <f t="shared" si="32"/>
        <v/>
      </c>
      <c r="CK8" s="37"/>
      <c r="CL8" s="174" t="str">
        <f t="shared" si="33"/>
        <v/>
      </c>
      <c r="CM8" s="37"/>
      <c r="CN8" s="174" t="str">
        <f t="shared" si="34"/>
        <v/>
      </c>
      <c r="CO8" s="37"/>
      <c r="CP8" s="174" t="str">
        <f t="shared" si="35"/>
        <v/>
      </c>
      <c r="CQ8" s="37"/>
      <c r="CR8" s="174" t="str">
        <f t="shared" si="36"/>
        <v/>
      </c>
      <c r="CS8" s="37"/>
      <c r="CT8" s="174" t="str">
        <f t="shared" si="37"/>
        <v/>
      </c>
      <c r="CU8" s="38"/>
      <c r="CV8" s="87"/>
      <c r="CW8" s="90"/>
      <c r="CX8" s="38"/>
      <c r="CY8" s="39"/>
      <c r="CZ8" s="37"/>
      <c r="DA8" s="39"/>
      <c r="DB8" s="24">
        <v>4</v>
      </c>
      <c r="DC8" s="96" t="str">
        <f t="shared" si="38"/>
        <v>木</v>
      </c>
      <c r="DF8" s="125"/>
      <c r="DG8" s="40"/>
      <c r="DH8" s="40"/>
      <c r="DI8" s="40"/>
      <c r="DJ8" s="40"/>
      <c r="DK8" s="40"/>
      <c r="DL8" s="40"/>
      <c r="DM8" s="40"/>
      <c r="DN8" s="40"/>
      <c r="DO8" s="40"/>
      <c r="DP8" s="40">
        <f t="shared" si="39"/>
        <v>0</v>
      </c>
      <c r="DQ8" s="172" t="str">
        <f t="shared" si="40"/>
        <v/>
      </c>
      <c r="DS8" s="189"/>
      <c r="DT8" s="190"/>
      <c r="DU8" s="190"/>
      <c r="DV8" s="191"/>
      <c r="DW8" s="41"/>
      <c r="DX8" s="42"/>
      <c r="DY8" s="139"/>
      <c r="DZ8" s="139"/>
      <c r="EA8" s="139"/>
      <c r="EB8" s="139"/>
    </row>
    <row r="9" spans="1:132" ht="13.5" customHeight="1" x14ac:dyDescent="0.4">
      <c r="A9" s="104">
        <v>5</v>
      </c>
      <c r="B9" s="23" t="s">
        <v>86</v>
      </c>
      <c r="C9" s="164"/>
      <c r="D9" s="164"/>
      <c r="E9" s="24"/>
      <c r="F9" s="29"/>
      <c r="G9" s="25" t="str">
        <f>IF(SUM($F$5:F9)=0,"",SUM($F$5:F9))</f>
        <v/>
      </c>
      <c r="H9" s="43" t="str">
        <f t="shared" si="0"/>
        <v/>
      </c>
      <c r="I9" s="148" t="e">
        <f t="array" aca="1" ref="I9" ca="1">IF($A10="",$G9/($V9-$U$5+INDIRECT(IF(_xlfn.SHEET()&lt;6,"令和8年"&amp;_xlfn.SHEET()+7&amp;"月","令和9年"&amp;_xlfn.SHEET()-5&amp;"月")&amp;"!$U$5")),$G9/($V10-$U$5))</f>
        <v>#VALUE!</v>
      </c>
      <c r="J9" s="26" t="str">
        <f t="shared" si="1"/>
        <v/>
      </c>
      <c r="K9" s="27"/>
      <c r="L9" s="165">
        <f t="shared" si="2"/>
        <v>0</v>
      </c>
      <c r="M9" s="28" t="str">
        <f t="shared" si="3"/>
        <v/>
      </c>
      <c r="N9" s="166" t="str">
        <f t="shared" si="4"/>
        <v/>
      </c>
      <c r="O9" s="167" t="str">
        <f t="shared" si="5"/>
        <v/>
      </c>
      <c r="P9" s="168"/>
      <c r="Q9" s="169" t="str">
        <f t="shared" si="6"/>
        <v/>
      </c>
      <c r="R9" s="170">
        <v>13</v>
      </c>
      <c r="S9" s="171">
        <v>3</v>
      </c>
      <c r="T9" s="24" t="s">
        <v>84</v>
      </c>
      <c r="U9" s="29">
        <v>286766</v>
      </c>
      <c r="V9" s="30">
        <f t="shared" si="41"/>
        <v>1407545</v>
      </c>
      <c r="W9" s="27">
        <v>113</v>
      </c>
      <c r="X9" s="31">
        <f t="shared" si="7"/>
        <v>2537.7522123893805</v>
      </c>
      <c r="Y9" s="29">
        <v>292557</v>
      </c>
      <c r="Z9" s="32">
        <f t="shared" si="42"/>
        <v>1987417</v>
      </c>
      <c r="AA9" s="33">
        <f t="shared" si="8"/>
        <v>0.70822831846562651</v>
      </c>
      <c r="AB9" s="158">
        <v>230000</v>
      </c>
      <c r="AC9" s="34">
        <f t="shared" si="43"/>
        <v>1150000</v>
      </c>
      <c r="AD9" s="158"/>
      <c r="AE9" s="25"/>
      <c r="AF9" s="25"/>
      <c r="AG9" s="25"/>
      <c r="AH9" s="25"/>
      <c r="AI9" s="25"/>
      <c r="AJ9" s="25"/>
      <c r="AK9" s="25"/>
      <c r="AL9" s="158"/>
      <c r="AM9" s="25"/>
      <c r="AN9" s="158"/>
      <c r="AO9" s="25"/>
      <c r="AP9" s="25"/>
      <c r="AQ9" s="158"/>
      <c r="AR9" s="35">
        <f t="shared" si="9"/>
        <v>0</v>
      </c>
      <c r="AS9" s="172" t="str">
        <f t="shared" si="10"/>
        <v/>
      </c>
      <c r="AT9" s="36">
        <f t="shared" si="11"/>
        <v>0</v>
      </c>
      <c r="AU9" s="173"/>
      <c r="AV9" s="82">
        <f t="shared" si="12"/>
        <v>5</v>
      </c>
      <c r="AW9" s="37"/>
      <c r="AX9" s="174" t="str">
        <f t="shared" si="13"/>
        <v/>
      </c>
      <c r="AY9" s="37"/>
      <c r="AZ9" s="174" t="str">
        <f t="shared" si="14"/>
        <v/>
      </c>
      <c r="BA9" s="37"/>
      <c r="BB9" s="174" t="str">
        <f t="shared" si="15"/>
        <v/>
      </c>
      <c r="BC9" s="37"/>
      <c r="BD9" s="174" t="str">
        <f t="shared" si="16"/>
        <v/>
      </c>
      <c r="BE9" s="37"/>
      <c r="BF9" s="174" t="str">
        <f t="shared" si="17"/>
        <v/>
      </c>
      <c r="BG9" s="37"/>
      <c r="BH9" s="174" t="str">
        <f t="shared" si="18"/>
        <v/>
      </c>
      <c r="BI9" s="37"/>
      <c r="BJ9" s="174" t="str">
        <f t="shared" si="19"/>
        <v/>
      </c>
      <c r="BK9" s="37"/>
      <c r="BL9" s="174" t="str">
        <f t="shared" si="20"/>
        <v/>
      </c>
      <c r="BM9" s="37"/>
      <c r="BN9" s="174" t="str">
        <f t="shared" si="21"/>
        <v/>
      </c>
      <c r="BO9" s="37"/>
      <c r="BP9" s="174" t="str">
        <f t="shared" si="22"/>
        <v/>
      </c>
      <c r="BQ9" s="37"/>
      <c r="BR9" s="174" t="str">
        <f t="shared" si="23"/>
        <v/>
      </c>
      <c r="BS9" s="37"/>
      <c r="BT9" s="174" t="str">
        <f t="shared" si="24"/>
        <v/>
      </c>
      <c r="BU9" s="37"/>
      <c r="BV9" s="174" t="str">
        <f t="shared" si="25"/>
        <v/>
      </c>
      <c r="BW9" s="37"/>
      <c r="BX9" s="174" t="str">
        <f t="shared" si="26"/>
        <v/>
      </c>
      <c r="BY9" s="37"/>
      <c r="BZ9" s="174" t="str">
        <f t="shared" si="27"/>
        <v/>
      </c>
      <c r="CA9" s="37"/>
      <c r="CB9" s="174" t="str">
        <f t="shared" si="28"/>
        <v/>
      </c>
      <c r="CC9" s="37"/>
      <c r="CD9" s="174" t="str">
        <f t="shared" si="29"/>
        <v/>
      </c>
      <c r="CE9" s="37"/>
      <c r="CF9" s="174" t="str">
        <f t="shared" si="30"/>
        <v/>
      </c>
      <c r="CG9" s="37"/>
      <c r="CH9" s="174" t="str">
        <f t="shared" si="31"/>
        <v/>
      </c>
      <c r="CI9" s="37"/>
      <c r="CJ9" s="174" t="str">
        <f t="shared" si="32"/>
        <v/>
      </c>
      <c r="CK9" s="37"/>
      <c r="CL9" s="174" t="str">
        <f t="shared" si="33"/>
        <v/>
      </c>
      <c r="CM9" s="37"/>
      <c r="CN9" s="174" t="str">
        <f t="shared" si="34"/>
        <v/>
      </c>
      <c r="CO9" s="37"/>
      <c r="CP9" s="174" t="str">
        <f t="shared" si="35"/>
        <v/>
      </c>
      <c r="CQ9" s="37"/>
      <c r="CR9" s="174" t="str">
        <f t="shared" si="36"/>
        <v/>
      </c>
      <c r="CS9" s="37"/>
      <c r="CT9" s="174" t="str">
        <f t="shared" si="37"/>
        <v/>
      </c>
      <c r="CU9" s="38"/>
      <c r="CV9" s="87"/>
      <c r="CW9" s="90"/>
      <c r="CX9" s="38"/>
      <c r="CY9" s="39"/>
      <c r="CZ9" s="37"/>
      <c r="DA9" s="39"/>
      <c r="DB9" s="24">
        <v>5</v>
      </c>
      <c r="DC9" s="96" t="str">
        <f t="shared" si="38"/>
        <v>金</v>
      </c>
      <c r="DF9" s="125"/>
      <c r="DG9" s="40"/>
      <c r="DH9" s="40"/>
      <c r="DI9" s="40"/>
      <c r="DJ9" s="40"/>
      <c r="DK9" s="40"/>
      <c r="DL9" s="40"/>
      <c r="DM9" s="40"/>
      <c r="DN9" s="40"/>
      <c r="DO9" s="40"/>
      <c r="DP9" s="40">
        <f t="shared" si="39"/>
        <v>0</v>
      </c>
      <c r="DQ9" s="172" t="str">
        <f t="shared" si="40"/>
        <v/>
      </c>
      <c r="DS9" s="189"/>
      <c r="DT9" s="190"/>
      <c r="DU9" s="190"/>
      <c r="DV9" s="191"/>
      <c r="DW9" s="41"/>
      <c r="DX9" s="42"/>
      <c r="DY9" s="139"/>
      <c r="DZ9" s="139"/>
      <c r="EA9" s="139"/>
      <c r="EB9" s="139"/>
    </row>
    <row r="10" spans="1:132" ht="13.5" customHeight="1" x14ac:dyDescent="0.4">
      <c r="A10" s="104">
        <v>6</v>
      </c>
      <c r="B10" s="23" t="s">
        <v>88</v>
      </c>
      <c r="C10" s="164"/>
      <c r="D10" s="164"/>
      <c r="E10" s="24"/>
      <c r="F10" s="29"/>
      <c r="G10" s="25" t="str">
        <f>IF(SUM($F$5:F10)=0,"",SUM($F$5:F10))</f>
        <v/>
      </c>
      <c r="H10" s="43" t="str">
        <f t="shared" si="0"/>
        <v/>
      </c>
      <c r="I10" s="148" t="e">
        <f t="array" aca="1" ref="I10" ca="1">IF($A11="",$G10/($V10-$U$5+INDIRECT(IF(_xlfn.SHEET()&lt;6,"令和8年"&amp;_xlfn.SHEET()+7&amp;"月","令和9年"&amp;_xlfn.SHEET()-5&amp;"月")&amp;"!$U$5")),$G10/($V11-$U$5))</f>
        <v>#VALUE!</v>
      </c>
      <c r="J10" s="26" t="str">
        <f t="shared" si="1"/>
        <v/>
      </c>
      <c r="K10" s="27"/>
      <c r="L10" s="165">
        <f t="shared" si="2"/>
        <v>0</v>
      </c>
      <c r="M10" s="28" t="str">
        <f t="shared" si="3"/>
        <v/>
      </c>
      <c r="N10" s="166" t="str">
        <f t="shared" si="4"/>
        <v/>
      </c>
      <c r="O10" s="167" t="str">
        <f t="shared" si="5"/>
        <v/>
      </c>
      <c r="P10" s="168"/>
      <c r="Q10" s="169" t="str">
        <f t="shared" si="6"/>
        <v/>
      </c>
      <c r="R10" s="170">
        <v>18</v>
      </c>
      <c r="S10" s="171">
        <v>2</v>
      </c>
      <c r="T10" s="24" t="s">
        <v>130</v>
      </c>
      <c r="U10" s="29">
        <v>203006</v>
      </c>
      <c r="V10" s="30">
        <f t="shared" si="41"/>
        <v>1610551</v>
      </c>
      <c r="W10" s="27">
        <v>134</v>
      </c>
      <c r="X10" s="31">
        <f t="shared" si="7"/>
        <v>1514.9701492537313</v>
      </c>
      <c r="Y10" s="29">
        <v>224751</v>
      </c>
      <c r="Z10" s="32">
        <f t="shared" si="42"/>
        <v>2212168</v>
      </c>
      <c r="AA10" s="33">
        <f t="shared" si="8"/>
        <v>0.72804190278496028</v>
      </c>
      <c r="AB10" s="158">
        <v>650000</v>
      </c>
      <c r="AC10" s="34">
        <f t="shared" si="43"/>
        <v>1800000</v>
      </c>
      <c r="AD10" s="158"/>
      <c r="AE10" s="25"/>
      <c r="AF10" s="25"/>
      <c r="AG10" s="25"/>
      <c r="AH10" s="25"/>
      <c r="AI10" s="25"/>
      <c r="AJ10" s="25"/>
      <c r="AK10" s="25"/>
      <c r="AL10" s="158"/>
      <c r="AM10" s="25"/>
      <c r="AN10" s="158"/>
      <c r="AO10" s="25"/>
      <c r="AP10" s="25"/>
      <c r="AQ10" s="158"/>
      <c r="AR10" s="35">
        <f t="shared" si="9"/>
        <v>0</v>
      </c>
      <c r="AS10" s="172" t="str">
        <f t="shared" si="10"/>
        <v/>
      </c>
      <c r="AT10" s="36">
        <f t="shared" si="11"/>
        <v>0</v>
      </c>
      <c r="AU10" s="173"/>
      <c r="AV10" s="82">
        <f t="shared" si="12"/>
        <v>6</v>
      </c>
      <c r="AW10" s="37"/>
      <c r="AX10" s="174" t="str">
        <f t="shared" si="13"/>
        <v/>
      </c>
      <c r="AY10" s="37"/>
      <c r="AZ10" s="174" t="str">
        <f t="shared" si="14"/>
        <v/>
      </c>
      <c r="BA10" s="37"/>
      <c r="BB10" s="174" t="str">
        <f t="shared" si="15"/>
        <v/>
      </c>
      <c r="BC10" s="37"/>
      <c r="BD10" s="174" t="str">
        <f t="shared" si="16"/>
        <v/>
      </c>
      <c r="BE10" s="37"/>
      <c r="BF10" s="174" t="str">
        <f t="shared" si="17"/>
        <v/>
      </c>
      <c r="BG10" s="37"/>
      <c r="BH10" s="174" t="str">
        <f t="shared" si="18"/>
        <v/>
      </c>
      <c r="BI10" s="37"/>
      <c r="BJ10" s="174" t="str">
        <f t="shared" si="19"/>
        <v/>
      </c>
      <c r="BK10" s="37"/>
      <c r="BL10" s="174" t="str">
        <f t="shared" si="20"/>
        <v/>
      </c>
      <c r="BM10" s="37"/>
      <c r="BN10" s="174" t="str">
        <f t="shared" si="21"/>
        <v/>
      </c>
      <c r="BO10" s="37"/>
      <c r="BP10" s="174" t="str">
        <f t="shared" si="22"/>
        <v/>
      </c>
      <c r="BQ10" s="37"/>
      <c r="BR10" s="174" t="str">
        <f t="shared" si="23"/>
        <v/>
      </c>
      <c r="BS10" s="37"/>
      <c r="BT10" s="174" t="str">
        <f t="shared" si="24"/>
        <v/>
      </c>
      <c r="BU10" s="37"/>
      <c r="BV10" s="174" t="str">
        <f t="shared" si="25"/>
        <v/>
      </c>
      <c r="BW10" s="37"/>
      <c r="BX10" s="174" t="str">
        <f t="shared" si="26"/>
        <v/>
      </c>
      <c r="BY10" s="37"/>
      <c r="BZ10" s="174" t="str">
        <f t="shared" si="27"/>
        <v/>
      </c>
      <c r="CA10" s="37"/>
      <c r="CB10" s="174" t="str">
        <f t="shared" si="28"/>
        <v/>
      </c>
      <c r="CC10" s="37"/>
      <c r="CD10" s="174" t="str">
        <f t="shared" si="29"/>
        <v/>
      </c>
      <c r="CE10" s="37"/>
      <c r="CF10" s="174" t="str">
        <f t="shared" si="30"/>
        <v/>
      </c>
      <c r="CG10" s="37"/>
      <c r="CH10" s="174" t="str">
        <f t="shared" si="31"/>
        <v/>
      </c>
      <c r="CI10" s="37"/>
      <c r="CJ10" s="174" t="str">
        <f t="shared" si="32"/>
        <v/>
      </c>
      <c r="CK10" s="37"/>
      <c r="CL10" s="174" t="str">
        <f t="shared" si="33"/>
        <v/>
      </c>
      <c r="CM10" s="37"/>
      <c r="CN10" s="174" t="str">
        <f t="shared" si="34"/>
        <v/>
      </c>
      <c r="CO10" s="37"/>
      <c r="CP10" s="174" t="str">
        <f t="shared" si="35"/>
        <v/>
      </c>
      <c r="CQ10" s="37"/>
      <c r="CR10" s="174" t="str">
        <f t="shared" si="36"/>
        <v/>
      </c>
      <c r="CS10" s="37"/>
      <c r="CT10" s="174" t="str">
        <f t="shared" si="37"/>
        <v/>
      </c>
      <c r="CU10" s="38"/>
      <c r="CV10" s="87"/>
      <c r="CW10" s="90"/>
      <c r="CX10" s="38"/>
      <c r="CY10" s="39"/>
      <c r="CZ10" s="37"/>
      <c r="DA10" s="39"/>
      <c r="DB10" s="24">
        <v>6</v>
      </c>
      <c r="DC10" s="96" t="str">
        <f t="shared" si="38"/>
        <v>土</v>
      </c>
      <c r="DF10" s="125"/>
      <c r="DG10" s="40"/>
      <c r="DH10" s="40"/>
      <c r="DI10" s="40"/>
      <c r="DJ10" s="40"/>
      <c r="DK10" s="40"/>
      <c r="DL10" s="40"/>
      <c r="DM10" s="40"/>
      <c r="DN10" s="40"/>
      <c r="DO10" s="40"/>
      <c r="DP10" s="40">
        <f t="shared" si="39"/>
        <v>0</v>
      </c>
      <c r="DQ10" s="172" t="str">
        <f t="shared" si="40"/>
        <v/>
      </c>
      <c r="DS10" s="189"/>
      <c r="DT10" s="190"/>
      <c r="DU10" s="190"/>
      <c r="DV10" s="191"/>
      <c r="DW10" s="138"/>
      <c r="DX10" s="42"/>
      <c r="DY10" s="139"/>
      <c r="DZ10" s="139"/>
      <c r="EA10" s="139"/>
      <c r="EB10" s="139"/>
    </row>
    <row r="11" spans="1:132" ht="13.5" customHeight="1" x14ac:dyDescent="0.4">
      <c r="A11" s="104">
        <v>7</v>
      </c>
      <c r="B11" s="23" t="s">
        <v>89</v>
      </c>
      <c r="C11" s="164"/>
      <c r="D11" s="164"/>
      <c r="E11" s="24"/>
      <c r="F11" s="29"/>
      <c r="G11" s="25" t="str">
        <f>IF(SUM($F$5:F11)=0,"",SUM($F$5:F11))</f>
        <v/>
      </c>
      <c r="H11" s="43" t="str">
        <f t="shared" si="0"/>
        <v/>
      </c>
      <c r="I11" s="148" t="e">
        <f t="array" aca="1" ref="I11" ca="1">IF($A12="",$G11/($V11-$U$5+INDIRECT(IF(_xlfn.SHEET()&lt;6,"令和8年"&amp;_xlfn.SHEET()+7&amp;"月","令和9年"&amp;_xlfn.SHEET()-5&amp;"月")&amp;"!$U$5")),$G11/($V12-$U$5))</f>
        <v>#VALUE!</v>
      </c>
      <c r="J11" s="26" t="str">
        <f t="shared" si="1"/>
        <v/>
      </c>
      <c r="K11" s="27"/>
      <c r="L11" s="165">
        <f t="shared" si="2"/>
        <v>0</v>
      </c>
      <c r="M11" s="28" t="str">
        <f t="shared" si="3"/>
        <v/>
      </c>
      <c r="N11" s="166" t="str">
        <f t="shared" si="4"/>
        <v/>
      </c>
      <c r="O11" s="167" t="str">
        <f t="shared" si="5"/>
        <v/>
      </c>
      <c r="P11" s="168"/>
      <c r="Q11" s="169" t="str">
        <f t="shared" si="6"/>
        <v/>
      </c>
      <c r="R11" s="170">
        <v>15</v>
      </c>
      <c r="S11" s="171">
        <v>2</v>
      </c>
      <c r="T11" s="24" t="s">
        <v>114</v>
      </c>
      <c r="U11" s="29">
        <v>507497</v>
      </c>
      <c r="V11" s="30">
        <f t="shared" si="41"/>
        <v>2118048</v>
      </c>
      <c r="W11" s="27">
        <v>321</v>
      </c>
      <c r="X11" s="31">
        <f t="shared" si="7"/>
        <v>1580.9875389408101</v>
      </c>
      <c r="Y11" s="29">
        <v>165026</v>
      </c>
      <c r="Z11" s="32">
        <f t="shared" si="42"/>
        <v>2377194</v>
      </c>
      <c r="AA11" s="33">
        <f t="shared" si="8"/>
        <v>0.89098660016809739</v>
      </c>
      <c r="AB11" s="158">
        <v>650000</v>
      </c>
      <c r="AC11" s="34">
        <f t="shared" si="43"/>
        <v>2450000</v>
      </c>
      <c r="AD11" s="158"/>
      <c r="AE11" s="25"/>
      <c r="AF11" s="25"/>
      <c r="AG11" s="25"/>
      <c r="AH11" s="25"/>
      <c r="AI11" s="25"/>
      <c r="AJ11" s="25"/>
      <c r="AK11" s="25"/>
      <c r="AL11" s="158"/>
      <c r="AM11" s="25"/>
      <c r="AN11" s="158"/>
      <c r="AO11" s="25"/>
      <c r="AP11" s="25"/>
      <c r="AQ11" s="158"/>
      <c r="AR11" s="35">
        <f t="shared" si="9"/>
        <v>0</v>
      </c>
      <c r="AS11" s="172" t="str">
        <f t="shared" si="10"/>
        <v/>
      </c>
      <c r="AT11" s="36">
        <f t="shared" si="11"/>
        <v>0</v>
      </c>
      <c r="AU11" s="173"/>
      <c r="AV11" s="82">
        <f t="shared" si="12"/>
        <v>7</v>
      </c>
      <c r="AW11" s="37"/>
      <c r="AX11" s="174" t="str">
        <f t="shared" si="13"/>
        <v/>
      </c>
      <c r="AY11" s="37"/>
      <c r="AZ11" s="174" t="str">
        <f t="shared" si="14"/>
        <v/>
      </c>
      <c r="BA11" s="37"/>
      <c r="BB11" s="174" t="str">
        <f t="shared" si="15"/>
        <v/>
      </c>
      <c r="BC11" s="37"/>
      <c r="BD11" s="174" t="str">
        <f t="shared" si="16"/>
        <v/>
      </c>
      <c r="BE11" s="37"/>
      <c r="BF11" s="174" t="str">
        <f t="shared" si="17"/>
        <v/>
      </c>
      <c r="BG11" s="37"/>
      <c r="BH11" s="174" t="str">
        <f t="shared" si="18"/>
        <v/>
      </c>
      <c r="BI11" s="37"/>
      <c r="BJ11" s="174" t="str">
        <f t="shared" si="19"/>
        <v/>
      </c>
      <c r="BK11" s="37"/>
      <c r="BL11" s="174" t="str">
        <f t="shared" si="20"/>
        <v/>
      </c>
      <c r="BM11" s="37"/>
      <c r="BN11" s="174" t="str">
        <f t="shared" si="21"/>
        <v/>
      </c>
      <c r="BO11" s="37"/>
      <c r="BP11" s="174" t="str">
        <f t="shared" si="22"/>
        <v/>
      </c>
      <c r="BQ11" s="37"/>
      <c r="BR11" s="174" t="str">
        <f t="shared" si="23"/>
        <v/>
      </c>
      <c r="BS11" s="37"/>
      <c r="BT11" s="174" t="str">
        <f t="shared" si="24"/>
        <v/>
      </c>
      <c r="BU11" s="37"/>
      <c r="BV11" s="174" t="str">
        <f t="shared" si="25"/>
        <v/>
      </c>
      <c r="BW11" s="37"/>
      <c r="BX11" s="174" t="str">
        <f t="shared" si="26"/>
        <v/>
      </c>
      <c r="BY11" s="37"/>
      <c r="BZ11" s="174" t="str">
        <f t="shared" si="27"/>
        <v/>
      </c>
      <c r="CA11" s="37"/>
      <c r="CB11" s="174" t="str">
        <f t="shared" si="28"/>
        <v/>
      </c>
      <c r="CC11" s="37"/>
      <c r="CD11" s="174" t="str">
        <f t="shared" si="29"/>
        <v/>
      </c>
      <c r="CE11" s="37"/>
      <c r="CF11" s="174" t="str">
        <f t="shared" si="30"/>
        <v/>
      </c>
      <c r="CG11" s="37"/>
      <c r="CH11" s="174" t="str">
        <f t="shared" si="31"/>
        <v/>
      </c>
      <c r="CI11" s="37"/>
      <c r="CJ11" s="174" t="str">
        <f t="shared" si="32"/>
        <v/>
      </c>
      <c r="CK11" s="37"/>
      <c r="CL11" s="174" t="str">
        <f t="shared" si="33"/>
        <v/>
      </c>
      <c r="CM11" s="37"/>
      <c r="CN11" s="174" t="str">
        <f t="shared" si="34"/>
        <v/>
      </c>
      <c r="CO11" s="37"/>
      <c r="CP11" s="174" t="str">
        <f t="shared" si="35"/>
        <v/>
      </c>
      <c r="CQ11" s="37"/>
      <c r="CR11" s="174" t="str">
        <f t="shared" si="36"/>
        <v/>
      </c>
      <c r="CS11" s="37"/>
      <c r="CT11" s="174" t="str">
        <f t="shared" si="37"/>
        <v/>
      </c>
      <c r="CU11" s="38"/>
      <c r="CV11" s="87"/>
      <c r="CW11" s="90"/>
      <c r="CX11" s="38"/>
      <c r="CY11" s="39"/>
      <c r="CZ11" s="37"/>
      <c r="DA11" s="39"/>
      <c r="DB11" s="24">
        <v>7</v>
      </c>
      <c r="DC11" s="96" t="str">
        <f t="shared" si="38"/>
        <v>日</v>
      </c>
      <c r="DF11" s="125"/>
      <c r="DG11" s="40"/>
      <c r="DH11" s="40"/>
      <c r="DI11" s="40"/>
      <c r="DJ11" s="40"/>
      <c r="DK11" s="40"/>
      <c r="DL11" s="40"/>
      <c r="DM11" s="40"/>
      <c r="DN11" s="40"/>
      <c r="DO11" s="40"/>
      <c r="DP11" s="40">
        <f t="shared" si="39"/>
        <v>0</v>
      </c>
      <c r="DQ11" s="172" t="str">
        <f t="shared" si="40"/>
        <v/>
      </c>
      <c r="DS11" s="189"/>
      <c r="DT11" s="190"/>
      <c r="DU11" s="190"/>
      <c r="DV11" s="191"/>
      <c r="DW11" s="41"/>
      <c r="DX11" s="42"/>
    </row>
    <row r="12" spans="1:132" ht="13.5" customHeight="1" x14ac:dyDescent="0.4">
      <c r="A12" s="104">
        <v>8</v>
      </c>
      <c r="B12" s="23" t="s">
        <v>90</v>
      </c>
      <c r="C12" s="164"/>
      <c r="D12" s="164"/>
      <c r="E12" s="24"/>
      <c r="F12" s="29"/>
      <c r="G12" s="25" t="str">
        <f>IF(SUM($F$5:F12)=0,"",SUM($F$5:F12))</f>
        <v/>
      </c>
      <c r="H12" s="43" t="str">
        <f t="shared" si="0"/>
        <v/>
      </c>
      <c r="I12" s="148" t="e">
        <f t="array" aca="1" ref="I12" ca="1">IF($A13="",$G12/($V12-$U$5+INDIRECT(IF(_xlfn.SHEET()&lt;6,"令和8年"&amp;_xlfn.SHEET()+7&amp;"月","令和9年"&amp;_xlfn.SHEET()-5&amp;"月")&amp;"!$U$5")),$G12/($V13-$U$5))</f>
        <v>#VALUE!</v>
      </c>
      <c r="J12" s="26" t="str">
        <f t="shared" si="1"/>
        <v/>
      </c>
      <c r="K12" s="27"/>
      <c r="L12" s="165">
        <f t="shared" si="2"/>
        <v>0</v>
      </c>
      <c r="M12" s="28" t="str">
        <f t="shared" si="3"/>
        <v/>
      </c>
      <c r="N12" s="166" t="str">
        <f t="shared" si="4"/>
        <v/>
      </c>
      <c r="O12" s="167" t="str">
        <f t="shared" si="5"/>
        <v/>
      </c>
      <c r="P12" s="168"/>
      <c r="Q12" s="169" t="str">
        <f t="shared" si="6"/>
        <v/>
      </c>
      <c r="R12" s="170">
        <v>9</v>
      </c>
      <c r="S12" s="171">
        <v>1</v>
      </c>
      <c r="T12" s="24" t="s">
        <v>84</v>
      </c>
      <c r="U12" s="29">
        <v>653172</v>
      </c>
      <c r="V12" s="30">
        <f t="shared" si="41"/>
        <v>2771220</v>
      </c>
      <c r="W12" s="27">
        <v>392</v>
      </c>
      <c r="X12" s="31">
        <f t="shared" si="7"/>
        <v>1666.2551020408164</v>
      </c>
      <c r="Y12" s="29">
        <v>707742</v>
      </c>
      <c r="Z12" s="32">
        <f t="shared" si="42"/>
        <v>3084936</v>
      </c>
      <c r="AA12" s="33">
        <f t="shared" si="8"/>
        <v>0.898307128575763</v>
      </c>
      <c r="AB12" s="158">
        <v>230000</v>
      </c>
      <c r="AC12" s="34">
        <f t="shared" si="43"/>
        <v>2680000</v>
      </c>
      <c r="AD12" s="158"/>
      <c r="AE12" s="25"/>
      <c r="AF12" s="25"/>
      <c r="AG12" s="25"/>
      <c r="AH12" s="25"/>
      <c r="AI12" s="25"/>
      <c r="AJ12" s="25"/>
      <c r="AK12" s="25"/>
      <c r="AL12" s="158"/>
      <c r="AM12" s="25"/>
      <c r="AN12" s="158"/>
      <c r="AO12" s="25"/>
      <c r="AP12" s="25"/>
      <c r="AQ12" s="158"/>
      <c r="AR12" s="35">
        <f t="shared" si="9"/>
        <v>0</v>
      </c>
      <c r="AS12" s="172" t="str">
        <f t="shared" si="10"/>
        <v/>
      </c>
      <c r="AT12" s="36">
        <f t="shared" si="11"/>
        <v>0</v>
      </c>
      <c r="AU12" s="173"/>
      <c r="AV12" s="82">
        <f t="shared" si="12"/>
        <v>8</v>
      </c>
      <c r="AW12" s="37"/>
      <c r="AX12" s="174" t="str">
        <f t="shared" si="13"/>
        <v/>
      </c>
      <c r="AY12" s="37"/>
      <c r="AZ12" s="174" t="str">
        <f t="shared" si="14"/>
        <v/>
      </c>
      <c r="BA12" s="37"/>
      <c r="BB12" s="174" t="str">
        <f t="shared" si="15"/>
        <v/>
      </c>
      <c r="BC12" s="37"/>
      <c r="BD12" s="174" t="str">
        <f t="shared" si="16"/>
        <v/>
      </c>
      <c r="BE12" s="37"/>
      <c r="BF12" s="174" t="str">
        <f t="shared" si="17"/>
        <v/>
      </c>
      <c r="BG12" s="37"/>
      <c r="BH12" s="174" t="str">
        <f t="shared" si="18"/>
        <v/>
      </c>
      <c r="BI12" s="37"/>
      <c r="BJ12" s="174" t="str">
        <f t="shared" si="19"/>
        <v/>
      </c>
      <c r="BK12" s="37"/>
      <c r="BL12" s="174" t="str">
        <f t="shared" si="20"/>
        <v/>
      </c>
      <c r="BM12" s="37"/>
      <c r="BN12" s="174" t="str">
        <f t="shared" si="21"/>
        <v/>
      </c>
      <c r="BO12" s="37"/>
      <c r="BP12" s="174" t="str">
        <f t="shared" si="22"/>
        <v/>
      </c>
      <c r="BQ12" s="37"/>
      <c r="BR12" s="174" t="str">
        <f t="shared" si="23"/>
        <v/>
      </c>
      <c r="BS12" s="37"/>
      <c r="BT12" s="174" t="str">
        <f t="shared" si="24"/>
        <v/>
      </c>
      <c r="BU12" s="37"/>
      <c r="BV12" s="174" t="str">
        <f t="shared" si="25"/>
        <v/>
      </c>
      <c r="BW12" s="37"/>
      <c r="BX12" s="174" t="str">
        <f t="shared" si="26"/>
        <v/>
      </c>
      <c r="BY12" s="37"/>
      <c r="BZ12" s="174" t="str">
        <f t="shared" si="27"/>
        <v/>
      </c>
      <c r="CA12" s="37"/>
      <c r="CB12" s="174" t="str">
        <f t="shared" si="28"/>
        <v/>
      </c>
      <c r="CC12" s="37"/>
      <c r="CD12" s="174" t="str">
        <f t="shared" si="29"/>
        <v/>
      </c>
      <c r="CE12" s="37"/>
      <c r="CF12" s="174" t="str">
        <f t="shared" si="30"/>
        <v/>
      </c>
      <c r="CG12" s="37"/>
      <c r="CH12" s="174" t="str">
        <f t="shared" si="31"/>
        <v/>
      </c>
      <c r="CI12" s="37"/>
      <c r="CJ12" s="174" t="str">
        <f t="shared" si="32"/>
        <v/>
      </c>
      <c r="CK12" s="37"/>
      <c r="CL12" s="174" t="str">
        <f t="shared" si="33"/>
        <v/>
      </c>
      <c r="CM12" s="37"/>
      <c r="CN12" s="174" t="str">
        <f t="shared" si="34"/>
        <v/>
      </c>
      <c r="CO12" s="37"/>
      <c r="CP12" s="174" t="str">
        <f t="shared" si="35"/>
        <v/>
      </c>
      <c r="CQ12" s="37"/>
      <c r="CR12" s="174" t="str">
        <f t="shared" si="36"/>
        <v/>
      </c>
      <c r="CS12" s="37"/>
      <c r="CT12" s="174" t="str">
        <f t="shared" si="37"/>
        <v/>
      </c>
      <c r="CU12" s="38"/>
      <c r="CV12" s="87"/>
      <c r="CW12" s="90"/>
      <c r="CX12" s="38"/>
      <c r="CY12" s="39"/>
      <c r="CZ12" s="37"/>
      <c r="DA12" s="39"/>
      <c r="DB12" s="24">
        <v>8</v>
      </c>
      <c r="DC12" s="96" t="str">
        <f t="shared" si="38"/>
        <v>月</v>
      </c>
      <c r="DF12" s="125"/>
      <c r="DG12" s="40"/>
      <c r="DH12" s="40"/>
      <c r="DI12" s="40"/>
      <c r="DJ12" s="40"/>
      <c r="DK12" s="40"/>
      <c r="DL12" s="40"/>
      <c r="DM12" s="40"/>
      <c r="DN12" s="40"/>
      <c r="DO12" s="40"/>
      <c r="DP12" s="40">
        <f t="shared" si="39"/>
        <v>0</v>
      </c>
      <c r="DQ12" s="172" t="str">
        <f t="shared" si="40"/>
        <v/>
      </c>
      <c r="DS12" s="189"/>
      <c r="DT12" s="190"/>
      <c r="DU12" s="190"/>
      <c r="DV12" s="191"/>
      <c r="DW12" s="41"/>
      <c r="DX12" s="42"/>
    </row>
    <row r="13" spans="1:132" ht="13.5" customHeight="1" x14ac:dyDescent="0.4">
      <c r="A13" s="104">
        <v>9</v>
      </c>
      <c r="B13" s="23" t="s">
        <v>91</v>
      </c>
      <c r="C13" s="164"/>
      <c r="D13" s="164"/>
      <c r="E13" s="24"/>
      <c r="F13" s="29"/>
      <c r="G13" s="25" t="str">
        <f>IF(SUM($F$5:F13)=0,"",SUM($F$5:F13))</f>
        <v/>
      </c>
      <c r="H13" s="43" t="str">
        <f t="shared" si="0"/>
        <v/>
      </c>
      <c r="I13" s="148" t="e">
        <f t="array" aca="1" ref="I13" ca="1">IF($A14="",$G13/($V13-$U$5+INDIRECT(IF(_xlfn.SHEET()&lt;6,"令和8年"&amp;_xlfn.SHEET()+7&amp;"月","令和9年"&amp;_xlfn.SHEET()-5&amp;"月")&amp;"!$U$5")),$G13/($V14-$U$5))</f>
        <v>#VALUE!</v>
      </c>
      <c r="J13" s="26" t="str">
        <f t="shared" si="1"/>
        <v/>
      </c>
      <c r="K13" s="27"/>
      <c r="L13" s="165">
        <f t="shared" si="2"/>
        <v>0</v>
      </c>
      <c r="M13" s="28" t="str">
        <f t="shared" si="3"/>
        <v/>
      </c>
      <c r="N13" s="166" t="str">
        <f t="shared" si="4"/>
        <v/>
      </c>
      <c r="O13" s="167" t="str">
        <f t="shared" si="5"/>
        <v/>
      </c>
      <c r="P13" s="168"/>
      <c r="Q13" s="169" t="str">
        <f t="shared" si="6"/>
        <v/>
      </c>
      <c r="R13" s="170">
        <v>16</v>
      </c>
      <c r="S13" s="171">
        <v>3</v>
      </c>
      <c r="T13" s="24" t="s">
        <v>84</v>
      </c>
      <c r="U13" s="29">
        <v>208766</v>
      </c>
      <c r="V13" s="30">
        <f t="shared" si="41"/>
        <v>2979986</v>
      </c>
      <c r="W13" s="27">
        <v>118</v>
      </c>
      <c r="X13" s="31">
        <f t="shared" si="7"/>
        <v>1769.2033898305085</v>
      </c>
      <c r="Y13" s="29">
        <v>837361</v>
      </c>
      <c r="Z13" s="32">
        <f t="shared" si="42"/>
        <v>3922297</v>
      </c>
      <c r="AA13" s="33">
        <f t="shared" si="8"/>
        <v>0.75975531684622555</v>
      </c>
      <c r="AB13" s="158">
        <v>230000</v>
      </c>
      <c r="AC13" s="34">
        <f t="shared" si="43"/>
        <v>2910000</v>
      </c>
      <c r="AD13" s="158"/>
      <c r="AE13" s="25"/>
      <c r="AF13" s="25"/>
      <c r="AG13" s="25"/>
      <c r="AH13" s="25"/>
      <c r="AI13" s="25"/>
      <c r="AJ13" s="25"/>
      <c r="AK13" s="25"/>
      <c r="AL13" s="158"/>
      <c r="AM13" s="25"/>
      <c r="AN13" s="158"/>
      <c r="AO13" s="25"/>
      <c r="AP13" s="25"/>
      <c r="AQ13" s="158"/>
      <c r="AR13" s="35">
        <f t="shared" si="9"/>
        <v>0</v>
      </c>
      <c r="AS13" s="172" t="str">
        <f t="shared" si="10"/>
        <v/>
      </c>
      <c r="AT13" s="36">
        <f t="shared" si="11"/>
        <v>0</v>
      </c>
      <c r="AU13" s="173"/>
      <c r="AV13" s="82">
        <f t="shared" si="12"/>
        <v>9</v>
      </c>
      <c r="AW13" s="37"/>
      <c r="AX13" s="174" t="str">
        <f t="shared" si="13"/>
        <v/>
      </c>
      <c r="AY13" s="37"/>
      <c r="AZ13" s="174" t="str">
        <f t="shared" si="14"/>
        <v/>
      </c>
      <c r="BA13" s="37"/>
      <c r="BB13" s="174" t="str">
        <f t="shared" si="15"/>
        <v/>
      </c>
      <c r="BC13" s="37"/>
      <c r="BD13" s="174" t="str">
        <f t="shared" si="16"/>
        <v/>
      </c>
      <c r="BE13" s="37"/>
      <c r="BF13" s="174" t="str">
        <f t="shared" si="17"/>
        <v/>
      </c>
      <c r="BG13" s="37"/>
      <c r="BH13" s="174" t="str">
        <f t="shared" si="18"/>
        <v/>
      </c>
      <c r="BI13" s="37"/>
      <c r="BJ13" s="174" t="str">
        <f t="shared" si="19"/>
        <v/>
      </c>
      <c r="BK13" s="37"/>
      <c r="BL13" s="174" t="str">
        <f t="shared" si="20"/>
        <v/>
      </c>
      <c r="BM13" s="37"/>
      <c r="BN13" s="174" t="str">
        <f t="shared" si="21"/>
        <v/>
      </c>
      <c r="BO13" s="37"/>
      <c r="BP13" s="174" t="str">
        <f t="shared" si="22"/>
        <v/>
      </c>
      <c r="BQ13" s="37"/>
      <c r="BR13" s="174" t="str">
        <f t="shared" si="23"/>
        <v/>
      </c>
      <c r="BS13" s="37"/>
      <c r="BT13" s="174" t="str">
        <f t="shared" si="24"/>
        <v/>
      </c>
      <c r="BU13" s="37"/>
      <c r="BV13" s="174" t="str">
        <f t="shared" si="25"/>
        <v/>
      </c>
      <c r="BW13" s="37"/>
      <c r="BX13" s="174" t="str">
        <f t="shared" si="26"/>
        <v/>
      </c>
      <c r="BY13" s="37"/>
      <c r="BZ13" s="174" t="str">
        <f t="shared" si="27"/>
        <v/>
      </c>
      <c r="CA13" s="37"/>
      <c r="CB13" s="174" t="str">
        <f t="shared" si="28"/>
        <v/>
      </c>
      <c r="CC13" s="37"/>
      <c r="CD13" s="174" t="str">
        <f t="shared" si="29"/>
        <v/>
      </c>
      <c r="CE13" s="37"/>
      <c r="CF13" s="174" t="str">
        <f t="shared" si="30"/>
        <v/>
      </c>
      <c r="CG13" s="37"/>
      <c r="CH13" s="174" t="str">
        <f t="shared" si="31"/>
        <v/>
      </c>
      <c r="CI13" s="37"/>
      <c r="CJ13" s="174" t="str">
        <f t="shared" si="32"/>
        <v/>
      </c>
      <c r="CK13" s="37"/>
      <c r="CL13" s="174" t="str">
        <f t="shared" si="33"/>
        <v/>
      </c>
      <c r="CM13" s="37"/>
      <c r="CN13" s="174" t="str">
        <f t="shared" si="34"/>
        <v/>
      </c>
      <c r="CO13" s="37"/>
      <c r="CP13" s="174" t="str">
        <f t="shared" si="35"/>
        <v/>
      </c>
      <c r="CQ13" s="37"/>
      <c r="CR13" s="174" t="str">
        <f t="shared" si="36"/>
        <v/>
      </c>
      <c r="CS13" s="37"/>
      <c r="CT13" s="174" t="str">
        <f t="shared" si="37"/>
        <v/>
      </c>
      <c r="CU13" s="38"/>
      <c r="CV13" s="87"/>
      <c r="CW13" s="90"/>
      <c r="CX13" s="38"/>
      <c r="CY13" s="39"/>
      <c r="CZ13" s="37"/>
      <c r="DA13" s="39"/>
      <c r="DB13" s="24">
        <v>9</v>
      </c>
      <c r="DC13" s="96" t="str">
        <f t="shared" si="38"/>
        <v>火</v>
      </c>
      <c r="DF13" s="125"/>
      <c r="DG13" s="40"/>
      <c r="DH13" s="40"/>
      <c r="DI13" s="40"/>
      <c r="DJ13" s="40"/>
      <c r="DK13" s="40"/>
      <c r="DL13" s="40"/>
      <c r="DM13" s="40"/>
      <c r="DN13" s="40"/>
      <c r="DO13" s="40"/>
      <c r="DP13" s="40">
        <f t="shared" si="39"/>
        <v>0</v>
      </c>
      <c r="DQ13" s="172" t="str">
        <f t="shared" si="40"/>
        <v/>
      </c>
      <c r="DS13" s="189"/>
      <c r="DT13" s="190"/>
      <c r="DU13" s="190"/>
      <c r="DV13" s="191"/>
      <c r="DW13" s="138"/>
      <c r="DX13" s="42"/>
    </row>
    <row r="14" spans="1:132" ht="13.5" customHeight="1" x14ac:dyDescent="0.4">
      <c r="A14" s="104">
        <v>10</v>
      </c>
      <c r="B14" s="23" t="s">
        <v>83</v>
      </c>
      <c r="C14" s="164"/>
      <c r="D14" s="164"/>
      <c r="E14" s="24"/>
      <c r="F14" s="29"/>
      <c r="G14" s="25" t="str">
        <f>IF(SUM($F$5:F14)=0,"",SUM($F$5:F14))</f>
        <v/>
      </c>
      <c r="H14" s="43" t="str">
        <f t="shared" si="0"/>
        <v/>
      </c>
      <c r="I14" s="148" t="e">
        <f t="array" aca="1" ref="I14" ca="1">IF($A15="",$G14/($V14-$U$5+INDIRECT(IF(_xlfn.SHEET()&lt;6,"令和8年"&amp;_xlfn.SHEET()+7&amp;"月","令和9年"&amp;_xlfn.SHEET()-5&amp;"月")&amp;"!$U$5")),$G14/($V15-$U$5))</f>
        <v>#VALUE!</v>
      </c>
      <c r="J14" s="26" t="str">
        <f t="shared" si="1"/>
        <v/>
      </c>
      <c r="K14" s="27"/>
      <c r="L14" s="165">
        <f t="shared" si="2"/>
        <v>0</v>
      </c>
      <c r="M14" s="28" t="str">
        <f t="shared" si="3"/>
        <v/>
      </c>
      <c r="N14" s="166" t="str">
        <f t="shared" si="4"/>
        <v/>
      </c>
      <c r="O14" s="167" t="str">
        <f t="shared" si="5"/>
        <v/>
      </c>
      <c r="P14" s="168"/>
      <c r="Q14" s="169" t="str">
        <f t="shared" si="6"/>
        <v/>
      </c>
      <c r="R14" s="170">
        <v>9</v>
      </c>
      <c r="S14" s="171">
        <v>3</v>
      </c>
      <c r="T14" s="24" t="s">
        <v>84</v>
      </c>
      <c r="U14" s="29">
        <v>179011</v>
      </c>
      <c r="V14" s="30">
        <f t="shared" si="41"/>
        <v>3158997</v>
      </c>
      <c r="W14" s="27">
        <v>113</v>
      </c>
      <c r="X14" s="31">
        <f t="shared" si="7"/>
        <v>1584.1681415929204</v>
      </c>
      <c r="Y14" s="29">
        <v>296186</v>
      </c>
      <c r="Z14" s="32">
        <f t="shared" si="42"/>
        <v>4218483</v>
      </c>
      <c r="AA14" s="33">
        <f t="shared" si="8"/>
        <v>0.7488466825633765</v>
      </c>
      <c r="AB14" s="158">
        <v>230000</v>
      </c>
      <c r="AC14" s="34">
        <f t="shared" si="43"/>
        <v>3140000</v>
      </c>
      <c r="AD14" s="158"/>
      <c r="AE14" s="25"/>
      <c r="AF14" s="25"/>
      <c r="AG14" s="25"/>
      <c r="AH14" s="25"/>
      <c r="AI14" s="25"/>
      <c r="AJ14" s="25"/>
      <c r="AK14" s="25"/>
      <c r="AL14" s="158"/>
      <c r="AM14" s="25"/>
      <c r="AN14" s="158"/>
      <c r="AO14" s="25"/>
      <c r="AP14" s="25"/>
      <c r="AQ14" s="158"/>
      <c r="AR14" s="35">
        <f t="shared" si="9"/>
        <v>0</v>
      </c>
      <c r="AS14" s="172" t="str">
        <f t="shared" si="10"/>
        <v/>
      </c>
      <c r="AT14" s="36">
        <f t="shared" si="11"/>
        <v>0</v>
      </c>
      <c r="AU14" s="173"/>
      <c r="AV14" s="82">
        <f t="shared" si="12"/>
        <v>10</v>
      </c>
      <c r="AW14" s="37"/>
      <c r="AX14" s="174" t="str">
        <f t="shared" si="13"/>
        <v/>
      </c>
      <c r="AY14" s="37"/>
      <c r="AZ14" s="174" t="str">
        <f t="shared" si="14"/>
        <v/>
      </c>
      <c r="BA14" s="37"/>
      <c r="BB14" s="174" t="str">
        <f t="shared" si="15"/>
        <v/>
      </c>
      <c r="BC14" s="37"/>
      <c r="BD14" s="174" t="str">
        <f t="shared" si="16"/>
        <v/>
      </c>
      <c r="BE14" s="37"/>
      <c r="BF14" s="174" t="str">
        <f t="shared" si="17"/>
        <v/>
      </c>
      <c r="BG14" s="37"/>
      <c r="BH14" s="174" t="str">
        <f t="shared" si="18"/>
        <v/>
      </c>
      <c r="BI14" s="37"/>
      <c r="BJ14" s="174" t="str">
        <f t="shared" si="19"/>
        <v/>
      </c>
      <c r="BK14" s="37"/>
      <c r="BL14" s="174" t="str">
        <f t="shared" si="20"/>
        <v/>
      </c>
      <c r="BM14" s="37"/>
      <c r="BN14" s="174" t="str">
        <f t="shared" si="21"/>
        <v/>
      </c>
      <c r="BO14" s="37"/>
      <c r="BP14" s="174" t="str">
        <f t="shared" si="22"/>
        <v/>
      </c>
      <c r="BQ14" s="37"/>
      <c r="BR14" s="174" t="str">
        <f t="shared" si="23"/>
        <v/>
      </c>
      <c r="BS14" s="37"/>
      <c r="BT14" s="174" t="str">
        <f t="shared" si="24"/>
        <v/>
      </c>
      <c r="BU14" s="37"/>
      <c r="BV14" s="174" t="str">
        <f t="shared" si="25"/>
        <v/>
      </c>
      <c r="BW14" s="37"/>
      <c r="BX14" s="174" t="str">
        <f t="shared" si="26"/>
        <v/>
      </c>
      <c r="BY14" s="37"/>
      <c r="BZ14" s="174" t="str">
        <f t="shared" si="27"/>
        <v/>
      </c>
      <c r="CA14" s="37"/>
      <c r="CB14" s="174" t="str">
        <f t="shared" si="28"/>
        <v/>
      </c>
      <c r="CC14" s="37"/>
      <c r="CD14" s="174" t="str">
        <f t="shared" si="29"/>
        <v/>
      </c>
      <c r="CE14" s="37"/>
      <c r="CF14" s="174" t="str">
        <f t="shared" si="30"/>
        <v/>
      </c>
      <c r="CG14" s="37"/>
      <c r="CH14" s="174" t="str">
        <f t="shared" si="31"/>
        <v/>
      </c>
      <c r="CI14" s="37"/>
      <c r="CJ14" s="174" t="str">
        <f t="shared" si="32"/>
        <v/>
      </c>
      <c r="CK14" s="37"/>
      <c r="CL14" s="174" t="str">
        <f t="shared" si="33"/>
        <v/>
      </c>
      <c r="CM14" s="37"/>
      <c r="CN14" s="174" t="str">
        <f t="shared" si="34"/>
        <v/>
      </c>
      <c r="CO14" s="37"/>
      <c r="CP14" s="174" t="str">
        <f t="shared" si="35"/>
        <v/>
      </c>
      <c r="CQ14" s="37"/>
      <c r="CR14" s="174" t="str">
        <f t="shared" si="36"/>
        <v/>
      </c>
      <c r="CS14" s="37"/>
      <c r="CT14" s="174" t="str">
        <f t="shared" si="37"/>
        <v/>
      </c>
      <c r="CU14" s="38"/>
      <c r="CV14" s="87"/>
      <c r="CW14" s="90"/>
      <c r="CX14" s="38"/>
      <c r="CY14" s="39"/>
      <c r="CZ14" s="37"/>
      <c r="DA14" s="39"/>
      <c r="DB14" s="24">
        <v>10</v>
      </c>
      <c r="DC14" s="96" t="str">
        <f t="shared" si="38"/>
        <v>水</v>
      </c>
      <c r="DF14" s="125"/>
      <c r="DG14" s="40"/>
      <c r="DH14" s="40"/>
      <c r="DI14" s="40"/>
      <c r="DJ14" s="40"/>
      <c r="DK14" s="40"/>
      <c r="DL14" s="40"/>
      <c r="DM14" s="40"/>
      <c r="DN14" s="40"/>
      <c r="DO14" s="40"/>
      <c r="DP14" s="40">
        <f t="shared" si="39"/>
        <v>0</v>
      </c>
      <c r="DQ14" s="172" t="str">
        <f t="shared" si="40"/>
        <v/>
      </c>
      <c r="DS14" s="189"/>
      <c r="DT14" s="190"/>
      <c r="DU14" s="190"/>
      <c r="DV14" s="191"/>
      <c r="DW14" s="41"/>
      <c r="DX14" s="42"/>
    </row>
    <row r="15" spans="1:132" ht="13.5" customHeight="1" x14ac:dyDescent="0.4">
      <c r="A15" s="104">
        <v>11</v>
      </c>
      <c r="B15" s="23" t="s">
        <v>85</v>
      </c>
      <c r="C15" s="164"/>
      <c r="D15" s="164"/>
      <c r="E15" s="24"/>
      <c r="F15" s="29"/>
      <c r="G15" s="25" t="str">
        <f>IF(SUM($F$5:F15)=0,"",SUM($F$5:F15))</f>
        <v/>
      </c>
      <c r="H15" s="43" t="str">
        <f t="shared" si="0"/>
        <v/>
      </c>
      <c r="I15" s="148" t="e">
        <f t="array" aca="1" ref="I15" ca="1">IF($A16="",$G15/($V15-$U$5+INDIRECT(IF(_xlfn.SHEET()&lt;6,"令和8年"&amp;_xlfn.SHEET()+7&amp;"月","令和9年"&amp;_xlfn.SHEET()-5&amp;"月")&amp;"!$U$5")),$G15/($V16-$U$5))</f>
        <v>#VALUE!</v>
      </c>
      <c r="J15" s="26" t="str">
        <f t="shared" si="1"/>
        <v/>
      </c>
      <c r="K15" s="27"/>
      <c r="L15" s="165">
        <f t="shared" si="2"/>
        <v>0</v>
      </c>
      <c r="M15" s="28" t="str">
        <f t="shared" si="3"/>
        <v/>
      </c>
      <c r="N15" s="166" t="str">
        <f t="shared" si="4"/>
        <v/>
      </c>
      <c r="O15" s="167" t="str">
        <f t="shared" si="5"/>
        <v/>
      </c>
      <c r="P15" s="168"/>
      <c r="Q15" s="169" t="str">
        <f t="shared" si="6"/>
        <v/>
      </c>
      <c r="R15" s="170">
        <v>13</v>
      </c>
      <c r="S15" s="171">
        <v>2</v>
      </c>
      <c r="T15" s="24" t="s">
        <v>84</v>
      </c>
      <c r="U15" s="29">
        <v>217195</v>
      </c>
      <c r="V15" s="30">
        <f t="shared" si="41"/>
        <v>3376192</v>
      </c>
      <c r="W15" s="27">
        <v>130</v>
      </c>
      <c r="X15" s="31">
        <f t="shared" si="7"/>
        <v>1670.7307692307693</v>
      </c>
      <c r="Y15" s="29">
        <v>233775</v>
      </c>
      <c r="Z15" s="32">
        <f t="shared" si="42"/>
        <v>4452258</v>
      </c>
      <c r="AA15" s="33">
        <f t="shared" si="8"/>
        <v>0.7583100530113035</v>
      </c>
      <c r="AB15" s="158">
        <v>230000</v>
      </c>
      <c r="AC15" s="34">
        <f t="shared" si="43"/>
        <v>3370000</v>
      </c>
      <c r="AD15" s="158"/>
      <c r="AE15" s="25"/>
      <c r="AF15" s="25"/>
      <c r="AG15" s="25"/>
      <c r="AH15" s="25"/>
      <c r="AI15" s="25"/>
      <c r="AJ15" s="25"/>
      <c r="AK15" s="25"/>
      <c r="AL15" s="158"/>
      <c r="AM15" s="25"/>
      <c r="AN15" s="158"/>
      <c r="AO15" s="25"/>
      <c r="AP15" s="25"/>
      <c r="AQ15" s="158"/>
      <c r="AR15" s="35">
        <f t="shared" si="9"/>
        <v>0</v>
      </c>
      <c r="AS15" s="172" t="str">
        <f t="shared" si="10"/>
        <v/>
      </c>
      <c r="AT15" s="36">
        <f t="shared" si="11"/>
        <v>0</v>
      </c>
      <c r="AU15" s="173"/>
      <c r="AV15" s="82">
        <f t="shared" si="12"/>
        <v>11</v>
      </c>
      <c r="AW15" s="37"/>
      <c r="AX15" s="174" t="str">
        <f t="shared" si="13"/>
        <v/>
      </c>
      <c r="AY15" s="37"/>
      <c r="AZ15" s="174" t="str">
        <f t="shared" si="14"/>
        <v/>
      </c>
      <c r="BA15" s="37"/>
      <c r="BB15" s="174" t="str">
        <f t="shared" si="15"/>
        <v/>
      </c>
      <c r="BC15" s="37"/>
      <c r="BD15" s="174" t="str">
        <f t="shared" si="16"/>
        <v/>
      </c>
      <c r="BE15" s="37"/>
      <c r="BF15" s="174" t="str">
        <f t="shared" si="17"/>
        <v/>
      </c>
      <c r="BG15" s="37"/>
      <c r="BH15" s="174" t="str">
        <f t="shared" si="18"/>
        <v/>
      </c>
      <c r="BI15" s="37"/>
      <c r="BJ15" s="174" t="str">
        <f t="shared" si="19"/>
        <v/>
      </c>
      <c r="BK15" s="37"/>
      <c r="BL15" s="174" t="str">
        <f t="shared" si="20"/>
        <v/>
      </c>
      <c r="BM15" s="37"/>
      <c r="BN15" s="174" t="str">
        <f t="shared" si="21"/>
        <v/>
      </c>
      <c r="BO15" s="37"/>
      <c r="BP15" s="174" t="str">
        <f t="shared" si="22"/>
        <v/>
      </c>
      <c r="BQ15" s="37"/>
      <c r="BR15" s="174" t="str">
        <f t="shared" si="23"/>
        <v/>
      </c>
      <c r="BS15" s="37"/>
      <c r="BT15" s="174" t="str">
        <f t="shared" si="24"/>
        <v/>
      </c>
      <c r="BU15" s="37"/>
      <c r="BV15" s="174" t="str">
        <f t="shared" si="25"/>
        <v/>
      </c>
      <c r="BW15" s="37"/>
      <c r="BX15" s="174" t="str">
        <f t="shared" si="26"/>
        <v/>
      </c>
      <c r="BY15" s="37"/>
      <c r="BZ15" s="174" t="str">
        <f t="shared" si="27"/>
        <v/>
      </c>
      <c r="CA15" s="37"/>
      <c r="CB15" s="174" t="str">
        <f t="shared" si="28"/>
        <v/>
      </c>
      <c r="CC15" s="37"/>
      <c r="CD15" s="174" t="str">
        <f t="shared" si="29"/>
        <v/>
      </c>
      <c r="CE15" s="37"/>
      <c r="CF15" s="174" t="str">
        <f t="shared" si="30"/>
        <v/>
      </c>
      <c r="CG15" s="37"/>
      <c r="CH15" s="174" t="str">
        <f t="shared" si="31"/>
        <v/>
      </c>
      <c r="CI15" s="37"/>
      <c r="CJ15" s="174" t="str">
        <f t="shared" si="32"/>
        <v/>
      </c>
      <c r="CK15" s="37"/>
      <c r="CL15" s="174" t="str">
        <f t="shared" si="33"/>
        <v/>
      </c>
      <c r="CM15" s="37"/>
      <c r="CN15" s="174" t="str">
        <f t="shared" si="34"/>
        <v/>
      </c>
      <c r="CO15" s="37"/>
      <c r="CP15" s="174" t="str">
        <f t="shared" si="35"/>
        <v/>
      </c>
      <c r="CQ15" s="37"/>
      <c r="CR15" s="174" t="str">
        <f t="shared" si="36"/>
        <v/>
      </c>
      <c r="CS15" s="37"/>
      <c r="CT15" s="174" t="str">
        <f t="shared" si="37"/>
        <v/>
      </c>
      <c r="CU15" s="38"/>
      <c r="CV15" s="87"/>
      <c r="CW15" s="90"/>
      <c r="CX15" s="38"/>
      <c r="CY15" s="39"/>
      <c r="CZ15" s="37"/>
      <c r="DA15" s="39"/>
      <c r="DB15" s="24">
        <v>11</v>
      </c>
      <c r="DC15" s="96" t="str">
        <f t="shared" si="38"/>
        <v>木</v>
      </c>
      <c r="DF15" s="125"/>
      <c r="DG15" s="40"/>
      <c r="DH15" s="40"/>
      <c r="DI15" s="40"/>
      <c r="DJ15" s="40"/>
      <c r="DK15" s="40"/>
      <c r="DL15" s="40"/>
      <c r="DM15" s="40"/>
      <c r="DN15" s="40"/>
      <c r="DO15" s="40"/>
      <c r="DP15" s="40">
        <f t="shared" si="39"/>
        <v>0</v>
      </c>
      <c r="DQ15" s="172" t="str">
        <f t="shared" si="40"/>
        <v/>
      </c>
      <c r="DS15" s="189"/>
      <c r="DT15" s="190"/>
      <c r="DU15" s="190"/>
      <c r="DV15" s="191"/>
      <c r="DW15" s="41"/>
      <c r="DX15" s="42"/>
    </row>
    <row r="16" spans="1:132" ht="13.5" customHeight="1" x14ac:dyDescent="0.4">
      <c r="A16" s="104">
        <v>12</v>
      </c>
      <c r="B16" s="23" t="s">
        <v>86</v>
      </c>
      <c r="C16" s="164"/>
      <c r="D16" s="164"/>
      <c r="E16" s="24"/>
      <c r="F16" s="29"/>
      <c r="G16" s="25" t="str">
        <f>IF(SUM($F$5:F16)=0,"",SUM($F$5:F16))</f>
        <v/>
      </c>
      <c r="H16" s="43" t="str">
        <f t="shared" si="0"/>
        <v/>
      </c>
      <c r="I16" s="148" t="e">
        <f t="array" aca="1" ref="I16" ca="1">IF($A17="",$G16/($V16-$U$5+INDIRECT(IF(_xlfn.SHEET()&lt;6,"令和8年"&amp;_xlfn.SHEET()+7&amp;"月","令和9年"&amp;_xlfn.SHEET()-5&amp;"月")&amp;"!$U$5")),$G16/($V17-$U$5))</f>
        <v>#VALUE!</v>
      </c>
      <c r="J16" s="26" t="str">
        <f t="shared" si="1"/>
        <v/>
      </c>
      <c r="K16" s="27"/>
      <c r="L16" s="165">
        <f t="shared" si="2"/>
        <v>0</v>
      </c>
      <c r="M16" s="28" t="str">
        <f t="shared" si="3"/>
        <v/>
      </c>
      <c r="N16" s="166" t="str">
        <f t="shared" si="4"/>
        <v/>
      </c>
      <c r="O16" s="167" t="str">
        <f t="shared" si="5"/>
        <v/>
      </c>
      <c r="P16" s="168"/>
      <c r="Q16" s="169" t="str">
        <f t="shared" si="6"/>
        <v/>
      </c>
      <c r="R16" s="170">
        <v>13</v>
      </c>
      <c r="S16" s="171">
        <v>2</v>
      </c>
      <c r="T16" s="24" t="s">
        <v>84</v>
      </c>
      <c r="U16" s="29">
        <v>200370</v>
      </c>
      <c r="V16" s="30">
        <f t="shared" si="41"/>
        <v>3576562</v>
      </c>
      <c r="W16" s="27">
        <v>141</v>
      </c>
      <c r="X16" s="31">
        <f t="shared" si="7"/>
        <v>1421.063829787234</v>
      </c>
      <c r="Y16" s="29">
        <v>282923</v>
      </c>
      <c r="Z16" s="32">
        <f t="shared" si="42"/>
        <v>4735181</v>
      </c>
      <c r="AA16" s="33">
        <f t="shared" si="8"/>
        <v>0.75531685061246867</v>
      </c>
      <c r="AB16" s="158">
        <v>230000</v>
      </c>
      <c r="AC16" s="34">
        <f t="shared" si="43"/>
        <v>3600000</v>
      </c>
      <c r="AD16" s="158"/>
      <c r="AE16" s="25"/>
      <c r="AF16" s="25"/>
      <c r="AG16" s="25"/>
      <c r="AH16" s="25"/>
      <c r="AI16" s="25"/>
      <c r="AJ16" s="25"/>
      <c r="AK16" s="25"/>
      <c r="AL16" s="158"/>
      <c r="AM16" s="25"/>
      <c r="AN16" s="158"/>
      <c r="AO16" s="25"/>
      <c r="AP16" s="25"/>
      <c r="AQ16" s="158"/>
      <c r="AR16" s="35">
        <f t="shared" si="9"/>
        <v>0</v>
      </c>
      <c r="AS16" s="172" t="str">
        <f t="shared" si="10"/>
        <v/>
      </c>
      <c r="AT16" s="36">
        <f t="shared" si="11"/>
        <v>0</v>
      </c>
      <c r="AU16" s="173"/>
      <c r="AV16" s="82">
        <f t="shared" si="12"/>
        <v>12</v>
      </c>
      <c r="AW16" s="37"/>
      <c r="AX16" s="174" t="str">
        <f t="shared" si="13"/>
        <v/>
      </c>
      <c r="AY16" s="37"/>
      <c r="AZ16" s="174" t="str">
        <f t="shared" si="14"/>
        <v/>
      </c>
      <c r="BA16" s="37"/>
      <c r="BB16" s="174" t="str">
        <f t="shared" si="15"/>
        <v/>
      </c>
      <c r="BC16" s="37"/>
      <c r="BD16" s="174" t="str">
        <f t="shared" si="16"/>
        <v/>
      </c>
      <c r="BE16" s="37"/>
      <c r="BF16" s="174" t="str">
        <f t="shared" si="17"/>
        <v/>
      </c>
      <c r="BG16" s="37"/>
      <c r="BH16" s="174" t="str">
        <f t="shared" si="18"/>
        <v/>
      </c>
      <c r="BI16" s="37"/>
      <c r="BJ16" s="174" t="str">
        <f t="shared" si="19"/>
        <v/>
      </c>
      <c r="BK16" s="37"/>
      <c r="BL16" s="174" t="str">
        <f t="shared" si="20"/>
        <v/>
      </c>
      <c r="BM16" s="37"/>
      <c r="BN16" s="174" t="str">
        <f t="shared" si="21"/>
        <v/>
      </c>
      <c r="BO16" s="37"/>
      <c r="BP16" s="174" t="str">
        <f t="shared" si="22"/>
        <v/>
      </c>
      <c r="BQ16" s="37"/>
      <c r="BR16" s="174" t="str">
        <f t="shared" si="23"/>
        <v/>
      </c>
      <c r="BS16" s="37"/>
      <c r="BT16" s="174" t="str">
        <f t="shared" si="24"/>
        <v/>
      </c>
      <c r="BU16" s="37"/>
      <c r="BV16" s="174" t="str">
        <f t="shared" si="25"/>
        <v/>
      </c>
      <c r="BW16" s="37"/>
      <c r="BX16" s="174" t="str">
        <f t="shared" si="26"/>
        <v/>
      </c>
      <c r="BY16" s="37"/>
      <c r="BZ16" s="174" t="str">
        <f t="shared" si="27"/>
        <v/>
      </c>
      <c r="CA16" s="37"/>
      <c r="CB16" s="174" t="str">
        <f t="shared" si="28"/>
        <v/>
      </c>
      <c r="CC16" s="37"/>
      <c r="CD16" s="174" t="str">
        <f t="shared" si="29"/>
        <v/>
      </c>
      <c r="CE16" s="37"/>
      <c r="CF16" s="174" t="str">
        <f t="shared" si="30"/>
        <v/>
      </c>
      <c r="CG16" s="37"/>
      <c r="CH16" s="174" t="str">
        <f t="shared" si="31"/>
        <v/>
      </c>
      <c r="CI16" s="37"/>
      <c r="CJ16" s="174" t="str">
        <f t="shared" si="32"/>
        <v/>
      </c>
      <c r="CK16" s="37"/>
      <c r="CL16" s="174" t="str">
        <f t="shared" si="33"/>
        <v/>
      </c>
      <c r="CM16" s="37"/>
      <c r="CN16" s="174" t="str">
        <f t="shared" si="34"/>
        <v/>
      </c>
      <c r="CO16" s="37"/>
      <c r="CP16" s="174" t="str">
        <f t="shared" si="35"/>
        <v/>
      </c>
      <c r="CQ16" s="37"/>
      <c r="CR16" s="174" t="str">
        <f t="shared" si="36"/>
        <v/>
      </c>
      <c r="CS16" s="37"/>
      <c r="CT16" s="174" t="str">
        <f t="shared" si="37"/>
        <v/>
      </c>
      <c r="CU16" s="38"/>
      <c r="CV16" s="87"/>
      <c r="CW16" s="90"/>
      <c r="CX16" s="38"/>
      <c r="CY16" s="39"/>
      <c r="CZ16" s="37"/>
      <c r="DA16" s="39"/>
      <c r="DB16" s="24">
        <v>12</v>
      </c>
      <c r="DC16" s="96" t="str">
        <f t="shared" si="38"/>
        <v>金</v>
      </c>
      <c r="DF16" s="125"/>
      <c r="DG16" s="40"/>
      <c r="DH16" s="40"/>
      <c r="DI16" s="40"/>
      <c r="DJ16" s="40"/>
      <c r="DK16" s="40"/>
      <c r="DL16" s="40"/>
      <c r="DM16" s="40"/>
      <c r="DN16" s="40"/>
      <c r="DO16" s="40"/>
      <c r="DP16" s="40">
        <f t="shared" si="39"/>
        <v>0</v>
      </c>
      <c r="DQ16" s="172" t="str">
        <f t="shared" si="40"/>
        <v/>
      </c>
      <c r="DS16" s="189"/>
      <c r="DT16" s="190"/>
      <c r="DU16" s="190"/>
      <c r="DV16" s="191"/>
      <c r="DW16" s="138"/>
      <c r="DX16" s="42"/>
    </row>
    <row r="17" spans="1:128" ht="13.5" customHeight="1" x14ac:dyDescent="0.4">
      <c r="A17" s="104">
        <v>13</v>
      </c>
      <c r="B17" s="23" t="s">
        <v>88</v>
      </c>
      <c r="C17" s="164"/>
      <c r="D17" s="164"/>
      <c r="E17" s="24"/>
      <c r="F17" s="29"/>
      <c r="G17" s="25" t="str">
        <f>IF(SUM($F$5:F17)=0,"",SUM($F$5:F17))</f>
        <v/>
      </c>
      <c r="H17" s="43" t="str">
        <f t="shared" si="0"/>
        <v/>
      </c>
      <c r="I17" s="148" t="e">
        <f t="array" aca="1" ref="I17" ca="1">IF($A18="",$G17/($V17-$U$5+INDIRECT(IF(_xlfn.SHEET()&lt;6,"令和8年"&amp;_xlfn.SHEET()+7&amp;"月","令和9年"&amp;_xlfn.SHEET()-5&amp;"月")&amp;"!$U$5")),$G17/($V18-$U$5))</f>
        <v>#VALUE!</v>
      </c>
      <c r="J17" s="26" t="str">
        <f t="shared" si="1"/>
        <v/>
      </c>
      <c r="K17" s="27"/>
      <c r="L17" s="165">
        <f t="shared" si="2"/>
        <v>0</v>
      </c>
      <c r="M17" s="28" t="str">
        <f t="shared" si="3"/>
        <v/>
      </c>
      <c r="N17" s="166" t="str">
        <f t="shared" si="4"/>
        <v/>
      </c>
      <c r="O17" s="167" t="str">
        <f t="shared" si="5"/>
        <v/>
      </c>
      <c r="P17" s="168"/>
      <c r="Q17" s="169" t="str">
        <f t="shared" si="6"/>
        <v/>
      </c>
      <c r="R17" s="170">
        <v>8</v>
      </c>
      <c r="S17" s="171">
        <v>1</v>
      </c>
      <c r="T17" s="24" t="s">
        <v>84</v>
      </c>
      <c r="U17" s="29">
        <v>332334</v>
      </c>
      <c r="V17" s="30">
        <f t="shared" si="41"/>
        <v>3908896</v>
      </c>
      <c r="W17" s="27">
        <v>181</v>
      </c>
      <c r="X17" s="31">
        <f t="shared" si="7"/>
        <v>1836.0994475138123</v>
      </c>
      <c r="Y17" s="29">
        <v>225832</v>
      </c>
      <c r="Z17" s="32">
        <f t="shared" si="42"/>
        <v>4961013</v>
      </c>
      <c r="AA17" s="33">
        <f t="shared" si="8"/>
        <v>0.78792295041355465</v>
      </c>
      <c r="AB17" s="158">
        <v>650000</v>
      </c>
      <c r="AC17" s="34">
        <f t="shared" si="43"/>
        <v>4250000</v>
      </c>
      <c r="AD17" s="158"/>
      <c r="AE17" s="25"/>
      <c r="AF17" s="25"/>
      <c r="AG17" s="25"/>
      <c r="AH17" s="25"/>
      <c r="AI17" s="25"/>
      <c r="AJ17" s="25"/>
      <c r="AK17" s="25"/>
      <c r="AL17" s="158"/>
      <c r="AM17" s="25"/>
      <c r="AN17" s="158"/>
      <c r="AO17" s="25"/>
      <c r="AP17" s="25"/>
      <c r="AQ17" s="158"/>
      <c r="AR17" s="35">
        <f t="shared" si="9"/>
        <v>0</v>
      </c>
      <c r="AS17" s="172" t="str">
        <f t="shared" si="10"/>
        <v/>
      </c>
      <c r="AT17" s="36">
        <f t="shared" si="11"/>
        <v>0</v>
      </c>
      <c r="AU17" s="173"/>
      <c r="AV17" s="82">
        <f t="shared" si="12"/>
        <v>13</v>
      </c>
      <c r="AW17" s="37"/>
      <c r="AX17" s="174" t="str">
        <f t="shared" si="13"/>
        <v/>
      </c>
      <c r="AY17" s="37"/>
      <c r="AZ17" s="174" t="str">
        <f t="shared" si="14"/>
        <v/>
      </c>
      <c r="BA17" s="37"/>
      <c r="BB17" s="174" t="str">
        <f t="shared" si="15"/>
        <v/>
      </c>
      <c r="BC17" s="37"/>
      <c r="BD17" s="174" t="str">
        <f t="shared" si="16"/>
        <v/>
      </c>
      <c r="BE17" s="37"/>
      <c r="BF17" s="174" t="str">
        <f t="shared" si="17"/>
        <v/>
      </c>
      <c r="BG17" s="37"/>
      <c r="BH17" s="174" t="str">
        <f t="shared" si="18"/>
        <v/>
      </c>
      <c r="BI17" s="37"/>
      <c r="BJ17" s="174" t="str">
        <f t="shared" si="19"/>
        <v/>
      </c>
      <c r="BK17" s="37"/>
      <c r="BL17" s="174" t="str">
        <f t="shared" si="20"/>
        <v/>
      </c>
      <c r="BM17" s="37"/>
      <c r="BN17" s="174" t="str">
        <f t="shared" si="21"/>
        <v/>
      </c>
      <c r="BO17" s="37"/>
      <c r="BP17" s="174" t="str">
        <f t="shared" si="22"/>
        <v/>
      </c>
      <c r="BQ17" s="37"/>
      <c r="BR17" s="174" t="str">
        <f t="shared" si="23"/>
        <v/>
      </c>
      <c r="BS17" s="37"/>
      <c r="BT17" s="174" t="str">
        <f t="shared" si="24"/>
        <v/>
      </c>
      <c r="BU17" s="37"/>
      <c r="BV17" s="174" t="str">
        <f t="shared" si="25"/>
        <v/>
      </c>
      <c r="BW17" s="37"/>
      <c r="BX17" s="174" t="str">
        <f t="shared" si="26"/>
        <v/>
      </c>
      <c r="BY17" s="37"/>
      <c r="BZ17" s="174" t="str">
        <f t="shared" si="27"/>
        <v/>
      </c>
      <c r="CA17" s="37"/>
      <c r="CB17" s="174" t="str">
        <f t="shared" si="28"/>
        <v/>
      </c>
      <c r="CC17" s="37"/>
      <c r="CD17" s="174" t="str">
        <f t="shared" si="29"/>
        <v/>
      </c>
      <c r="CE17" s="37"/>
      <c r="CF17" s="174" t="str">
        <f t="shared" si="30"/>
        <v/>
      </c>
      <c r="CG17" s="37"/>
      <c r="CH17" s="174" t="str">
        <f t="shared" si="31"/>
        <v/>
      </c>
      <c r="CI17" s="37"/>
      <c r="CJ17" s="174" t="str">
        <f t="shared" si="32"/>
        <v/>
      </c>
      <c r="CK17" s="37"/>
      <c r="CL17" s="174" t="str">
        <f t="shared" si="33"/>
        <v/>
      </c>
      <c r="CM17" s="37"/>
      <c r="CN17" s="174" t="str">
        <f t="shared" si="34"/>
        <v/>
      </c>
      <c r="CO17" s="37"/>
      <c r="CP17" s="174" t="str">
        <f t="shared" si="35"/>
        <v/>
      </c>
      <c r="CQ17" s="37"/>
      <c r="CR17" s="174" t="str">
        <f t="shared" si="36"/>
        <v/>
      </c>
      <c r="CS17" s="37"/>
      <c r="CT17" s="174" t="str">
        <f t="shared" si="37"/>
        <v/>
      </c>
      <c r="CU17" s="38"/>
      <c r="CV17" s="87"/>
      <c r="CW17" s="90"/>
      <c r="CX17" s="38"/>
      <c r="CY17" s="39"/>
      <c r="CZ17" s="37"/>
      <c r="DA17" s="39"/>
      <c r="DB17" s="24">
        <v>13</v>
      </c>
      <c r="DC17" s="96" t="str">
        <f t="shared" si="38"/>
        <v>土</v>
      </c>
      <c r="DF17" s="125"/>
      <c r="DG17" s="40"/>
      <c r="DH17" s="40"/>
      <c r="DI17" s="40"/>
      <c r="DJ17" s="40"/>
      <c r="DK17" s="40"/>
      <c r="DL17" s="40"/>
      <c r="DM17" s="40"/>
      <c r="DN17" s="40"/>
      <c r="DO17" s="40"/>
      <c r="DP17" s="40">
        <f t="shared" si="39"/>
        <v>0</v>
      </c>
      <c r="DQ17" s="172" t="str">
        <f t="shared" si="40"/>
        <v/>
      </c>
      <c r="DS17" s="189"/>
      <c r="DT17" s="190"/>
      <c r="DU17" s="190"/>
      <c r="DV17" s="191"/>
      <c r="DW17" s="41"/>
      <c r="DX17" s="42"/>
    </row>
    <row r="18" spans="1:128" ht="13.5" customHeight="1" x14ac:dyDescent="0.4">
      <c r="A18" s="104">
        <v>14</v>
      </c>
      <c r="B18" s="23" t="s">
        <v>89</v>
      </c>
      <c r="C18" s="164"/>
      <c r="D18" s="164"/>
      <c r="E18" s="24"/>
      <c r="F18" s="29"/>
      <c r="G18" s="25" t="str">
        <f>IF(SUM($F$5:F18)=0,"",SUM($F$5:F18))</f>
        <v/>
      </c>
      <c r="H18" s="43" t="str">
        <f t="shared" si="0"/>
        <v/>
      </c>
      <c r="I18" s="148" t="e">
        <f t="array" aca="1" ref="I18" ca="1">IF($A19="",$G18/($V18-$U$5+INDIRECT(IF(_xlfn.SHEET()&lt;6,"令和8年"&amp;_xlfn.SHEET()+7&amp;"月","令和9年"&amp;_xlfn.SHEET()-5&amp;"月")&amp;"!$U$5")),$G18/($V19-$U$5))</f>
        <v>#VALUE!</v>
      </c>
      <c r="J18" s="26" t="str">
        <f t="shared" si="1"/>
        <v/>
      </c>
      <c r="K18" s="27"/>
      <c r="L18" s="165">
        <f t="shared" si="2"/>
        <v>0</v>
      </c>
      <c r="M18" s="28" t="str">
        <f t="shared" si="3"/>
        <v/>
      </c>
      <c r="N18" s="166" t="str">
        <f t="shared" si="4"/>
        <v/>
      </c>
      <c r="O18" s="167" t="str">
        <f t="shared" si="5"/>
        <v/>
      </c>
      <c r="P18" s="168"/>
      <c r="Q18" s="169" t="str">
        <f t="shared" si="6"/>
        <v/>
      </c>
      <c r="R18" s="170">
        <v>13</v>
      </c>
      <c r="S18" s="171">
        <v>2</v>
      </c>
      <c r="T18" s="24" t="s">
        <v>84</v>
      </c>
      <c r="U18" s="29">
        <v>662838</v>
      </c>
      <c r="V18" s="30">
        <f t="shared" si="41"/>
        <v>4571734</v>
      </c>
      <c r="W18" s="27">
        <v>401</v>
      </c>
      <c r="X18" s="31">
        <f t="shared" si="7"/>
        <v>1652.9625935162094</v>
      </c>
      <c r="Y18" s="29">
        <v>269000</v>
      </c>
      <c r="Z18" s="32">
        <f t="shared" si="42"/>
        <v>5230013</v>
      </c>
      <c r="AA18" s="33">
        <f t="shared" si="8"/>
        <v>0.87413434727600103</v>
      </c>
      <c r="AB18" s="158">
        <v>650000</v>
      </c>
      <c r="AC18" s="34">
        <f t="shared" si="43"/>
        <v>4900000</v>
      </c>
      <c r="AD18" s="158"/>
      <c r="AE18" s="25"/>
      <c r="AF18" s="25"/>
      <c r="AG18" s="25"/>
      <c r="AH18" s="25"/>
      <c r="AI18" s="25"/>
      <c r="AJ18" s="25"/>
      <c r="AK18" s="25"/>
      <c r="AL18" s="158"/>
      <c r="AM18" s="25"/>
      <c r="AN18" s="158"/>
      <c r="AO18" s="25"/>
      <c r="AP18" s="25"/>
      <c r="AQ18" s="158"/>
      <c r="AR18" s="35">
        <f t="shared" si="9"/>
        <v>0</v>
      </c>
      <c r="AS18" s="172" t="str">
        <f t="shared" si="10"/>
        <v/>
      </c>
      <c r="AT18" s="36">
        <f t="shared" si="11"/>
        <v>0</v>
      </c>
      <c r="AU18" s="173"/>
      <c r="AV18" s="82">
        <f t="shared" si="12"/>
        <v>14</v>
      </c>
      <c r="AW18" s="37"/>
      <c r="AX18" s="174" t="str">
        <f t="shared" si="13"/>
        <v/>
      </c>
      <c r="AY18" s="37"/>
      <c r="AZ18" s="174" t="str">
        <f t="shared" si="14"/>
        <v/>
      </c>
      <c r="BA18" s="37"/>
      <c r="BB18" s="174" t="str">
        <f t="shared" si="15"/>
        <v/>
      </c>
      <c r="BC18" s="37"/>
      <c r="BD18" s="174" t="str">
        <f t="shared" si="16"/>
        <v/>
      </c>
      <c r="BE18" s="37"/>
      <c r="BF18" s="174" t="str">
        <f t="shared" si="17"/>
        <v/>
      </c>
      <c r="BG18" s="37"/>
      <c r="BH18" s="174" t="str">
        <f t="shared" si="18"/>
        <v/>
      </c>
      <c r="BI18" s="37"/>
      <c r="BJ18" s="174" t="str">
        <f t="shared" si="19"/>
        <v/>
      </c>
      <c r="BK18" s="37"/>
      <c r="BL18" s="174" t="str">
        <f t="shared" si="20"/>
        <v/>
      </c>
      <c r="BM18" s="37"/>
      <c r="BN18" s="174" t="str">
        <f t="shared" si="21"/>
        <v/>
      </c>
      <c r="BO18" s="37"/>
      <c r="BP18" s="174" t="str">
        <f t="shared" si="22"/>
        <v/>
      </c>
      <c r="BQ18" s="37"/>
      <c r="BR18" s="174" t="str">
        <f t="shared" si="23"/>
        <v/>
      </c>
      <c r="BS18" s="37"/>
      <c r="BT18" s="174" t="str">
        <f t="shared" si="24"/>
        <v/>
      </c>
      <c r="BU18" s="37"/>
      <c r="BV18" s="174" t="str">
        <f t="shared" si="25"/>
        <v/>
      </c>
      <c r="BW18" s="37"/>
      <c r="BX18" s="174" t="str">
        <f t="shared" si="26"/>
        <v/>
      </c>
      <c r="BY18" s="37"/>
      <c r="BZ18" s="174" t="str">
        <f t="shared" si="27"/>
        <v/>
      </c>
      <c r="CA18" s="37"/>
      <c r="CB18" s="174" t="str">
        <f t="shared" si="28"/>
        <v/>
      </c>
      <c r="CC18" s="37"/>
      <c r="CD18" s="174" t="str">
        <f t="shared" si="29"/>
        <v/>
      </c>
      <c r="CE18" s="37"/>
      <c r="CF18" s="174" t="str">
        <f t="shared" si="30"/>
        <v/>
      </c>
      <c r="CG18" s="37"/>
      <c r="CH18" s="174" t="str">
        <f t="shared" si="31"/>
        <v/>
      </c>
      <c r="CI18" s="37"/>
      <c r="CJ18" s="174" t="str">
        <f t="shared" si="32"/>
        <v/>
      </c>
      <c r="CK18" s="37"/>
      <c r="CL18" s="174" t="str">
        <f t="shared" si="33"/>
        <v/>
      </c>
      <c r="CM18" s="37"/>
      <c r="CN18" s="174" t="str">
        <f t="shared" si="34"/>
        <v/>
      </c>
      <c r="CO18" s="37"/>
      <c r="CP18" s="174" t="str">
        <f t="shared" si="35"/>
        <v/>
      </c>
      <c r="CQ18" s="37"/>
      <c r="CR18" s="174" t="str">
        <f t="shared" si="36"/>
        <v/>
      </c>
      <c r="CS18" s="37"/>
      <c r="CT18" s="174" t="str">
        <f t="shared" si="37"/>
        <v/>
      </c>
      <c r="CU18" s="38"/>
      <c r="CV18" s="87"/>
      <c r="CW18" s="90"/>
      <c r="CX18" s="38"/>
      <c r="CY18" s="39"/>
      <c r="CZ18" s="37"/>
      <c r="DA18" s="39"/>
      <c r="DB18" s="24">
        <v>14</v>
      </c>
      <c r="DC18" s="96" t="str">
        <f t="shared" si="38"/>
        <v>日</v>
      </c>
      <c r="DF18" s="125"/>
      <c r="DG18" s="40"/>
      <c r="DH18" s="40"/>
      <c r="DI18" s="40"/>
      <c r="DJ18" s="40"/>
      <c r="DK18" s="40"/>
      <c r="DL18" s="40"/>
      <c r="DM18" s="40"/>
      <c r="DN18" s="40"/>
      <c r="DO18" s="40"/>
      <c r="DP18" s="40">
        <f t="shared" si="39"/>
        <v>0</v>
      </c>
      <c r="DQ18" s="172" t="str">
        <f t="shared" si="40"/>
        <v/>
      </c>
      <c r="DS18" s="189"/>
      <c r="DT18" s="190"/>
      <c r="DU18" s="190"/>
      <c r="DV18" s="191"/>
      <c r="DW18" s="41"/>
      <c r="DX18" s="42"/>
    </row>
    <row r="19" spans="1:128" ht="13.5" customHeight="1" x14ac:dyDescent="0.4">
      <c r="A19" s="104">
        <v>15</v>
      </c>
      <c r="B19" s="23" t="s">
        <v>90</v>
      </c>
      <c r="C19" s="164"/>
      <c r="D19" s="164"/>
      <c r="E19" s="24"/>
      <c r="F19" s="29"/>
      <c r="G19" s="25" t="str">
        <f>IF(SUM($F$5:F19)=0,"",SUM($F$5:F19))</f>
        <v/>
      </c>
      <c r="H19" s="43" t="str">
        <f t="shared" si="0"/>
        <v/>
      </c>
      <c r="I19" s="148" t="e">
        <f t="array" aca="1" ref="I19" ca="1">IF($A20="",$G19/($V19-$U$5+INDIRECT(IF(_xlfn.SHEET()&lt;6,"令和8年"&amp;_xlfn.SHEET()+7&amp;"月","令和9年"&amp;_xlfn.SHEET()-5&amp;"月")&amp;"!$U$5")),$G19/($V20-$U$5))</f>
        <v>#VALUE!</v>
      </c>
      <c r="J19" s="26" t="str">
        <f t="shared" si="1"/>
        <v/>
      </c>
      <c r="K19" s="27"/>
      <c r="L19" s="165">
        <f t="shared" si="2"/>
        <v>0</v>
      </c>
      <c r="M19" s="28" t="str">
        <f t="shared" si="3"/>
        <v/>
      </c>
      <c r="N19" s="166" t="str">
        <f t="shared" si="4"/>
        <v/>
      </c>
      <c r="O19" s="167" t="str">
        <f t="shared" si="5"/>
        <v/>
      </c>
      <c r="P19" s="168"/>
      <c r="Q19" s="169" t="str">
        <f t="shared" si="6"/>
        <v/>
      </c>
      <c r="R19" s="170">
        <v>12</v>
      </c>
      <c r="S19" s="171">
        <v>4</v>
      </c>
      <c r="T19" s="24" t="s">
        <v>84</v>
      </c>
      <c r="U19" s="29">
        <v>582314</v>
      </c>
      <c r="V19" s="30">
        <f t="shared" si="41"/>
        <v>5154048</v>
      </c>
      <c r="W19" s="27">
        <v>386</v>
      </c>
      <c r="X19" s="31">
        <f t="shared" si="7"/>
        <v>1508.5854922279793</v>
      </c>
      <c r="Y19" s="29">
        <v>649325</v>
      </c>
      <c r="Z19" s="32">
        <f t="shared" si="42"/>
        <v>5879338</v>
      </c>
      <c r="AA19" s="33">
        <f t="shared" si="8"/>
        <v>0.87663747176978091</v>
      </c>
      <c r="AB19" s="158">
        <v>230000</v>
      </c>
      <c r="AC19" s="34">
        <f t="shared" si="43"/>
        <v>5130000</v>
      </c>
      <c r="AD19" s="158"/>
      <c r="AE19" s="25"/>
      <c r="AF19" s="25"/>
      <c r="AG19" s="25"/>
      <c r="AH19" s="25"/>
      <c r="AI19" s="25"/>
      <c r="AJ19" s="25"/>
      <c r="AK19" s="25"/>
      <c r="AL19" s="158"/>
      <c r="AM19" s="25"/>
      <c r="AN19" s="158"/>
      <c r="AO19" s="25"/>
      <c r="AP19" s="25"/>
      <c r="AQ19" s="158"/>
      <c r="AR19" s="35">
        <f t="shared" si="9"/>
        <v>0</v>
      </c>
      <c r="AS19" s="172" t="str">
        <f t="shared" si="10"/>
        <v/>
      </c>
      <c r="AT19" s="36">
        <f t="shared" si="11"/>
        <v>0</v>
      </c>
      <c r="AU19" s="173"/>
      <c r="AV19" s="82">
        <f t="shared" si="12"/>
        <v>15</v>
      </c>
      <c r="AW19" s="37"/>
      <c r="AX19" s="174" t="str">
        <f t="shared" si="13"/>
        <v/>
      </c>
      <c r="AY19" s="37"/>
      <c r="AZ19" s="174" t="str">
        <f t="shared" si="14"/>
        <v/>
      </c>
      <c r="BA19" s="37"/>
      <c r="BB19" s="174" t="str">
        <f t="shared" si="15"/>
        <v/>
      </c>
      <c r="BC19" s="37"/>
      <c r="BD19" s="174" t="str">
        <f t="shared" si="16"/>
        <v/>
      </c>
      <c r="BE19" s="37"/>
      <c r="BF19" s="174" t="str">
        <f t="shared" si="17"/>
        <v/>
      </c>
      <c r="BG19" s="37"/>
      <c r="BH19" s="174" t="str">
        <f t="shared" si="18"/>
        <v/>
      </c>
      <c r="BI19" s="37"/>
      <c r="BJ19" s="174" t="str">
        <f t="shared" si="19"/>
        <v/>
      </c>
      <c r="BK19" s="37"/>
      <c r="BL19" s="174" t="str">
        <f t="shared" si="20"/>
        <v/>
      </c>
      <c r="BM19" s="37"/>
      <c r="BN19" s="174" t="str">
        <f t="shared" si="21"/>
        <v/>
      </c>
      <c r="BO19" s="37"/>
      <c r="BP19" s="174" t="str">
        <f t="shared" si="22"/>
        <v/>
      </c>
      <c r="BQ19" s="37"/>
      <c r="BR19" s="174" t="str">
        <f t="shared" si="23"/>
        <v/>
      </c>
      <c r="BS19" s="37"/>
      <c r="BT19" s="174" t="str">
        <f t="shared" si="24"/>
        <v/>
      </c>
      <c r="BU19" s="37"/>
      <c r="BV19" s="174" t="str">
        <f t="shared" si="25"/>
        <v/>
      </c>
      <c r="BW19" s="37"/>
      <c r="BX19" s="174" t="str">
        <f t="shared" si="26"/>
        <v/>
      </c>
      <c r="BY19" s="37"/>
      <c r="BZ19" s="174" t="str">
        <f t="shared" si="27"/>
        <v/>
      </c>
      <c r="CA19" s="37"/>
      <c r="CB19" s="174" t="str">
        <f t="shared" si="28"/>
        <v/>
      </c>
      <c r="CC19" s="37"/>
      <c r="CD19" s="174" t="str">
        <f t="shared" si="29"/>
        <v/>
      </c>
      <c r="CE19" s="37"/>
      <c r="CF19" s="174" t="str">
        <f t="shared" si="30"/>
        <v/>
      </c>
      <c r="CG19" s="37"/>
      <c r="CH19" s="174" t="str">
        <f t="shared" si="31"/>
        <v/>
      </c>
      <c r="CI19" s="37"/>
      <c r="CJ19" s="174" t="str">
        <f t="shared" si="32"/>
        <v/>
      </c>
      <c r="CK19" s="37"/>
      <c r="CL19" s="174" t="str">
        <f t="shared" si="33"/>
        <v/>
      </c>
      <c r="CM19" s="37"/>
      <c r="CN19" s="174" t="str">
        <f t="shared" si="34"/>
        <v/>
      </c>
      <c r="CO19" s="37"/>
      <c r="CP19" s="174" t="str">
        <f t="shared" si="35"/>
        <v/>
      </c>
      <c r="CQ19" s="37"/>
      <c r="CR19" s="174" t="str">
        <f t="shared" si="36"/>
        <v/>
      </c>
      <c r="CS19" s="37"/>
      <c r="CT19" s="174" t="str">
        <f t="shared" si="37"/>
        <v/>
      </c>
      <c r="CU19" s="38"/>
      <c r="CV19" s="87"/>
      <c r="CW19" s="90"/>
      <c r="CX19" s="38"/>
      <c r="CY19" s="39"/>
      <c r="CZ19" s="37"/>
      <c r="DA19" s="39"/>
      <c r="DB19" s="24">
        <v>15</v>
      </c>
      <c r="DC19" s="96" t="str">
        <f t="shared" si="38"/>
        <v>月</v>
      </c>
      <c r="DF19" s="125"/>
      <c r="DG19" s="40"/>
      <c r="DH19" s="40"/>
      <c r="DI19" s="40"/>
      <c r="DJ19" s="40"/>
      <c r="DK19" s="40"/>
      <c r="DL19" s="40"/>
      <c r="DM19" s="40"/>
      <c r="DN19" s="40"/>
      <c r="DO19" s="40"/>
      <c r="DP19" s="40">
        <f t="shared" si="39"/>
        <v>0</v>
      </c>
      <c r="DQ19" s="172" t="str">
        <f t="shared" si="40"/>
        <v/>
      </c>
      <c r="DS19" s="189"/>
      <c r="DT19" s="190"/>
      <c r="DU19" s="190"/>
      <c r="DV19" s="191"/>
      <c r="DW19" s="138"/>
      <c r="DX19" s="42"/>
    </row>
    <row r="20" spans="1:128" ht="13.5" customHeight="1" x14ac:dyDescent="0.4">
      <c r="A20" s="104">
        <v>16</v>
      </c>
      <c r="B20" s="23" t="s">
        <v>91</v>
      </c>
      <c r="C20" s="164"/>
      <c r="D20" s="164"/>
      <c r="E20" s="24"/>
      <c r="F20" s="29"/>
      <c r="G20" s="25" t="str">
        <f>IF(SUM($F$5:F20)=0,"",SUM($F$5:F20))</f>
        <v/>
      </c>
      <c r="H20" s="43" t="str">
        <f t="shared" si="0"/>
        <v/>
      </c>
      <c r="I20" s="148" t="e">
        <f t="array" aca="1" ref="I20" ca="1">IF($A21="",$G20/($V20-$U$5+INDIRECT(IF(_xlfn.SHEET()&lt;6,"令和8年"&amp;_xlfn.SHEET()+7&amp;"月","令和9年"&amp;_xlfn.SHEET()-5&amp;"月")&amp;"!$U$5")),$G20/($V21-$U$5))</f>
        <v>#VALUE!</v>
      </c>
      <c r="J20" s="26" t="str">
        <f t="shared" si="1"/>
        <v/>
      </c>
      <c r="K20" s="27"/>
      <c r="L20" s="165">
        <f t="shared" si="2"/>
        <v>0</v>
      </c>
      <c r="M20" s="28" t="str">
        <f t="shared" si="3"/>
        <v/>
      </c>
      <c r="N20" s="166" t="str">
        <f t="shared" si="4"/>
        <v/>
      </c>
      <c r="O20" s="167" t="str">
        <f t="shared" si="5"/>
        <v/>
      </c>
      <c r="P20" s="168"/>
      <c r="Q20" s="169" t="str">
        <f t="shared" si="6"/>
        <v/>
      </c>
      <c r="R20" s="170">
        <v>15</v>
      </c>
      <c r="S20" s="171">
        <v>3</v>
      </c>
      <c r="T20" s="24" t="s">
        <v>84</v>
      </c>
      <c r="U20" s="29">
        <v>254168</v>
      </c>
      <c r="V20" s="30">
        <f t="shared" si="41"/>
        <v>5408216</v>
      </c>
      <c r="W20" s="27">
        <v>151</v>
      </c>
      <c r="X20" s="31">
        <f t="shared" si="7"/>
        <v>1683.2317880794701</v>
      </c>
      <c r="Y20" s="29">
        <v>827347</v>
      </c>
      <c r="Z20" s="32">
        <f t="shared" si="42"/>
        <v>6706685</v>
      </c>
      <c r="AA20" s="33">
        <f t="shared" si="8"/>
        <v>0.8063918314338604</v>
      </c>
      <c r="AB20" s="158">
        <v>230000</v>
      </c>
      <c r="AC20" s="34">
        <f t="shared" si="43"/>
        <v>5360000</v>
      </c>
      <c r="AD20" s="158"/>
      <c r="AE20" s="25"/>
      <c r="AF20" s="25"/>
      <c r="AG20" s="25"/>
      <c r="AH20" s="25"/>
      <c r="AI20" s="25"/>
      <c r="AJ20" s="25"/>
      <c r="AK20" s="25"/>
      <c r="AL20" s="158"/>
      <c r="AM20" s="25"/>
      <c r="AN20" s="158"/>
      <c r="AO20" s="25"/>
      <c r="AP20" s="25"/>
      <c r="AQ20" s="158"/>
      <c r="AR20" s="35">
        <f t="shared" si="9"/>
        <v>0</v>
      </c>
      <c r="AS20" s="172" t="str">
        <f t="shared" si="10"/>
        <v/>
      </c>
      <c r="AT20" s="36">
        <f t="shared" si="11"/>
        <v>0</v>
      </c>
      <c r="AU20" s="173"/>
      <c r="AV20" s="82">
        <f t="shared" si="12"/>
        <v>16</v>
      </c>
      <c r="AW20" s="37"/>
      <c r="AX20" s="174" t="str">
        <f t="shared" si="13"/>
        <v/>
      </c>
      <c r="AY20" s="37"/>
      <c r="AZ20" s="174" t="str">
        <f t="shared" si="14"/>
        <v/>
      </c>
      <c r="BA20" s="37"/>
      <c r="BB20" s="174" t="str">
        <f t="shared" si="15"/>
        <v/>
      </c>
      <c r="BC20" s="37"/>
      <c r="BD20" s="174" t="str">
        <f t="shared" si="16"/>
        <v/>
      </c>
      <c r="BE20" s="37"/>
      <c r="BF20" s="174" t="str">
        <f t="shared" si="17"/>
        <v/>
      </c>
      <c r="BG20" s="37"/>
      <c r="BH20" s="174" t="str">
        <f t="shared" si="18"/>
        <v/>
      </c>
      <c r="BI20" s="37"/>
      <c r="BJ20" s="174" t="str">
        <f t="shared" si="19"/>
        <v/>
      </c>
      <c r="BK20" s="37"/>
      <c r="BL20" s="174" t="str">
        <f t="shared" si="20"/>
        <v/>
      </c>
      <c r="BM20" s="37"/>
      <c r="BN20" s="174" t="str">
        <f t="shared" si="21"/>
        <v/>
      </c>
      <c r="BO20" s="37"/>
      <c r="BP20" s="174" t="str">
        <f t="shared" si="22"/>
        <v/>
      </c>
      <c r="BQ20" s="37"/>
      <c r="BR20" s="174" t="str">
        <f t="shared" si="23"/>
        <v/>
      </c>
      <c r="BS20" s="37"/>
      <c r="BT20" s="174" t="str">
        <f t="shared" si="24"/>
        <v/>
      </c>
      <c r="BU20" s="37"/>
      <c r="BV20" s="174" t="str">
        <f t="shared" si="25"/>
        <v/>
      </c>
      <c r="BW20" s="37"/>
      <c r="BX20" s="174" t="str">
        <f t="shared" si="26"/>
        <v/>
      </c>
      <c r="BY20" s="37"/>
      <c r="BZ20" s="174" t="str">
        <f t="shared" si="27"/>
        <v/>
      </c>
      <c r="CA20" s="37"/>
      <c r="CB20" s="174" t="str">
        <f t="shared" si="28"/>
        <v/>
      </c>
      <c r="CC20" s="37"/>
      <c r="CD20" s="174" t="str">
        <f t="shared" si="29"/>
        <v/>
      </c>
      <c r="CE20" s="37"/>
      <c r="CF20" s="174" t="str">
        <f t="shared" si="30"/>
        <v/>
      </c>
      <c r="CG20" s="37"/>
      <c r="CH20" s="174" t="str">
        <f t="shared" si="31"/>
        <v/>
      </c>
      <c r="CI20" s="37"/>
      <c r="CJ20" s="174" t="str">
        <f t="shared" si="32"/>
        <v/>
      </c>
      <c r="CK20" s="37"/>
      <c r="CL20" s="174" t="str">
        <f t="shared" si="33"/>
        <v/>
      </c>
      <c r="CM20" s="37"/>
      <c r="CN20" s="174" t="str">
        <f t="shared" si="34"/>
        <v/>
      </c>
      <c r="CO20" s="37"/>
      <c r="CP20" s="174" t="str">
        <f t="shared" si="35"/>
        <v/>
      </c>
      <c r="CQ20" s="37"/>
      <c r="CR20" s="174" t="str">
        <f t="shared" si="36"/>
        <v/>
      </c>
      <c r="CS20" s="37"/>
      <c r="CT20" s="174" t="str">
        <f t="shared" si="37"/>
        <v/>
      </c>
      <c r="CU20" s="38"/>
      <c r="CV20" s="87"/>
      <c r="CW20" s="90"/>
      <c r="CX20" s="38"/>
      <c r="CY20" s="39"/>
      <c r="CZ20" s="37"/>
      <c r="DA20" s="39"/>
      <c r="DB20" s="24">
        <v>16</v>
      </c>
      <c r="DC20" s="96" t="str">
        <f t="shared" si="38"/>
        <v>火</v>
      </c>
      <c r="DF20" s="125"/>
      <c r="DG20" s="40"/>
      <c r="DH20" s="40"/>
      <c r="DI20" s="40"/>
      <c r="DJ20" s="40"/>
      <c r="DK20" s="40"/>
      <c r="DL20" s="40"/>
      <c r="DM20" s="40"/>
      <c r="DN20" s="40"/>
      <c r="DO20" s="40"/>
      <c r="DP20" s="40">
        <f t="shared" si="39"/>
        <v>0</v>
      </c>
      <c r="DQ20" s="172" t="str">
        <f t="shared" si="40"/>
        <v/>
      </c>
      <c r="DS20" s="189"/>
      <c r="DT20" s="190"/>
      <c r="DU20" s="190"/>
      <c r="DV20" s="191"/>
      <c r="DW20" s="41"/>
      <c r="DX20" s="42"/>
    </row>
    <row r="21" spans="1:128" ht="13.5" customHeight="1" x14ac:dyDescent="0.4">
      <c r="A21" s="104">
        <v>17</v>
      </c>
      <c r="B21" s="23" t="s">
        <v>83</v>
      </c>
      <c r="C21" s="164"/>
      <c r="D21" s="164"/>
      <c r="E21" s="24"/>
      <c r="F21" s="29"/>
      <c r="G21" s="25" t="str">
        <f>IF(SUM($F$5:F21)=0,"",SUM($F$5:F21))</f>
        <v/>
      </c>
      <c r="H21" s="43" t="str">
        <f t="shared" si="0"/>
        <v/>
      </c>
      <c r="I21" s="148" t="e">
        <f t="array" aca="1" ref="I21" ca="1">IF($A22="",$G21/($V21-$U$5+INDIRECT(IF(_xlfn.SHEET()&lt;6,"令和8年"&amp;_xlfn.SHEET()+7&amp;"月","令和9年"&amp;_xlfn.SHEET()-5&amp;"月")&amp;"!$U$5")),$G21/($V22-$U$5))</f>
        <v>#VALUE!</v>
      </c>
      <c r="J21" s="26" t="str">
        <f t="shared" si="1"/>
        <v/>
      </c>
      <c r="K21" s="27"/>
      <c r="L21" s="165">
        <f t="shared" si="2"/>
        <v>0</v>
      </c>
      <c r="M21" s="28" t="str">
        <f t="shared" si="3"/>
        <v/>
      </c>
      <c r="N21" s="166" t="str">
        <f t="shared" si="4"/>
        <v/>
      </c>
      <c r="O21" s="167" t="str">
        <f t="shared" si="5"/>
        <v/>
      </c>
      <c r="P21" s="168"/>
      <c r="Q21" s="169" t="str">
        <f t="shared" si="6"/>
        <v/>
      </c>
      <c r="R21" s="170">
        <v>16</v>
      </c>
      <c r="S21" s="171">
        <v>3</v>
      </c>
      <c r="T21" s="24" t="s">
        <v>84</v>
      </c>
      <c r="U21" s="29">
        <v>236743</v>
      </c>
      <c r="V21" s="30">
        <f t="shared" si="41"/>
        <v>5644959</v>
      </c>
      <c r="W21" s="27">
        <v>142</v>
      </c>
      <c r="X21" s="31">
        <f t="shared" si="7"/>
        <v>1667.2042253521126</v>
      </c>
      <c r="Y21" s="29">
        <v>238782</v>
      </c>
      <c r="Z21" s="32">
        <f t="shared" si="42"/>
        <v>6945467</v>
      </c>
      <c r="AA21" s="33">
        <f t="shared" si="8"/>
        <v>0.81275441953723193</v>
      </c>
      <c r="AB21" s="158">
        <v>230000</v>
      </c>
      <c r="AC21" s="34">
        <f t="shared" si="43"/>
        <v>5590000</v>
      </c>
      <c r="AD21" s="158"/>
      <c r="AE21" s="25"/>
      <c r="AF21" s="25"/>
      <c r="AG21" s="25"/>
      <c r="AH21" s="25"/>
      <c r="AI21" s="25"/>
      <c r="AJ21" s="25"/>
      <c r="AK21" s="25"/>
      <c r="AL21" s="158"/>
      <c r="AM21" s="25"/>
      <c r="AN21" s="158"/>
      <c r="AO21" s="25"/>
      <c r="AP21" s="25"/>
      <c r="AQ21" s="158"/>
      <c r="AR21" s="35">
        <f t="shared" si="9"/>
        <v>0</v>
      </c>
      <c r="AS21" s="172" t="str">
        <f t="shared" si="10"/>
        <v/>
      </c>
      <c r="AT21" s="36">
        <f t="shared" si="11"/>
        <v>0</v>
      </c>
      <c r="AU21" s="173"/>
      <c r="AV21" s="82">
        <f t="shared" si="12"/>
        <v>17</v>
      </c>
      <c r="AW21" s="37"/>
      <c r="AX21" s="174" t="str">
        <f t="shared" si="13"/>
        <v/>
      </c>
      <c r="AY21" s="37"/>
      <c r="AZ21" s="174" t="str">
        <f t="shared" si="14"/>
        <v/>
      </c>
      <c r="BA21" s="37"/>
      <c r="BB21" s="174" t="str">
        <f t="shared" si="15"/>
        <v/>
      </c>
      <c r="BC21" s="37"/>
      <c r="BD21" s="174" t="str">
        <f t="shared" si="16"/>
        <v/>
      </c>
      <c r="BE21" s="37"/>
      <c r="BF21" s="174" t="str">
        <f t="shared" si="17"/>
        <v/>
      </c>
      <c r="BG21" s="37"/>
      <c r="BH21" s="174" t="str">
        <f t="shared" si="18"/>
        <v/>
      </c>
      <c r="BI21" s="37"/>
      <c r="BJ21" s="174" t="str">
        <f t="shared" si="19"/>
        <v/>
      </c>
      <c r="BK21" s="37"/>
      <c r="BL21" s="174" t="str">
        <f t="shared" si="20"/>
        <v/>
      </c>
      <c r="BM21" s="37"/>
      <c r="BN21" s="174" t="str">
        <f t="shared" si="21"/>
        <v/>
      </c>
      <c r="BO21" s="37"/>
      <c r="BP21" s="174" t="str">
        <f t="shared" si="22"/>
        <v/>
      </c>
      <c r="BQ21" s="37"/>
      <c r="BR21" s="174" t="str">
        <f t="shared" si="23"/>
        <v/>
      </c>
      <c r="BS21" s="37"/>
      <c r="BT21" s="174" t="str">
        <f t="shared" si="24"/>
        <v/>
      </c>
      <c r="BU21" s="37"/>
      <c r="BV21" s="174" t="str">
        <f t="shared" si="25"/>
        <v/>
      </c>
      <c r="BW21" s="37"/>
      <c r="BX21" s="174" t="str">
        <f t="shared" si="26"/>
        <v/>
      </c>
      <c r="BY21" s="37"/>
      <c r="BZ21" s="174" t="str">
        <f t="shared" si="27"/>
        <v/>
      </c>
      <c r="CA21" s="37"/>
      <c r="CB21" s="174" t="str">
        <f t="shared" si="28"/>
        <v/>
      </c>
      <c r="CC21" s="37"/>
      <c r="CD21" s="174" t="str">
        <f t="shared" si="29"/>
        <v/>
      </c>
      <c r="CE21" s="37"/>
      <c r="CF21" s="174" t="str">
        <f t="shared" si="30"/>
        <v/>
      </c>
      <c r="CG21" s="37"/>
      <c r="CH21" s="174" t="str">
        <f t="shared" si="31"/>
        <v/>
      </c>
      <c r="CI21" s="37"/>
      <c r="CJ21" s="174" t="str">
        <f t="shared" si="32"/>
        <v/>
      </c>
      <c r="CK21" s="37"/>
      <c r="CL21" s="174" t="str">
        <f t="shared" si="33"/>
        <v/>
      </c>
      <c r="CM21" s="37"/>
      <c r="CN21" s="174" t="str">
        <f t="shared" si="34"/>
        <v/>
      </c>
      <c r="CO21" s="37"/>
      <c r="CP21" s="174" t="str">
        <f t="shared" si="35"/>
        <v/>
      </c>
      <c r="CQ21" s="37"/>
      <c r="CR21" s="174" t="str">
        <f t="shared" si="36"/>
        <v/>
      </c>
      <c r="CS21" s="37"/>
      <c r="CT21" s="174" t="str">
        <f t="shared" si="37"/>
        <v/>
      </c>
      <c r="CU21" s="38"/>
      <c r="CV21" s="87"/>
      <c r="CW21" s="90"/>
      <c r="CX21" s="38"/>
      <c r="CY21" s="39"/>
      <c r="CZ21" s="37"/>
      <c r="DA21" s="39"/>
      <c r="DB21" s="24">
        <v>17</v>
      </c>
      <c r="DC21" s="96" t="str">
        <f t="shared" si="38"/>
        <v>水</v>
      </c>
      <c r="DF21" s="125"/>
      <c r="DG21" s="40"/>
      <c r="DH21" s="40"/>
      <c r="DI21" s="40"/>
      <c r="DJ21" s="40"/>
      <c r="DK21" s="40"/>
      <c r="DL21" s="40"/>
      <c r="DM21" s="40"/>
      <c r="DN21" s="40"/>
      <c r="DO21" s="40"/>
      <c r="DP21" s="40">
        <f t="shared" si="39"/>
        <v>0</v>
      </c>
      <c r="DQ21" s="172" t="str">
        <f t="shared" si="40"/>
        <v/>
      </c>
      <c r="DS21" s="189"/>
      <c r="DT21" s="190"/>
      <c r="DU21" s="190"/>
      <c r="DV21" s="191"/>
      <c r="DW21" s="41"/>
      <c r="DX21" s="42"/>
    </row>
    <row r="22" spans="1:128" ht="13.5" customHeight="1" x14ac:dyDescent="0.4">
      <c r="A22" s="104">
        <v>18</v>
      </c>
      <c r="B22" s="23" t="s">
        <v>85</v>
      </c>
      <c r="C22" s="164"/>
      <c r="D22" s="164"/>
      <c r="E22" s="24"/>
      <c r="F22" s="29"/>
      <c r="G22" s="25" t="str">
        <f>IF(SUM($F$5:F22)=0,"",SUM($F$5:F22))</f>
        <v/>
      </c>
      <c r="H22" s="43" t="str">
        <f t="shared" si="0"/>
        <v/>
      </c>
      <c r="I22" s="148" t="e">
        <f t="array" aca="1" ref="I22" ca="1">IF($A23="",$G22/($V22-$U$5+INDIRECT(IF(_xlfn.SHEET()&lt;6,"令和8年"&amp;_xlfn.SHEET()+7&amp;"月","令和9年"&amp;_xlfn.SHEET()-5&amp;"月")&amp;"!$U$5")),$G22/($V23-$U$5))</f>
        <v>#VALUE!</v>
      </c>
      <c r="J22" s="26" t="str">
        <f t="shared" si="1"/>
        <v/>
      </c>
      <c r="K22" s="27"/>
      <c r="L22" s="165">
        <f t="shared" si="2"/>
        <v>0</v>
      </c>
      <c r="M22" s="28" t="str">
        <f t="shared" si="3"/>
        <v/>
      </c>
      <c r="N22" s="166" t="str">
        <f t="shared" si="4"/>
        <v/>
      </c>
      <c r="O22" s="167" t="str">
        <f t="shared" si="5"/>
        <v/>
      </c>
      <c r="P22" s="168"/>
      <c r="Q22" s="169" t="str">
        <f t="shared" si="6"/>
        <v/>
      </c>
      <c r="R22" s="170">
        <v>16</v>
      </c>
      <c r="S22" s="171">
        <v>8</v>
      </c>
      <c r="T22" s="24" t="s">
        <v>93</v>
      </c>
      <c r="U22" s="29">
        <v>194850</v>
      </c>
      <c r="V22" s="30">
        <f t="shared" si="41"/>
        <v>5839809</v>
      </c>
      <c r="W22" s="27">
        <v>150</v>
      </c>
      <c r="X22" s="31">
        <f t="shared" si="7"/>
        <v>1299</v>
      </c>
      <c r="Y22" s="29">
        <v>256701</v>
      </c>
      <c r="Z22" s="32">
        <f t="shared" si="42"/>
        <v>7202168</v>
      </c>
      <c r="AA22" s="33">
        <f t="shared" si="8"/>
        <v>0.81084043027044084</v>
      </c>
      <c r="AB22" s="158">
        <v>230000</v>
      </c>
      <c r="AC22" s="34">
        <f t="shared" si="43"/>
        <v>5820000</v>
      </c>
      <c r="AD22" s="158"/>
      <c r="AE22" s="25"/>
      <c r="AF22" s="25"/>
      <c r="AG22" s="25"/>
      <c r="AH22" s="25"/>
      <c r="AI22" s="25"/>
      <c r="AJ22" s="25"/>
      <c r="AK22" s="25"/>
      <c r="AL22" s="158"/>
      <c r="AM22" s="25"/>
      <c r="AN22" s="158"/>
      <c r="AO22" s="25"/>
      <c r="AP22" s="25"/>
      <c r="AQ22" s="158"/>
      <c r="AR22" s="35">
        <f t="shared" si="9"/>
        <v>0</v>
      </c>
      <c r="AS22" s="172" t="str">
        <f t="shared" si="10"/>
        <v/>
      </c>
      <c r="AT22" s="36">
        <f t="shared" si="11"/>
        <v>0</v>
      </c>
      <c r="AU22" s="173"/>
      <c r="AV22" s="82">
        <f t="shared" si="12"/>
        <v>18</v>
      </c>
      <c r="AW22" s="37"/>
      <c r="AX22" s="174" t="str">
        <f t="shared" si="13"/>
        <v/>
      </c>
      <c r="AY22" s="37"/>
      <c r="AZ22" s="174" t="str">
        <f t="shared" si="14"/>
        <v/>
      </c>
      <c r="BA22" s="37"/>
      <c r="BB22" s="174" t="str">
        <f t="shared" si="15"/>
        <v/>
      </c>
      <c r="BC22" s="37"/>
      <c r="BD22" s="174" t="str">
        <f t="shared" si="16"/>
        <v/>
      </c>
      <c r="BE22" s="37"/>
      <c r="BF22" s="174" t="str">
        <f t="shared" si="17"/>
        <v/>
      </c>
      <c r="BG22" s="37"/>
      <c r="BH22" s="174" t="str">
        <f t="shared" si="18"/>
        <v/>
      </c>
      <c r="BI22" s="37"/>
      <c r="BJ22" s="174" t="str">
        <f t="shared" si="19"/>
        <v/>
      </c>
      <c r="BK22" s="37"/>
      <c r="BL22" s="174" t="str">
        <f t="shared" si="20"/>
        <v/>
      </c>
      <c r="BM22" s="37"/>
      <c r="BN22" s="174" t="str">
        <f t="shared" si="21"/>
        <v/>
      </c>
      <c r="BO22" s="37"/>
      <c r="BP22" s="174" t="str">
        <f t="shared" si="22"/>
        <v/>
      </c>
      <c r="BQ22" s="37"/>
      <c r="BR22" s="174" t="str">
        <f t="shared" si="23"/>
        <v/>
      </c>
      <c r="BS22" s="37"/>
      <c r="BT22" s="174" t="str">
        <f t="shared" si="24"/>
        <v/>
      </c>
      <c r="BU22" s="37"/>
      <c r="BV22" s="174" t="str">
        <f t="shared" si="25"/>
        <v/>
      </c>
      <c r="BW22" s="37"/>
      <c r="BX22" s="174" t="str">
        <f t="shared" si="26"/>
        <v/>
      </c>
      <c r="BY22" s="37"/>
      <c r="BZ22" s="174" t="str">
        <f t="shared" si="27"/>
        <v/>
      </c>
      <c r="CA22" s="37"/>
      <c r="CB22" s="174" t="str">
        <f t="shared" si="28"/>
        <v/>
      </c>
      <c r="CC22" s="37"/>
      <c r="CD22" s="174" t="str">
        <f t="shared" si="29"/>
        <v/>
      </c>
      <c r="CE22" s="37"/>
      <c r="CF22" s="174" t="str">
        <f t="shared" si="30"/>
        <v/>
      </c>
      <c r="CG22" s="37"/>
      <c r="CH22" s="174" t="str">
        <f t="shared" si="31"/>
        <v/>
      </c>
      <c r="CI22" s="37"/>
      <c r="CJ22" s="174" t="str">
        <f t="shared" si="32"/>
        <v/>
      </c>
      <c r="CK22" s="37"/>
      <c r="CL22" s="174" t="str">
        <f t="shared" si="33"/>
        <v/>
      </c>
      <c r="CM22" s="37"/>
      <c r="CN22" s="174" t="str">
        <f t="shared" si="34"/>
        <v/>
      </c>
      <c r="CO22" s="37"/>
      <c r="CP22" s="174" t="str">
        <f t="shared" si="35"/>
        <v/>
      </c>
      <c r="CQ22" s="37"/>
      <c r="CR22" s="174" t="str">
        <f t="shared" si="36"/>
        <v/>
      </c>
      <c r="CS22" s="37"/>
      <c r="CT22" s="174" t="str">
        <f t="shared" si="37"/>
        <v/>
      </c>
      <c r="CU22" s="38"/>
      <c r="CV22" s="87"/>
      <c r="CW22" s="90"/>
      <c r="CX22" s="38"/>
      <c r="CY22" s="39"/>
      <c r="CZ22" s="37"/>
      <c r="DA22" s="39"/>
      <c r="DB22" s="24">
        <v>18</v>
      </c>
      <c r="DC22" s="96" t="str">
        <f t="shared" si="38"/>
        <v>木</v>
      </c>
      <c r="DF22" s="125"/>
      <c r="DG22" s="40"/>
      <c r="DH22" s="40"/>
      <c r="DI22" s="40"/>
      <c r="DJ22" s="40"/>
      <c r="DK22" s="40"/>
      <c r="DL22" s="40"/>
      <c r="DM22" s="40"/>
      <c r="DN22" s="40"/>
      <c r="DO22" s="40"/>
      <c r="DP22" s="40">
        <f t="shared" si="39"/>
        <v>0</v>
      </c>
      <c r="DQ22" s="172" t="str">
        <f t="shared" si="40"/>
        <v/>
      </c>
      <c r="DS22" s="189"/>
      <c r="DT22" s="190"/>
      <c r="DU22" s="190"/>
      <c r="DV22" s="191"/>
      <c r="DW22" s="138"/>
      <c r="DX22" s="42"/>
    </row>
    <row r="23" spans="1:128" ht="13.5" customHeight="1" x14ac:dyDescent="0.4">
      <c r="A23" s="104">
        <v>19</v>
      </c>
      <c r="B23" s="23" t="s">
        <v>86</v>
      </c>
      <c r="C23" s="164"/>
      <c r="D23" s="164"/>
      <c r="E23" s="24"/>
      <c r="F23" s="29"/>
      <c r="G23" s="25" t="str">
        <f>IF(SUM($F$5:F23)=0,"",SUM($F$5:F23))</f>
        <v/>
      </c>
      <c r="H23" s="43" t="str">
        <f t="shared" si="0"/>
        <v/>
      </c>
      <c r="I23" s="148" t="e">
        <f t="array" aca="1" ref="I23" ca="1">IF($A24="",$G23/($V23-$U$5+INDIRECT(IF(_xlfn.SHEET()&lt;6,"令和8年"&amp;_xlfn.SHEET()+7&amp;"月","令和9年"&amp;_xlfn.SHEET()-5&amp;"月")&amp;"!$U$5")),$G23/($V24-$U$5))</f>
        <v>#VALUE!</v>
      </c>
      <c r="J23" s="26" t="str">
        <f t="shared" si="1"/>
        <v/>
      </c>
      <c r="K23" s="27"/>
      <c r="L23" s="165">
        <f t="shared" si="2"/>
        <v>0</v>
      </c>
      <c r="M23" s="28" t="str">
        <f t="shared" si="3"/>
        <v/>
      </c>
      <c r="N23" s="166" t="str">
        <f t="shared" si="4"/>
        <v/>
      </c>
      <c r="O23" s="167" t="str">
        <f t="shared" si="5"/>
        <v/>
      </c>
      <c r="P23" s="168"/>
      <c r="Q23" s="169" t="str">
        <f t="shared" si="6"/>
        <v/>
      </c>
      <c r="R23" s="170">
        <v>17</v>
      </c>
      <c r="S23" s="171">
        <v>7</v>
      </c>
      <c r="T23" s="24" t="s">
        <v>114</v>
      </c>
      <c r="U23" s="29">
        <v>344272</v>
      </c>
      <c r="V23" s="30">
        <f t="shared" si="41"/>
        <v>6184081</v>
      </c>
      <c r="W23" s="27">
        <v>166</v>
      </c>
      <c r="X23" s="31">
        <f t="shared" si="7"/>
        <v>2073.9277108433735</v>
      </c>
      <c r="Y23" s="29">
        <v>223495</v>
      </c>
      <c r="Z23" s="32">
        <f t="shared" si="42"/>
        <v>7425663</v>
      </c>
      <c r="AA23" s="33">
        <f t="shared" si="8"/>
        <v>0.83279849893538127</v>
      </c>
      <c r="AB23" s="158">
        <v>230000</v>
      </c>
      <c r="AC23" s="34">
        <f t="shared" si="43"/>
        <v>6050000</v>
      </c>
      <c r="AD23" s="158"/>
      <c r="AE23" s="25"/>
      <c r="AF23" s="25"/>
      <c r="AG23" s="25"/>
      <c r="AH23" s="25"/>
      <c r="AI23" s="25"/>
      <c r="AJ23" s="25"/>
      <c r="AK23" s="25"/>
      <c r="AL23" s="158"/>
      <c r="AM23" s="25"/>
      <c r="AN23" s="158"/>
      <c r="AO23" s="25"/>
      <c r="AP23" s="25"/>
      <c r="AQ23" s="158"/>
      <c r="AR23" s="35">
        <f t="shared" si="9"/>
        <v>0</v>
      </c>
      <c r="AS23" s="172" t="str">
        <f t="shared" si="10"/>
        <v/>
      </c>
      <c r="AT23" s="36">
        <f t="shared" si="11"/>
        <v>0</v>
      </c>
      <c r="AU23" s="173"/>
      <c r="AV23" s="82">
        <f t="shared" si="12"/>
        <v>19</v>
      </c>
      <c r="AW23" s="37"/>
      <c r="AX23" s="174" t="str">
        <f t="shared" si="13"/>
        <v/>
      </c>
      <c r="AY23" s="37"/>
      <c r="AZ23" s="174" t="str">
        <f t="shared" si="14"/>
        <v/>
      </c>
      <c r="BA23" s="37"/>
      <c r="BB23" s="174" t="str">
        <f t="shared" si="15"/>
        <v/>
      </c>
      <c r="BC23" s="37"/>
      <c r="BD23" s="174" t="str">
        <f t="shared" si="16"/>
        <v/>
      </c>
      <c r="BE23" s="37"/>
      <c r="BF23" s="174" t="str">
        <f t="shared" si="17"/>
        <v/>
      </c>
      <c r="BG23" s="37"/>
      <c r="BH23" s="174" t="str">
        <f t="shared" si="18"/>
        <v/>
      </c>
      <c r="BI23" s="37"/>
      <c r="BJ23" s="174" t="str">
        <f t="shared" si="19"/>
        <v/>
      </c>
      <c r="BK23" s="37"/>
      <c r="BL23" s="174" t="str">
        <f t="shared" si="20"/>
        <v/>
      </c>
      <c r="BM23" s="37"/>
      <c r="BN23" s="174" t="str">
        <f t="shared" si="21"/>
        <v/>
      </c>
      <c r="BO23" s="37"/>
      <c r="BP23" s="174" t="str">
        <f t="shared" si="22"/>
        <v/>
      </c>
      <c r="BQ23" s="37"/>
      <c r="BR23" s="174" t="str">
        <f t="shared" si="23"/>
        <v/>
      </c>
      <c r="BS23" s="37"/>
      <c r="BT23" s="174" t="str">
        <f t="shared" si="24"/>
        <v/>
      </c>
      <c r="BU23" s="37"/>
      <c r="BV23" s="174" t="str">
        <f t="shared" si="25"/>
        <v/>
      </c>
      <c r="BW23" s="37"/>
      <c r="BX23" s="174" t="str">
        <f t="shared" si="26"/>
        <v/>
      </c>
      <c r="BY23" s="37"/>
      <c r="BZ23" s="174" t="str">
        <f t="shared" si="27"/>
        <v/>
      </c>
      <c r="CA23" s="37"/>
      <c r="CB23" s="174" t="str">
        <f t="shared" si="28"/>
        <v/>
      </c>
      <c r="CC23" s="37"/>
      <c r="CD23" s="174" t="str">
        <f t="shared" si="29"/>
        <v/>
      </c>
      <c r="CE23" s="37"/>
      <c r="CF23" s="174" t="str">
        <f t="shared" si="30"/>
        <v/>
      </c>
      <c r="CG23" s="37"/>
      <c r="CH23" s="174" t="str">
        <f t="shared" si="31"/>
        <v/>
      </c>
      <c r="CI23" s="37"/>
      <c r="CJ23" s="174" t="str">
        <f t="shared" si="32"/>
        <v/>
      </c>
      <c r="CK23" s="37"/>
      <c r="CL23" s="174" t="str">
        <f t="shared" si="33"/>
        <v/>
      </c>
      <c r="CM23" s="37"/>
      <c r="CN23" s="174" t="str">
        <f t="shared" si="34"/>
        <v/>
      </c>
      <c r="CO23" s="37"/>
      <c r="CP23" s="174" t="str">
        <f t="shared" si="35"/>
        <v/>
      </c>
      <c r="CQ23" s="37"/>
      <c r="CR23" s="174" t="str">
        <f t="shared" si="36"/>
        <v/>
      </c>
      <c r="CS23" s="37"/>
      <c r="CT23" s="174" t="str">
        <f t="shared" si="37"/>
        <v/>
      </c>
      <c r="CU23" s="38"/>
      <c r="CV23" s="87"/>
      <c r="CW23" s="90"/>
      <c r="CX23" s="38"/>
      <c r="CY23" s="39"/>
      <c r="CZ23" s="37"/>
      <c r="DA23" s="39"/>
      <c r="DB23" s="24">
        <v>19</v>
      </c>
      <c r="DC23" s="96" t="str">
        <f t="shared" si="38"/>
        <v>金</v>
      </c>
      <c r="DF23" s="125"/>
      <c r="DG23" s="40"/>
      <c r="DH23" s="40"/>
      <c r="DI23" s="40"/>
      <c r="DJ23" s="40"/>
      <c r="DK23" s="40"/>
      <c r="DL23" s="40"/>
      <c r="DM23" s="40"/>
      <c r="DN23" s="40"/>
      <c r="DO23" s="40"/>
      <c r="DP23" s="40">
        <f t="shared" si="39"/>
        <v>0</v>
      </c>
      <c r="DQ23" s="172" t="str">
        <f t="shared" si="40"/>
        <v/>
      </c>
      <c r="DS23" s="189"/>
      <c r="DT23" s="190"/>
      <c r="DU23" s="190"/>
      <c r="DV23" s="191"/>
      <c r="DW23" s="41"/>
      <c r="DX23" s="42"/>
    </row>
    <row r="24" spans="1:128" ht="13.5" customHeight="1" x14ac:dyDescent="0.4">
      <c r="A24" s="104">
        <v>20</v>
      </c>
      <c r="B24" s="23" t="s">
        <v>88</v>
      </c>
      <c r="C24" s="164"/>
      <c r="D24" s="164"/>
      <c r="E24" s="24"/>
      <c r="F24" s="29"/>
      <c r="G24" s="25" t="str">
        <f>IF(SUM($F$5:F24)=0,"",SUM($F$5:F24))</f>
        <v/>
      </c>
      <c r="H24" s="43" t="str">
        <f t="shared" si="0"/>
        <v/>
      </c>
      <c r="I24" s="148" t="e">
        <f t="array" aca="1" ref="I24" ca="1">IF($A25="",$G24/($V24-$U$5+INDIRECT(IF(_xlfn.SHEET()&lt;6,"令和8年"&amp;_xlfn.SHEET()+7&amp;"月","令和9年"&amp;_xlfn.SHEET()-5&amp;"月")&amp;"!$U$5")),$G24/($V25-$U$5))</f>
        <v>#VALUE!</v>
      </c>
      <c r="J24" s="26" t="str">
        <f t="shared" si="1"/>
        <v/>
      </c>
      <c r="K24" s="27"/>
      <c r="L24" s="165">
        <f t="shared" si="2"/>
        <v>0</v>
      </c>
      <c r="M24" s="28" t="str">
        <f t="shared" si="3"/>
        <v/>
      </c>
      <c r="N24" s="166" t="str">
        <f t="shared" si="4"/>
        <v/>
      </c>
      <c r="O24" s="167" t="str">
        <f t="shared" si="5"/>
        <v/>
      </c>
      <c r="P24" s="168"/>
      <c r="Q24" s="169" t="str">
        <f t="shared" si="6"/>
        <v/>
      </c>
      <c r="R24" s="170">
        <v>15</v>
      </c>
      <c r="S24" s="171">
        <v>3</v>
      </c>
      <c r="T24" s="24" t="s">
        <v>131</v>
      </c>
      <c r="U24" s="29">
        <v>537521</v>
      </c>
      <c r="V24" s="30">
        <f t="shared" si="41"/>
        <v>6721602</v>
      </c>
      <c r="W24" s="27">
        <v>339</v>
      </c>
      <c r="X24" s="31">
        <f t="shared" si="7"/>
        <v>1585.6076696165192</v>
      </c>
      <c r="Y24" s="29">
        <v>677737</v>
      </c>
      <c r="Z24" s="32">
        <f t="shared" si="42"/>
        <v>8103400</v>
      </c>
      <c r="AA24" s="33">
        <f t="shared" si="8"/>
        <v>0.82947923094009923</v>
      </c>
      <c r="AB24" s="158">
        <v>650000</v>
      </c>
      <c r="AC24" s="34">
        <f t="shared" si="43"/>
        <v>6700000</v>
      </c>
      <c r="AD24" s="158"/>
      <c r="AE24" s="25"/>
      <c r="AF24" s="25"/>
      <c r="AG24" s="25"/>
      <c r="AH24" s="25"/>
      <c r="AI24" s="25"/>
      <c r="AJ24" s="25"/>
      <c r="AK24" s="25"/>
      <c r="AL24" s="158"/>
      <c r="AM24" s="25"/>
      <c r="AN24" s="158"/>
      <c r="AO24" s="25"/>
      <c r="AP24" s="25"/>
      <c r="AQ24" s="158"/>
      <c r="AR24" s="35">
        <f t="shared" si="9"/>
        <v>0</v>
      </c>
      <c r="AS24" s="172" t="str">
        <f t="shared" si="10"/>
        <v/>
      </c>
      <c r="AT24" s="36">
        <f t="shared" si="11"/>
        <v>0</v>
      </c>
      <c r="AU24" s="173"/>
      <c r="AV24" s="82">
        <f t="shared" si="12"/>
        <v>20</v>
      </c>
      <c r="AW24" s="37"/>
      <c r="AX24" s="174" t="str">
        <f t="shared" si="13"/>
        <v/>
      </c>
      <c r="AY24" s="37"/>
      <c r="AZ24" s="174" t="str">
        <f t="shared" si="14"/>
        <v/>
      </c>
      <c r="BA24" s="37"/>
      <c r="BB24" s="174" t="str">
        <f t="shared" si="15"/>
        <v/>
      </c>
      <c r="BC24" s="37"/>
      <c r="BD24" s="174" t="str">
        <f t="shared" si="16"/>
        <v/>
      </c>
      <c r="BE24" s="37"/>
      <c r="BF24" s="174" t="str">
        <f t="shared" si="17"/>
        <v/>
      </c>
      <c r="BG24" s="37"/>
      <c r="BH24" s="174" t="str">
        <f t="shared" si="18"/>
        <v/>
      </c>
      <c r="BI24" s="37"/>
      <c r="BJ24" s="174" t="str">
        <f t="shared" si="19"/>
        <v/>
      </c>
      <c r="BK24" s="37"/>
      <c r="BL24" s="174" t="str">
        <f t="shared" si="20"/>
        <v/>
      </c>
      <c r="BM24" s="37"/>
      <c r="BN24" s="174" t="str">
        <f t="shared" si="21"/>
        <v/>
      </c>
      <c r="BO24" s="37"/>
      <c r="BP24" s="174" t="str">
        <f t="shared" si="22"/>
        <v/>
      </c>
      <c r="BQ24" s="37"/>
      <c r="BR24" s="174" t="str">
        <f t="shared" si="23"/>
        <v/>
      </c>
      <c r="BS24" s="37"/>
      <c r="BT24" s="174" t="str">
        <f t="shared" si="24"/>
        <v/>
      </c>
      <c r="BU24" s="37"/>
      <c r="BV24" s="174" t="str">
        <f t="shared" si="25"/>
        <v/>
      </c>
      <c r="BW24" s="37"/>
      <c r="BX24" s="174" t="str">
        <f t="shared" si="26"/>
        <v/>
      </c>
      <c r="BY24" s="37"/>
      <c r="BZ24" s="174" t="str">
        <f t="shared" si="27"/>
        <v/>
      </c>
      <c r="CA24" s="37"/>
      <c r="CB24" s="174" t="str">
        <f t="shared" si="28"/>
        <v/>
      </c>
      <c r="CC24" s="37"/>
      <c r="CD24" s="174" t="str">
        <f t="shared" si="29"/>
        <v/>
      </c>
      <c r="CE24" s="37"/>
      <c r="CF24" s="174" t="str">
        <f t="shared" si="30"/>
        <v/>
      </c>
      <c r="CG24" s="37"/>
      <c r="CH24" s="174" t="str">
        <f t="shared" si="31"/>
        <v/>
      </c>
      <c r="CI24" s="37"/>
      <c r="CJ24" s="174" t="str">
        <f t="shared" si="32"/>
        <v/>
      </c>
      <c r="CK24" s="37"/>
      <c r="CL24" s="174" t="str">
        <f t="shared" si="33"/>
        <v/>
      </c>
      <c r="CM24" s="37"/>
      <c r="CN24" s="174" t="str">
        <f t="shared" si="34"/>
        <v/>
      </c>
      <c r="CO24" s="37"/>
      <c r="CP24" s="174" t="str">
        <f t="shared" si="35"/>
        <v/>
      </c>
      <c r="CQ24" s="37"/>
      <c r="CR24" s="174" t="str">
        <f t="shared" si="36"/>
        <v/>
      </c>
      <c r="CS24" s="37"/>
      <c r="CT24" s="174" t="str">
        <f t="shared" si="37"/>
        <v/>
      </c>
      <c r="CU24" s="38"/>
      <c r="CV24" s="87"/>
      <c r="CW24" s="90"/>
      <c r="CX24" s="38"/>
      <c r="CY24" s="39"/>
      <c r="CZ24" s="37"/>
      <c r="DA24" s="39"/>
      <c r="DB24" s="24">
        <v>20</v>
      </c>
      <c r="DC24" s="96" t="str">
        <f t="shared" si="38"/>
        <v>土</v>
      </c>
      <c r="DF24" s="125"/>
      <c r="DG24" s="40"/>
      <c r="DH24" s="40"/>
      <c r="DI24" s="40"/>
      <c r="DJ24" s="40"/>
      <c r="DK24" s="40"/>
      <c r="DL24" s="40"/>
      <c r="DM24" s="40"/>
      <c r="DN24" s="40"/>
      <c r="DO24" s="40"/>
      <c r="DP24" s="40">
        <f t="shared" si="39"/>
        <v>0</v>
      </c>
      <c r="DQ24" s="172" t="str">
        <f t="shared" si="40"/>
        <v/>
      </c>
      <c r="DS24" s="189"/>
      <c r="DT24" s="190"/>
      <c r="DU24" s="190"/>
      <c r="DV24" s="191"/>
      <c r="DW24" s="41"/>
      <c r="DX24" s="42"/>
    </row>
    <row r="25" spans="1:128" ht="13.5" customHeight="1" x14ac:dyDescent="0.4">
      <c r="A25" s="104">
        <v>21</v>
      </c>
      <c r="B25" s="23" t="s">
        <v>89</v>
      </c>
      <c r="C25" s="164"/>
      <c r="D25" s="164"/>
      <c r="E25" s="24"/>
      <c r="F25" s="29"/>
      <c r="G25" s="25" t="str">
        <f>IF(SUM($F$5:F25)=0,"",SUM($F$5:F25))</f>
        <v/>
      </c>
      <c r="H25" s="43" t="str">
        <f t="shared" si="0"/>
        <v/>
      </c>
      <c r="I25" s="148" t="e">
        <f t="array" aca="1" ref="I25" ca="1">IF($A26="",$G25/($V25-$U$5+INDIRECT(IF(_xlfn.SHEET()&lt;6,"令和8年"&amp;_xlfn.SHEET()+7&amp;"月","令和9年"&amp;_xlfn.SHEET()-5&amp;"月")&amp;"!$U$5")),$G25/($V26-$U$5))</f>
        <v>#VALUE!</v>
      </c>
      <c r="J25" s="26" t="str">
        <f t="shared" si="1"/>
        <v/>
      </c>
      <c r="K25" s="27"/>
      <c r="L25" s="165">
        <f t="shared" si="2"/>
        <v>0</v>
      </c>
      <c r="M25" s="28" t="str">
        <f t="shared" si="3"/>
        <v/>
      </c>
      <c r="N25" s="166" t="str">
        <f t="shared" si="4"/>
        <v/>
      </c>
      <c r="O25" s="167" t="str">
        <f t="shared" si="5"/>
        <v/>
      </c>
      <c r="P25" s="168"/>
      <c r="Q25" s="169" t="str">
        <f t="shared" si="6"/>
        <v/>
      </c>
      <c r="R25" s="170">
        <v>19</v>
      </c>
      <c r="S25" s="171">
        <v>10</v>
      </c>
      <c r="T25" s="24" t="s">
        <v>132</v>
      </c>
      <c r="U25" s="29">
        <v>471975</v>
      </c>
      <c r="V25" s="30">
        <f t="shared" si="41"/>
        <v>7193577</v>
      </c>
      <c r="W25" s="27">
        <v>287</v>
      </c>
      <c r="X25" s="31">
        <f t="shared" si="7"/>
        <v>1644.5121951219512</v>
      </c>
      <c r="Y25" s="29">
        <v>210759</v>
      </c>
      <c r="Z25" s="32">
        <f t="shared" si="42"/>
        <v>8314159</v>
      </c>
      <c r="AA25" s="33">
        <f t="shared" si="8"/>
        <v>0.86522004209926706</v>
      </c>
      <c r="AB25" s="158">
        <v>650000</v>
      </c>
      <c r="AC25" s="34">
        <f t="shared" si="43"/>
        <v>7350000</v>
      </c>
      <c r="AD25" s="158"/>
      <c r="AE25" s="25"/>
      <c r="AF25" s="25"/>
      <c r="AG25" s="25"/>
      <c r="AH25" s="25"/>
      <c r="AI25" s="25"/>
      <c r="AJ25" s="25"/>
      <c r="AK25" s="25"/>
      <c r="AL25" s="158"/>
      <c r="AM25" s="25"/>
      <c r="AN25" s="158"/>
      <c r="AO25" s="25"/>
      <c r="AP25" s="25"/>
      <c r="AQ25" s="158"/>
      <c r="AR25" s="35">
        <f t="shared" si="9"/>
        <v>0</v>
      </c>
      <c r="AS25" s="172" t="str">
        <f t="shared" si="10"/>
        <v/>
      </c>
      <c r="AT25" s="36">
        <f t="shared" si="11"/>
        <v>0</v>
      </c>
      <c r="AU25" s="173"/>
      <c r="AV25" s="82">
        <f t="shared" si="12"/>
        <v>21</v>
      </c>
      <c r="AW25" s="37"/>
      <c r="AX25" s="174" t="str">
        <f t="shared" si="13"/>
        <v/>
      </c>
      <c r="AY25" s="37"/>
      <c r="AZ25" s="174" t="str">
        <f t="shared" si="14"/>
        <v/>
      </c>
      <c r="BA25" s="37"/>
      <c r="BB25" s="174" t="str">
        <f t="shared" si="15"/>
        <v/>
      </c>
      <c r="BC25" s="37"/>
      <c r="BD25" s="174" t="str">
        <f t="shared" si="16"/>
        <v/>
      </c>
      <c r="BE25" s="37"/>
      <c r="BF25" s="174" t="str">
        <f t="shared" si="17"/>
        <v/>
      </c>
      <c r="BG25" s="37"/>
      <c r="BH25" s="174" t="str">
        <f t="shared" si="18"/>
        <v/>
      </c>
      <c r="BI25" s="37"/>
      <c r="BJ25" s="174" t="str">
        <f t="shared" si="19"/>
        <v/>
      </c>
      <c r="BK25" s="37"/>
      <c r="BL25" s="174" t="str">
        <f t="shared" si="20"/>
        <v/>
      </c>
      <c r="BM25" s="37"/>
      <c r="BN25" s="174" t="str">
        <f t="shared" si="21"/>
        <v/>
      </c>
      <c r="BO25" s="37"/>
      <c r="BP25" s="174" t="str">
        <f t="shared" si="22"/>
        <v/>
      </c>
      <c r="BQ25" s="37"/>
      <c r="BR25" s="174" t="str">
        <f t="shared" si="23"/>
        <v/>
      </c>
      <c r="BS25" s="37"/>
      <c r="BT25" s="174" t="str">
        <f t="shared" si="24"/>
        <v/>
      </c>
      <c r="BU25" s="37"/>
      <c r="BV25" s="174" t="str">
        <f t="shared" si="25"/>
        <v/>
      </c>
      <c r="BW25" s="37"/>
      <c r="BX25" s="174" t="str">
        <f t="shared" si="26"/>
        <v/>
      </c>
      <c r="BY25" s="37"/>
      <c r="BZ25" s="174" t="str">
        <f t="shared" si="27"/>
        <v/>
      </c>
      <c r="CA25" s="37"/>
      <c r="CB25" s="174" t="str">
        <f t="shared" si="28"/>
        <v/>
      </c>
      <c r="CC25" s="37"/>
      <c r="CD25" s="174" t="str">
        <f t="shared" si="29"/>
        <v/>
      </c>
      <c r="CE25" s="37"/>
      <c r="CF25" s="174" t="str">
        <f t="shared" si="30"/>
        <v/>
      </c>
      <c r="CG25" s="37"/>
      <c r="CH25" s="174" t="str">
        <f t="shared" si="31"/>
        <v/>
      </c>
      <c r="CI25" s="37"/>
      <c r="CJ25" s="174" t="str">
        <f t="shared" si="32"/>
        <v/>
      </c>
      <c r="CK25" s="37"/>
      <c r="CL25" s="174" t="str">
        <f t="shared" si="33"/>
        <v/>
      </c>
      <c r="CM25" s="37"/>
      <c r="CN25" s="174" t="str">
        <f t="shared" si="34"/>
        <v/>
      </c>
      <c r="CO25" s="37"/>
      <c r="CP25" s="174" t="str">
        <f t="shared" si="35"/>
        <v/>
      </c>
      <c r="CQ25" s="37"/>
      <c r="CR25" s="174" t="str">
        <f t="shared" si="36"/>
        <v/>
      </c>
      <c r="CS25" s="37"/>
      <c r="CT25" s="174" t="str">
        <f t="shared" si="37"/>
        <v/>
      </c>
      <c r="CU25" s="38"/>
      <c r="CV25" s="87"/>
      <c r="CW25" s="90"/>
      <c r="CX25" s="38"/>
      <c r="CY25" s="39"/>
      <c r="CZ25" s="37"/>
      <c r="DA25" s="39"/>
      <c r="DB25" s="24">
        <v>21</v>
      </c>
      <c r="DC25" s="96" t="str">
        <f t="shared" si="38"/>
        <v>日</v>
      </c>
      <c r="DF25" s="125"/>
      <c r="DG25" s="40"/>
      <c r="DH25" s="40"/>
      <c r="DI25" s="40"/>
      <c r="DJ25" s="40"/>
      <c r="DK25" s="40"/>
      <c r="DL25" s="40"/>
      <c r="DM25" s="40"/>
      <c r="DN25" s="40"/>
      <c r="DO25" s="40"/>
      <c r="DP25" s="40">
        <f t="shared" si="39"/>
        <v>0</v>
      </c>
      <c r="DQ25" s="172" t="str">
        <f t="shared" si="40"/>
        <v/>
      </c>
      <c r="DS25" s="189"/>
      <c r="DT25" s="190"/>
      <c r="DU25" s="190"/>
      <c r="DV25" s="191"/>
      <c r="DW25" s="138"/>
      <c r="DX25" s="42"/>
    </row>
    <row r="26" spans="1:128" ht="13.5" customHeight="1" x14ac:dyDescent="0.4">
      <c r="A26" s="104">
        <v>22</v>
      </c>
      <c r="B26" s="140" t="s">
        <v>90</v>
      </c>
      <c r="C26" s="164"/>
      <c r="D26" s="164"/>
      <c r="E26" s="24"/>
      <c r="F26" s="29"/>
      <c r="G26" s="25" t="str">
        <f>IF(SUM($F$5:F26)=0,"",SUM($F$5:F26))</f>
        <v/>
      </c>
      <c r="H26" s="43" t="str">
        <f t="shared" si="0"/>
        <v/>
      </c>
      <c r="I26" s="148" t="e">
        <f t="array" aca="1" ref="I26" ca="1">IF($A27="",$G26/($V26-$U$5+INDIRECT(IF(_xlfn.SHEET()&lt;6,"令和8年"&amp;_xlfn.SHEET()+7&amp;"月","令和9年"&amp;_xlfn.SHEET()-5&amp;"月")&amp;"!$U$5")),$G26/($V27-$U$5))</f>
        <v>#VALUE!</v>
      </c>
      <c r="J26" s="26" t="str">
        <f t="shared" si="1"/>
        <v/>
      </c>
      <c r="K26" s="27"/>
      <c r="L26" s="165">
        <f t="shared" si="2"/>
        <v>0</v>
      </c>
      <c r="M26" s="28" t="str">
        <f t="shared" si="3"/>
        <v/>
      </c>
      <c r="N26" s="166" t="str">
        <f t="shared" si="4"/>
        <v/>
      </c>
      <c r="O26" s="167" t="str">
        <f t="shared" si="5"/>
        <v/>
      </c>
      <c r="P26" s="168"/>
      <c r="Q26" s="169" t="str">
        <f t="shared" si="6"/>
        <v/>
      </c>
      <c r="R26" s="170">
        <v>18</v>
      </c>
      <c r="S26" s="171">
        <v>8</v>
      </c>
      <c r="T26" s="24" t="s">
        <v>114</v>
      </c>
      <c r="U26" s="29">
        <v>495484</v>
      </c>
      <c r="V26" s="30">
        <f t="shared" si="41"/>
        <v>7689061</v>
      </c>
      <c r="W26" s="27">
        <v>286</v>
      </c>
      <c r="X26" s="31">
        <f t="shared" si="7"/>
        <v>1732.4615384615386</v>
      </c>
      <c r="Y26" s="29">
        <v>537577</v>
      </c>
      <c r="Z26" s="32">
        <f t="shared" si="42"/>
        <v>8851736</v>
      </c>
      <c r="AA26" s="33">
        <f t="shared" si="8"/>
        <v>0.86865005915223859</v>
      </c>
      <c r="AB26" s="158">
        <v>650000</v>
      </c>
      <c r="AC26" s="34">
        <f t="shared" si="43"/>
        <v>8000000</v>
      </c>
      <c r="AD26" s="158"/>
      <c r="AE26" s="25"/>
      <c r="AF26" s="25"/>
      <c r="AG26" s="25"/>
      <c r="AH26" s="25"/>
      <c r="AI26" s="25"/>
      <c r="AJ26" s="25"/>
      <c r="AK26" s="25"/>
      <c r="AL26" s="158"/>
      <c r="AM26" s="25"/>
      <c r="AN26" s="158"/>
      <c r="AO26" s="25"/>
      <c r="AP26" s="25"/>
      <c r="AQ26" s="158"/>
      <c r="AR26" s="35">
        <f t="shared" si="9"/>
        <v>0</v>
      </c>
      <c r="AS26" s="172" t="str">
        <f t="shared" si="10"/>
        <v/>
      </c>
      <c r="AT26" s="36">
        <f t="shared" si="11"/>
        <v>0</v>
      </c>
      <c r="AU26" s="173"/>
      <c r="AV26" s="82">
        <f t="shared" si="12"/>
        <v>22</v>
      </c>
      <c r="AW26" s="37"/>
      <c r="AX26" s="174" t="str">
        <f t="shared" si="13"/>
        <v/>
      </c>
      <c r="AY26" s="37"/>
      <c r="AZ26" s="174" t="str">
        <f t="shared" si="14"/>
        <v/>
      </c>
      <c r="BA26" s="37"/>
      <c r="BB26" s="174" t="str">
        <f t="shared" si="15"/>
        <v/>
      </c>
      <c r="BC26" s="37"/>
      <c r="BD26" s="174" t="str">
        <f t="shared" si="16"/>
        <v/>
      </c>
      <c r="BE26" s="37"/>
      <c r="BF26" s="174" t="str">
        <f t="shared" si="17"/>
        <v/>
      </c>
      <c r="BG26" s="37"/>
      <c r="BH26" s="174" t="str">
        <f t="shared" si="18"/>
        <v/>
      </c>
      <c r="BI26" s="37"/>
      <c r="BJ26" s="174" t="str">
        <f t="shared" si="19"/>
        <v/>
      </c>
      <c r="BK26" s="37"/>
      <c r="BL26" s="174" t="str">
        <f t="shared" si="20"/>
        <v/>
      </c>
      <c r="BM26" s="37"/>
      <c r="BN26" s="174" t="str">
        <f t="shared" si="21"/>
        <v/>
      </c>
      <c r="BO26" s="37"/>
      <c r="BP26" s="174" t="str">
        <f t="shared" si="22"/>
        <v/>
      </c>
      <c r="BQ26" s="37"/>
      <c r="BR26" s="174" t="str">
        <f t="shared" si="23"/>
        <v/>
      </c>
      <c r="BS26" s="37"/>
      <c r="BT26" s="174" t="str">
        <f t="shared" si="24"/>
        <v/>
      </c>
      <c r="BU26" s="37"/>
      <c r="BV26" s="174" t="str">
        <f t="shared" si="25"/>
        <v/>
      </c>
      <c r="BW26" s="37"/>
      <c r="BX26" s="174" t="str">
        <f t="shared" si="26"/>
        <v/>
      </c>
      <c r="BY26" s="37"/>
      <c r="BZ26" s="174" t="str">
        <f t="shared" si="27"/>
        <v/>
      </c>
      <c r="CA26" s="37"/>
      <c r="CB26" s="174" t="str">
        <f t="shared" si="28"/>
        <v/>
      </c>
      <c r="CC26" s="37"/>
      <c r="CD26" s="174" t="str">
        <f t="shared" si="29"/>
        <v/>
      </c>
      <c r="CE26" s="37"/>
      <c r="CF26" s="174" t="str">
        <f t="shared" si="30"/>
        <v/>
      </c>
      <c r="CG26" s="37"/>
      <c r="CH26" s="174" t="str">
        <f t="shared" si="31"/>
        <v/>
      </c>
      <c r="CI26" s="37"/>
      <c r="CJ26" s="174" t="str">
        <f t="shared" si="32"/>
        <v/>
      </c>
      <c r="CK26" s="37"/>
      <c r="CL26" s="174" t="str">
        <f t="shared" si="33"/>
        <v/>
      </c>
      <c r="CM26" s="37"/>
      <c r="CN26" s="174" t="str">
        <f t="shared" si="34"/>
        <v/>
      </c>
      <c r="CO26" s="37"/>
      <c r="CP26" s="174" t="str">
        <f t="shared" si="35"/>
        <v/>
      </c>
      <c r="CQ26" s="37"/>
      <c r="CR26" s="174" t="str">
        <f t="shared" si="36"/>
        <v/>
      </c>
      <c r="CS26" s="37"/>
      <c r="CT26" s="174" t="str">
        <f t="shared" si="37"/>
        <v/>
      </c>
      <c r="CU26" s="38"/>
      <c r="CV26" s="87"/>
      <c r="CW26" s="90"/>
      <c r="CX26" s="38"/>
      <c r="CY26" s="39"/>
      <c r="CZ26" s="37"/>
      <c r="DA26" s="39"/>
      <c r="DB26" s="24">
        <v>22</v>
      </c>
      <c r="DC26" s="96" t="str">
        <f t="shared" si="38"/>
        <v>月</v>
      </c>
      <c r="DF26" s="125"/>
      <c r="DG26" s="40"/>
      <c r="DH26" s="40"/>
      <c r="DI26" s="40"/>
      <c r="DJ26" s="40"/>
      <c r="DK26" s="40"/>
      <c r="DL26" s="40"/>
      <c r="DM26" s="40"/>
      <c r="DN26" s="40"/>
      <c r="DO26" s="40"/>
      <c r="DP26" s="40">
        <f t="shared" si="39"/>
        <v>0</v>
      </c>
      <c r="DQ26" s="172" t="str">
        <f t="shared" si="40"/>
        <v/>
      </c>
      <c r="DS26" s="189"/>
      <c r="DT26" s="190"/>
      <c r="DU26" s="190"/>
      <c r="DV26" s="191"/>
      <c r="DW26" s="41"/>
      <c r="DX26" s="42"/>
    </row>
    <row r="27" spans="1:128" ht="13.5" customHeight="1" x14ac:dyDescent="0.4">
      <c r="A27" s="104">
        <v>23</v>
      </c>
      <c r="B27" s="23" t="s">
        <v>91</v>
      </c>
      <c r="C27" s="164"/>
      <c r="D27" s="164"/>
      <c r="E27" s="24"/>
      <c r="F27" s="29"/>
      <c r="G27" s="25" t="str">
        <f>IF(SUM($F$5:F27)=0,"",SUM($F$5:F27))</f>
        <v/>
      </c>
      <c r="H27" s="43" t="str">
        <f t="shared" si="0"/>
        <v/>
      </c>
      <c r="I27" s="148" t="e">
        <f t="array" aca="1" ref="I27" ca="1">IF($A28="",$G27/($V27-$U$5+INDIRECT(IF(_xlfn.SHEET()&lt;6,"令和8年"&amp;_xlfn.SHEET()+7&amp;"月","令和9年"&amp;_xlfn.SHEET()-5&amp;"月")&amp;"!$U$5")),$G27/($V28-$U$5))</f>
        <v>#VALUE!</v>
      </c>
      <c r="J27" s="26" t="str">
        <f t="shared" si="1"/>
        <v/>
      </c>
      <c r="K27" s="27"/>
      <c r="L27" s="165">
        <f t="shared" si="2"/>
        <v>0</v>
      </c>
      <c r="M27" s="28" t="str">
        <f t="shared" si="3"/>
        <v/>
      </c>
      <c r="N27" s="166" t="str">
        <f t="shared" si="4"/>
        <v/>
      </c>
      <c r="O27" s="167" t="str">
        <f t="shared" si="5"/>
        <v/>
      </c>
      <c r="P27" s="168"/>
      <c r="Q27" s="169" t="str">
        <f t="shared" si="6"/>
        <v/>
      </c>
      <c r="R27" s="170">
        <v>18</v>
      </c>
      <c r="S27" s="171">
        <v>8</v>
      </c>
      <c r="T27" s="24" t="s">
        <v>114</v>
      </c>
      <c r="U27" s="29">
        <v>188845</v>
      </c>
      <c r="V27" s="30">
        <f t="shared" si="41"/>
        <v>7877906</v>
      </c>
      <c r="W27" s="27">
        <v>117</v>
      </c>
      <c r="X27" s="31">
        <f t="shared" si="7"/>
        <v>1614.0598290598291</v>
      </c>
      <c r="Y27" s="29">
        <v>521371</v>
      </c>
      <c r="Z27" s="32">
        <f t="shared" si="42"/>
        <v>9373107</v>
      </c>
      <c r="AA27" s="33">
        <f t="shared" si="8"/>
        <v>0.84047968299092291</v>
      </c>
      <c r="AB27" s="158">
        <v>230000</v>
      </c>
      <c r="AC27" s="34">
        <f t="shared" si="43"/>
        <v>8230000</v>
      </c>
      <c r="AD27" s="158"/>
      <c r="AE27" s="25"/>
      <c r="AF27" s="25"/>
      <c r="AG27" s="25"/>
      <c r="AH27" s="25"/>
      <c r="AI27" s="25"/>
      <c r="AJ27" s="25"/>
      <c r="AK27" s="25"/>
      <c r="AL27" s="158"/>
      <c r="AM27" s="25"/>
      <c r="AN27" s="158"/>
      <c r="AO27" s="25"/>
      <c r="AP27" s="25"/>
      <c r="AQ27" s="158"/>
      <c r="AR27" s="35">
        <f t="shared" si="9"/>
        <v>0</v>
      </c>
      <c r="AS27" s="172" t="str">
        <f t="shared" si="10"/>
        <v/>
      </c>
      <c r="AT27" s="36">
        <f t="shared" si="11"/>
        <v>0</v>
      </c>
      <c r="AU27" s="173"/>
      <c r="AV27" s="82">
        <f t="shared" si="12"/>
        <v>23</v>
      </c>
      <c r="AW27" s="37"/>
      <c r="AX27" s="174" t="str">
        <f t="shared" si="13"/>
        <v/>
      </c>
      <c r="AY27" s="37"/>
      <c r="AZ27" s="174" t="str">
        <f t="shared" si="14"/>
        <v/>
      </c>
      <c r="BA27" s="37"/>
      <c r="BB27" s="174" t="str">
        <f t="shared" si="15"/>
        <v/>
      </c>
      <c r="BC27" s="37"/>
      <c r="BD27" s="174" t="str">
        <f t="shared" si="16"/>
        <v/>
      </c>
      <c r="BE27" s="37"/>
      <c r="BF27" s="174" t="str">
        <f t="shared" si="17"/>
        <v/>
      </c>
      <c r="BG27" s="37"/>
      <c r="BH27" s="174" t="str">
        <f t="shared" si="18"/>
        <v/>
      </c>
      <c r="BI27" s="37"/>
      <c r="BJ27" s="174" t="str">
        <f t="shared" si="19"/>
        <v/>
      </c>
      <c r="BK27" s="37"/>
      <c r="BL27" s="174" t="str">
        <f t="shared" si="20"/>
        <v/>
      </c>
      <c r="BM27" s="37"/>
      <c r="BN27" s="174" t="str">
        <f t="shared" si="21"/>
        <v/>
      </c>
      <c r="BO27" s="37"/>
      <c r="BP27" s="174" t="str">
        <f t="shared" si="22"/>
        <v/>
      </c>
      <c r="BQ27" s="37"/>
      <c r="BR27" s="174" t="str">
        <f t="shared" si="23"/>
        <v/>
      </c>
      <c r="BS27" s="37"/>
      <c r="BT27" s="174" t="str">
        <f t="shared" si="24"/>
        <v/>
      </c>
      <c r="BU27" s="37"/>
      <c r="BV27" s="174" t="str">
        <f t="shared" si="25"/>
        <v/>
      </c>
      <c r="BW27" s="37"/>
      <c r="BX27" s="174" t="str">
        <f t="shared" si="26"/>
        <v/>
      </c>
      <c r="BY27" s="37"/>
      <c r="BZ27" s="174" t="str">
        <f t="shared" si="27"/>
        <v/>
      </c>
      <c r="CA27" s="37"/>
      <c r="CB27" s="174" t="str">
        <f t="shared" si="28"/>
        <v/>
      </c>
      <c r="CC27" s="37"/>
      <c r="CD27" s="174" t="str">
        <f t="shared" si="29"/>
        <v/>
      </c>
      <c r="CE27" s="37"/>
      <c r="CF27" s="174" t="str">
        <f t="shared" si="30"/>
        <v/>
      </c>
      <c r="CG27" s="37"/>
      <c r="CH27" s="174" t="str">
        <f t="shared" si="31"/>
        <v/>
      </c>
      <c r="CI27" s="37"/>
      <c r="CJ27" s="174" t="str">
        <f t="shared" si="32"/>
        <v/>
      </c>
      <c r="CK27" s="37"/>
      <c r="CL27" s="174" t="str">
        <f t="shared" si="33"/>
        <v/>
      </c>
      <c r="CM27" s="37"/>
      <c r="CN27" s="174" t="str">
        <f t="shared" si="34"/>
        <v/>
      </c>
      <c r="CO27" s="37"/>
      <c r="CP27" s="174" t="str">
        <f t="shared" si="35"/>
        <v/>
      </c>
      <c r="CQ27" s="37"/>
      <c r="CR27" s="174" t="str">
        <f t="shared" si="36"/>
        <v/>
      </c>
      <c r="CS27" s="37"/>
      <c r="CT27" s="174" t="str">
        <f t="shared" si="37"/>
        <v/>
      </c>
      <c r="CU27" s="38"/>
      <c r="CV27" s="87"/>
      <c r="CW27" s="90"/>
      <c r="CX27" s="38"/>
      <c r="CY27" s="39"/>
      <c r="CZ27" s="37"/>
      <c r="DA27" s="39"/>
      <c r="DB27" s="24">
        <v>23</v>
      </c>
      <c r="DC27" s="96" t="str">
        <f t="shared" si="38"/>
        <v>火</v>
      </c>
      <c r="DF27" s="125"/>
      <c r="DG27" s="40"/>
      <c r="DH27" s="40"/>
      <c r="DI27" s="40"/>
      <c r="DJ27" s="40"/>
      <c r="DK27" s="40"/>
      <c r="DL27" s="40"/>
      <c r="DM27" s="40"/>
      <c r="DN27" s="40"/>
      <c r="DO27" s="40"/>
      <c r="DP27" s="40">
        <f t="shared" si="39"/>
        <v>0</v>
      </c>
      <c r="DQ27" s="172" t="str">
        <f t="shared" si="40"/>
        <v/>
      </c>
      <c r="DS27" s="189"/>
      <c r="DT27" s="190"/>
      <c r="DU27" s="190"/>
      <c r="DV27" s="191"/>
      <c r="DW27" s="41"/>
      <c r="DX27" s="42"/>
    </row>
    <row r="28" spans="1:128" ht="13.5" customHeight="1" x14ac:dyDescent="0.4">
      <c r="A28" s="104">
        <v>24</v>
      </c>
      <c r="B28" s="23" t="s">
        <v>83</v>
      </c>
      <c r="C28" s="164"/>
      <c r="D28" s="164"/>
      <c r="E28" s="24"/>
      <c r="F28" s="29"/>
      <c r="G28" s="25" t="str">
        <f>IF(SUM($F$5:F28)=0,"",SUM($F$5:F28))</f>
        <v/>
      </c>
      <c r="H28" s="43" t="str">
        <f t="shared" si="0"/>
        <v/>
      </c>
      <c r="I28" s="148" t="e">
        <f t="array" aca="1" ref="I28" ca="1">IF($A29="",$G28/($V28-$U$5+INDIRECT(IF(_xlfn.SHEET()&lt;6,"令和8年"&amp;_xlfn.SHEET()+7&amp;"月","令和9年"&amp;_xlfn.SHEET()-5&amp;"月")&amp;"!$U$5")),$G28/($V29-$U$5))</f>
        <v>#VALUE!</v>
      </c>
      <c r="J28" s="26" t="str">
        <f t="shared" si="1"/>
        <v/>
      </c>
      <c r="K28" s="27"/>
      <c r="L28" s="165">
        <f t="shared" si="2"/>
        <v>0</v>
      </c>
      <c r="M28" s="28" t="str">
        <f t="shared" si="3"/>
        <v/>
      </c>
      <c r="N28" s="166" t="str">
        <f t="shared" si="4"/>
        <v/>
      </c>
      <c r="O28" s="167" t="str">
        <f t="shared" si="5"/>
        <v/>
      </c>
      <c r="P28" s="168"/>
      <c r="Q28" s="169" t="str">
        <f t="shared" si="6"/>
        <v/>
      </c>
      <c r="R28" s="170">
        <v>16</v>
      </c>
      <c r="S28" s="171">
        <v>5</v>
      </c>
      <c r="T28" s="24" t="s">
        <v>133</v>
      </c>
      <c r="U28" s="29">
        <v>174017</v>
      </c>
      <c r="V28" s="30">
        <f t="shared" si="41"/>
        <v>8051923</v>
      </c>
      <c r="W28" s="27">
        <v>133</v>
      </c>
      <c r="X28" s="31">
        <f t="shared" si="7"/>
        <v>1308.3984962406016</v>
      </c>
      <c r="Y28" s="29">
        <v>280414</v>
      </c>
      <c r="Z28" s="32">
        <f t="shared" si="42"/>
        <v>9653521</v>
      </c>
      <c r="AA28" s="33">
        <f t="shared" si="8"/>
        <v>0.83409183032802225</v>
      </c>
      <c r="AB28" s="158">
        <v>230000</v>
      </c>
      <c r="AC28" s="34">
        <f t="shared" si="43"/>
        <v>8460000</v>
      </c>
      <c r="AD28" s="158"/>
      <c r="AE28" s="25"/>
      <c r="AF28" s="25"/>
      <c r="AG28" s="25"/>
      <c r="AH28" s="25"/>
      <c r="AI28" s="25"/>
      <c r="AJ28" s="25"/>
      <c r="AK28" s="25"/>
      <c r="AL28" s="158"/>
      <c r="AM28" s="25"/>
      <c r="AN28" s="158"/>
      <c r="AO28" s="25"/>
      <c r="AP28" s="25"/>
      <c r="AQ28" s="158"/>
      <c r="AR28" s="35">
        <f t="shared" si="9"/>
        <v>0</v>
      </c>
      <c r="AS28" s="172" t="str">
        <f t="shared" si="10"/>
        <v/>
      </c>
      <c r="AT28" s="36">
        <f t="shared" si="11"/>
        <v>0</v>
      </c>
      <c r="AU28" s="173"/>
      <c r="AV28" s="82">
        <f t="shared" si="12"/>
        <v>24</v>
      </c>
      <c r="AW28" s="37"/>
      <c r="AX28" s="174" t="str">
        <f t="shared" si="13"/>
        <v/>
      </c>
      <c r="AY28" s="37"/>
      <c r="AZ28" s="174" t="str">
        <f t="shared" si="14"/>
        <v/>
      </c>
      <c r="BA28" s="37"/>
      <c r="BB28" s="174" t="str">
        <f t="shared" si="15"/>
        <v/>
      </c>
      <c r="BC28" s="37"/>
      <c r="BD28" s="174" t="str">
        <f t="shared" si="16"/>
        <v/>
      </c>
      <c r="BE28" s="37"/>
      <c r="BF28" s="174" t="str">
        <f t="shared" si="17"/>
        <v/>
      </c>
      <c r="BG28" s="37"/>
      <c r="BH28" s="174" t="str">
        <f t="shared" si="18"/>
        <v/>
      </c>
      <c r="BI28" s="37"/>
      <c r="BJ28" s="174" t="str">
        <f t="shared" si="19"/>
        <v/>
      </c>
      <c r="BK28" s="37"/>
      <c r="BL28" s="174" t="str">
        <f t="shared" si="20"/>
        <v/>
      </c>
      <c r="BM28" s="37"/>
      <c r="BN28" s="174" t="str">
        <f t="shared" si="21"/>
        <v/>
      </c>
      <c r="BO28" s="37"/>
      <c r="BP28" s="174" t="str">
        <f t="shared" si="22"/>
        <v/>
      </c>
      <c r="BQ28" s="37"/>
      <c r="BR28" s="174" t="str">
        <f t="shared" si="23"/>
        <v/>
      </c>
      <c r="BS28" s="37"/>
      <c r="BT28" s="174" t="str">
        <f t="shared" si="24"/>
        <v/>
      </c>
      <c r="BU28" s="37"/>
      <c r="BV28" s="174" t="str">
        <f t="shared" si="25"/>
        <v/>
      </c>
      <c r="BW28" s="37"/>
      <c r="BX28" s="174" t="str">
        <f t="shared" si="26"/>
        <v/>
      </c>
      <c r="BY28" s="37"/>
      <c r="BZ28" s="174" t="str">
        <f t="shared" si="27"/>
        <v/>
      </c>
      <c r="CA28" s="37"/>
      <c r="CB28" s="174" t="str">
        <f t="shared" si="28"/>
        <v/>
      </c>
      <c r="CC28" s="37"/>
      <c r="CD28" s="174" t="str">
        <f t="shared" si="29"/>
        <v/>
      </c>
      <c r="CE28" s="37"/>
      <c r="CF28" s="174" t="str">
        <f t="shared" si="30"/>
        <v/>
      </c>
      <c r="CG28" s="37"/>
      <c r="CH28" s="174" t="str">
        <f t="shared" si="31"/>
        <v/>
      </c>
      <c r="CI28" s="37"/>
      <c r="CJ28" s="174" t="str">
        <f t="shared" si="32"/>
        <v/>
      </c>
      <c r="CK28" s="37"/>
      <c r="CL28" s="174" t="str">
        <f t="shared" si="33"/>
        <v/>
      </c>
      <c r="CM28" s="37"/>
      <c r="CN28" s="174" t="str">
        <f t="shared" si="34"/>
        <v/>
      </c>
      <c r="CO28" s="37"/>
      <c r="CP28" s="174" t="str">
        <f t="shared" si="35"/>
        <v/>
      </c>
      <c r="CQ28" s="37"/>
      <c r="CR28" s="174" t="str">
        <f t="shared" si="36"/>
        <v/>
      </c>
      <c r="CS28" s="37"/>
      <c r="CT28" s="174" t="str">
        <f t="shared" si="37"/>
        <v/>
      </c>
      <c r="CU28" s="38"/>
      <c r="CV28" s="87"/>
      <c r="CW28" s="90"/>
      <c r="CX28" s="38"/>
      <c r="CY28" s="39"/>
      <c r="CZ28" s="37"/>
      <c r="DA28" s="39"/>
      <c r="DB28" s="24">
        <v>24</v>
      </c>
      <c r="DC28" s="96" t="str">
        <f t="shared" si="38"/>
        <v>水</v>
      </c>
      <c r="DF28" s="125"/>
      <c r="DG28" s="40"/>
      <c r="DH28" s="40"/>
      <c r="DI28" s="40"/>
      <c r="DJ28" s="40"/>
      <c r="DK28" s="40"/>
      <c r="DL28" s="40"/>
      <c r="DM28" s="40"/>
      <c r="DN28" s="40"/>
      <c r="DO28" s="40"/>
      <c r="DP28" s="40">
        <f t="shared" si="39"/>
        <v>0</v>
      </c>
      <c r="DQ28" s="172" t="str">
        <f t="shared" si="40"/>
        <v/>
      </c>
      <c r="DS28" s="189"/>
      <c r="DT28" s="190"/>
      <c r="DU28" s="190"/>
      <c r="DV28" s="191"/>
      <c r="DW28" s="138"/>
      <c r="DX28" s="42"/>
    </row>
    <row r="29" spans="1:128" ht="13.5" customHeight="1" x14ac:dyDescent="0.4">
      <c r="A29" s="104">
        <v>25</v>
      </c>
      <c r="B29" s="23" t="s">
        <v>85</v>
      </c>
      <c r="C29" s="164"/>
      <c r="D29" s="164"/>
      <c r="E29" s="24"/>
      <c r="F29" s="29"/>
      <c r="G29" s="25" t="str">
        <f>IF(SUM($F$5:F29)=0,"",SUM($F$5:F29))</f>
        <v/>
      </c>
      <c r="H29" s="43" t="str">
        <f t="shared" si="0"/>
        <v/>
      </c>
      <c r="I29" s="148" t="e">
        <f t="array" aca="1" ref="I29" ca="1">IF($A30="",$G29/($V29-$U$5+INDIRECT(IF(_xlfn.SHEET()&lt;6,"令和8年"&amp;_xlfn.SHEET()+7&amp;"月","令和9年"&amp;_xlfn.SHEET()-5&amp;"月")&amp;"!$U$5")),$G29/($V30-$U$5))</f>
        <v>#VALUE!</v>
      </c>
      <c r="J29" s="26" t="str">
        <f t="shared" si="1"/>
        <v/>
      </c>
      <c r="K29" s="27"/>
      <c r="L29" s="165">
        <f t="shared" si="2"/>
        <v>0</v>
      </c>
      <c r="M29" s="28" t="str">
        <f t="shared" si="3"/>
        <v/>
      </c>
      <c r="N29" s="166" t="str">
        <f t="shared" si="4"/>
        <v/>
      </c>
      <c r="O29" s="167" t="str">
        <f t="shared" si="5"/>
        <v/>
      </c>
      <c r="P29" s="168"/>
      <c r="Q29" s="169" t="str">
        <f t="shared" si="6"/>
        <v/>
      </c>
      <c r="R29" s="170">
        <v>14</v>
      </c>
      <c r="S29" s="171">
        <v>7</v>
      </c>
      <c r="T29" s="24" t="s">
        <v>134</v>
      </c>
      <c r="U29" s="29">
        <v>276500</v>
      </c>
      <c r="V29" s="30">
        <f t="shared" si="41"/>
        <v>8328423</v>
      </c>
      <c r="W29" s="27">
        <v>146</v>
      </c>
      <c r="X29" s="31">
        <f t="shared" si="7"/>
        <v>1893.8356164383561</v>
      </c>
      <c r="Y29" s="29">
        <v>258869</v>
      </c>
      <c r="Z29" s="32">
        <f t="shared" si="42"/>
        <v>9912390</v>
      </c>
      <c r="AA29" s="33">
        <f t="shared" si="8"/>
        <v>0.84020332129789077</v>
      </c>
      <c r="AB29" s="158">
        <v>230000</v>
      </c>
      <c r="AC29" s="34">
        <f t="shared" si="43"/>
        <v>8690000</v>
      </c>
      <c r="AD29" s="158"/>
      <c r="AE29" s="25"/>
      <c r="AF29" s="25"/>
      <c r="AG29" s="25"/>
      <c r="AH29" s="25"/>
      <c r="AI29" s="25"/>
      <c r="AJ29" s="25"/>
      <c r="AK29" s="25"/>
      <c r="AL29" s="158"/>
      <c r="AM29" s="25"/>
      <c r="AN29" s="158"/>
      <c r="AO29" s="25"/>
      <c r="AP29" s="25"/>
      <c r="AQ29" s="158"/>
      <c r="AR29" s="35">
        <f t="shared" si="9"/>
        <v>0</v>
      </c>
      <c r="AS29" s="172" t="str">
        <f t="shared" si="10"/>
        <v/>
      </c>
      <c r="AT29" s="36">
        <f t="shared" si="11"/>
        <v>0</v>
      </c>
      <c r="AU29" s="173"/>
      <c r="AV29" s="82">
        <f t="shared" si="12"/>
        <v>25</v>
      </c>
      <c r="AW29" s="37"/>
      <c r="AX29" s="174" t="str">
        <f t="shared" si="13"/>
        <v/>
      </c>
      <c r="AY29" s="37"/>
      <c r="AZ29" s="174" t="str">
        <f t="shared" si="14"/>
        <v/>
      </c>
      <c r="BA29" s="37"/>
      <c r="BB29" s="174" t="str">
        <f t="shared" si="15"/>
        <v/>
      </c>
      <c r="BC29" s="37"/>
      <c r="BD29" s="174" t="str">
        <f t="shared" si="16"/>
        <v/>
      </c>
      <c r="BE29" s="37"/>
      <c r="BF29" s="174" t="str">
        <f t="shared" si="17"/>
        <v/>
      </c>
      <c r="BG29" s="37"/>
      <c r="BH29" s="174" t="str">
        <f t="shared" si="18"/>
        <v/>
      </c>
      <c r="BI29" s="37"/>
      <c r="BJ29" s="174" t="str">
        <f t="shared" si="19"/>
        <v/>
      </c>
      <c r="BK29" s="37"/>
      <c r="BL29" s="174" t="str">
        <f t="shared" si="20"/>
        <v/>
      </c>
      <c r="BM29" s="37"/>
      <c r="BN29" s="174" t="str">
        <f t="shared" si="21"/>
        <v/>
      </c>
      <c r="BO29" s="37"/>
      <c r="BP29" s="174" t="str">
        <f t="shared" si="22"/>
        <v/>
      </c>
      <c r="BQ29" s="37"/>
      <c r="BR29" s="174" t="str">
        <f t="shared" si="23"/>
        <v/>
      </c>
      <c r="BS29" s="37"/>
      <c r="BT29" s="174" t="str">
        <f t="shared" si="24"/>
        <v/>
      </c>
      <c r="BU29" s="37"/>
      <c r="BV29" s="174" t="str">
        <f t="shared" si="25"/>
        <v/>
      </c>
      <c r="BW29" s="37"/>
      <c r="BX29" s="174" t="str">
        <f t="shared" si="26"/>
        <v/>
      </c>
      <c r="BY29" s="37"/>
      <c r="BZ29" s="174" t="str">
        <f t="shared" si="27"/>
        <v/>
      </c>
      <c r="CA29" s="37"/>
      <c r="CB29" s="174" t="str">
        <f t="shared" si="28"/>
        <v/>
      </c>
      <c r="CC29" s="37"/>
      <c r="CD29" s="174" t="str">
        <f t="shared" si="29"/>
        <v/>
      </c>
      <c r="CE29" s="37"/>
      <c r="CF29" s="174" t="str">
        <f t="shared" si="30"/>
        <v/>
      </c>
      <c r="CG29" s="37"/>
      <c r="CH29" s="174" t="str">
        <f t="shared" si="31"/>
        <v/>
      </c>
      <c r="CI29" s="37"/>
      <c r="CJ29" s="174" t="str">
        <f t="shared" si="32"/>
        <v/>
      </c>
      <c r="CK29" s="37"/>
      <c r="CL29" s="174" t="str">
        <f t="shared" si="33"/>
        <v/>
      </c>
      <c r="CM29" s="37"/>
      <c r="CN29" s="174" t="str">
        <f t="shared" si="34"/>
        <v/>
      </c>
      <c r="CO29" s="37"/>
      <c r="CP29" s="174" t="str">
        <f t="shared" si="35"/>
        <v/>
      </c>
      <c r="CQ29" s="37"/>
      <c r="CR29" s="174" t="str">
        <f t="shared" si="36"/>
        <v/>
      </c>
      <c r="CS29" s="37"/>
      <c r="CT29" s="174" t="str">
        <f t="shared" si="37"/>
        <v/>
      </c>
      <c r="CU29" s="38"/>
      <c r="CV29" s="87"/>
      <c r="CW29" s="90"/>
      <c r="CX29" s="38"/>
      <c r="CY29" s="39"/>
      <c r="CZ29" s="37"/>
      <c r="DA29" s="39"/>
      <c r="DB29" s="24">
        <v>25</v>
      </c>
      <c r="DC29" s="96" t="str">
        <f t="shared" si="38"/>
        <v>木</v>
      </c>
      <c r="DF29" s="125"/>
      <c r="DG29" s="40"/>
      <c r="DH29" s="40"/>
      <c r="DI29" s="40"/>
      <c r="DJ29" s="40"/>
      <c r="DK29" s="40"/>
      <c r="DL29" s="40"/>
      <c r="DM29" s="40"/>
      <c r="DN29" s="40"/>
      <c r="DO29" s="40"/>
      <c r="DP29" s="40">
        <f t="shared" si="39"/>
        <v>0</v>
      </c>
      <c r="DQ29" s="172" t="str">
        <f t="shared" si="40"/>
        <v/>
      </c>
      <c r="DS29" s="189"/>
      <c r="DT29" s="190"/>
      <c r="DU29" s="190"/>
      <c r="DV29" s="191"/>
      <c r="DW29" s="41"/>
      <c r="DX29" s="42"/>
    </row>
    <row r="30" spans="1:128" ht="13.5" customHeight="1" x14ac:dyDescent="0.4">
      <c r="A30" s="104">
        <v>26</v>
      </c>
      <c r="B30" s="23" t="s">
        <v>86</v>
      </c>
      <c r="C30" s="164"/>
      <c r="D30" s="164"/>
      <c r="E30" s="24"/>
      <c r="F30" s="29"/>
      <c r="G30" s="25" t="str">
        <f>IF(SUM($F$5:F30)=0,"",SUM($F$5:F30))</f>
        <v/>
      </c>
      <c r="H30" s="43" t="str">
        <f t="shared" si="0"/>
        <v/>
      </c>
      <c r="I30" s="148" t="e">
        <f t="array" aca="1" ref="I30" ca="1">IF($A31="",$G30/($V30-$U$5+INDIRECT(IF(_xlfn.SHEET()&lt;6,"令和8年"&amp;_xlfn.SHEET()+7&amp;"月","令和9年"&amp;_xlfn.SHEET()-5&amp;"月")&amp;"!$U$5")),$G30/($V31-$U$5))</f>
        <v>#VALUE!</v>
      </c>
      <c r="J30" s="26" t="str">
        <f t="shared" si="1"/>
        <v/>
      </c>
      <c r="K30" s="27"/>
      <c r="L30" s="165">
        <f t="shared" si="2"/>
        <v>0</v>
      </c>
      <c r="M30" s="28" t="str">
        <f t="shared" si="3"/>
        <v/>
      </c>
      <c r="N30" s="166" t="str">
        <f t="shared" si="4"/>
        <v/>
      </c>
      <c r="O30" s="167" t="str">
        <f t="shared" si="5"/>
        <v/>
      </c>
      <c r="P30" s="168"/>
      <c r="Q30" s="169" t="str">
        <f t="shared" si="6"/>
        <v/>
      </c>
      <c r="R30" s="170">
        <v>15</v>
      </c>
      <c r="S30" s="171">
        <v>3</v>
      </c>
      <c r="T30" s="24" t="s">
        <v>135</v>
      </c>
      <c r="U30" s="29">
        <v>351876</v>
      </c>
      <c r="V30" s="30">
        <f t="shared" si="41"/>
        <v>8680299</v>
      </c>
      <c r="W30" s="27">
        <v>239</v>
      </c>
      <c r="X30" s="31">
        <f t="shared" si="7"/>
        <v>1472.2845188284518</v>
      </c>
      <c r="Y30" s="29">
        <v>281658</v>
      </c>
      <c r="Z30" s="32">
        <f t="shared" si="42"/>
        <v>10194048</v>
      </c>
      <c r="AA30" s="33">
        <f t="shared" si="8"/>
        <v>0.85150658501902288</v>
      </c>
      <c r="AB30" s="158">
        <v>230000</v>
      </c>
      <c r="AC30" s="34">
        <f t="shared" si="43"/>
        <v>8920000</v>
      </c>
      <c r="AD30" s="158"/>
      <c r="AE30" s="25"/>
      <c r="AF30" s="25"/>
      <c r="AG30" s="25"/>
      <c r="AH30" s="25"/>
      <c r="AI30" s="25"/>
      <c r="AJ30" s="25"/>
      <c r="AK30" s="25"/>
      <c r="AL30" s="158"/>
      <c r="AM30" s="25"/>
      <c r="AN30" s="158"/>
      <c r="AO30" s="25"/>
      <c r="AP30" s="25"/>
      <c r="AQ30" s="158"/>
      <c r="AR30" s="35">
        <f t="shared" si="9"/>
        <v>0</v>
      </c>
      <c r="AS30" s="172" t="str">
        <f t="shared" si="10"/>
        <v/>
      </c>
      <c r="AT30" s="36">
        <f t="shared" si="11"/>
        <v>0</v>
      </c>
      <c r="AU30" s="173"/>
      <c r="AV30" s="82">
        <f t="shared" si="12"/>
        <v>26</v>
      </c>
      <c r="AW30" s="37"/>
      <c r="AX30" s="174" t="str">
        <f t="shared" si="13"/>
        <v/>
      </c>
      <c r="AY30" s="37"/>
      <c r="AZ30" s="174" t="str">
        <f t="shared" si="14"/>
        <v/>
      </c>
      <c r="BA30" s="37"/>
      <c r="BB30" s="174" t="str">
        <f t="shared" si="15"/>
        <v/>
      </c>
      <c r="BC30" s="37"/>
      <c r="BD30" s="174" t="str">
        <f t="shared" si="16"/>
        <v/>
      </c>
      <c r="BE30" s="37"/>
      <c r="BF30" s="174" t="str">
        <f t="shared" si="17"/>
        <v/>
      </c>
      <c r="BG30" s="37"/>
      <c r="BH30" s="174" t="str">
        <f t="shared" si="18"/>
        <v/>
      </c>
      <c r="BI30" s="37"/>
      <c r="BJ30" s="174" t="str">
        <f t="shared" si="19"/>
        <v/>
      </c>
      <c r="BK30" s="37"/>
      <c r="BL30" s="174" t="str">
        <f t="shared" si="20"/>
        <v/>
      </c>
      <c r="BM30" s="37"/>
      <c r="BN30" s="174" t="str">
        <f t="shared" si="21"/>
        <v/>
      </c>
      <c r="BO30" s="37"/>
      <c r="BP30" s="174" t="str">
        <f t="shared" si="22"/>
        <v/>
      </c>
      <c r="BQ30" s="37"/>
      <c r="BR30" s="174" t="str">
        <f t="shared" si="23"/>
        <v/>
      </c>
      <c r="BS30" s="37"/>
      <c r="BT30" s="174" t="str">
        <f t="shared" si="24"/>
        <v/>
      </c>
      <c r="BU30" s="37"/>
      <c r="BV30" s="174" t="str">
        <f t="shared" si="25"/>
        <v/>
      </c>
      <c r="BW30" s="37"/>
      <c r="BX30" s="174" t="str">
        <f t="shared" si="26"/>
        <v/>
      </c>
      <c r="BY30" s="37"/>
      <c r="BZ30" s="174" t="str">
        <f t="shared" si="27"/>
        <v/>
      </c>
      <c r="CA30" s="37"/>
      <c r="CB30" s="174" t="str">
        <f t="shared" si="28"/>
        <v/>
      </c>
      <c r="CC30" s="37"/>
      <c r="CD30" s="174" t="str">
        <f t="shared" si="29"/>
        <v/>
      </c>
      <c r="CE30" s="37"/>
      <c r="CF30" s="174" t="str">
        <f t="shared" si="30"/>
        <v/>
      </c>
      <c r="CG30" s="37"/>
      <c r="CH30" s="174" t="str">
        <f t="shared" si="31"/>
        <v/>
      </c>
      <c r="CI30" s="37"/>
      <c r="CJ30" s="174" t="str">
        <f t="shared" si="32"/>
        <v/>
      </c>
      <c r="CK30" s="37"/>
      <c r="CL30" s="174" t="str">
        <f t="shared" si="33"/>
        <v/>
      </c>
      <c r="CM30" s="37"/>
      <c r="CN30" s="174" t="str">
        <f t="shared" si="34"/>
        <v/>
      </c>
      <c r="CO30" s="37"/>
      <c r="CP30" s="174" t="str">
        <f t="shared" si="35"/>
        <v/>
      </c>
      <c r="CQ30" s="37"/>
      <c r="CR30" s="174" t="str">
        <f t="shared" si="36"/>
        <v/>
      </c>
      <c r="CS30" s="37"/>
      <c r="CT30" s="174" t="str">
        <f t="shared" si="37"/>
        <v/>
      </c>
      <c r="CU30" s="38"/>
      <c r="CV30" s="87"/>
      <c r="CW30" s="90"/>
      <c r="CX30" s="38"/>
      <c r="CY30" s="39"/>
      <c r="CZ30" s="37"/>
      <c r="DA30" s="39"/>
      <c r="DB30" s="24">
        <v>26</v>
      </c>
      <c r="DC30" s="96" t="str">
        <f t="shared" si="38"/>
        <v>金</v>
      </c>
      <c r="DF30" s="125"/>
      <c r="DG30" s="40"/>
      <c r="DH30" s="40"/>
      <c r="DI30" s="40"/>
      <c r="DJ30" s="40"/>
      <c r="DK30" s="40"/>
      <c r="DL30" s="40"/>
      <c r="DM30" s="40"/>
      <c r="DN30" s="40"/>
      <c r="DO30" s="40"/>
      <c r="DP30" s="40">
        <f t="shared" si="39"/>
        <v>0</v>
      </c>
      <c r="DQ30" s="172" t="str">
        <f t="shared" si="40"/>
        <v/>
      </c>
      <c r="DS30" s="189"/>
      <c r="DT30" s="190"/>
      <c r="DU30" s="190"/>
      <c r="DV30" s="191"/>
      <c r="DW30" s="41"/>
      <c r="DX30" s="42"/>
    </row>
    <row r="31" spans="1:128" ht="13.5" customHeight="1" x14ac:dyDescent="0.4">
      <c r="A31" s="104">
        <v>27</v>
      </c>
      <c r="B31" s="23" t="s">
        <v>88</v>
      </c>
      <c r="C31" s="164"/>
      <c r="D31" s="164"/>
      <c r="E31" s="24"/>
      <c r="F31" s="29"/>
      <c r="G31" s="25" t="str">
        <f>IF(SUM($F$5:F31)=0,"",SUM($F$5:F31))</f>
        <v/>
      </c>
      <c r="H31" s="43" t="str">
        <f t="shared" si="0"/>
        <v/>
      </c>
      <c r="I31" s="148" t="e">
        <f t="array" aca="1" ref="I31" ca="1">IF($A32="",$G31/($V31-$U$5+INDIRECT(IF(_xlfn.SHEET()&lt;6,"令和8年"&amp;_xlfn.SHEET()+7&amp;"月","令和9年"&amp;_xlfn.SHEET()-5&amp;"月")&amp;"!$U$5")),$G31/($V32-$U$5))</f>
        <v>#VALUE!</v>
      </c>
      <c r="J31" s="26" t="str">
        <f t="shared" si="1"/>
        <v/>
      </c>
      <c r="K31" s="27"/>
      <c r="L31" s="165">
        <f t="shared" si="2"/>
        <v>0</v>
      </c>
      <c r="M31" s="28" t="str">
        <f t="shared" si="3"/>
        <v/>
      </c>
      <c r="N31" s="166" t="str">
        <f t="shared" si="4"/>
        <v/>
      </c>
      <c r="O31" s="167" t="str">
        <f t="shared" si="5"/>
        <v/>
      </c>
      <c r="P31" s="168"/>
      <c r="Q31" s="169" t="str">
        <f t="shared" si="6"/>
        <v/>
      </c>
      <c r="R31" s="170">
        <v>20</v>
      </c>
      <c r="S31" s="171">
        <v>5</v>
      </c>
      <c r="T31" s="24" t="s">
        <v>84</v>
      </c>
      <c r="U31" s="29">
        <v>320939</v>
      </c>
      <c r="V31" s="30">
        <f t="shared" si="41"/>
        <v>9001238</v>
      </c>
      <c r="W31" s="27">
        <v>175</v>
      </c>
      <c r="X31" s="31">
        <f t="shared" si="7"/>
        <v>1833.9371428571428</v>
      </c>
      <c r="Y31" s="29">
        <v>330098</v>
      </c>
      <c r="Z31" s="32">
        <f t="shared" si="42"/>
        <v>10524146</v>
      </c>
      <c r="AA31" s="33">
        <f t="shared" si="8"/>
        <v>0.85529391173402569</v>
      </c>
      <c r="AB31" s="158">
        <v>650000</v>
      </c>
      <c r="AC31" s="34">
        <f t="shared" si="43"/>
        <v>9570000</v>
      </c>
      <c r="AD31" s="158"/>
      <c r="AE31" s="25"/>
      <c r="AF31" s="25"/>
      <c r="AG31" s="25"/>
      <c r="AH31" s="25"/>
      <c r="AI31" s="25"/>
      <c r="AJ31" s="25"/>
      <c r="AK31" s="25"/>
      <c r="AL31" s="158"/>
      <c r="AM31" s="25"/>
      <c r="AN31" s="158"/>
      <c r="AO31" s="25"/>
      <c r="AP31" s="25"/>
      <c r="AQ31" s="158"/>
      <c r="AR31" s="35">
        <f t="shared" si="9"/>
        <v>0</v>
      </c>
      <c r="AS31" s="172" t="str">
        <f t="shared" si="10"/>
        <v/>
      </c>
      <c r="AT31" s="36">
        <f t="shared" si="11"/>
        <v>0</v>
      </c>
      <c r="AU31" s="173"/>
      <c r="AV31" s="82">
        <f t="shared" si="12"/>
        <v>27</v>
      </c>
      <c r="AW31" s="37"/>
      <c r="AX31" s="174" t="str">
        <f t="shared" si="13"/>
        <v/>
      </c>
      <c r="AY31" s="37"/>
      <c r="AZ31" s="174" t="str">
        <f t="shared" si="14"/>
        <v/>
      </c>
      <c r="BA31" s="37"/>
      <c r="BB31" s="174" t="str">
        <f t="shared" si="15"/>
        <v/>
      </c>
      <c r="BC31" s="37"/>
      <c r="BD31" s="174" t="str">
        <f t="shared" si="16"/>
        <v/>
      </c>
      <c r="BE31" s="37"/>
      <c r="BF31" s="174" t="str">
        <f t="shared" si="17"/>
        <v/>
      </c>
      <c r="BG31" s="37"/>
      <c r="BH31" s="174" t="str">
        <f t="shared" si="18"/>
        <v/>
      </c>
      <c r="BI31" s="37"/>
      <c r="BJ31" s="174" t="str">
        <f t="shared" si="19"/>
        <v/>
      </c>
      <c r="BK31" s="37"/>
      <c r="BL31" s="174" t="str">
        <f t="shared" si="20"/>
        <v/>
      </c>
      <c r="BM31" s="37"/>
      <c r="BN31" s="174" t="str">
        <f t="shared" si="21"/>
        <v/>
      </c>
      <c r="BO31" s="37"/>
      <c r="BP31" s="174" t="str">
        <f t="shared" si="22"/>
        <v/>
      </c>
      <c r="BQ31" s="37"/>
      <c r="BR31" s="174" t="str">
        <f t="shared" si="23"/>
        <v/>
      </c>
      <c r="BS31" s="37"/>
      <c r="BT31" s="174" t="str">
        <f t="shared" si="24"/>
        <v/>
      </c>
      <c r="BU31" s="37"/>
      <c r="BV31" s="174" t="str">
        <f t="shared" si="25"/>
        <v/>
      </c>
      <c r="BW31" s="37"/>
      <c r="BX31" s="174" t="str">
        <f t="shared" si="26"/>
        <v/>
      </c>
      <c r="BY31" s="37"/>
      <c r="BZ31" s="174" t="str">
        <f t="shared" si="27"/>
        <v/>
      </c>
      <c r="CA31" s="37"/>
      <c r="CB31" s="174" t="str">
        <f t="shared" si="28"/>
        <v/>
      </c>
      <c r="CC31" s="37"/>
      <c r="CD31" s="174" t="str">
        <f t="shared" si="29"/>
        <v/>
      </c>
      <c r="CE31" s="37"/>
      <c r="CF31" s="174" t="str">
        <f t="shared" si="30"/>
        <v/>
      </c>
      <c r="CG31" s="37"/>
      <c r="CH31" s="174" t="str">
        <f t="shared" si="31"/>
        <v/>
      </c>
      <c r="CI31" s="37"/>
      <c r="CJ31" s="174" t="str">
        <f t="shared" si="32"/>
        <v/>
      </c>
      <c r="CK31" s="37"/>
      <c r="CL31" s="174" t="str">
        <f t="shared" si="33"/>
        <v/>
      </c>
      <c r="CM31" s="37"/>
      <c r="CN31" s="174" t="str">
        <f t="shared" si="34"/>
        <v/>
      </c>
      <c r="CO31" s="37"/>
      <c r="CP31" s="174" t="str">
        <f t="shared" si="35"/>
        <v/>
      </c>
      <c r="CQ31" s="37"/>
      <c r="CR31" s="174" t="str">
        <f t="shared" si="36"/>
        <v/>
      </c>
      <c r="CS31" s="37"/>
      <c r="CT31" s="174" t="str">
        <f t="shared" si="37"/>
        <v/>
      </c>
      <c r="CU31" s="38"/>
      <c r="CV31" s="87"/>
      <c r="CW31" s="90"/>
      <c r="CX31" s="38"/>
      <c r="CY31" s="39"/>
      <c r="CZ31" s="37"/>
      <c r="DA31" s="39"/>
      <c r="DB31" s="24">
        <v>27</v>
      </c>
      <c r="DC31" s="96" t="str">
        <f t="shared" si="38"/>
        <v>土</v>
      </c>
      <c r="DF31" s="125"/>
      <c r="DG31" s="40"/>
      <c r="DH31" s="40"/>
      <c r="DI31" s="40"/>
      <c r="DJ31" s="40"/>
      <c r="DK31" s="40"/>
      <c r="DL31" s="40"/>
      <c r="DM31" s="40"/>
      <c r="DN31" s="40"/>
      <c r="DO31" s="40"/>
      <c r="DP31" s="40">
        <f t="shared" si="39"/>
        <v>0</v>
      </c>
      <c r="DQ31" s="172" t="str">
        <f t="shared" si="40"/>
        <v/>
      </c>
      <c r="DS31" s="189"/>
      <c r="DT31" s="190"/>
      <c r="DU31" s="190"/>
      <c r="DV31" s="191"/>
      <c r="DW31" s="138"/>
      <c r="DX31" s="42"/>
    </row>
    <row r="32" spans="1:128" ht="13.5" customHeight="1" x14ac:dyDescent="0.4">
      <c r="A32" s="104">
        <v>28</v>
      </c>
      <c r="B32" s="23" t="s">
        <v>89</v>
      </c>
      <c r="C32" s="164"/>
      <c r="D32" s="164"/>
      <c r="E32" s="24"/>
      <c r="F32" s="29"/>
      <c r="G32" s="25" t="str">
        <f>IF(SUM($F$5:F32)=0,"",SUM($F$5:F32))</f>
        <v/>
      </c>
      <c r="H32" s="43" t="str">
        <f t="shared" si="0"/>
        <v/>
      </c>
      <c r="I32" s="148" t="e">
        <f t="array" aca="1" ref="I32" ca="1">IF($A33="",$G32/($V32-$U$5+INDIRECT(IF(_xlfn.SHEET()&lt;6,"令和8年"&amp;_xlfn.SHEET()+7&amp;"月","令和9年"&amp;_xlfn.SHEET()-5&amp;"月")&amp;"!$U$5")),$G32/($V33-$U$5))</f>
        <v>#VALUE!</v>
      </c>
      <c r="J32" s="26" t="str">
        <f t="shared" si="1"/>
        <v/>
      </c>
      <c r="K32" s="27"/>
      <c r="L32" s="165">
        <f t="shared" si="2"/>
        <v>0</v>
      </c>
      <c r="M32" s="28" t="str">
        <f t="shared" si="3"/>
        <v/>
      </c>
      <c r="N32" s="166" t="str">
        <f t="shared" si="4"/>
        <v/>
      </c>
      <c r="O32" s="167" t="str">
        <f t="shared" si="5"/>
        <v/>
      </c>
      <c r="P32" s="168"/>
      <c r="Q32" s="169" t="str">
        <f t="shared" si="6"/>
        <v/>
      </c>
      <c r="R32" s="170">
        <v>22</v>
      </c>
      <c r="S32" s="171">
        <v>15</v>
      </c>
      <c r="T32" s="24" t="s">
        <v>84</v>
      </c>
      <c r="U32" s="29">
        <v>431407</v>
      </c>
      <c r="V32" s="30">
        <f t="shared" si="41"/>
        <v>9432645</v>
      </c>
      <c r="W32" s="27">
        <v>304</v>
      </c>
      <c r="X32" s="31">
        <f t="shared" si="7"/>
        <v>1419.1019736842106</v>
      </c>
      <c r="Y32" s="29">
        <v>322058</v>
      </c>
      <c r="Z32" s="32">
        <f t="shared" si="42"/>
        <v>10846204</v>
      </c>
      <c r="AA32" s="33">
        <f t="shared" si="8"/>
        <v>0.86967246789752428</v>
      </c>
      <c r="AB32" s="158">
        <v>650000</v>
      </c>
      <c r="AC32" s="34">
        <f t="shared" si="43"/>
        <v>10220000</v>
      </c>
      <c r="AD32" s="158"/>
      <c r="AE32" s="25"/>
      <c r="AF32" s="25"/>
      <c r="AG32" s="25"/>
      <c r="AH32" s="25"/>
      <c r="AI32" s="25"/>
      <c r="AJ32" s="25"/>
      <c r="AK32" s="25"/>
      <c r="AL32" s="158"/>
      <c r="AM32" s="25"/>
      <c r="AN32" s="158"/>
      <c r="AO32" s="25"/>
      <c r="AP32" s="25"/>
      <c r="AQ32" s="158"/>
      <c r="AR32" s="35">
        <f t="shared" si="9"/>
        <v>0</v>
      </c>
      <c r="AS32" s="172" t="str">
        <f t="shared" si="10"/>
        <v/>
      </c>
      <c r="AT32" s="36">
        <f t="shared" si="11"/>
        <v>0</v>
      </c>
      <c r="AU32" s="173"/>
      <c r="AV32" s="82">
        <f t="shared" si="12"/>
        <v>28</v>
      </c>
      <c r="AW32" s="37"/>
      <c r="AX32" s="174" t="str">
        <f t="shared" si="13"/>
        <v/>
      </c>
      <c r="AY32" s="37"/>
      <c r="AZ32" s="174" t="str">
        <f t="shared" si="14"/>
        <v/>
      </c>
      <c r="BA32" s="37"/>
      <c r="BB32" s="174" t="str">
        <f t="shared" si="15"/>
        <v/>
      </c>
      <c r="BC32" s="37"/>
      <c r="BD32" s="174" t="str">
        <f t="shared" si="16"/>
        <v/>
      </c>
      <c r="BE32" s="37"/>
      <c r="BF32" s="174" t="str">
        <f t="shared" si="17"/>
        <v/>
      </c>
      <c r="BG32" s="37"/>
      <c r="BH32" s="174" t="str">
        <f t="shared" si="18"/>
        <v/>
      </c>
      <c r="BI32" s="37"/>
      <c r="BJ32" s="174" t="str">
        <f t="shared" si="19"/>
        <v/>
      </c>
      <c r="BK32" s="37"/>
      <c r="BL32" s="174" t="str">
        <f t="shared" si="20"/>
        <v/>
      </c>
      <c r="BM32" s="37"/>
      <c r="BN32" s="174" t="str">
        <f t="shared" si="21"/>
        <v/>
      </c>
      <c r="BO32" s="37"/>
      <c r="BP32" s="174" t="str">
        <f t="shared" si="22"/>
        <v/>
      </c>
      <c r="BQ32" s="37"/>
      <c r="BR32" s="174" t="str">
        <f t="shared" si="23"/>
        <v/>
      </c>
      <c r="BS32" s="37"/>
      <c r="BT32" s="174" t="str">
        <f t="shared" si="24"/>
        <v/>
      </c>
      <c r="BU32" s="37"/>
      <c r="BV32" s="174" t="str">
        <f t="shared" si="25"/>
        <v/>
      </c>
      <c r="BW32" s="37"/>
      <c r="BX32" s="174" t="str">
        <f t="shared" si="26"/>
        <v/>
      </c>
      <c r="BY32" s="37"/>
      <c r="BZ32" s="174" t="str">
        <f t="shared" si="27"/>
        <v/>
      </c>
      <c r="CA32" s="37"/>
      <c r="CB32" s="174" t="str">
        <f t="shared" si="28"/>
        <v/>
      </c>
      <c r="CC32" s="37"/>
      <c r="CD32" s="174" t="str">
        <f t="shared" si="29"/>
        <v/>
      </c>
      <c r="CE32" s="37"/>
      <c r="CF32" s="174" t="str">
        <f t="shared" si="30"/>
        <v/>
      </c>
      <c r="CG32" s="37"/>
      <c r="CH32" s="174" t="str">
        <f t="shared" si="31"/>
        <v/>
      </c>
      <c r="CI32" s="37"/>
      <c r="CJ32" s="174" t="str">
        <f t="shared" si="32"/>
        <v/>
      </c>
      <c r="CK32" s="37"/>
      <c r="CL32" s="174" t="str">
        <f t="shared" si="33"/>
        <v/>
      </c>
      <c r="CM32" s="37"/>
      <c r="CN32" s="174" t="str">
        <f t="shared" si="34"/>
        <v/>
      </c>
      <c r="CO32" s="37"/>
      <c r="CP32" s="174" t="str">
        <f t="shared" si="35"/>
        <v/>
      </c>
      <c r="CQ32" s="37"/>
      <c r="CR32" s="174" t="str">
        <f t="shared" si="36"/>
        <v/>
      </c>
      <c r="CS32" s="37"/>
      <c r="CT32" s="174" t="str">
        <f t="shared" si="37"/>
        <v/>
      </c>
      <c r="CU32" s="38"/>
      <c r="CV32" s="87"/>
      <c r="CW32" s="90"/>
      <c r="CX32" s="38"/>
      <c r="CY32" s="39"/>
      <c r="CZ32" s="37"/>
      <c r="DA32" s="39"/>
      <c r="DB32" s="24">
        <v>28</v>
      </c>
      <c r="DC32" s="96" t="str">
        <f t="shared" si="38"/>
        <v>日</v>
      </c>
      <c r="DF32" s="125"/>
      <c r="DG32" s="40"/>
      <c r="DH32" s="40"/>
      <c r="DI32" s="40"/>
      <c r="DJ32" s="40"/>
      <c r="DK32" s="40"/>
      <c r="DL32" s="40"/>
      <c r="DM32" s="40"/>
      <c r="DN32" s="40"/>
      <c r="DO32" s="40"/>
      <c r="DP32" s="40">
        <f t="shared" si="39"/>
        <v>0</v>
      </c>
      <c r="DQ32" s="172" t="str">
        <f t="shared" si="40"/>
        <v/>
      </c>
      <c r="DS32" s="189"/>
      <c r="DT32" s="190"/>
      <c r="DU32" s="190"/>
      <c r="DV32" s="191"/>
      <c r="DW32" s="41"/>
      <c r="DX32" s="42"/>
    </row>
    <row r="33" spans="1:128" ht="13.5" customHeight="1" x14ac:dyDescent="0.4">
      <c r="A33" s="104">
        <v>29</v>
      </c>
      <c r="B33" s="23" t="s">
        <v>90</v>
      </c>
      <c r="C33" s="164"/>
      <c r="D33" s="164"/>
      <c r="E33" s="24"/>
      <c r="F33" s="29"/>
      <c r="G33" s="25" t="str">
        <f>IF(SUM($F$5:F33)=0,"",SUM($F$5:F33))</f>
        <v/>
      </c>
      <c r="H33" s="43" t="str">
        <f t="shared" si="0"/>
        <v/>
      </c>
      <c r="I33" s="148" t="e">
        <f t="array" aca="1" ref="I33" ca="1">IF($A34="",$G33/($V33-$U$5+INDIRECT(IF(_xlfn.SHEET()&lt;6,"令和8年"&amp;_xlfn.SHEET()+7&amp;"月","令和9年"&amp;_xlfn.SHEET()-5&amp;"月")&amp;"!$U$5")),$G33/($V34-$U$5))</f>
        <v>#VALUE!</v>
      </c>
      <c r="J33" s="26" t="str">
        <f t="shared" si="1"/>
        <v/>
      </c>
      <c r="K33" s="27"/>
      <c r="L33" s="165">
        <f t="shared" si="2"/>
        <v>0</v>
      </c>
      <c r="M33" s="28" t="str">
        <f t="shared" si="3"/>
        <v/>
      </c>
      <c r="N33" s="166" t="str">
        <f t="shared" si="4"/>
        <v/>
      </c>
      <c r="O33" s="167" t="str">
        <f t="shared" si="5"/>
        <v/>
      </c>
      <c r="P33" s="168"/>
      <c r="Q33" s="169" t="str">
        <f t="shared" si="6"/>
        <v/>
      </c>
      <c r="R33" s="170">
        <v>23</v>
      </c>
      <c r="S33" s="171">
        <v>10</v>
      </c>
      <c r="T33" s="24" t="s">
        <v>84</v>
      </c>
      <c r="U33" s="29">
        <v>681260</v>
      </c>
      <c r="V33" s="30">
        <f t="shared" si="41"/>
        <v>10113905</v>
      </c>
      <c r="W33" s="27">
        <v>341</v>
      </c>
      <c r="X33" s="31">
        <f t="shared" si="7"/>
        <v>1997.8299120234603</v>
      </c>
      <c r="Y33" s="29">
        <v>576430</v>
      </c>
      <c r="Z33" s="32">
        <f t="shared" si="42"/>
        <v>11422634</v>
      </c>
      <c r="AA33" s="33">
        <f t="shared" si="8"/>
        <v>0.88542668880049913</v>
      </c>
      <c r="AB33" s="158">
        <v>230000</v>
      </c>
      <c r="AC33" s="34">
        <f t="shared" si="43"/>
        <v>10450000</v>
      </c>
      <c r="AD33" s="158"/>
      <c r="AE33" s="25"/>
      <c r="AF33" s="25"/>
      <c r="AG33" s="25"/>
      <c r="AH33" s="25"/>
      <c r="AI33" s="25"/>
      <c r="AJ33" s="25"/>
      <c r="AK33" s="25"/>
      <c r="AL33" s="158"/>
      <c r="AM33" s="25"/>
      <c r="AN33" s="158"/>
      <c r="AO33" s="25"/>
      <c r="AP33" s="25"/>
      <c r="AQ33" s="158"/>
      <c r="AR33" s="35">
        <f t="shared" si="9"/>
        <v>0</v>
      </c>
      <c r="AS33" s="172" t="str">
        <f t="shared" si="10"/>
        <v/>
      </c>
      <c r="AT33" s="36">
        <f t="shared" si="11"/>
        <v>0</v>
      </c>
      <c r="AU33" s="173"/>
      <c r="AV33" s="82">
        <f t="shared" si="12"/>
        <v>29</v>
      </c>
      <c r="AW33" s="37"/>
      <c r="AX33" s="174" t="str">
        <f t="shared" si="13"/>
        <v/>
      </c>
      <c r="AY33" s="37"/>
      <c r="AZ33" s="174" t="str">
        <f t="shared" si="14"/>
        <v/>
      </c>
      <c r="BA33" s="37"/>
      <c r="BB33" s="174" t="str">
        <f t="shared" si="15"/>
        <v/>
      </c>
      <c r="BC33" s="37"/>
      <c r="BD33" s="174" t="str">
        <f t="shared" si="16"/>
        <v/>
      </c>
      <c r="BE33" s="37"/>
      <c r="BF33" s="174" t="str">
        <f t="shared" si="17"/>
        <v/>
      </c>
      <c r="BG33" s="37"/>
      <c r="BH33" s="174" t="str">
        <f t="shared" si="18"/>
        <v/>
      </c>
      <c r="BI33" s="37"/>
      <c r="BJ33" s="174" t="str">
        <f t="shared" si="19"/>
        <v/>
      </c>
      <c r="BK33" s="37"/>
      <c r="BL33" s="174" t="str">
        <f t="shared" si="20"/>
        <v/>
      </c>
      <c r="BM33" s="37"/>
      <c r="BN33" s="174" t="str">
        <f t="shared" si="21"/>
        <v/>
      </c>
      <c r="BO33" s="37"/>
      <c r="BP33" s="174" t="str">
        <f t="shared" si="22"/>
        <v/>
      </c>
      <c r="BQ33" s="37"/>
      <c r="BR33" s="174" t="str">
        <f t="shared" si="23"/>
        <v/>
      </c>
      <c r="BS33" s="37"/>
      <c r="BT33" s="174" t="str">
        <f t="shared" si="24"/>
        <v/>
      </c>
      <c r="BU33" s="37"/>
      <c r="BV33" s="174" t="str">
        <f t="shared" si="25"/>
        <v/>
      </c>
      <c r="BW33" s="37"/>
      <c r="BX33" s="174" t="str">
        <f t="shared" si="26"/>
        <v/>
      </c>
      <c r="BY33" s="37"/>
      <c r="BZ33" s="174" t="str">
        <f t="shared" si="27"/>
        <v/>
      </c>
      <c r="CA33" s="37"/>
      <c r="CB33" s="174" t="str">
        <f t="shared" si="28"/>
        <v/>
      </c>
      <c r="CC33" s="37"/>
      <c r="CD33" s="174" t="str">
        <f t="shared" si="29"/>
        <v/>
      </c>
      <c r="CE33" s="37"/>
      <c r="CF33" s="174" t="str">
        <f t="shared" si="30"/>
        <v/>
      </c>
      <c r="CG33" s="37"/>
      <c r="CH33" s="174" t="str">
        <f t="shared" si="31"/>
        <v/>
      </c>
      <c r="CI33" s="37"/>
      <c r="CJ33" s="174" t="str">
        <f t="shared" si="32"/>
        <v/>
      </c>
      <c r="CK33" s="37"/>
      <c r="CL33" s="174" t="str">
        <f t="shared" si="33"/>
        <v/>
      </c>
      <c r="CM33" s="37"/>
      <c r="CN33" s="174" t="str">
        <f t="shared" si="34"/>
        <v/>
      </c>
      <c r="CO33" s="37"/>
      <c r="CP33" s="174" t="str">
        <f t="shared" si="35"/>
        <v/>
      </c>
      <c r="CQ33" s="37"/>
      <c r="CR33" s="174" t="str">
        <f t="shared" si="36"/>
        <v/>
      </c>
      <c r="CS33" s="37"/>
      <c r="CT33" s="174" t="str">
        <f t="shared" si="37"/>
        <v/>
      </c>
      <c r="CU33" s="38"/>
      <c r="CV33" s="87"/>
      <c r="CW33" s="90"/>
      <c r="CX33" s="38"/>
      <c r="CY33" s="39"/>
      <c r="CZ33" s="37"/>
      <c r="DA33" s="39"/>
      <c r="DB33" s="24">
        <v>29</v>
      </c>
      <c r="DC33" s="96" t="str">
        <f t="shared" si="38"/>
        <v>月</v>
      </c>
      <c r="DF33" s="125"/>
      <c r="DG33" s="40"/>
      <c r="DH33" s="40"/>
      <c r="DI33" s="40"/>
      <c r="DJ33" s="40"/>
      <c r="DK33" s="40"/>
      <c r="DL33" s="40"/>
      <c r="DM33" s="40"/>
      <c r="DN33" s="40"/>
      <c r="DO33" s="40"/>
      <c r="DP33" s="40">
        <f t="shared" si="39"/>
        <v>0</v>
      </c>
      <c r="DQ33" s="172" t="str">
        <f t="shared" si="40"/>
        <v/>
      </c>
      <c r="DS33" s="189"/>
      <c r="DT33" s="190"/>
      <c r="DU33" s="190"/>
      <c r="DV33" s="191"/>
      <c r="DW33" s="41"/>
      <c r="DX33" s="42"/>
    </row>
    <row r="34" spans="1:128" ht="13.5" customHeight="1" x14ac:dyDescent="0.4">
      <c r="A34" s="104">
        <v>30</v>
      </c>
      <c r="B34" s="23" t="s">
        <v>91</v>
      </c>
      <c r="C34" s="164"/>
      <c r="D34" s="164"/>
      <c r="E34" s="24"/>
      <c r="F34" s="29"/>
      <c r="G34" s="25" t="str">
        <f>IF(SUM($F$5:F34)=0,"",SUM($F$5:F34))</f>
        <v/>
      </c>
      <c r="H34" s="43" t="str">
        <f t="shared" si="0"/>
        <v/>
      </c>
      <c r="I34" s="148" t="e">
        <f t="array" aca="1" ref="I34" ca="1">IF($A35="",$G34/($V34-$U$5+INDIRECT(IF(_xlfn.SHEET()&lt;6,"令和8年"&amp;_xlfn.SHEET()+7&amp;"月","令和9年"&amp;_xlfn.SHEET()-5&amp;"月")&amp;"!$U$5")),$G34/($V35-$U$5))</f>
        <v>#VALUE!</v>
      </c>
      <c r="J34" s="26" t="str">
        <f t="shared" si="1"/>
        <v/>
      </c>
      <c r="K34" s="27"/>
      <c r="L34" s="165">
        <f t="shared" si="2"/>
        <v>0</v>
      </c>
      <c r="M34" s="28" t="str">
        <f t="shared" si="3"/>
        <v/>
      </c>
      <c r="N34" s="166" t="str">
        <f t="shared" si="4"/>
        <v/>
      </c>
      <c r="O34" s="167" t="str">
        <f t="shared" si="5"/>
        <v/>
      </c>
      <c r="P34" s="168"/>
      <c r="Q34" s="169" t="str">
        <f t="shared" si="6"/>
        <v/>
      </c>
      <c r="R34" s="170">
        <v>20</v>
      </c>
      <c r="S34" s="171">
        <v>13</v>
      </c>
      <c r="T34" s="24" t="s">
        <v>84</v>
      </c>
      <c r="U34" s="29">
        <v>250492</v>
      </c>
      <c r="V34" s="30">
        <f t="shared" si="41"/>
        <v>10364397</v>
      </c>
      <c r="W34" s="27">
        <v>188</v>
      </c>
      <c r="X34" s="31">
        <f t="shared" si="7"/>
        <v>1332.4042553191489</v>
      </c>
      <c r="Y34" s="29">
        <v>595458</v>
      </c>
      <c r="Z34" s="32">
        <f t="shared" si="42"/>
        <v>12018092</v>
      </c>
      <c r="AA34" s="33">
        <f t="shared" si="8"/>
        <v>0.86239953896175869</v>
      </c>
      <c r="AB34" s="158">
        <v>230000</v>
      </c>
      <c r="AC34" s="34">
        <f t="shared" si="43"/>
        <v>10680000</v>
      </c>
      <c r="AD34" s="158"/>
      <c r="AE34" s="25"/>
      <c r="AF34" s="25"/>
      <c r="AG34" s="25"/>
      <c r="AH34" s="25"/>
      <c r="AI34" s="25"/>
      <c r="AJ34" s="25"/>
      <c r="AK34" s="25"/>
      <c r="AL34" s="158"/>
      <c r="AM34" s="25"/>
      <c r="AN34" s="158"/>
      <c r="AO34" s="25"/>
      <c r="AP34" s="25"/>
      <c r="AQ34" s="158"/>
      <c r="AR34" s="35">
        <f t="shared" si="9"/>
        <v>0</v>
      </c>
      <c r="AS34" s="172" t="str">
        <f t="shared" si="10"/>
        <v/>
      </c>
      <c r="AT34" s="36">
        <f t="shared" si="11"/>
        <v>0</v>
      </c>
      <c r="AU34" s="173"/>
      <c r="AV34" s="82">
        <f t="shared" si="12"/>
        <v>30</v>
      </c>
      <c r="AW34" s="37"/>
      <c r="AX34" s="174" t="str">
        <f t="shared" si="13"/>
        <v/>
      </c>
      <c r="AY34" s="37"/>
      <c r="AZ34" s="174" t="str">
        <f t="shared" si="14"/>
        <v/>
      </c>
      <c r="BA34" s="37"/>
      <c r="BB34" s="174" t="str">
        <f t="shared" si="15"/>
        <v/>
      </c>
      <c r="BC34" s="37"/>
      <c r="BD34" s="174" t="str">
        <f t="shared" si="16"/>
        <v/>
      </c>
      <c r="BE34" s="37"/>
      <c r="BF34" s="174" t="str">
        <f t="shared" si="17"/>
        <v/>
      </c>
      <c r="BG34" s="37"/>
      <c r="BH34" s="174" t="str">
        <f t="shared" si="18"/>
        <v/>
      </c>
      <c r="BI34" s="37"/>
      <c r="BJ34" s="174" t="str">
        <f t="shared" si="19"/>
        <v/>
      </c>
      <c r="BK34" s="37"/>
      <c r="BL34" s="174" t="str">
        <f t="shared" si="20"/>
        <v/>
      </c>
      <c r="BM34" s="37"/>
      <c r="BN34" s="174" t="str">
        <f t="shared" si="21"/>
        <v/>
      </c>
      <c r="BO34" s="37"/>
      <c r="BP34" s="174" t="str">
        <f t="shared" si="22"/>
        <v/>
      </c>
      <c r="BQ34" s="37"/>
      <c r="BR34" s="174" t="str">
        <f t="shared" si="23"/>
        <v/>
      </c>
      <c r="BS34" s="37"/>
      <c r="BT34" s="174" t="str">
        <f t="shared" si="24"/>
        <v/>
      </c>
      <c r="BU34" s="37"/>
      <c r="BV34" s="174" t="str">
        <f t="shared" si="25"/>
        <v/>
      </c>
      <c r="BW34" s="37"/>
      <c r="BX34" s="174" t="str">
        <f t="shared" si="26"/>
        <v/>
      </c>
      <c r="BY34" s="37"/>
      <c r="BZ34" s="174" t="str">
        <f t="shared" si="27"/>
        <v/>
      </c>
      <c r="CA34" s="37"/>
      <c r="CB34" s="174" t="str">
        <f t="shared" si="28"/>
        <v/>
      </c>
      <c r="CC34" s="37"/>
      <c r="CD34" s="174" t="str">
        <f t="shared" si="29"/>
        <v/>
      </c>
      <c r="CE34" s="37"/>
      <c r="CF34" s="174" t="str">
        <f t="shared" si="30"/>
        <v/>
      </c>
      <c r="CG34" s="37"/>
      <c r="CH34" s="174" t="str">
        <f t="shared" si="31"/>
        <v/>
      </c>
      <c r="CI34" s="37"/>
      <c r="CJ34" s="174" t="str">
        <f t="shared" si="32"/>
        <v/>
      </c>
      <c r="CK34" s="37"/>
      <c r="CL34" s="174" t="str">
        <f t="shared" si="33"/>
        <v/>
      </c>
      <c r="CM34" s="37"/>
      <c r="CN34" s="174" t="str">
        <f t="shared" si="34"/>
        <v/>
      </c>
      <c r="CO34" s="37"/>
      <c r="CP34" s="174" t="str">
        <f t="shared" si="35"/>
        <v/>
      </c>
      <c r="CQ34" s="37"/>
      <c r="CR34" s="174" t="str">
        <f t="shared" si="36"/>
        <v/>
      </c>
      <c r="CS34" s="37"/>
      <c r="CT34" s="174" t="str">
        <f t="shared" si="37"/>
        <v/>
      </c>
      <c r="CU34" s="38"/>
      <c r="CV34" s="87"/>
      <c r="CW34" s="90"/>
      <c r="CX34" s="38"/>
      <c r="CY34" s="39"/>
      <c r="CZ34" s="37"/>
      <c r="DA34" s="39"/>
      <c r="DB34" s="24">
        <v>30</v>
      </c>
      <c r="DC34" s="96" t="str">
        <f t="shared" si="38"/>
        <v>火</v>
      </c>
      <c r="DF34" s="125"/>
      <c r="DG34" s="40"/>
      <c r="DH34" s="40"/>
      <c r="DI34" s="40"/>
      <c r="DJ34" s="40"/>
      <c r="DK34" s="40"/>
      <c r="DL34" s="40"/>
      <c r="DM34" s="40"/>
      <c r="DN34" s="40"/>
      <c r="DO34" s="40"/>
      <c r="DP34" s="40">
        <f t="shared" si="39"/>
        <v>0</v>
      </c>
      <c r="DQ34" s="172" t="str">
        <f t="shared" si="40"/>
        <v/>
      </c>
      <c r="DS34" s="189"/>
      <c r="DT34" s="190"/>
      <c r="DU34" s="190"/>
      <c r="DV34" s="191"/>
      <c r="DW34" s="41"/>
      <c r="DX34" s="42"/>
    </row>
    <row r="35" spans="1:128" ht="13.5" customHeight="1" thickBot="1" x14ac:dyDescent="0.45">
      <c r="A35" s="105">
        <v>31</v>
      </c>
      <c r="B35" s="23" t="s">
        <v>83</v>
      </c>
      <c r="C35" s="164"/>
      <c r="D35" s="164"/>
      <c r="E35" s="24"/>
      <c r="F35" s="29"/>
      <c r="G35" s="25" t="str">
        <f>IF(SUM($F$5:F35)=0,"",SUM($F$5:F35))</f>
        <v/>
      </c>
      <c r="H35" s="43" t="str">
        <f t="shared" si="0"/>
        <v/>
      </c>
      <c r="I35" s="148" t="e">
        <f t="array" aca="1" ref="I35" ca="1">IF($A36="",$G35/($V35-$U$5+INDIRECT(IF(_xlfn.SHEET()&lt;6,"令和8年"&amp;_xlfn.SHEET()+7&amp;"月","令和9年"&amp;_xlfn.SHEET()-5&amp;"月")&amp;"!$U$5")),$G35/($V36-$U$5))</f>
        <v>#VALUE!</v>
      </c>
      <c r="J35" s="26" t="str">
        <f t="shared" si="1"/>
        <v/>
      </c>
      <c r="K35" s="27"/>
      <c r="L35" s="165">
        <f t="shared" si="2"/>
        <v>0</v>
      </c>
      <c r="M35" s="28" t="str">
        <f t="shared" si="3"/>
        <v/>
      </c>
      <c r="N35" s="166" t="str">
        <f t="shared" si="4"/>
        <v/>
      </c>
      <c r="O35" s="167" t="str">
        <f t="shared" si="5"/>
        <v/>
      </c>
      <c r="P35" s="168"/>
      <c r="Q35" s="169" t="str">
        <f t="shared" si="6"/>
        <v/>
      </c>
      <c r="R35" s="170">
        <v>22</v>
      </c>
      <c r="S35" s="176">
        <v>5</v>
      </c>
      <c r="T35" s="24" t="s">
        <v>93</v>
      </c>
      <c r="U35" s="29">
        <v>215556</v>
      </c>
      <c r="V35" s="30">
        <f t="shared" si="41"/>
        <v>10579953</v>
      </c>
      <c r="W35" s="27">
        <v>140</v>
      </c>
      <c r="X35" s="31">
        <f t="shared" si="7"/>
        <v>1539.6857142857143</v>
      </c>
      <c r="Y35" s="29">
        <v>311520</v>
      </c>
      <c r="Z35" s="32">
        <f t="shared" si="42"/>
        <v>12329612</v>
      </c>
      <c r="AA35" s="33">
        <f t="shared" si="8"/>
        <v>0.85809293917764806</v>
      </c>
      <c r="AB35" s="158">
        <v>230000</v>
      </c>
      <c r="AC35" s="34">
        <f t="shared" si="43"/>
        <v>10910000</v>
      </c>
      <c r="AD35" s="158"/>
      <c r="AE35" s="25"/>
      <c r="AF35" s="25"/>
      <c r="AG35" s="25"/>
      <c r="AH35" s="25"/>
      <c r="AI35" s="25"/>
      <c r="AJ35" s="25"/>
      <c r="AK35" s="25"/>
      <c r="AL35" s="158"/>
      <c r="AM35" s="25"/>
      <c r="AN35" s="158"/>
      <c r="AO35" s="25"/>
      <c r="AP35" s="25"/>
      <c r="AQ35" s="158"/>
      <c r="AR35" s="35">
        <f t="shared" si="9"/>
        <v>0</v>
      </c>
      <c r="AS35" s="172" t="str">
        <f t="shared" si="10"/>
        <v/>
      </c>
      <c r="AT35" s="36">
        <f t="shared" si="11"/>
        <v>0</v>
      </c>
      <c r="AU35" s="173"/>
      <c r="AV35" s="82">
        <f t="shared" si="12"/>
        <v>31</v>
      </c>
      <c r="AW35" s="37"/>
      <c r="AX35" s="174" t="str">
        <f t="shared" si="13"/>
        <v/>
      </c>
      <c r="AY35" s="37"/>
      <c r="AZ35" s="174" t="str">
        <f t="shared" si="14"/>
        <v/>
      </c>
      <c r="BA35" s="37"/>
      <c r="BB35" s="174" t="str">
        <f t="shared" si="15"/>
        <v/>
      </c>
      <c r="BC35" s="37"/>
      <c r="BD35" s="174" t="str">
        <f t="shared" si="16"/>
        <v/>
      </c>
      <c r="BE35" s="37"/>
      <c r="BF35" s="174" t="str">
        <f t="shared" si="17"/>
        <v/>
      </c>
      <c r="BG35" s="37"/>
      <c r="BH35" s="174" t="str">
        <f t="shared" si="18"/>
        <v/>
      </c>
      <c r="BI35" s="37"/>
      <c r="BJ35" s="174" t="str">
        <f t="shared" si="19"/>
        <v/>
      </c>
      <c r="BK35" s="37"/>
      <c r="BL35" s="174" t="str">
        <f t="shared" si="20"/>
        <v/>
      </c>
      <c r="BM35" s="37"/>
      <c r="BN35" s="174" t="str">
        <f t="shared" si="21"/>
        <v/>
      </c>
      <c r="BO35" s="37"/>
      <c r="BP35" s="174" t="str">
        <f t="shared" si="22"/>
        <v/>
      </c>
      <c r="BQ35" s="37"/>
      <c r="BR35" s="174" t="str">
        <f t="shared" si="23"/>
        <v/>
      </c>
      <c r="BS35" s="37"/>
      <c r="BT35" s="174" t="str">
        <f t="shared" si="24"/>
        <v/>
      </c>
      <c r="BU35" s="37"/>
      <c r="BV35" s="174" t="str">
        <f t="shared" si="25"/>
        <v/>
      </c>
      <c r="BW35" s="37"/>
      <c r="BX35" s="174" t="str">
        <f t="shared" si="26"/>
        <v/>
      </c>
      <c r="BY35" s="37"/>
      <c r="BZ35" s="174" t="str">
        <f t="shared" si="27"/>
        <v/>
      </c>
      <c r="CA35" s="37"/>
      <c r="CB35" s="174" t="str">
        <f t="shared" si="28"/>
        <v/>
      </c>
      <c r="CC35" s="37"/>
      <c r="CD35" s="174" t="str">
        <f t="shared" si="29"/>
        <v/>
      </c>
      <c r="CE35" s="37"/>
      <c r="CF35" s="174" t="str">
        <f t="shared" si="30"/>
        <v/>
      </c>
      <c r="CG35" s="37"/>
      <c r="CH35" s="174" t="str">
        <f t="shared" si="31"/>
        <v/>
      </c>
      <c r="CI35" s="37"/>
      <c r="CJ35" s="174" t="str">
        <f t="shared" si="32"/>
        <v/>
      </c>
      <c r="CK35" s="37"/>
      <c r="CL35" s="174" t="str">
        <f t="shared" si="33"/>
        <v/>
      </c>
      <c r="CM35" s="37"/>
      <c r="CN35" s="174" t="str">
        <f t="shared" si="34"/>
        <v/>
      </c>
      <c r="CO35" s="37"/>
      <c r="CP35" s="174" t="str">
        <f t="shared" si="35"/>
        <v/>
      </c>
      <c r="CQ35" s="37"/>
      <c r="CR35" s="174" t="str">
        <f t="shared" si="36"/>
        <v/>
      </c>
      <c r="CS35" s="37"/>
      <c r="CT35" s="174" t="str">
        <f t="shared" si="37"/>
        <v/>
      </c>
      <c r="CU35" s="38"/>
      <c r="CV35" s="87"/>
      <c r="CW35" s="90"/>
      <c r="CX35" s="38"/>
      <c r="CY35" s="39"/>
      <c r="CZ35" s="37"/>
      <c r="DA35" s="39"/>
      <c r="DB35" s="24">
        <v>31</v>
      </c>
      <c r="DC35" s="96" t="str">
        <f t="shared" si="38"/>
        <v>水</v>
      </c>
      <c r="DF35" s="125"/>
      <c r="DG35" s="40"/>
      <c r="DH35" s="40"/>
      <c r="DI35" s="40"/>
      <c r="DJ35" s="40"/>
      <c r="DK35" s="40"/>
      <c r="DL35" s="40"/>
      <c r="DM35" s="40"/>
      <c r="DN35" s="40"/>
      <c r="DO35" s="40"/>
      <c r="DP35" s="40">
        <f t="shared" si="39"/>
        <v>0</v>
      </c>
      <c r="DQ35" s="172" t="str">
        <f t="shared" si="40"/>
        <v/>
      </c>
      <c r="DS35" s="189"/>
      <c r="DT35" s="190"/>
      <c r="DU35" s="190"/>
      <c r="DV35" s="191"/>
      <c r="DW35" s="41"/>
      <c r="DX35" s="42"/>
    </row>
    <row r="36" spans="1:128" ht="18.75" customHeight="1" thickTop="1" thickBot="1" x14ac:dyDescent="0.45">
      <c r="A36" s="62"/>
      <c r="B36" s="103"/>
      <c r="C36" s="103"/>
      <c r="D36" s="103"/>
      <c r="E36" s="44" t="s">
        <v>95</v>
      </c>
      <c r="F36" s="25">
        <f>SUM(F5:F35)</f>
        <v>0</v>
      </c>
      <c r="G36" s="25"/>
      <c r="H36" s="43"/>
      <c r="I36" s="148"/>
      <c r="J36" s="26"/>
      <c r="K36" s="45">
        <f>SUM(K4:K35)</f>
        <v>0</v>
      </c>
      <c r="L36" s="165">
        <f t="shared" si="2"/>
        <v>0</v>
      </c>
      <c r="M36" s="46"/>
      <c r="N36" s="47" t="str">
        <f t="shared" si="4"/>
        <v/>
      </c>
      <c r="O36" s="48"/>
      <c r="P36" s="177"/>
      <c r="Q36" s="178"/>
      <c r="R36" s="49"/>
      <c r="S36" s="128"/>
      <c r="T36" s="50" t="s">
        <v>95</v>
      </c>
      <c r="U36" s="51">
        <f>SUM(U5:U35)</f>
        <v>10579953</v>
      </c>
      <c r="V36" s="30"/>
      <c r="W36" s="52">
        <f>SUM(W5:W35)</f>
        <v>6453</v>
      </c>
      <c r="X36" s="53"/>
      <c r="Y36" s="25">
        <f>SUM(Y5:Y35)</f>
        <v>12329612</v>
      </c>
      <c r="Z36" s="32"/>
      <c r="AA36" s="54"/>
      <c r="AB36" s="55"/>
      <c r="AC36" s="54"/>
      <c r="AD36" s="158">
        <f t="shared" ref="AD36:AR36" si="44">SUM(AD5:AD35)</f>
        <v>0</v>
      </c>
      <c r="AE36" s="25">
        <f t="shared" si="44"/>
        <v>0</v>
      </c>
      <c r="AF36" s="25">
        <f t="shared" si="44"/>
        <v>0</v>
      </c>
      <c r="AG36" s="25">
        <f t="shared" si="44"/>
        <v>0</v>
      </c>
      <c r="AH36" s="25">
        <f t="shared" si="44"/>
        <v>0</v>
      </c>
      <c r="AI36" s="25">
        <f t="shared" si="44"/>
        <v>0</v>
      </c>
      <c r="AJ36" s="25">
        <f t="shared" si="44"/>
        <v>0</v>
      </c>
      <c r="AK36" s="25">
        <f t="shared" si="44"/>
        <v>0</v>
      </c>
      <c r="AL36" s="25">
        <f t="shared" si="44"/>
        <v>0</v>
      </c>
      <c r="AM36" s="25">
        <f t="shared" si="44"/>
        <v>0</v>
      </c>
      <c r="AN36" s="25">
        <f t="shared" si="44"/>
        <v>0</v>
      </c>
      <c r="AO36" s="25">
        <f t="shared" si="44"/>
        <v>0</v>
      </c>
      <c r="AP36" s="25">
        <f t="shared" si="44"/>
        <v>0</v>
      </c>
      <c r="AQ36" s="158">
        <f t="shared" si="44"/>
        <v>0</v>
      </c>
      <c r="AR36" s="56">
        <f t="shared" si="44"/>
        <v>0</v>
      </c>
      <c r="AS36" s="179" t="str">
        <f>IF(ISERROR((AR36/$F36)),"",AR36/$F36)</f>
        <v/>
      </c>
      <c r="AT36" s="77">
        <f>SUM(AT5:AT35)</f>
        <v>0</v>
      </c>
      <c r="AU36" s="173"/>
      <c r="AV36" s="83" t="s">
        <v>95</v>
      </c>
      <c r="AW36" s="57">
        <f>SUM(AW5:AW35)</f>
        <v>0</v>
      </c>
      <c r="AX36" s="57"/>
      <c r="AY36" s="57">
        <f>SUM(AY5:AY35)</f>
        <v>0</v>
      </c>
      <c r="AZ36" s="57"/>
      <c r="BA36" s="57">
        <f>SUM(BA5:BA35)</f>
        <v>0</v>
      </c>
      <c r="BB36" s="57"/>
      <c r="BC36" s="57">
        <f>SUM(BC5:BC35)</f>
        <v>0</v>
      </c>
      <c r="BD36" s="57"/>
      <c r="BE36" s="57">
        <f>SUM(BE5:BE35)</f>
        <v>0</v>
      </c>
      <c r="BF36" s="57"/>
      <c r="BG36" s="57">
        <f>SUM(BG5:BG35)</f>
        <v>0</v>
      </c>
      <c r="BH36" s="57"/>
      <c r="BI36" s="57">
        <f>SUM(BI5:BI35)</f>
        <v>0</v>
      </c>
      <c r="BJ36" s="57"/>
      <c r="BK36" s="57">
        <f>SUM(BK5:BK35)</f>
        <v>0</v>
      </c>
      <c r="BL36" s="57"/>
      <c r="BM36" s="57">
        <f>SUM(BM5:BM35)</f>
        <v>0</v>
      </c>
      <c r="BN36" s="57"/>
      <c r="BO36" s="57">
        <f>SUM(BO5:BO35)</f>
        <v>0</v>
      </c>
      <c r="BP36" s="57"/>
      <c r="BQ36" s="57">
        <f>SUM(BQ5:BQ35)</f>
        <v>0</v>
      </c>
      <c r="BR36" s="57"/>
      <c r="BS36" s="57">
        <f>SUM(BS5:BS35)</f>
        <v>0</v>
      </c>
      <c r="BT36" s="57"/>
      <c r="BU36" s="57">
        <f>SUM(BU5:BU35)</f>
        <v>0</v>
      </c>
      <c r="BV36" s="57"/>
      <c r="BW36" s="57">
        <f>SUM(BW5:BW35)</f>
        <v>0</v>
      </c>
      <c r="BX36" s="57"/>
      <c r="BY36" s="57">
        <f>SUM(BY5:BY35)</f>
        <v>0</v>
      </c>
      <c r="BZ36" s="57"/>
      <c r="CA36" s="57">
        <f>SUM(CA5:CA35)</f>
        <v>0</v>
      </c>
      <c r="CB36" s="57"/>
      <c r="CC36" s="57">
        <f>SUM(CC5:CC35)</f>
        <v>0</v>
      </c>
      <c r="CD36" s="58"/>
      <c r="CE36" s="57">
        <f>SUM(CE5:CE35)</f>
        <v>0</v>
      </c>
      <c r="CF36" s="58"/>
      <c r="CG36" s="57">
        <f>SUM(CG5:CG35)</f>
        <v>0</v>
      </c>
      <c r="CH36" s="57"/>
      <c r="CI36" s="57">
        <f>SUM(CI5:CI35)</f>
        <v>0</v>
      </c>
      <c r="CJ36" s="58"/>
      <c r="CK36" s="57">
        <f>SUM(CK5:CK35)</f>
        <v>0</v>
      </c>
      <c r="CL36" s="58"/>
      <c r="CM36" s="57">
        <f>SUM(CM5:CM35)</f>
        <v>0</v>
      </c>
      <c r="CN36" s="57"/>
      <c r="CO36" s="57">
        <f>SUM(CO5:CO35)</f>
        <v>0</v>
      </c>
      <c r="CP36" s="58"/>
      <c r="CQ36" s="57">
        <f>SUM(CQ5:CQ35)</f>
        <v>0</v>
      </c>
      <c r="CR36" s="58"/>
      <c r="CS36" s="57">
        <f>SUM(CS5:CS35)</f>
        <v>0</v>
      </c>
      <c r="CT36" s="60"/>
      <c r="CU36" s="59">
        <f>SUM(CU5:CU35)</f>
        <v>0</v>
      </c>
      <c r="CV36" s="60">
        <f>SUM(CV5:CV35)</f>
        <v>0</v>
      </c>
      <c r="CW36" s="91"/>
      <c r="CX36" s="59">
        <f>SUM(CX5:CX35)</f>
        <v>0</v>
      </c>
      <c r="CY36" s="39">
        <f>SUM(CY5:CY35)</f>
        <v>0</v>
      </c>
      <c r="CZ36" s="57">
        <f>SUM(CZ5:CZ35)</f>
        <v>0</v>
      </c>
      <c r="DA36" s="61">
        <f>SUM(DA5:DA35)</f>
        <v>0</v>
      </c>
      <c r="DB36" s="44"/>
      <c r="DC36" s="96"/>
      <c r="DF36" s="125">
        <f t="shared" ref="DF36:DP36" si="45">SUM(DF5:DF35)</f>
        <v>0</v>
      </c>
      <c r="DG36" s="40">
        <f t="shared" si="45"/>
        <v>0</v>
      </c>
      <c r="DH36" s="40">
        <f t="shared" si="45"/>
        <v>0</v>
      </c>
      <c r="DI36" s="40">
        <f t="shared" si="45"/>
        <v>0</v>
      </c>
      <c r="DJ36" s="40">
        <f t="shared" si="45"/>
        <v>0</v>
      </c>
      <c r="DK36" s="40">
        <f t="shared" si="45"/>
        <v>0</v>
      </c>
      <c r="DL36" s="40">
        <f t="shared" si="45"/>
        <v>0</v>
      </c>
      <c r="DM36" s="40">
        <f t="shared" si="45"/>
        <v>0</v>
      </c>
      <c r="DN36" s="40">
        <f t="shared" si="45"/>
        <v>0</v>
      </c>
      <c r="DO36" s="40">
        <f t="shared" si="45"/>
        <v>0</v>
      </c>
      <c r="DP36" s="40">
        <f t="shared" si="45"/>
        <v>0</v>
      </c>
      <c r="DQ36" s="179" t="str">
        <f>IF(ISERROR((DP36/$F36)),"",DP36/$F36)</f>
        <v/>
      </c>
      <c r="DS36" s="198" t="s">
        <v>96</v>
      </c>
      <c r="DT36" s="199"/>
      <c r="DU36" s="199"/>
      <c r="DV36" s="199"/>
      <c r="DW36" s="199"/>
      <c r="DX36" s="199"/>
    </row>
    <row r="37" spans="1:128" ht="19.149999999999999" customHeight="1" thickTop="1" thickBot="1" x14ac:dyDescent="0.45">
      <c r="E37" s="62" t="s">
        <v>97</v>
      </c>
      <c r="F37" s="66" t="str">
        <f>IF(ISERROR(AVERAGE(F5:F35)),"",AVERAGE(F5:F35))</f>
        <v/>
      </c>
      <c r="G37" s="66"/>
      <c r="H37" s="100" t="str">
        <f>IF(ISERROR(F37/U37),"",(F37/U37))</f>
        <v/>
      </c>
      <c r="I37" s="149"/>
      <c r="J37" s="101" t="str">
        <f>IF(ISERROR(F37/AC5),"",(F37/AC5))</f>
        <v/>
      </c>
      <c r="K37" s="102" t="str">
        <f>IF(ISERROR(AVERAGE(K4:K35)),"",AVERAGE(K4:K35))</f>
        <v/>
      </c>
      <c r="L37" s="180" t="str">
        <f t="shared" si="2"/>
        <v/>
      </c>
      <c r="M37" s="102" t="str">
        <f>IF(ISERROR(AVERAGE(M4:M35)),"",AVERAGE(M4:M35))</f>
        <v/>
      </c>
      <c r="N37" s="181" t="str">
        <f t="shared" si="4"/>
        <v/>
      </c>
      <c r="O37" s="182" t="e">
        <f>AVERAGE(O4:O35)</f>
        <v>#DIV/0!</v>
      </c>
      <c r="P37" s="183"/>
      <c r="Q37" s="184" t="e">
        <f>AVERAGE(Q4:Q35)</f>
        <v>#DIV/0!</v>
      </c>
      <c r="T37" s="62" t="s">
        <v>97</v>
      </c>
      <c r="U37" s="63">
        <f>IF(ISERROR(AVERAGE(U5:U35)),"",AVERAGE(U5:U35))</f>
        <v>341288.80645161291</v>
      </c>
      <c r="V37" s="64"/>
      <c r="W37" s="65">
        <f>IF(ISERROR(AVERAGE(W5:W35)),"",AVERAGE(W5:W35))</f>
        <v>208.16129032258064</v>
      </c>
      <c r="X37" s="65">
        <f>IF(ISERROR(AVERAGE(X5:X35)),"",AVERAGE(X5:X35))</f>
        <v>1651.8490178121501</v>
      </c>
      <c r="Y37" s="66">
        <f>IF(ISERROR(AVERAGE(Y5:Y35)),"",AVERAGE(Y5:Y35))</f>
        <v>397729.41935483873</v>
      </c>
      <c r="Z37" s="66"/>
      <c r="AA37" s="67"/>
      <c r="AB37" s="201" t="s">
        <v>98</v>
      </c>
      <c r="AC37" s="202"/>
      <c r="AD37" s="68" t="str">
        <f t="shared" ref="AD37:AQ37" si="46">IF(ISERROR(AVERAGE(AD5:AD35)),"",AVERAGE(AD5:AD35))</f>
        <v/>
      </c>
      <c r="AE37" s="66" t="str">
        <f t="shared" si="46"/>
        <v/>
      </c>
      <c r="AF37" s="66" t="str">
        <f t="shared" si="46"/>
        <v/>
      </c>
      <c r="AG37" s="66" t="str">
        <f t="shared" si="46"/>
        <v/>
      </c>
      <c r="AH37" s="66" t="str">
        <f t="shared" si="46"/>
        <v/>
      </c>
      <c r="AI37" s="66" t="str">
        <f t="shared" si="46"/>
        <v/>
      </c>
      <c r="AJ37" s="66" t="str">
        <f t="shared" si="46"/>
        <v/>
      </c>
      <c r="AK37" s="66" t="str">
        <f t="shared" si="46"/>
        <v/>
      </c>
      <c r="AL37" s="66" t="str">
        <f t="shared" si="46"/>
        <v/>
      </c>
      <c r="AM37" s="66" t="str">
        <f t="shared" si="46"/>
        <v/>
      </c>
      <c r="AN37" s="66" t="str">
        <f t="shared" si="46"/>
        <v/>
      </c>
      <c r="AO37" s="66" t="str">
        <f t="shared" si="46"/>
        <v/>
      </c>
      <c r="AP37" s="66" t="str">
        <f t="shared" si="46"/>
        <v/>
      </c>
      <c r="AQ37" s="69" t="str">
        <f t="shared" si="46"/>
        <v/>
      </c>
      <c r="AR37" s="70"/>
      <c r="AS37" s="185"/>
      <c r="AT37" s="185"/>
      <c r="AU37" s="186"/>
      <c r="AV37" s="84" t="s">
        <v>97</v>
      </c>
      <c r="AW37" s="72" t="str">
        <f>IF(ISERROR(AVERAGE(AW5:AW35)),"",AVERAGE(AW5:AW35))</f>
        <v/>
      </c>
      <c r="AX37" s="187" t="e">
        <f>AVERAGE(AX5:AX35)</f>
        <v>#DIV/0!</v>
      </c>
      <c r="AY37" s="72" t="str">
        <f>IF(ISERROR(AVERAGE(AY5:AY35)),"",AVERAGE(AY5:AY35))</f>
        <v/>
      </c>
      <c r="AZ37" s="187" t="e">
        <f>AVERAGE(AZ5:AZ35)</f>
        <v>#DIV/0!</v>
      </c>
      <c r="BA37" s="72" t="str">
        <f>IF(ISERROR(AVERAGE(BA5:BA35)),"",AVERAGE(BA5:BA35))</f>
        <v/>
      </c>
      <c r="BB37" s="187" t="e">
        <f>AVERAGE(BB5:BB35)</f>
        <v>#DIV/0!</v>
      </c>
      <c r="BC37" s="72" t="str">
        <f>IF(ISERROR(AVERAGE(BC5:BC35)),"",AVERAGE(BC5:BC35))</f>
        <v/>
      </c>
      <c r="BD37" s="187" t="e">
        <f>AVERAGE(BD5:BD35)</f>
        <v>#DIV/0!</v>
      </c>
      <c r="BE37" s="72" t="str">
        <f>IF(ISERROR(AVERAGE(BE5:BE35)),"",AVERAGE(BE5:BE35))</f>
        <v/>
      </c>
      <c r="BF37" s="187" t="e">
        <f>AVERAGE(BF5:BF35)</f>
        <v>#DIV/0!</v>
      </c>
      <c r="BG37" s="72" t="str">
        <f>IF(ISERROR(AVERAGE(BG5:BG35)),"",AVERAGE(BG5:BG35))</f>
        <v/>
      </c>
      <c r="BH37" s="187" t="e">
        <f>AVERAGE(BH5:BH35)</f>
        <v>#DIV/0!</v>
      </c>
      <c r="BI37" s="72" t="str">
        <f>IF(ISERROR(AVERAGE(BI5:BI35)),"",AVERAGE(BI5:BI35))</f>
        <v/>
      </c>
      <c r="BJ37" s="187" t="e">
        <f>AVERAGE(BJ5:BJ35)</f>
        <v>#DIV/0!</v>
      </c>
      <c r="BK37" s="72" t="str">
        <f>IF(ISERROR(AVERAGE(BK5:BK35)),"",AVERAGE(BK5:BK35))</f>
        <v/>
      </c>
      <c r="BL37" s="187" t="e">
        <f>AVERAGE(BL5:BL35)</f>
        <v>#DIV/0!</v>
      </c>
      <c r="BM37" s="72" t="str">
        <f>IF(ISERROR(AVERAGE(BM5:BM35)),"",AVERAGE(BM5:BM35))</f>
        <v/>
      </c>
      <c r="BN37" s="187" t="e">
        <f>AVERAGE(BN5:BN35)</f>
        <v>#DIV/0!</v>
      </c>
      <c r="BO37" s="72" t="str">
        <f>IF(ISERROR(AVERAGE(BO5:BO35)),"",AVERAGE(BO5:BO35))</f>
        <v/>
      </c>
      <c r="BP37" s="187" t="e">
        <f>AVERAGE(BP5:BP35)</f>
        <v>#DIV/0!</v>
      </c>
      <c r="BQ37" s="72" t="str">
        <f>IF(ISERROR(AVERAGE(BQ5:BQ35)),"",AVERAGE(BQ5:BQ35))</f>
        <v/>
      </c>
      <c r="BR37" s="187" t="e">
        <f>AVERAGE(BR5:BR35)</f>
        <v>#DIV/0!</v>
      </c>
      <c r="BS37" s="72" t="str">
        <f>IF(ISERROR(AVERAGE(BS5:BS35)),"",AVERAGE(BS5:BS35))</f>
        <v/>
      </c>
      <c r="BT37" s="187" t="e">
        <f>AVERAGE(BT5:BT35)</f>
        <v>#DIV/0!</v>
      </c>
      <c r="BU37" s="72" t="str">
        <f>IF(ISERROR(AVERAGE(BU5:BU35)),"",AVERAGE(BU5:BU35))</f>
        <v/>
      </c>
      <c r="BV37" s="187" t="e">
        <f>AVERAGE(BV5:BV35)</f>
        <v>#DIV/0!</v>
      </c>
      <c r="BW37" s="72" t="str">
        <f>IF(ISERROR(AVERAGE(BW5:BW35)),"",AVERAGE(BW5:BW35))</f>
        <v/>
      </c>
      <c r="BX37" s="187" t="e">
        <f>AVERAGE(BX5:BX35)</f>
        <v>#DIV/0!</v>
      </c>
      <c r="BY37" s="72" t="str">
        <f>IF(ISERROR(AVERAGE(BY5:BY35)),"",AVERAGE(BY5:BY35))</f>
        <v/>
      </c>
      <c r="BZ37" s="187" t="e">
        <f>AVERAGE(BZ5:BZ35)</f>
        <v>#DIV/0!</v>
      </c>
      <c r="CA37" s="72" t="str">
        <f>IF(ISERROR(AVERAGE(CA5:CA35)),"",AVERAGE(CA5:CA35))</f>
        <v/>
      </c>
      <c r="CB37" s="187" t="e">
        <f>AVERAGE(CB5:CB35)</f>
        <v>#DIV/0!</v>
      </c>
      <c r="CC37" s="72" t="str">
        <f>IF(ISERROR(AVERAGE(CC5:CC35)),"",AVERAGE(CC5:CC35))</f>
        <v/>
      </c>
      <c r="CD37" s="187" t="e">
        <f>AVERAGE(CD5:CD35)</f>
        <v>#DIV/0!</v>
      </c>
      <c r="CE37" s="72" t="str">
        <f>IF(ISERROR(AVERAGE(CE5:CE35)),"",AVERAGE(CE5:CE35))</f>
        <v/>
      </c>
      <c r="CF37" s="187" t="e">
        <f>AVERAGE(CF5:CF35)</f>
        <v>#DIV/0!</v>
      </c>
      <c r="CG37" s="72" t="str">
        <f>IF(ISERROR(AVERAGE(CG5:CG35)),"",AVERAGE(CG5:CG35))</f>
        <v/>
      </c>
      <c r="CH37" s="187" t="e">
        <f>AVERAGE(CH5:CH35)</f>
        <v>#DIV/0!</v>
      </c>
      <c r="CI37" s="72" t="str">
        <f>IF(ISERROR(AVERAGE(CI5:CI35)),"",AVERAGE(CI5:CI35))</f>
        <v/>
      </c>
      <c r="CJ37" s="187" t="e">
        <f>AVERAGE(CJ5:CJ35)</f>
        <v>#DIV/0!</v>
      </c>
      <c r="CK37" s="72" t="str">
        <f>IF(ISERROR(AVERAGE(CK5:CK35)),"",AVERAGE(CK5:CK35))</f>
        <v/>
      </c>
      <c r="CL37" s="187" t="e">
        <f>AVERAGE(CL5:CL35)</f>
        <v>#DIV/0!</v>
      </c>
      <c r="CM37" s="72" t="str">
        <f>IF(ISERROR(AVERAGE(CM5:CM35)),"",AVERAGE(CM5:CM35))</f>
        <v/>
      </c>
      <c r="CN37" s="187" t="e">
        <f>AVERAGE(CN5:CN35)</f>
        <v>#DIV/0!</v>
      </c>
      <c r="CO37" s="72" t="str">
        <f>IF(ISERROR(AVERAGE(CO5:CO35)),"",AVERAGE(CO5:CO35))</f>
        <v/>
      </c>
      <c r="CP37" s="187" t="e">
        <f>AVERAGE(CP5:CP35)</f>
        <v>#DIV/0!</v>
      </c>
      <c r="CQ37" s="72" t="str">
        <f>IF(ISERROR(AVERAGE(CQ5:CQ35)),"",AVERAGE(CQ5:CQ35))</f>
        <v/>
      </c>
      <c r="CR37" s="187" t="e">
        <f>AVERAGE(CR5:CR35)</f>
        <v>#DIV/0!</v>
      </c>
      <c r="CS37" s="72" t="str">
        <f>IF(ISERROR(AVERAGE(CS5:CS35)),"",AVERAGE(CS5:CS35))</f>
        <v/>
      </c>
      <c r="CT37" s="188" t="e">
        <f>AVERAGE(CT5:CT35)</f>
        <v>#DIV/0!</v>
      </c>
      <c r="CU37" s="71" t="str">
        <f>IF(ISERROR(AVERAGE(CU5:CU35)),"",AVERAGE(CU5:CU35))</f>
        <v/>
      </c>
      <c r="CV37" s="88" t="str">
        <f>IF(ISERROR(AVERAGE(CV5:CV35)),"",AVERAGE(CV5:CV35))</f>
        <v/>
      </c>
      <c r="CW37" s="92"/>
      <c r="CX37" s="71" t="str">
        <f>IF(ISERROR(AVERAGE(CX5:CX35)),"",AVERAGE(CX5:CX35))</f>
        <v/>
      </c>
      <c r="CY37" s="154" t="str">
        <f>IF(ISERROR(AVERAGE(CY5:CY35)),"",AVERAGE(CY5:CY35))</f>
        <v/>
      </c>
      <c r="CZ37" s="72" t="str">
        <f>IF(ISERROR(AVERAGE(CZ5:CZ35)),"",AVERAGE(CZ5:CZ35))</f>
        <v/>
      </c>
      <c r="DA37" s="72" t="str">
        <f>IF(ISERROR(AVERAGE(DA5:DA35)),"",AVERAGE(DA5:DA35))</f>
        <v/>
      </c>
      <c r="DB37" s="98"/>
      <c r="DC37" s="99"/>
      <c r="DF37" s="126" t="e">
        <f t="shared" ref="DF37:DP37" si="47">AVERAGE(DF5:DF35)</f>
        <v>#DIV/0!</v>
      </c>
      <c r="DG37" s="127" t="e">
        <f t="shared" si="47"/>
        <v>#DIV/0!</v>
      </c>
      <c r="DH37" s="127" t="e">
        <f t="shared" si="47"/>
        <v>#DIV/0!</v>
      </c>
      <c r="DI37" s="127" t="e">
        <f t="shared" si="47"/>
        <v>#DIV/0!</v>
      </c>
      <c r="DJ37" s="127" t="e">
        <f t="shared" si="47"/>
        <v>#DIV/0!</v>
      </c>
      <c r="DK37" s="127" t="e">
        <f t="shared" si="47"/>
        <v>#DIV/0!</v>
      </c>
      <c r="DL37" s="127" t="e">
        <f t="shared" si="47"/>
        <v>#DIV/0!</v>
      </c>
      <c r="DM37" s="127" t="e">
        <f t="shared" si="47"/>
        <v>#DIV/0!</v>
      </c>
      <c r="DN37" s="127" t="e">
        <f t="shared" si="47"/>
        <v>#DIV/0!</v>
      </c>
      <c r="DO37" s="127" t="e">
        <f t="shared" si="47"/>
        <v>#DIV/0!</v>
      </c>
      <c r="DP37" s="127">
        <f t="shared" si="47"/>
        <v>0</v>
      </c>
      <c r="DQ37" s="188"/>
      <c r="DS37" s="198" t="s">
        <v>99</v>
      </c>
      <c r="DT37" s="199"/>
      <c r="DU37" s="199"/>
      <c r="DV37" s="199"/>
      <c r="DW37" s="199"/>
      <c r="DX37" s="199"/>
    </row>
    <row r="38" spans="1:128" ht="19.149999999999999" customHeight="1" thickTop="1" thickBot="1" x14ac:dyDescent="0.45">
      <c r="DS38" s="198" t="s">
        <v>100</v>
      </c>
      <c r="DT38" s="199"/>
      <c r="DU38" s="199"/>
      <c r="DV38" s="199"/>
      <c r="DW38" s="199"/>
      <c r="DX38" s="199"/>
    </row>
    <row r="39" spans="1:128" ht="18.75" customHeight="1" thickTop="1" x14ac:dyDescent="0.4">
      <c r="E39" s="196" t="s">
        <v>101</v>
      </c>
      <c r="F39" s="197"/>
      <c r="H39" s="137" t="s">
        <v>12</v>
      </c>
      <c r="T39" s="200" t="s">
        <v>102</v>
      </c>
      <c r="U39" s="197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 spans="1:128" ht="18.75" customHeight="1" thickBot="1" x14ac:dyDescent="0.45">
      <c r="E40" s="133" t="s">
        <v>95</v>
      </c>
      <c r="F40" s="135" t="e">
        <f>(令和9年2月!G32-令和9年2月!G19)+'令和9年3月 '!G19</f>
        <v>#VALUE!</v>
      </c>
      <c r="H40" s="142" t="str">
        <f>IF(ISERROR(F40/U40),"",(F40/U40))</f>
        <v/>
      </c>
      <c r="I40" s="146"/>
      <c r="T40" s="133" t="s">
        <v>95</v>
      </c>
      <c r="U40" s="135">
        <f>(令和9年2月!V32-令和9年2月!V19)+'令和9年3月 '!V19</f>
        <v>9442496</v>
      </c>
    </row>
    <row r="41" spans="1:128" ht="18.75" customHeight="1" thickTop="1" thickBot="1" x14ac:dyDescent="0.45">
      <c r="E41" s="134" t="s">
        <v>97</v>
      </c>
      <c r="F41" s="136" t="e">
        <f>F40/28</f>
        <v>#VALUE!</v>
      </c>
      <c r="T41" s="134" t="s">
        <v>97</v>
      </c>
      <c r="U41" s="136">
        <f>U40/28</f>
        <v>337232</v>
      </c>
    </row>
    <row r="42" spans="1:128" ht="13.9" customHeight="1" thickTop="1" x14ac:dyDescent="0.4"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</row>
  </sheetData>
  <mergeCells count="44">
    <mergeCell ref="DS21:DV21"/>
    <mergeCell ref="DS31:DV31"/>
    <mergeCell ref="DS38:DX38"/>
    <mergeCell ref="DS35:DV35"/>
    <mergeCell ref="AB37:AC37"/>
    <mergeCell ref="DS37:DX37"/>
    <mergeCell ref="DS5:DV5"/>
    <mergeCell ref="G1:G2"/>
    <mergeCell ref="DS11:DV11"/>
    <mergeCell ref="AX1:BC2"/>
    <mergeCell ref="DS14:DV14"/>
    <mergeCell ref="DS12:DV12"/>
    <mergeCell ref="E39:F39"/>
    <mergeCell ref="DS8:DV8"/>
    <mergeCell ref="DS27:DV27"/>
    <mergeCell ref="DS29:DV29"/>
    <mergeCell ref="DS19:DV19"/>
    <mergeCell ref="DS10:DV10"/>
    <mergeCell ref="DS13:DV13"/>
    <mergeCell ref="DS9:DV9"/>
    <mergeCell ref="DS34:DV34"/>
    <mergeCell ref="DS28:DV28"/>
    <mergeCell ref="DS24:DV24"/>
    <mergeCell ref="DS15:DV15"/>
    <mergeCell ref="DS23:DV23"/>
    <mergeCell ref="DS17:DV17"/>
    <mergeCell ref="DS36:DX36"/>
    <mergeCell ref="T39:U39"/>
    <mergeCell ref="A1:E2"/>
    <mergeCell ref="DS30:DV30"/>
    <mergeCell ref="DS33:DV33"/>
    <mergeCell ref="DS4:DV4"/>
    <mergeCell ref="DS20:DV20"/>
    <mergeCell ref="DS16:DV16"/>
    <mergeCell ref="DS7:DV7"/>
    <mergeCell ref="DS25:DV25"/>
    <mergeCell ref="DS32:DV32"/>
    <mergeCell ref="DS26:DV26"/>
    <mergeCell ref="DS22:DV22"/>
    <mergeCell ref="F1:F2"/>
    <mergeCell ref="DS18:DV18"/>
    <mergeCell ref="H1:K2"/>
    <mergeCell ref="M1:M2"/>
    <mergeCell ref="DS6:DV6"/>
  </mergeCells>
  <phoneticPr fontId="3"/>
  <conditionalFormatting sqref="B5:D35">
    <cfRule type="expression" dxfId="129" priority="34" stopIfTrue="1">
      <formula>(B5)="土"</formula>
    </cfRule>
    <cfRule type="expression" dxfId="128" priority="35" stopIfTrue="1">
      <formula>(B5)="日"</formula>
    </cfRule>
  </conditionalFormatting>
  <conditionalFormatting sqref="R5:S35">
    <cfRule type="expression" dxfId="127" priority="1" stopIfTrue="1">
      <formula>(R5)="土"</formula>
    </cfRule>
    <cfRule type="expression" dxfId="126" priority="2" stopIfTrue="1">
      <formula>(R5)="日"</formula>
    </cfRule>
  </conditionalFormatting>
  <conditionalFormatting sqref="AX5:AX34">
    <cfRule type="cellIs" dxfId="125" priority="31" operator="equal">
      <formula>0</formula>
    </cfRule>
  </conditionalFormatting>
  <conditionalFormatting sqref="AZ5:AZ34">
    <cfRule type="cellIs" dxfId="124" priority="30" operator="equal">
      <formula>0</formula>
    </cfRule>
  </conditionalFormatting>
  <conditionalFormatting sqref="BB5:BB34">
    <cfRule type="cellIs" dxfId="123" priority="29" operator="equal">
      <formula>0</formula>
    </cfRule>
  </conditionalFormatting>
  <conditionalFormatting sqref="BD5:BD34">
    <cfRule type="cellIs" dxfId="122" priority="28" operator="equal">
      <formula>0</formula>
    </cfRule>
  </conditionalFormatting>
  <conditionalFormatting sqref="BF5:BF34">
    <cfRule type="cellIs" dxfId="121" priority="27" operator="equal">
      <formula>0</formula>
    </cfRule>
  </conditionalFormatting>
  <conditionalFormatting sqref="BH5:BH34">
    <cfRule type="cellIs" dxfId="120" priority="26" operator="equal">
      <formula>0</formula>
    </cfRule>
  </conditionalFormatting>
  <conditionalFormatting sqref="BJ5:BJ34">
    <cfRule type="cellIs" dxfId="119" priority="25" operator="equal">
      <formula>0</formula>
    </cfRule>
  </conditionalFormatting>
  <conditionalFormatting sqref="BL5:BL34">
    <cfRule type="cellIs" dxfId="118" priority="24" operator="equal">
      <formula>0</formula>
    </cfRule>
  </conditionalFormatting>
  <conditionalFormatting sqref="BN5:BN34">
    <cfRule type="cellIs" dxfId="117" priority="23" operator="equal">
      <formula>0</formula>
    </cfRule>
  </conditionalFormatting>
  <conditionalFormatting sqref="BP5:BP34">
    <cfRule type="cellIs" dxfId="116" priority="22" operator="equal">
      <formula>0</formula>
    </cfRule>
  </conditionalFormatting>
  <conditionalFormatting sqref="BR5:BR34">
    <cfRule type="cellIs" dxfId="115" priority="21" operator="equal">
      <formula>0</formula>
    </cfRule>
  </conditionalFormatting>
  <conditionalFormatting sqref="BT5:BT34">
    <cfRule type="cellIs" dxfId="114" priority="20" operator="equal">
      <formula>0</formula>
    </cfRule>
  </conditionalFormatting>
  <conditionalFormatting sqref="BV5:BV34">
    <cfRule type="cellIs" dxfId="113" priority="19" operator="equal">
      <formula>0</formula>
    </cfRule>
  </conditionalFormatting>
  <conditionalFormatting sqref="BX5:BX34">
    <cfRule type="cellIs" dxfId="112" priority="18" operator="equal">
      <formula>0</formula>
    </cfRule>
  </conditionalFormatting>
  <conditionalFormatting sqref="BZ5:BZ34">
    <cfRule type="cellIs" dxfId="111" priority="17" operator="equal">
      <formula>0</formula>
    </cfRule>
  </conditionalFormatting>
  <conditionalFormatting sqref="CB5:CB34">
    <cfRule type="cellIs" dxfId="110" priority="16" operator="equal">
      <formula>0</formula>
    </cfRule>
  </conditionalFormatting>
  <conditionalFormatting sqref="CD5:CD34">
    <cfRule type="cellIs" dxfId="109" priority="15" operator="equal">
      <formula>0</formula>
    </cfRule>
  </conditionalFormatting>
  <conditionalFormatting sqref="CF5:CF34">
    <cfRule type="cellIs" dxfId="108" priority="14" operator="equal">
      <formula>0</formula>
    </cfRule>
  </conditionalFormatting>
  <conditionalFormatting sqref="CH5:CH34">
    <cfRule type="cellIs" dxfId="107" priority="13" operator="equal">
      <formula>0</formula>
    </cfRule>
  </conditionalFormatting>
  <conditionalFormatting sqref="CJ5:CJ34">
    <cfRule type="cellIs" dxfId="106" priority="12" operator="equal">
      <formula>0</formula>
    </cfRule>
  </conditionalFormatting>
  <conditionalFormatting sqref="CL5:CL34">
    <cfRule type="cellIs" dxfId="105" priority="11" operator="equal">
      <formula>0</formula>
    </cfRule>
  </conditionalFormatting>
  <conditionalFormatting sqref="CN5:CN34">
    <cfRule type="cellIs" dxfId="104" priority="10" operator="equal">
      <formula>0</formula>
    </cfRule>
  </conditionalFormatting>
  <conditionalFormatting sqref="CP5:CP34">
    <cfRule type="cellIs" dxfId="103" priority="9" operator="equal">
      <formula>0</formula>
    </cfRule>
  </conditionalFormatting>
  <conditionalFormatting sqref="CR5:CR34">
    <cfRule type="cellIs" dxfId="102" priority="8" operator="equal">
      <formula>0</formula>
    </cfRule>
  </conditionalFormatting>
  <conditionalFormatting sqref="CT5:CT34">
    <cfRule type="cellIs" dxfId="101" priority="7" operator="equal">
      <formula>0</formula>
    </cfRule>
  </conditionalFormatting>
  <conditionalFormatting sqref="DC5:DC36">
    <cfRule type="expression" dxfId="100" priority="3" stopIfTrue="1">
      <formula>(DC5)="土"</formula>
    </cfRule>
    <cfRule type="expression" dxfId="99" priority="4" stopIfTrue="1">
      <formula>(DC5)="日"</formula>
    </cfRule>
  </conditionalFormatting>
  <pageMargins left="0.12" right="0.18" top="0.75" bottom="0.75" header="0.3" footer="0.3"/>
  <pageSetup paperSize="9" orientation="landscape" horizontalDpi="429496729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B42"/>
  <sheetViews>
    <sheetView topLeftCell="CX1" zoomScaleNormal="100" workbookViewId="0">
      <pane ySplit="4" topLeftCell="A7" activePane="bottomLeft" state="frozen"/>
      <selection pane="bottomLeft" activeCell="DD4" sqref="DD4"/>
    </sheetView>
  </sheetViews>
  <sheetFormatPr defaultRowHeight="13.5" x14ac:dyDescent="0.4"/>
  <cols>
    <col min="1" max="4" width="3.125" style="5" customWidth="1"/>
    <col min="5" max="5" width="5.625" style="5" customWidth="1"/>
    <col min="6" max="6" width="10.625" style="73" customWidth="1"/>
    <col min="7" max="7" width="12.5" style="73" customWidth="1"/>
    <col min="8" max="10" width="8.625" style="2" customWidth="1"/>
    <col min="11" max="11" width="5.625" style="2" customWidth="1"/>
    <col min="12" max="12" width="4.625" style="2" customWidth="1"/>
    <col min="13" max="13" width="5.625" style="2" customWidth="1"/>
    <col min="14" max="17" width="4.625" style="2" customWidth="1"/>
    <col min="18" max="19" width="3.125" style="5" customWidth="1"/>
    <col min="20" max="20" width="5.625" style="5" customWidth="1"/>
    <col min="21" max="21" width="7.625" style="73" customWidth="1"/>
    <col min="22" max="22" width="8.625" style="73" customWidth="1"/>
    <col min="23" max="24" width="5.625" style="2" customWidth="1"/>
    <col min="25" max="25" width="6.625" style="2" customWidth="1"/>
    <col min="26" max="26" width="9.875" style="2" customWidth="1"/>
    <col min="27" max="38" width="8.625" style="73" customWidth="1"/>
    <col min="39" max="43" width="8.625" style="73" hidden="1" customWidth="1"/>
    <col min="44" max="44" width="12.5" style="2" customWidth="1"/>
    <col min="45" max="45" width="6.75" style="2" customWidth="1"/>
    <col min="46" max="46" width="12.625" style="2" customWidth="1"/>
    <col min="47" max="47" width="8.625" style="161" customWidth="1"/>
    <col min="48" max="48" width="5.5" style="2" bestFit="1" customWidth="1"/>
    <col min="49" max="98" width="6.75" style="2" customWidth="1"/>
    <col min="99" max="100" width="8.625" style="2" customWidth="1"/>
    <col min="101" max="101" width="2.875" style="2" customWidth="1"/>
    <col min="102" max="102" width="10.625" style="2" customWidth="1"/>
    <col min="103" max="103" width="6.625" style="2" customWidth="1"/>
    <col min="104" max="104" width="10.625" style="2" customWidth="1"/>
    <col min="105" max="105" width="6.625" style="2" customWidth="1"/>
    <col min="106" max="107" width="3.125" style="5" customWidth="1"/>
    <col min="108" max="108" width="1.125" style="2" customWidth="1"/>
    <col min="109" max="109" width="2.375" style="2" customWidth="1"/>
    <col min="110" max="120" width="7.625" style="6" hidden="1" customWidth="1"/>
    <col min="121" max="121" width="6.75" style="2" hidden="1" customWidth="1"/>
    <col min="122" max="122" width="8.75" style="2" customWidth="1"/>
    <col min="123" max="126" width="8.625" style="2" customWidth="1"/>
    <col min="127" max="127" width="12.625" style="2" customWidth="1"/>
    <col min="128" max="128" width="8.625" style="2" customWidth="1"/>
    <col min="129" max="303" width="9" style="2" customWidth="1"/>
    <col min="304" max="305" width="3.125" style="2" customWidth="1"/>
    <col min="306" max="306" width="5.875" style="2" bestFit="1" customWidth="1"/>
    <col min="307" max="307" width="5.625" style="2" customWidth="1"/>
    <col min="308" max="308" width="10.625" style="2" customWidth="1"/>
    <col min="309" max="309" width="12.625" style="2" customWidth="1"/>
    <col min="310" max="310" width="8.625" style="2" customWidth="1"/>
    <col min="311" max="311" width="5.625" style="2" customWidth="1"/>
    <col min="312" max="312" width="4.625" style="2" customWidth="1"/>
    <col min="313" max="313" width="5.625" style="2" customWidth="1"/>
    <col min="314" max="317" width="4.625" style="2" customWidth="1"/>
    <col min="318" max="318" width="7.625" style="2" customWidth="1"/>
    <col min="319" max="319" width="8.625" style="2" customWidth="1"/>
    <col min="320" max="321" width="5.625" style="2" customWidth="1"/>
    <col min="322" max="322" width="6.625" style="2" customWidth="1"/>
    <col min="323" max="323" width="9.875" style="2" customWidth="1"/>
    <col min="324" max="325" width="8.625" style="2" customWidth="1"/>
    <col min="326" max="326" width="5.5" style="2" bestFit="1" customWidth="1"/>
    <col min="327" max="368" width="6.75" style="2" customWidth="1"/>
    <col min="369" max="369" width="9" style="2" customWidth="1"/>
    <col min="370" max="370" width="9.875" style="2" customWidth="1"/>
    <col min="371" max="371" width="2.875" style="2" customWidth="1"/>
    <col min="372" max="372" width="12.25" style="2" customWidth="1"/>
    <col min="373" max="373" width="6.375" style="2" customWidth="1"/>
    <col min="374" max="375" width="3.125" style="2" customWidth="1"/>
    <col min="376" max="376" width="1.125" style="2" customWidth="1"/>
    <col min="377" max="377" width="9" style="2" customWidth="1"/>
    <col min="378" max="378" width="2.375" style="2" customWidth="1"/>
    <col min="379" max="396" width="7.625" style="2" customWidth="1"/>
    <col min="397" max="559" width="9" style="2" customWidth="1"/>
    <col min="560" max="561" width="3.125" style="2" customWidth="1"/>
    <col min="562" max="562" width="5.875" style="2" bestFit="1" customWidth="1"/>
    <col min="563" max="563" width="5.625" style="2" customWidth="1"/>
    <col min="564" max="564" width="10.625" style="2" customWidth="1"/>
    <col min="565" max="565" width="12.625" style="2" customWidth="1"/>
    <col min="566" max="566" width="8.625" style="2" customWidth="1"/>
    <col min="567" max="567" width="5.625" style="2" customWidth="1"/>
    <col min="568" max="568" width="4.625" style="2" customWidth="1"/>
    <col min="569" max="569" width="5.625" style="2" customWidth="1"/>
    <col min="570" max="573" width="4.625" style="2" customWidth="1"/>
    <col min="574" max="574" width="7.625" style="2" customWidth="1"/>
    <col min="575" max="575" width="8.625" style="2" customWidth="1"/>
    <col min="576" max="577" width="5.625" style="2" customWidth="1"/>
    <col min="578" max="578" width="6.625" style="2" customWidth="1"/>
    <col min="579" max="579" width="9.875" style="2" customWidth="1"/>
    <col min="580" max="581" width="8.625" style="2" customWidth="1"/>
    <col min="582" max="582" width="5.5" style="2" bestFit="1" customWidth="1"/>
    <col min="583" max="624" width="6.75" style="2" customWidth="1"/>
    <col min="625" max="625" width="9" style="2" customWidth="1"/>
    <col min="626" max="626" width="9.875" style="2" customWidth="1"/>
    <col min="627" max="627" width="2.875" style="2" customWidth="1"/>
    <col min="628" max="628" width="12.25" style="2" customWidth="1"/>
    <col min="629" max="629" width="6.375" style="2" customWidth="1"/>
    <col min="630" max="631" width="3.125" style="2" customWidth="1"/>
    <col min="632" max="632" width="1.125" style="2" customWidth="1"/>
    <col min="633" max="633" width="9" style="2" customWidth="1"/>
    <col min="634" max="634" width="2.375" style="2" customWidth="1"/>
    <col min="635" max="652" width="7.625" style="2" customWidth="1"/>
    <col min="653" max="815" width="9" style="2" customWidth="1"/>
    <col min="816" max="817" width="3.125" style="2" customWidth="1"/>
    <col min="818" max="818" width="5.875" style="2" bestFit="1" customWidth="1"/>
    <col min="819" max="819" width="5.625" style="2" customWidth="1"/>
    <col min="820" max="820" width="10.625" style="2" customWidth="1"/>
    <col min="821" max="821" width="12.625" style="2" customWidth="1"/>
    <col min="822" max="822" width="8.625" style="2" customWidth="1"/>
    <col min="823" max="823" width="5.625" style="2" customWidth="1"/>
    <col min="824" max="824" width="4.625" style="2" customWidth="1"/>
    <col min="825" max="825" width="5.625" style="2" customWidth="1"/>
    <col min="826" max="829" width="4.625" style="2" customWidth="1"/>
    <col min="830" max="830" width="7.625" style="2" customWidth="1"/>
    <col min="831" max="831" width="8.625" style="2" customWidth="1"/>
    <col min="832" max="833" width="5.625" style="2" customWidth="1"/>
    <col min="834" max="834" width="6.625" style="2" customWidth="1"/>
    <col min="835" max="835" width="9.875" style="2" customWidth="1"/>
    <col min="836" max="837" width="8.625" style="2" customWidth="1"/>
    <col min="838" max="838" width="5.5" style="2" bestFit="1" customWidth="1"/>
    <col min="839" max="880" width="6.75" style="2" customWidth="1"/>
    <col min="881" max="881" width="9" style="2" customWidth="1"/>
    <col min="882" max="882" width="9.875" style="2" customWidth="1"/>
    <col min="883" max="883" width="2.875" style="2" customWidth="1"/>
    <col min="884" max="884" width="12.25" style="2" customWidth="1"/>
    <col min="885" max="885" width="6.375" style="2" customWidth="1"/>
    <col min="886" max="887" width="3.125" style="2" customWidth="1"/>
    <col min="888" max="888" width="1.125" style="2" customWidth="1"/>
    <col min="889" max="889" width="9" style="2" customWidth="1"/>
    <col min="890" max="890" width="2.375" style="2" customWidth="1"/>
    <col min="891" max="908" width="7.625" style="2" customWidth="1"/>
    <col min="909" max="1071" width="9" style="2" customWidth="1"/>
    <col min="1072" max="1073" width="3.125" style="2" customWidth="1"/>
    <col min="1074" max="1074" width="5.875" style="2" bestFit="1" customWidth="1"/>
    <col min="1075" max="1075" width="5.625" style="2" customWidth="1"/>
    <col min="1076" max="1076" width="10.625" style="2" customWidth="1"/>
    <col min="1077" max="1077" width="12.625" style="2" customWidth="1"/>
    <col min="1078" max="1078" width="8.625" style="2" customWidth="1"/>
    <col min="1079" max="1079" width="5.625" style="2" customWidth="1"/>
    <col min="1080" max="1080" width="4.625" style="2" customWidth="1"/>
    <col min="1081" max="1081" width="5.625" style="2" customWidth="1"/>
    <col min="1082" max="1085" width="4.625" style="2" customWidth="1"/>
    <col min="1086" max="1086" width="7.625" style="2" customWidth="1"/>
    <col min="1087" max="1087" width="8.625" style="2" customWidth="1"/>
    <col min="1088" max="1089" width="5.625" style="2" customWidth="1"/>
    <col min="1090" max="1090" width="6.625" style="2" customWidth="1"/>
    <col min="1091" max="1091" width="9.875" style="2" customWidth="1"/>
    <col min="1092" max="1093" width="8.625" style="2" customWidth="1"/>
    <col min="1094" max="1094" width="5.5" style="2" bestFit="1" customWidth="1"/>
    <col min="1095" max="1136" width="6.75" style="2" customWidth="1"/>
    <col min="1137" max="1137" width="9" style="2" customWidth="1"/>
    <col min="1138" max="1138" width="9.875" style="2" customWidth="1"/>
    <col min="1139" max="1139" width="2.875" style="2" customWidth="1"/>
    <col min="1140" max="1140" width="12.25" style="2" customWidth="1"/>
    <col min="1141" max="1141" width="6.375" style="2" customWidth="1"/>
    <col min="1142" max="1143" width="3.125" style="2" customWidth="1"/>
    <col min="1144" max="1144" width="1.125" style="2" customWidth="1"/>
    <col min="1145" max="1145" width="9" style="2" customWidth="1"/>
    <col min="1146" max="1146" width="2.375" style="2" customWidth="1"/>
    <col min="1147" max="1164" width="7.625" style="2" customWidth="1"/>
    <col min="1165" max="1327" width="9" style="2" customWidth="1"/>
    <col min="1328" max="1329" width="3.125" style="2" customWidth="1"/>
    <col min="1330" max="1330" width="5.875" style="2" bestFit="1" customWidth="1"/>
    <col min="1331" max="1331" width="5.625" style="2" customWidth="1"/>
    <col min="1332" max="1332" width="10.625" style="2" customWidth="1"/>
    <col min="1333" max="1333" width="12.625" style="2" customWidth="1"/>
    <col min="1334" max="1334" width="8.625" style="2" customWidth="1"/>
    <col min="1335" max="1335" width="5.625" style="2" customWidth="1"/>
    <col min="1336" max="1336" width="4.625" style="2" customWidth="1"/>
    <col min="1337" max="1337" width="5.625" style="2" customWidth="1"/>
    <col min="1338" max="1341" width="4.625" style="2" customWidth="1"/>
    <col min="1342" max="1342" width="7.625" style="2" customWidth="1"/>
    <col min="1343" max="1343" width="8.625" style="2" customWidth="1"/>
    <col min="1344" max="1345" width="5.625" style="2" customWidth="1"/>
    <col min="1346" max="1346" width="6.625" style="2" customWidth="1"/>
    <col min="1347" max="1347" width="9.875" style="2" customWidth="1"/>
    <col min="1348" max="1349" width="8.625" style="2" customWidth="1"/>
    <col min="1350" max="1350" width="5.5" style="2" bestFit="1" customWidth="1"/>
    <col min="1351" max="1392" width="6.75" style="2" customWidth="1"/>
    <col min="1393" max="1393" width="9" style="2" customWidth="1"/>
    <col min="1394" max="1394" width="9.875" style="2" customWidth="1"/>
    <col min="1395" max="1395" width="2.875" style="2" customWidth="1"/>
    <col min="1396" max="1396" width="12.25" style="2" customWidth="1"/>
    <col min="1397" max="1397" width="6.375" style="2" customWidth="1"/>
    <col min="1398" max="1399" width="3.125" style="2" customWidth="1"/>
    <col min="1400" max="1400" width="1.125" style="2" customWidth="1"/>
    <col min="1401" max="1401" width="9" style="2" customWidth="1"/>
    <col min="1402" max="1402" width="2.375" style="2" customWidth="1"/>
    <col min="1403" max="1420" width="7.625" style="2" customWidth="1"/>
    <col min="1421" max="1583" width="9" style="2" customWidth="1"/>
    <col min="1584" max="1585" width="3.125" style="2" customWidth="1"/>
    <col min="1586" max="1586" width="5.875" style="2" bestFit="1" customWidth="1"/>
    <col min="1587" max="1587" width="5.625" style="2" customWidth="1"/>
    <col min="1588" max="1588" width="10.625" style="2" customWidth="1"/>
    <col min="1589" max="1589" width="12.625" style="2" customWidth="1"/>
    <col min="1590" max="1590" width="8.625" style="2" customWidth="1"/>
    <col min="1591" max="1591" width="5.625" style="2" customWidth="1"/>
    <col min="1592" max="1592" width="4.625" style="2" customWidth="1"/>
    <col min="1593" max="1593" width="5.625" style="2" customWidth="1"/>
    <col min="1594" max="1597" width="4.625" style="2" customWidth="1"/>
    <col min="1598" max="1598" width="7.625" style="2" customWidth="1"/>
    <col min="1599" max="1599" width="8.625" style="2" customWidth="1"/>
    <col min="1600" max="1601" width="5.625" style="2" customWidth="1"/>
    <col min="1602" max="1602" width="6.625" style="2" customWidth="1"/>
    <col min="1603" max="1603" width="9.875" style="2" customWidth="1"/>
    <col min="1604" max="1605" width="8.625" style="2" customWidth="1"/>
    <col min="1606" max="1606" width="5.5" style="2" bestFit="1" customWidth="1"/>
    <col min="1607" max="1648" width="6.75" style="2" customWidth="1"/>
    <col min="1649" max="1649" width="9" style="2" customWidth="1"/>
    <col min="1650" max="1650" width="9.875" style="2" customWidth="1"/>
    <col min="1651" max="1651" width="2.875" style="2" customWidth="1"/>
    <col min="1652" max="1652" width="12.25" style="2" customWidth="1"/>
    <col min="1653" max="1653" width="6.375" style="2" customWidth="1"/>
    <col min="1654" max="1655" width="3.125" style="2" customWidth="1"/>
    <col min="1656" max="1656" width="1.125" style="2" customWidth="1"/>
    <col min="1657" max="1657" width="9" style="2" customWidth="1"/>
    <col min="1658" max="1658" width="2.375" style="2" customWidth="1"/>
    <col min="1659" max="1676" width="7.625" style="2" customWidth="1"/>
    <col min="1677" max="1839" width="9" style="2" customWidth="1"/>
    <col min="1840" max="1841" width="3.125" style="2" customWidth="1"/>
    <col min="1842" max="1842" width="5.875" style="2" bestFit="1" customWidth="1"/>
    <col min="1843" max="1843" width="5.625" style="2" customWidth="1"/>
    <col min="1844" max="1844" width="10.625" style="2" customWidth="1"/>
    <col min="1845" max="1845" width="12.625" style="2" customWidth="1"/>
    <col min="1846" max="1846" width="8.625" style="2" customWidth="1"/>
    <col min="1847" max="1847" width="5.625" style="2" customWidth="1"/>
    <col min="1848" max="1848" width="4.625" style="2" customWidth="1"/>
    <col min="1849" max="1849" width="5.625" style="2" customWidth="1"/>
    <col min="1850" max="1853" width="4.625" style="2" customWidth="1"/>
    <col min="1854" max="1854" width="7.625" style="2" customWidth="1"/>
    <col min="1855" max="1855" width="8.625" style="2" customWidth="1"/>
    <col min="1856" max="1857" width="5.625" style="2" customWidth="1"/>
    <col min="1858" max="1858" width="6.625" style="2" customWidth="1"/>
    <col min="1859" max="1859" width="9.875" style="2" customWidth="1"/>
    <col min="1860" max="1861" width="8.625" style="2" customWidth="1"/>
    <col min="1862" max="1862" width="5.5" style="2" bestFit="1" customWidth="1"/>
    <col min="1863" max="1904" width="6.75" style="2" customWidth="1"/>
    <col min="1905" max="1905" width="9" style="2" customWidth="1"/>
    <col min="1906" max="1906" width="9.875" style="2" customWidth="1"/>
    <col min="1907" max="1907" width="2.875" style="2" customWidth="1"/>
    <col min="1908" max="1908" width="12.25" style="2" customWidth="1"/>
    <col min="1909" max="1909" width="6.375" style="2" customWidth="1"/>
    <col min="1910" max="1911" width="3.125" style="2" customWidth="1"/>
    <col min="1912" max="1912" width="1.125" style="2" customWidth="1"/>
    <col min="1913" max="1913" width="9" style="2" customWidth="1"/>
    <col min="1914" max="1914" width="2.375" style="2" customWidth="1"/>
    <col min="1915" max="1932" width="7.625" style="2" customWidth="1"/>
    <col min="1933" max="2095" width="9" style="2" customWidth="1"/>
    <col min="2096" max="2097" width="3.125" style="2" customWidth="1"/>
    <col min="2098" max="2098" width="5.875" style="2" bestFit="1" customWidth="1"/>
    <col min="2099" max="2099" width="5.625" style="2" customWidth="1"/>
    <col min="2100" max="2100" width="10.625" style="2" customWidth="1"/>
    <col min="2101" max="2101" width="12.625" style="2" customWidth="1"/>
    <col min="2102" max="2102" width="8.625" style="2" customWidth="1"/>
    <col min="2103" max="2103" width="5.625" style="2" customWidth="1"/>
    <col min="2104" max="2104" width="4.625" style="2" customWidth="1"/>
    <col min="2105" max="2105" width="5.625" style="2" customWidth="1"/>
    <col min="2106" max="2109" width="4.625" style="2" customWidth="1"/>
    <col min="2110" max="2110" width="7.625" style="2" customWidth="1"/>
    <col min="2111" max="2111" width="8.625" style="2" customWidth="1"/>
    <col min="2112" max="2113" width="5.625" style="2" customWidth="1"/>
    <col min="2114" max="2114" width="6.625" style="2" customWidth="1"/>
    <col min="2115" max="2115" width="9.875" style="2" customWidth="1"/>
    <col min="2116" max="2117" width="8.625" style="2" customWidth="1"/>
    <col min="2118" max="2118" width="5.5" style="2" bestFit="1" customWidth="1"/>
    <col min="2119" max="2160" width="6.75" style="2" customWidth="1"/>
    <col min="2161" max="2161" width="9" style="2" customWidth="1"/>
    <col min="2162" max="2162" width="9.875" style="2" customWidth="1"/>
    <col min="2163" max="2163" width="2.875" style="2" customWidth="1"/>
    <col min="2164" max="2164" width="12.25" style="2" customWidth="1"/>
    <col min="2165" max="2165" width="6.375" style="2" customWidth="1"/>
    <col min="2166" max="2167" width="3.125" style="2" customWidth="1"/>
    <col min="2168" max="2168" width="1.125" style="2" customWidth="1"/>
    <col min="2169" max="2169" width="9" style="2" customWidth="1"/>
    <col min="2170" max="2170" width="2.375" style="2" customWidth="1"/>
    <col min="2171" max="2188" width="7.625" style="2" customWidth="1"/>
    <col min="2189" max="2351" width="9" style="2" customWidth="1"/>
    <col min="2352" max="2353" width="3.125" style="2" customWidth="1"/>
    <col min="2354" max="2354" width="5.875" style="2" bestFit="1" customWidth="1"/>
    <col min="2355" max="2355" width="5.625" style="2" customWidth="1"/>
    <col min="2356" max="2356" width="10.625" style="2" customWidth="1"/>
    <col min="2357" max="2357" width="12.625" style="2" customWidth="1"/>
    <col min="2358" max="2358" width="8.625" style="2" customWidth="1"/>
    <col min="2359" max="2359" width="5.625" style="2" customWidth="1"/>
    <col min="2360" max="2360" width="4.625" style="2" customWidth="1"/>
    <col min="2361" max="2361" width="5.625" style="2" customWidth="1"/>
    <col min="2362" max="2365" width="4.625" style="2" customWidth="1"/>
    <col min="2366" max="2366" width="7.625" style="2" customWidth="1"/>
    <col min="2367" max="2367" width="8.625" style="2" customWidth="1"/>
    <col min="2368" max="2369" width="5.625" style="2" customWidth="1"/>
    <col min="2370" max="2370" width="6.625" style="2" customWidth="1"/>
    <col min="2371" max="2371" width="9.875" style="2" customWidth="1"/>
    <col min="2372" max="2373" width="8.625" style="2" customWidth="1"/>
    <col min="2374" max="2374" width="5.5" style="2" bestFit="1" customWidth="1"/>
    <col min="2375" max="2416" width="6.75" style="2" customWidth="1"/>
    <col min="2417" max="2417" width="9" style="2" customWidth="1"/>
    <col min="2418" max="2418" width="9.875" style="2" customWidth="1"/>
    <col min="2419" max="2419" width="2.875" style="2" customWidth="1"/>
    <col min="2420" max="2420" width="12.25" style="2" customWidth="1"/>
    <col min="2421" max="2421" width="6.375" style="2" customWidth="1"/>
    <col min="2422" max="2423" width="3.125" style="2" customWidth="1"/>
    <col min="2424" max="2424" width="1.125" style="2" customWidth="1"/>
    <col min="2425" max="2425" width="9" style="2" customWidth="1"/>
    <col min="2426" max="2426" width="2.375" style="2" customWidth="1"/>
    <col min="2427" max="2444" width="7.625" style="2" customWidth="1"/>
    <col min="2445" max="2607" width="9" style="2" customWidth="1"/>
    <col min="2608" max="2609" width="3.125" style="2" customWidth="1"/>
    <col min="2610" max="2610" width="5.875" style="2" bestFit="1" customWidth="1"/>
    <col min="2611" max="2611" width="5.625" style="2" customWidth="1"/>
    <col min="2612" max="2612" width="10.625" style="2" customWidth="1"/>
    <col min="2613" max="2613" width="12.625" style="2" customWidth="1"/>
    <col min="2614" max="2614" width="8.625" style="2" customWidth="1"/>
    <col min="2615" max="2615" width="5.625" style="2" customWidth="1"/>
    <col min="2616" max="2616" width="4.625" style="2" customWidth="1"/>
    <col min="2617" max="2617" width="5.625" style="2" customWidth="1"/>
    <col min="2618" max="2621" width="4.625" style="2" customWidth="1"/>
    <col min="2622" max="2622" width="7.625" style="2" customWidth="1"/>
    <col min="2623" max="2623" width="8.625" style="2" customWidth="1"/>
    <col min="2624" max="2625" width="5.625" style="2" customWidth="1"/>
    <col min="2626" max="2626" width="6.625" style="2" customWidth="1"/>
    <col min="2627" max="2627" width="9.875" style="2" customWidth="1"/>
    <col min="2628" max="2629" width="8.625" style="2" customWidth="1"/>
    <col min="2630" max="2630" width="5.5" style="2" bestFit="1" customWidth="1"/>
    <col min="2631" max="2672" width="6.75" style="2" customWidth="1"/>
    <col min="2673" max="2673" width="9" style="2" customWidth="1"/>
    <col min="2674" max="2674" width="9.875" style="2" customWidth="1"/>
    <col min="2675" max="2675" width="2.875" style="2" customWidth="1"/>
    <col min="2676" max="2676" width="12.25" style="2" customWidth="1"/>
    <col min="2677" max="2677" width="6.375" style="2" customWidth="1"/>
    <col min="2678" max="2679" width="3.125" style="2" customWidth="1"/>
    <col min="2680" max="2680" width="1.125" style="2" customWidth="1"/>
    <col min="2681" max="2681" width="9" style="2" customWidth="1"/>
    <col min="2682" max="2682" width="2.375" style="2" customWidth="1"/>
    <col min="2683" max="2700" width="7.625" style="2" customWidth="1"/>
    <col min="2701" max="2863" width="9" style="2" customWidth="1"/>
    <col min="2864" max="2865" width="3.125" style="2" customWidth="1"/>
    <col min="2866" max="2866" width="5.875" style="2" bestFit="1" customWidth="1"/>
    <col min="2867" max="2867" width="5.625" style="2" customWidth="1"/>
    <col min="2868" max="2868" width="10.625" style="2" customWidth="1"/>
    <col min="2869" max="2869" width="12.625" style="2" customWidth="1"/>
    <col min="2870" max="2870" width="8.625" style="2" customWidth="1"/>
    <col min="2871" max="2871" width="5.625" style="2" customWidth="1"/>
    <col min="2872" max="2872" width="4.625" style="2" customWidth="1"/>
    <col min="2873" max="2873" width="5.625" style="2" customWidth="1"/>
    <col min="2874" max="2877" width="4.625" style="2" customWidth="1"/>
    <col min="2878" max="2878" width="7.625" style="2" customWidth="1"/>
    <col min="2879" max="2879" width="8.625" style="2" customWidth="1"/>
    <col min="2880" max="2881" width="5.625" style="2" customWidth="1"/>
    <col min="2882" max="2882" width="6.625" style="2" customWidth="1"/>
    <col min="2883" max="2883" width="9.875" style="2" customWidth="1"/>
    <col min="2884" max="2885" width="8.625" style="2" customWidth="1"/>
    <col min="2886" max="2886" width="5.5" style="2" bestFit="1" customWidth="1"/>
    <col min="2887" max="2928" width="6.75" style="2" customWidth="1"/>
    <col min="2929" max="2929" width="9" style="2" customWidth="1"/>
    <col min="2930" max="2930" width="9.875" style="2" customWidth="1"/>
    <col min="2931" max="2931" width="2.875" style="2" customWidth="1"/>
    <col min="2932" max="2932" width="12.25" style="2" customWidth="1"/>
    <col min="2933" max="2933" width="6.375" style="2" customWidth="1"/>
    <col min="2934" max="2935" width="3.125" style="2" customWidth="1"/>
    <col min="2936" max="2936" width="1.125" style="2" customWidth="1"/>
    <col min="2937" max="2937" width="9" style="2" customWidth="1"/>
    <col min="2938" max="2938" width="2.375" style="2" customWidth="1"/>
    <col min="2939" max="2956" width="7.625" style="2" customWidth="1"/>
    <col min="2957" max="3119" width="9" style="2" customWidth="1"/>
    <col min="3120" max="3121" width="3.125" style="2" customWidth="1"/>
    <col min="3122" max="3122" width="5.875" style="2" bestFit="1" customWidth="1"/>
    <col min="3123" max="3123" width="5.625" style="2" customWidth="1"/>
    <col min="3124" max="3124" width="10.625" style="2" customWidth="1"/>
    <col min="3125" max="3125" width="12.625" style="2" customWidth="1"/>
    <col min="3126" max="3126" width="8.625" style="2" customWidth="1"/>
    <col min="3127" max="3127" width="5.625" style="2" customWidth="1"/>
    <col min="3128" max="3128" width="4.625" style="2" customWidth="1"/>
    <col min="3129" max="3129" width="5.625" style="2" customWidth="1"/>
    <col min="3130" max="3133" width="4.625" style="2" customWidth="1"/>
    <col min="3134" max="3134" width="7.625" style="2" customWidth="1"/>
    <col min="3135" max="3135" width="8.625" style="2" customWidth="1"/>
    <col min="3136" max="3137" width="5.625" style="2" customWidth="1"/>
    <col min="3138" max="3138" width="6.625" style="2" customWidth="1"/>
    <col min="3139" max="3139" width="9.875" style="2" customWidth="1"/>
    <col min="3140" max="3141" width="8.625" style="2" customWidth="1"/>
    <col min="3142" max="3142" width="5.5" style="2" bestFit="1" customWidth="1"/>
    <col min="3143" max="3184" width="6.75" style="2" customWidth="1"/>
    <col min="3185" max="3185" width="9" style="2" customWidth="1"/>
    <col min="3186" max="3186" width="9.875" style="2" customWidth="1"/>
    <col min="3187" max="3187" width="2.875" style="2" customWidth="1"/>
    <col min="3188" max="3188" width="12.25" style="2" customWidth="1"/>
    <col min="3189" max="3189" width="6.375" style="2" customWidth="1"/>
    <col min="3190" max="3191" width="3.125" style="2" customWidth="1"/>
    <col min="3192" max="3192" width="1.125" style="2" customWidth="1"/>
    <col min="3193" max="3193" width="9" style="2" customWidth="1"/>
    <col min="3194" max="3194" width="2.375" style="2" customWidth="1"/>
    <col min="3195" max="3212" width="7.625" style="2" customWidth="1"/>
    <col min="3213" max="3375" width="9" style="2" customWidth="1"/>
    <col min="3376" max="3377" width="3.125" style="2" customWidth="1"/>
    <col min="3378" max="3378" width="5.875" style="2" bestFit="1" customWidth="1"/>
    <col min="3379" max="3379" width="5.625" style="2" customWidth="1"/>
    <col min="3380" max="3380" width="10.625" style="2" customWidth="1"/>
    <col min="3381" max="3381" width="12.625" style="2" customWidth="1"/>
    <col min="3382" max="3382" width="8.625" style="2" customWidth="1"/>
    <col min="3383" max="3383" width="5.625" style="2" customWidth="1"/>
    <col min="3384" max="3384" width="4.625" style="2" customWidth="1"/>
    <col min="3385" max="3385" width="5.625" style="2" customWidth="1"/>
    <col min="3386" max="3389" width="4.625" style="2" customWidth="1"/>
    <col min="3390" max="3390" width="7.625" style="2" customWidth="1"/>
    <col min="3391" max="3391" width="8.625" style="2" customWidth="1"/>
    <col min="3392" max="3393" width="5.625" style="2" customWidth="1"/>
    <col min="3394" max="3394" width="6.625" style="2" customWidth="1"/>
    <col min="3395" max="3395" width="9.875" style="2" customWidth="1"/>
    <col min="3396" max="3397" width="8.625" style="2" customWidth="1"/>
    <col min="3398" max="3398" width="5.5" style="2" bestFit="1" customWidth="1"/>
    <col min="3399" max="3440" width="6.75" style="2" customWidth="1"/>
    <col min="3441" max="3441" width="9" style="2" customWidth="1"/>
    <col min="3442" max="3442" width="9.875" style="2" customWidth="1"/>
    <col min="3443" max="3443" width="2.875" style="2" customWidth="1"/>
    <col min="3444" max="3444" width="12.25" style="2" customWidth="1"/>
    <col min="3445" max="3445" width="6.375" style="2" customWidth="1"/>
    <col min="3446" max="3447" width="3.125" style="2" customWidth="1"/>
    <col min="3448" max="3448" width="1.125" style="2" customWidth="1"/>
    <col min="3449" max="3449" width="9" style="2" customWidth="1"/>
    <col min="3450" max="3450" width="2.375" style="2" customWidth="1"/>
    <col min="3451" max="3468" width="7.625" style="2" customWidth="1"/>
    <col min="3469" max="3631" width="9" style="2" customWidth="1"/>
    <col min="3632" max="3633" width="3.125" style="2" customWidth="1"/>
    <col min="3634" max="3634" width="5.875" style="2" bestFit="1" customWidth="1"/>
    <col min="3635" max="3635" width="5.625" style="2" customWidth="1"/>
    <col min="3636" max="3636" width="10.625" style="2" customWidth="1"/>
    <col min="3637" max="3637" width="12.625" style="2" customWidth="1"/>
    <col min="3638" max="3638" width="8.625" style="2" customWidth="1"/>
    <col min="3639" max="3639" width="5.625" style="2" customWidth="1"/>
    <col min="3640" max="3640" width="4.625" style="2" customWidth="1"/>
    <col min="3641" max="3641" width="5.625" style="2" customWidth="1"/>
    <col min="3642" max="3645" width="4.625" style="2" customWidth="1"/>
    <col min="3646" max="3646" width="7.625" style="2" customWidth="1"/>
    <col min="3647" max="3647" width="8.625" style="2" customWidth="1"/>
    <col min="3648" max="3649" width="5.625" style="2" customWidth="1"/>
    <col min="3650" max="3650" width="6.625" style="2" customWidth="1"/>
    <col min="3651" max="3651" width="9.875" style="2" customWidth="1"/>
    <col min="3652" max="3653" width="8.625" style="2" customWidth="1"/>
    <col min="3654" max="3654" width="5.5" style="2" bestFit="1" customWidth="1"/>
    <col min="3655" max="3696" width="6.75" style="2" customWidth="1"/>
    <col min="3697" max="3697" width="9" style="2" customWidth="1"/>
    <col min="3698" max="3698" width="9.875" style="2" customWidth="1"/>
    <col min="3699" max="3699" width="2.875" style="2" customWidth="1"/>
    <col min="3700" max="3700" width="12.25" style="2" customWidth="1"/>
    <col min="3701" max="3701" width="6.375" style="2" customWidth="1"/>
    <col min="3702" max="3703" width="3.125" style="2" customWidth="1"/>
    <col min="3704" max="3704" width="1.125" style="2" customWidth="1"/>
    <col min="3705" max="3705" width="9" style="2" customWidth="1"/>
    <col min="3706" max="3706" width="2.375" style="2" customWidth="1"/>
    <col min="3707" max="3724" width="7.625" style="2" customWidth="1"/>
    <col min="3725" max="3887" width="9" style="2" customWidth="1"/>
    <col min="3888" max="3889" width="3.125" style="2" customWidth="1"/>
    <col min="3890" max="3890" width="5.875" style="2" bestFit="1" customWidth="1"/>
    <col min="3891" max="3891" width="5.625" style="2" customWidth="1"/>
    <col min="3892" max="3892" width="10.625" style="2" customWidth="1"/>
    <col min="3893" max="3893" width="12.625" style="2" customWidth="1"/>
    <col min="3894" max="3894" width="8.625" style="2" customWidth="1"/>
    <col min="3895" max="3895" width="5.625" style="2" customWidth="1"/>
    <col min="3896" max="3896" width="4.625" style="2" customWidth="1"/>
    <col min="3897" max="3897" width="5.625" style="2" customWidth="1"/>
    <col min="3898" max="3901" width="4.625" style="2" customWidth="1"/>
    <col min="3902" max="3902" width="7.625" style="2" customWidth="1"/>
    <col min="3903" max="3903" width="8.625" style="2" customWidth="1"/>
    <col min="3904" max="3905" width="5.625" style="2" customWidth="1"/>
    <col min="3906" max="3906" width="6.625" style="2" customWidth="1"/>
    <col min="3907" max="3907" width="9.875" style="2" customWidth="1"/>
    <col min="3908" max="3909" width="8.625" style="2" customWidth="1"/>
    <col min="3910" max="3910" width="5.5" style="2" bestFit="1" customWidth="1"/>
    <col min="3911" max="3952" width="6.75" style="2" customWidth="1"/>
    <col min="3953" max="3953" width="9" style="2" customWidth="1"/>
    <col min="3954" max="3954" width="9.875" style="2" customWidth="1"/>
    <col min="3955" max="3955" width="2.875" style="2" customWidth="1"/>
    <col min="3956" max="3956" width="12.25" style="2" customWidth="1"/>
    <col min="3957" max="3957" width="6.375" style="2" customWidth="1"/>
    <col min="3958" max="3959" width="3.125" style="2" customWidth="1"/>
    <col min="3960" max="3960" width="1.125" style="2" customWidth="1"/>
    <col min="3961" max="3961" width="9" style="2" customWidth="1"/>
    <col min="3962" max="3962" width="2.375" style="2" customWidth="1"/>
    <col min="3963" max="3980" width="7.625" style="2" customWidth="1"/>
    <col min="3981" max="4143" width="9" style="2" customWidth="1"/>
    <col min="4144" max="4145" width="3.125" style="2" customWidth="1"/>
    <col min="4146" max="4146" width="5.875" style="2" bestFit="1" customWidth="1"/>
    <col min="4147" max="4147" width="5.625" style="2" customWidth="1"/>
    <col min="4148" max="4148" width="10.625" style="2" customWidth="1"/>
    <col min="4149" max="4149" width="12.625" style="2" customWidth="1"/>
    <col min="4150" max="4150" width="8.625" style="2" customWidth="1"/>
    <col min="4151" max="4151" width="5.625" style="2" customWidth="1"/>
    <col min="4152" max="4152" width="4.625" style="2" customWidth="1"/>
    <col min="4153" max="4153" width="5.625" style="2" customWidth="1"/>
    <col min="4154" max="4157" width="4.625" style="2" customWidth="1"/>
    <col min="4158" max="4158" width="7.625" style="2" customWidth="1"/>
    <col min="4159" max="4159" width="8.625" style="2" customWidth="1"/>
    <col min="4160" max="4161" width="5.625" style="2" customWidth="1"/>
    <col min="4162" max="4162" width="6.625" style="2" customWidth="1"/>
    <col min="4163" max="4163" width="9.875" style="2" customWidth="1"/>
    <col min="4164" max="4165" width="8.625" style="2" customWidth="1"/>
    <col min="4166" max="4166" width="5.5" style="2" bestFit="1" customWidth="1"/>
    <col min="4167" max="4208" width="6.75" style="2" customWidth="1"/>
    <col min="4209" max="4209" width="9" style="2" customWidth="1"/>
    <col min="4210" max="4210" width="9.875" style="2" customWidth="1"/>
    <col min="4211" max="4211" width="2.875" style="2" customWidth="1"/>
    <col min="4212" max="4212" width="12.25" style="2" customWidth="1"/>
    <col min="4213" max="4213" width="6.375" style="2" customWidth="1"/>
    <col min="4214" max="4215" width="3.125" style="2" customWidth="1"/>
    <col min="4216" max="4216" width="1.125" style="2" customWidth="1"/>
    <col min="4217" max="4217" width="9" style="2" customWidth="1"/>
    <col min="4218" max="4218" width="2.375" style="2" customWidth="1"/>
    <col min="4219" max="4236" width="7.625" style="2" customWidth="1"/>
    <col min="4237" max="4399" width="9" style="2" customWidth="1"/>
    <col min="4400" max="4401" width="3.125" style="2" customWidth="1"/>
    <col min="4402" max="4402" width="5.875" style="2" bestFit="1" customWidth="1"/>
    <col min="4403" max="4403" width="5.625" style="2" customWidth="1"/>
    <col min="4404" max="4404" width="10.625" style="2" customWidth="1"/>
    <col min="4405" max="4405" width="12.625" style="2" customWidth="1"/>
    <col min="4406" max="4406" width="8.625" style="2" customWidth="1"/>
    <col min="4407" max="4407" width="5.625" style="2" customWidth="1"/>
    <col min="4408" max="4408" width="4.625" style="2" customWidth="1"/>
    <col min="4409" max="4409" width="5.625" style="2" customWidth="1"/>
    <col min="4410" max="4413" width="4.625" style="2" customWidth="1"/>
    <col min="4414" max="4414" width="7.625" style="2" customWidth="1"/>
    <col min="4415" max="4415" width="8.625" style="2" customWidth="1"/>
    <col min="4416" max="4417" width="5.625" style="2" customWidth="1"/>
    <col min="4418" max="4418" width="6.625" style="2" customWidth="1"/>
    <col min="4419" max="4419" width="9.875" style="2" customWidth="1"/>
    <col min="4420" max="4421" width="8.625" style="2" customWidth="1"/>
    <col min="4422" max="4422" width="5.5" style="2" bestFit="1" customWidth="1"/>
    <col min="4423" max="4464" width="6.75" style="2" customWidth="1"/>
    <col min="4465" max="4465" width="9" style="2" customWidth="1"/>
    <col min="4466" max="4466" width="9.875" style="2" customWidth="1"/>
    <col min="4467" max="4467" width="2.875" style="2" customWidth="1"/>
    <col min="4468" max="4468" width="12.25" style="2" customWidth="1"/>
    <col min="4469" max="4469" width="6.375" style="2" customWidth="1"/>
    <col min="4470" max="4471" width="3.125" style="2" customWidth="1"/>
    <col min="4472" max="4472" width="1.125" style="2" customWidth="1"/>
    <col min="4473" max="4473" width="9" style="2" customWidth="1"/>
    <col min="4474" max="4474" width="2.375" style="2" customWidth="1"/>
    <col min="4475" max="4492" width="7.625" style="2" customWidth="1"/>
    <col min="4493" max="4655" width="9" style="2" customWidth="1"/>
    <col min="4656" max="4657" width="3.125" style="2" customWidth="1"/>
    <col min="4658" max="4658" width="5.875" style="2" bestFit="1" customWidth="1"/>
    <col min="4659" max="4659" width="5.625" style="2" customWidth="1"/>
    <col min="4660" max="4660" width="10.625" style="2" customWidth="1"/>
    <col min="4661" max="4661" width="12.625" style="2" customWidth="1"/>
    <col min="4662" max="4662" width="8.625" style="2" customWidth="1"/>
    <col min="4663" max="4663" width="5.625" style="2" customWidth="1"/>
    <col min="4664" max="4664" width="4.625" style="2" customWidth="1"/>
    <col min="4665" max="4665" width="5.625" style="2" customWidth="1"/>
    <col min="4666" max="4669" width="4.625" style="2" customWidth="1"/>
    <col min="4670" max="4670" width="7.625" style="2" customWidth="1"/>
    <col min="4671" max="4671" width="8.625" style="2" customWidth="1"/>
    <col min="4672" max="4673" width="5.625" style="2" customWidth="1"/>
    <col min="4674" max="4674" width="6.625" style="2" customWidth="1"/>
    <col min="4675" max="4675" width="9.875" style="2" customWidth="1"/>
    <col min="4676" max="4677" width="8.625" style="2" customWidth="1"/>
    <col min="4678" max="4678" width="5.5" style="2" bestFit="1" customWidth="1"/>
    <col min="4679" max="4720" width="6.75" style="2" customWidth="1"/>
    <col min="4721" max="4721" width="9" style="2" customWidth="1"/>
    <col min="4722" max="4722" width="9.875" style="2" customWidth="1"/>
    <col min="4723" max="4723" width="2.875" style="2" customWidth="1"/>
    <col min="4724" max="4724" width="12.25" style="2" customWidth="1"/>
    <col min="4725" max="4725" width="6.375" style="2" customWidth="1"/>
    <col min="4726" max="4727" width="3.125" style="2" customWidth="1"/>
    <col min="4728" max="4728" width="1.125" style="2" customWidth="1"/>
    <col min="4729" max="4729" width="9" style="2" customWidth="1"/>
    <col min="4730" max="4730" width="2.375" style="2" customWidth="1"/>
    <col min="4731" max="4748" width="7.625" style="2" customWidth="1"/>
    <col min="4749" max="4911" width="9" style="2" customWidth="1"/>
    <col min="4912" max="4913" width="3.125" style="2" customWidth="1"/>
    <col min="4914" max="4914" width="5.875" style="2" bestFit="1" customWidth="1"/>
    <col min="4915" max="4915" width="5.625" style="2" customWidth="1"/>
    <col min="4916" max="4916" width="10.625" style="2" customWidth="1"/>
    <col min="4917" max="4917" width="12.625" style="2" customWidth="1"/>
    <col min="4918" max="4918" width="8.625" style="2" customWidth="1"/>
    <col min="4919" max="4919" width="5.625" style="2" customWidth="1"/>
    <col min="4920" max="4920" width="4.625" style="2" customWidth="1"/>
    <col min="4921" max="4921" width="5.625" style="2" customWidth="1"/>
    <col min="4922" max="4925" width="4.625" style="2" customWidth="1"/>
    <col min="4926" max="4926" width="7.625" style="2" customWidth="1"/>
    <col min="4927" max="4927" width="8.625" style="2" customWidth="1"/>
    <col min="4928" max="4929" width="5.625" style="2" customWidth="1"/>
    <col min="4930" max="4930" width="6.625" style="2" customWidth="1"/>
    <col min="4931" max="4931" width="9.875" style="2" customWidth="1"/>
    <col min="4932" max="4933" width="8.625" style="2" customWidth="1"/>
    <col min="4934" max="4934" width="5.5" style="2" bestFit="1" customWidth="1"/>
    <col min="4935" max="4976" width="6.75" style="2" customWidth="1"/>
    <col min="4977" max="4977" width="9" style="2" customWidth="1"/>
    <col min="4978" max="4978" width="9.875" style="2" customWidth="1"/>
    <col min="4979" max="4979" width="2.875" style="2" customWidth="1"/>
    <col min="4980" max="4980" width="12.25" style="2" customWidth="1"/>
    <col min="4981" max="4981" width="6.375" style="2" customWidth="1"/>
    <col min="4982" max="4983" width="3.125" style="2" customWidth="1"/>
    <col min="4984" max="4984" width="1.125" style="2" customWidth="1"/>
    <col min="4985" max="4985" width="9" style="2" customWidth="1"/>
    <col min="4986" max="4986" width="2.375" style="2" customWidth="1"/>
    <col min="4987" max="5004" width="7.625" style="2" customWidth="1"/>
    <col min="5005" max="5167" width="9" style="2" customWidth="1"/>
    <col min="5168" max="5169" width="3.125" style="2" customWidth="1"/>
    <col min="5170" max="5170" width="5.875" style="2" bestFit="1" customWidth="1"/>
    <col min="5171" max="5171" width="5.625" style="2" customWidth="1"/>
    <col min="5172" max="5172" width="10.625" style="2" customWidth="1"/>
    <col min="5173" max="5173" width="12.625" style="2" customWidth="1"/>
    <col min="5174" max="5174" width="8.625" style="2" customWidth="1"/>
    <col min="5175" max="5175" width="5.625" style="2" customWidth="1"/>
    <col min="5176" max="5176" width="4.625" style="2" customWidth="1"/>
    <col min="5177" max="5177" width="5.625" style="2" customWidth="1"/>
    <col min="5178" max="5181" width="4.625" style="2" customWidth="1"/>
    <col min="5182" max="5182" width="7.625" style="2" customWidth="1"/>
    <col min="5183" max="5183" width="8.625" style="2" customWidth="1"/>
    <col min="5184" max="5185" width="5.625" style="2" customWidth="1"/>
    <col min="5186" max="5186" width="6.625" style="2" customWidth="1"/>
    <col min="5187" max="5187" width="9.875" style="2" customWidth="1"/>
    <col min="5188" max="5189" width="8.625" style="2" customWidth="1"/>
    <col min="5190" max="5190" width="5.5" style="2" bestFit="1" customWidth="1"/>
    <col min="5191" max="5232" width="6.75" style="2" customWidth="1"/>
    <col min="5233" max="5233" width="9" style="2" customWidth="1"/>
    <col min="5234" max="5234" width="9.875" style="2" customWidth="1"/>
    <col min="5235" max="5235" width="2.875" style="2" customWidth="1"/>
    <col min="5236" max="5236" width="12.25" style="2" customWidth="1"/>
    <col min="5237" max="5237" width="6.375" style="2" customWidth="1"/>
    <col min="5238" max="5239" width="3.125" style="2" customWidth="1"/>
    <col min="5240" max="5240" width="1.125" style="2" customWidth="1"/>
    <col min="5241" max="5241" width="9" style="2" customWidth="1"/>
    <col min="5242" max="5242" width="2.375" style="2" customWidth="1"/>
    <col min="5243" max="5260" width="7.625" style="2" customWidth="1"/>
    <col min="5261" max="5423" width="9" style="2" customWidth="1"/>
    <col min="5424" max="5425" width="3.125" style="2" customWidth="1"/>
    <col min="5426" max="5426" width="5.875" style="2" bestFit="1" customWidth="1"/>
    <col min="5427" max="5427" width="5.625" style="2" customWidth="1"/>
    <col min="5428" max="5428" width="10.625" style="2" customWidth="1"/>
    <col min="5429" max="5429" width="12.625" style="2" customWidth="1"/>
    <col min="5430" max="5430" width="8.625" style="2" customWidth="1"/>
    <col min="5431" max="5431" width="5.625" style="2" customWidth="1"/>
    <col min="5432" max="5432" width="4.625" style="2" customWidth="1"/>
    <col min="5433" max="5433" width="5.625" style="2" customWidth="1"/>
    <col min="5434" max="5437" width="4.625" style="2" customWidth="1"/>
    <col min="5438" max="5438" width="7.625" style="2" customWidth="1"/>
    <col min="5439" max="5439" width="8.625" style="2" customWidth="1"/>
    <col min="5440" max="5441" width="5.625" style="2" customWidth="1"/>
    <col min="5442" max="5442" width="6.625" style="2" customWidth="1"/>
    <col min="5443" max="5443" width="9.875" style="2" customWidth="1"/>
    <col min="5444" max="5445" width="8.625" style="2" customWidth="1"/>
    <col min="5446" max="5446" width="5.5" style="2" bestFit="1" customWidth="1"/>
    <col min="5447" max="5488" width="6.75" style="2" customWidth="1"/>
    <col min="5489" max="5489" width="9" style="2" customWidth="1"/>
    <col min="5490" max="5490" width="9.875" style="2" customWidth="1"/>
    <col min="5491" max="5491" width="2.875" style="2" customWidth="1"/>
    <col min="5492" max="5492" width="12.25" style="2" customWidth="1"/>
    <col min="5493" max="5493" width="6.375" style="2" customWidth="1"/>
    <col min="5494" max="5495" width="3.125" style="2" customWidth="1"/>
    <col min="5496" max="5496" width="1.125" style="2" customWidth="1"/>
    <col min="5497" max="5497" width="9" style="2" customWidth="1"/>
    <col min="5498" max="5498" width="2.375" style="2" customWidth="1"/>
    <col min="5499" max="5516" width="7.625" style="2" customWidth="1"/>
    <col min="5517" max="5679" width="9" style="2" customWidth="1"/>
    <col min="5680" max="5681" width="3.125" style="2" customWidth="1"/>
    <col min="5682" max="5682" width="5.875" style="2" bestFit="1" customWidth="1"/>
    <col min="5683" max="5683" width="5.625" style="2" customWidth="1"/>
    <col min="5684" max="5684" width="10.625" style="2" customWidth="1"/>
    <col min="5685" max="5685" width="12.625" style="2" customWidth="1"/>
    <col min="5686" max="5686" width="8.625" style="2" customWidth="1"/>
    <col min="5687" max="5687" width="5.625" style="2" customWidth="1"/>
    <col min="5688" max="5688" width="4.625" style="2" customWidth="1"/>
    <col min="5689" max="5689" width="5.625" style="2" customWidth="1"/>
    <col min="5690" max="5693" width="4.625" style="2" customWidth="1"/>
    <col min="5694" max="5694" width="7.625" style="2" customWidth="1"/>
    <col min="5695" max="5695" width="8.625" style="2" customWidth="1"/>
    <col min="5696" max="5697" width="5.625" style="2" customWidth="1"/>
    <col min="5698" max="5698" width="6.625" style="2" customWidth="1"/>
    <col min="5699" max="5699" width="9.875" style="2" customWidth="1"/>
    <col min="5700" max="5701" width="8.625" style="2" customWidth="1"/>
    <col min="5702" max="5702" width="5.5" style="2" bestFit="1" customWidth="1"/>
    <col min="5703" max="5744" width="6.75" style="2" customWidth="1"/>
    <col min="5745" max="5745" width="9" style="2" customWidth="1"/>
    <col min="5746" max="5746" width="9.875" style="2" customWidth="1"/>
    <col min="5747" max="5747" width="2.875" style="2" customWidth="1"/>
    <col min="5748" max="5748" width="12.25" style="2" customWidth="1"/>
    <col min="5749" max="5749" width="6.375" style="2" customWidth="1"/>
    <col min="5750" max="5751" width="3.125" style="2" customWidth="1"/>
    <col min="5752" max="5752" width="1.125" style="2" customWidth="1"/>
    <col min="5753" max="5753" width="9" style="2" customWidth="1"/>
    <col min="5754" max="5754" width="2.375" style="2" customWidth="1"/>
    <col min="5755" max="5772" width="7.625" style="2" customWidth="1"/>
    <col min="5773" max="5935" width="9" style="2" customWidth="1"/>
    <col min="5936" max="5937" width="3.125" style="2" customWidth="1"/>
    <col min="5938" max="5938" width="5.875" style="2" bestFit="1" customWidth="1"/>
    <col min="5939" max="5939" width="5.625" style="2" customWidth="1"/>
    <col min="5940" max="5940" width="10.625" style="2" customWidth="1"/>
    <col min="5941" max="5941" width="12.625" style="2" customWidth="1"/>
    <col min="5942" max="5942" width="8.625" style="2" customWidth="1"/>
    <col min="5943" max="5943" width="5.625" style="2" customWidth="1"/>
    <col min="5944" max="5944" width="4.625" style="2" customWidth="1"/>
    <col min="5945" max="5945" width="5.625" style="2" customWidth="1"/>
    <col min="5946" max="5949" width="4.625" style="2" customWidth="1"/>
    <col min="5950" max="5950" width="7.625" style="2" customWidth="1"/>
    <col min="5951" max="5951" width="8.625" style="2" customWidth="1"/>
    <col min="5952" max="5953" width="5.625" style="2" customWidth="1"/>
    <col min="5954" max="5954" width="6.625" style="2" customWidth="1"/>
    <col min="5955" max="5955" width="9.875" style="2" customWidth="1"/>
    <col min="5956" max="5957" width="8.625" style="2" customWidth="1"/>
    <col min="5958" max="5958" width="5.5" style="2" bestFit="1" customWidth="1"/>
    <col min="5959" max="6000" width="6.75" style="2" customWidth="1"/>
    <col min="6001" max="6001" width="9" style="2" customWidth="1"/>
    <col min="6002" max="6002" width="9.875" style="2" customWidth="1"/>
    <col min="6003" max="6003" width="2.875" style="2" customWidth="1"/>
    <col min="6004" max="6004" width="12.25" style="2" customWidth="1"/>
    <col min="6005" max="6005" width="6.375" style="2" customWidth="1"/>
    <col min="6006" max="6007" width="3.125" style="2" customWidth="1"/>
    <col min="6008" max="6008" width="1.125" style="2" customWidth="1"/>
    <col min="6009" max="6009" width="9" style="2" customWidth="1"/>
    <col min="6010" max="6010" width="2.375" style="2" customWidth="1"/>
    <col min="6011" max="6028" width="7.625" style="2" customWidth="1"/>
    <col min="6029" max="6191" width="9" style="2" customWidth="1"/>
    <col min="6192" max="6193" width="3.125" style="2" customWidth="1"/>
    <col min="6194" max="6194" width="5.875" style="2" bestFit="1" customWidth="1"/>
    <col min="6195" max="6195" width="5.625" style="2" customWidth="1"/>
    <col min="6196" max="6196" width="10.625" style="2" customWidth="1"/>
    <col min="6197" max="6197" width="12.625" style="2" customWidth="1"/>
    <col min="6198" max="6198" width="8.625" style="2" customWidth="1"/>
    <col min="6199" max="6199" width="5.625" style="2" customWidth="1"/>
    <col min="6200" max="6200" width="4.625" style="2" customWidth="1"/>
    <col min="6201" max="6201" width="5.625" style="2" customWidth="1"/>
    <col min="6202" max="6205" width="4.625" style="2" customWidth="1"/>
    <col min="6206" max="6206" width="7.625" style="2" customWidth="1"/>
    <col min="6207" max="6207" width="8.625" style="2" customWidth="1"/>
    <col min="6208" max="6209" width="5.625" style="2" customWidth="1"/>
    <col min="6210" max="6210" width="6.625" style="2" customWidth="1"/>
    <col min="6211" max="6211" width="9.875" style="2" customWidth="1"/>
    <col min="6212" max="6213" width="8.625" style="2" customWidth="1"/>
    <col min="6214" max="6214" width="5.5" style="2" bestFit="1" customWidth="1"/>
    <col min="6215" max="6256" width="6.75" style="2" customWidth="1"/>
    <col min="6257" max="6257" width="9" style="2" customWidth="1"/>
    <col min="6258" max="6258" width="9.875" style="2" customWidth="1"/>
    <col min="6259" max="6259" width="2.875" style="2" customWidth="1"/>
    <col min="6260" max="6260" width="12.25" style="2" customWidth="1"/>
    <col min="6261" max="6261" width="6.375" style="2" customWidth="1"/>
    <col min="6262" max="6263" width="3.125" style="2" customWidth="1"/>
    <col min="6264" max="6264" width="1.125" style="2" customWidth="1"/>
    <col min="6265" max="6265" width="9" style="2" customWidth="1"/>
    <col min="6266" max="6266" width="2.375" style="2" customWidth="1"/>
    <col min="6267" max="6284" width="7.625" style="2" customWidth="1"/>
    <col min="6285" max="6447" width="9" style="2" customWidth="1"/>
    <col min="6448" max="6449" width="3.125" style="2" customWidth="1"/>
    <col min="6450" max="6450" width="5.875" style="2" bestFit="1" customWidth="1"/>
    <col min="6451" max="6451" width="5.625" style="2" customWidth="1"/>
    <col min="6452" max="6452" width="10.625" style="2" customWidth="1"/>
    <col min="6453" max="6453" width="12.625" style="2" customWidth="1"/>
    <col min="6454" max="6454" width="8.625" style="2" customWidth="1"/>
    <col min="6455" max="6455" width="5.625" style="2" customWidth="1"/>
    <col min="6456" max="6456" width="4.625" style="2" customWidth="1"/>
    <col min="6457" max="6457" width="5.625" style="2" customWidth="1"/>
    <col min="6458" max="6461" width="4.625" style="2" customWidth="1"/>
    <col min="6462" max="6462" width="7.625" style="2" customWidth="1"/>
    <col min="6463" max="6463" width="8.625" style="2" customWidth="1"/>
    <col min="6464" max="6465" width="5.625" style="2" customWidth="1"/>
    <col min="6466" max="6466" width="6.625" style="2" customWidth="1"/>
    <col min="6467" max="6467" width="9.875" style="2" customWidth="1"/>
    <col min="6468" max="6469" width="8.625" style="2" customWidth="1"/>
    <col min="6470" max="6470" width="5.5" style="2" bestFit="1" customWidth="1"/>
    <col min="6471" max="6512" width="6.75" style="2" customWidth="1"/>
    <col min="6513" max="6513" width="9" style="2" customWidth="1"/>
    <col min="6514" max="6514" width="9.875" style="2" customWidth="1"/>
    <col min="6515" max="6515" width="2.875" style="2" customWidth="1"/>
    <col min="6516" max="6516" width="12.25" style="2" customWidth="1"/>
    <col min="6517" max="6517" width="6.375" style="2" customWidth="1"/>
    <col min="6518" max="6519" width="3.125" style="2" customWidth="1"/>
    <col min="6520" max="6520" width="1.125" style="2" customWidth="1"/>
    <col min="6521" max="6521" width="9" style="2" customWidth="1"/>
    <col min="6522" max="6522" width="2.375" style="2" customWidth="1"/>
    <col min="6523" max="6540" width="7.625" style="2" customWidth="1"/>
    <col min="6541" max="6703" width="9" style="2" customWidth="1"/>
    <col min="6704" max="6705" width="3.125" style="2" customWidth="1"/>
    <col min="6706" max="6706" width="5.875" style="2" bestFit="1" customWidth="1"/>
    <col min="6707" max="6707" width="5.625" style="2" customWidth="1"/>
    <col min="6708" max="6708" width="10.625" style="2" customWidth="1"/>
    <col min="6709" max="6709" width="12.625" style="2" customWidth="1"/>
    <col min="6710" max="6710" width="8.625" style="2" customWidth="1"/>
    <col min="6711" max="6711" width="5.625" style="2" customWidth="1"/>
    <col min="6712" max="6712" width="4.625" style="2" customWidth="1"/>
    <col min="6713" max="6713" width="5.625" style="2" customWidth="1"/>
    <col min="6714" max="6717" width="4.625" style="2" customWidth="1"/>
    <col min="6718" max="6718" width="7.625" style="2" customWidth="1"/>
    <col min="6719" max="6719" width="8.625" style="2" customWidth="1"/>
    <col min="6720" max="6721" width="5.625" style="2" customWidth="1"/>
    <col min="6722" max="6722" width="6.625" style="2" customWidth="1"/>
    <col min="6723" max="6723" width="9.875" style="2" customWidth="1"/>
    <col min="6724" max="6725" width="8.625" style="2" customWidth="1"/>
    <col min="6726" max="6726" width="5.5" style="2" bestFit="1" customWidth="1"/>
    <col min="6727" max="6768" width="6.75" style="2" customWidth="1"/>
    <col min="6769" max="6769" width="9" style="2" customWidth="1"/>
    <col min="6770" max="6770" width="9.875" style="2" customWidth="1"/>
    <col min="6771" max="6771" width="2.875" style="2" customWidth="1"/>
    <col min="6772" max="6772" width="12.25" style="2" customWidth="1"/>
    <col min="6773" max="6773" width="6.375" style="2" customWidth="1"/>
    <col min="6774" max="6775" width="3.125" style="2" customWidth="1"/>
    <col min="6776" max="6776" width="1.125" style="2" customWidth="1"/>
    <col min="6777" max="6777" width="9" style="2" customWidth="1"/>
    <col min="6778" max="6778" width="2.375" style="2" customWidth="1"/>
    <col min="6779" max="6796" width="7.625" style="2" customWidth="1"/>
    <col min="6797" max="6959" width="9" style="2" customWidth="1"/>
    <col min="6960" max="6961" width="3.125" style="2" customWidth="1"/>
    <col min="6962" max="6962" width="5.875" style="2" bestFit="1" customWidth="1"/>
    <col min="6963" max="6963" width="5.625" style="2" customWidth="1"/>
    <col min="6964" max="6964" width="10.625" style="2" customWidth="1"/>
    <col min="6965" max="6965" width="12.625" style="2" customWidth="1"/>
    <col min="6966" max="6966" width="8.625" style="2" customWidth="1"/>
    <col min="6967" max="6967" width="5.625" style="2" customWidth="1"/>
    <col min="6968" max="6968" width="4.625" style="2" customWidth="1"/>
    <col min="6969" max="6969" width="5.625" style="2" customWidth="1"/>
    <col min="6970" max="6973" width="4.625" style="2" customWidth="1"/>
    <col min="6974" max="6974" width="7.625" style="2" customWidth="1"/>
    <col min="6975" max="6975" width="8.625" style="2" customWidth="1"/>
    <col min="6976" max="6977" width="5.625" style="2" customWidth="1"/>
    <col min="6978" max="6978" width="6.625" style="2" customWidth="1"/>
    <col min="6979" max="6979" width="9.875" style="2" customWidth="1"/>
    <col min="6980" max="6981" width="8.625" style="2" customWidth="1"/>
    <col min="6982" max="6982" width="5.5" style="2" bestFit="1" customWidth="1"/>
    <col min="6983" max="7024" width="6.75" style="2" customWidth="1"/>
    <col min="7025" max="7025" width="9" style="2" customWidth="1"/>
    <col min="7026" max="7026" width="9.875" style="2" customWidth="1"/>
    <col min="7027" max="7027" width="2.875" style="2" customWidth="1"/>
    <col min="7028" max="7028" width="12.25" style="2" customWidth="1"/>
    <col min="7029" max="7029" width="6.375" style="2" customWidth="1"/>
    <col min="7030" max="7031" width="3.125" style="2" customWidth="1"/>
    <col min="7032" max="7032" width="1.125" style="2" customWidth="1"/>
    <col min="7033" max="7033" width="9" style="2" customWidth="1"/>
    <col min="7034" max="7034" width="2.375" style="2" customWidth="1"/>
    <col min="7035" max="7052" width="7.625" style="2" customWidth="1"/>
    <col min="7053" max="7215" width="9" style="2" customWidth="1"/>
    <col min="7216" max="7217" width="3.125" style="2" customWidth="1"/>
    <col min="7218" max="7218" width="5.875" style="2" bestFit="1" customWidth="1"/>
    <col min="7219" max="7219" width="5.625" style="2" customWidth="1"/>
    <col min="7220" max="7220" width="10.625" style="2" customWidth="1"/>
    <col min="7221" max="7221" width="12.625" style="2" customWidth="1"/>
    <col min="7222" max="7222" width="8.625" style="2" customWidth="1"/>
    <col min="7223" max="7223" width="5.625" style="2" customWidth="1"/>
    <col min="7224" max="7224" width="4.625" style="2" customWidth="1"/>
    <col min="7225" max="7225" width="5.625" style="2" customWidth="1"/>
    <col min="7226" max="7229" width="4.625" style="2" customWidth="1"/>
    <col min="7230" max="7230" width="7.625" style="2" customWidth="1"/>
    <col min="7231" max="7231" width="8.625" style="2" customWidth="1"/>
    <col min="7232" max="7233" width="5.625" style="2" customWidth="1"/>
    <col min="7234" max="7234" width="6.625" style="2" customWidth="1"/>
    <col min="7235" max="7235" width="9.875" style="2" customWidth="1"/>
    <col min="7236" max="7237" width="8.625" style="2" customWidth="1"/>
    <col min="7238" max="7238" width="5.5" style="2" bestFit="1" customWidth="1"/>
    <col min="7239" max="7280" width="6.75" style="2" customWidth="1"/>
    <col min="7281" max="7281" width="9" style="2" customWidth="1"/>
    <col min="7282" max="7282" width="9.875" style="2" customWidth="1"/>
    <col min="7283" max="7283" width="2.875" style="2" customWidth="1"/>
    <col min="7284" max="7284" width="12.25" style="2" customWidth="1"/>
    <col min="7285" max="7285" width="6.375" style="2" customWidth="1"/>
    <col min="7286" max="7287" width="3.125" style="2" customWidth="1"/>
    <col min="7288" max="7288" width="1.125" style="2" customWidth="1"/>
    <col min="7289" max="7289" width="9" style="2" customWidth="1"/>
    <col min="7290" max="7290" width="2.375" style="2" customWidth="1"/>
    <col min="7291" max="7308" width="7.625" style="2" customWidth="1"/>
    <col min="7309" max="7471" width="9" style="2" customWidth="1"/>
    <col min="7472" max="7473" width="3.125" style="2" customWidth="1"/>
    <col min="7474" max="7474" width="5.875" style="2" bestFit="1" customWidth="1"/>
    <col min="7475" max="7475" width="5.625" style="2" customWidth="1"/>
    <col min="7476" max="7476" width="10.625" style="2" customWidth="1"/>
    <col min="7477" max="7477" width="12.625" style="2" customWidth="1"/>
    <col min="7478" max="7478" width="8.625" style="2" customWidth="1"/>
    <col min="7479" max="7479" width="5.625" style="2" customWidth="1"/>
    <col min="7480" max="7480" width="4.625" style="2" customWidth="1"/>
    <col min="7481" max="7481" width="5.625" style="2" customWidth="1"/>
    <col min="7482" max="7485" width="4.625" style="2" customWidth="1"/>
    <col min="7486" max="7486" width="7.625" style="2" customWidth="1"/>
    <col min="7487" max="7487" width="8.625" style="2" customWidth="1"/>
    <col min="7488" max="7489" width="5.625" style="2" customWidth="1"/>
    <col min="7490" max="7490" width="6.625" style="2" customWidth="1"/>
    <col min="7491" max="7491" width="9.875" style="2" customWidth="1"/>
    <col min="7492" max="7493" width="8.625" style="2" customWidth="1"/>
    <col min="7494" max="7494" width="5.5" style="2" bestFit="1" customWidth="1"/>
    <col min="7495" max="7536" width="6.75" style="2" customWidth="1"/>
    <col min="7537" max="7537" width="9" style="2" customWidth="1"/>
    <col min="7538" max="7538" width="9.875" style="2" customWidth="1"/>
    <col min="7539" max="7539" width="2.875" style="2" customWidth="1"/>
    <col min="7540" max="7540" width="12.25" style="2" customWidth="1"/>
    <col min="7541" max="7541" width="6.375" style="2" customWidth="1"/>
    <col min="7542" max="7543" width="3.125" style="2" customWidth="1"/>
    <col min="7544" max="7544" width="1.125" style="2" customWidth="1"/>
    <col min="7545" max="7545" width="9" style="2" customWidth="1"/>
    <col min="7546" max="7546" width="2.375" style="2" customWidth="1"/>
    <col min="7547" max="7564" width="7.625" style="2" customWidth="1"/>
    <col min="7565" max="7727" width="9" style="2" customWidth="1"/>
    <col min="7728" max="7729" width="3.125" style="2" customWidth="1"/>
    <col min="7730" max="7730" width="5.875" style="2" bestFit="1" customWidth="1"/>
    <col min="7731" max="7731" width="5.625" style="2" customWidth="1"/>
    <col min="7732" max="7732" width="10.625" style="2" customWidth="1"/>
    <col min="7733" max="7733" width="12.625" style="2" customWidth="1"/>
    <col min="7734" max="7734" width="8.625" style="2" customWidth="1"/>
    <col min="7735" max="7735" width="5.625" style="2" customWidth="1"/>
    <col min="7736" max="7736" width="4.625" style="2" customWidth="1"/>
    <col min="7737" max="7737" width="5.625" style="2" customWidth="1"/>
    <col min="7738" max="7741" width="4.625" style="2" customWidth="1"/>
    <col min="7742" max="7742" width="7.625" style="2" customWidth="1"/>
    <col min="7743" max="7743" width="8.625" style="2" customWidth="1"/>
    <col min="7744" max="7745" width="5.625" style="2" customWidth="1"/>
    <col min="7746" max="7746" width="6.625" style="2" customWidth="1"/>
    <col min="7747" max="7747" width="9.875" style="2" customWidth="1"/>
    <col min="7748" max="7749" width="8.625" style="2" customWidth="1"/>
    <col min="7750" max="7750" width="5.5" style="2" bestFit="1" customWidth="1"/>
    <col min="7751" max="7792" width="6.75" style="2" customWidth="1"/>
    <col min="7793" max="7793" width="9" style="2" customWidth="1"/>
    <col min="7794" max="7794" width="9.875" style="2" customWidth="1"/>
    <col min="7795" max="7795" width="2.875" style="2" customWidth="1"/>
    <col min="7796" max="7796" width="12.25" style="2" customWidth="1"/>
    <col min="7797" max="7797" width="6.375" style="2" customWidth="1"/>
    <col min="7798" max="7799" width="3.125" style="2" customWidth="1"/>
    <col min="7800" max="7800" width="1.125" style="2" customWidth="1"/>
    <col min="7801" max="7801" width="9" style="2" customWidth="1"/>
    <col min="7802" max="7802" width="2.375" style="2" customWidth="1"/>
    <col min="7803" max="7820" width="7.625" style="2" customWidth="1"/>
    <col min="7821" max="7983" width="9" style="2" customWidth="1"/>
    <col min="7984" max="7985" width="3.125" style="2" customWidth="1"/>
    <col min="7986" max="7986" width="5.875" style="2" bestFit="1" customWidth="1"/>
    <col min="7987" max="7987" width="5.625" style="2" customWidth="1"/>
    <col min="7988" max="7988" width="10.625" style="2" customWidth="1"/>
    <col min="7989" max="7989" width="12.625" style="2" customWidth="1"/>
    <col min="7990" max="7990" width="8.625" style="2" customWidth="1"/>
    <col min="7991" max="7991" width="5.625" style="2" customWidth="1"/>
    <col min="7992" max="7992" width="4.625" style="2" customWidth="1"/>
    <col min="7993" max="7993" width="5.625" style="2" customWidth="1"/>
    <col min="7994" max="7997" width="4.625" style="2" customWidth="1"/>
    <col min="7998" max="7998" width="7.625" style="2" customWidth="1"/>
    <col min="7999" max="7999" width="8.625" style="2" customWidth="1"/>
    <col min="8000" max="8001" width="5.625" style="2" customWidth="1"/>
    <col min="8002" max="8002" width="6.625" style="2" customWidth="1"/>
    <col min="8003" max="8003" width="9.875" style="2" customWidth="1"/>
    <col min="8004" max="8005" width="8.625" style="2" customWidth="1"/>
    <col min="8006" max="8006" width="5.5" style="2" bestFit="1" customWidth="1"/>
    <col min="8007" max="8048" width="6.75" style="2" customWidth="1"/>
    <col min="8049" max="8049" width="9" style="2" customWidth="1"/>
    <col min="8050" max="8050" width="9.875" style="2" customWidth="1"/>
    <col min="8051" max="8051" width="2.875" style="2" customWidth="1"/>
    <col min="8052" max="8052" width="12.25" style="2" customWidth="1"/>
    <col min="8053" max="8053" width="6.375" style="2" customWidth="1"/>
    <col min="8054" max="8055" width="3.125" style="2" customWidth="1"/>
    <col min="8056" max="8056" width="1.125" style="2" customWidth="1"/>
    <col min="8057" max="8057" width="9" style="2" customWidth="1"/>
    <col min="8058" max="8058" width="2.375" style="2" customWidth="1"/>
    <col min="8059" max="8076" width="7.625" style="2" customWidth="1"/>
    <col min="8077" max="8239" width="9" style="2" customWidth="1"/>
    <col min="8240" max="8241" width="3.125" style="2" customWidth="1"/>
    <col min="8242" max="8242" width="5.875" style="2" bestFit="1" customWidth="1"/>
    <col min="8243" max="8243" width="5.625" style="2" customWidth="1"/>
    <col min="8244" max="8244" width="10.625" style="2" customWidth="1"/>
    <col min="8245" max="8245" width="12.625" style="2" customWidth="1"/>
    <col min="8246" max="8246" width="8.625" style="2" customWidth="1"/>
    <col min="8247" max="8247" width="5.625" style="2" customWidth="1"/>
    <col min="8248" max="8248" width="4.625" style="2" customWidth="1"/>
    <col min="8249" max="8249" width="5.625" style="2" customWidth="1"/>
    <col min="8250" max="8253" width="4.625" style="2" customWidth="1"/>
    <col min="8254" max="8254" width="7.625" style="2" customWidth="1"/>
    <col min="8255" max="8255" width="8.625" style="2" customWidth="1"/>
    <col min="8256" max="8257" width="5.625" style="2" customWidth="1"/>
    <col min="8258" max="8258" width="6.625" style="2" customWidth="1"/>
    <col min="8259" max="8259" width="9.875" style="2" customWidth="1"/>
    <col min="8260" max="8261" width="8.625" style="2" customWidth="1"/>
    <col min="8262" max="8262" width="5.5" style="2" bestFit="1" customWidth="1"/>
    <col min="8263" max="8304" width="6.75" style="2" customWidth="1"/>
    <col min="8305" max="8305" width="9" style="2" customWidth="1"/>
    <col min="8306" max="8306" width="9.875" style="2" customWidth="1"/>
    <col min="8307" max="8307" width="2.875" style="2" customWidth="1"/>
    <col min="8308" max="8308" width="12.25" style="2" customWidth="1"/>
    <col min="8309" max="8309" width="6.375" style="2" customWidth="1"/>
    <col min="8310" max="8311" width="3.125" style="2" customWidth="1"/>
    <col min="8312" max="8312" width="1.125" style="2" customWidth="1"/>
    <col min="8313" max="8313" width="9" style="2" customWidth="1"/>
    <col min="8314" max="8314" width="2.375" style="2" customWidth="1"/>
    <col min="8315" max="8332" width="7.625" style="2" customWidth="1"/>
    <col min="8333" max="8495" width="9" style="2" customWidth="1"/>
    <col min="8496" max="8497" width="3.125" style="2" customWidth="1"/>
    <col min="8498" max="8498" width="5.875" style="2" bestFit="1" customWidth="1"/>
    <col min="8499" max="8499" width="5.625" style="2" customWidth="1"/>
    <col min="8500" max="8500" width="10.625" style="2" customWidth="1"/>
    <col min="8501" max="8501" width="12.625" style="2" customWidth="1"/>
    <col min="8502" max="8502" width="8.625" style="2" customWidth="1"/>
    <col min="8503" max="8503" width="5.625" style="2" customWidth="1"/>
    <col min="8504" max="8504" width="4.625" style="2" customWidth="1"/>
    <col min="8505" max="8505" width="5.625" style="2" customWidth="1"/>
    <col min="8506" max="8509" width="4.625" style="2" customWidth="1"/>
    <col min="8510" max="8510" width="7.625" style="2" customWidth="1"/>
    <col min="8511" max="8511" width="8.625" style="2" customWidth="1"/>
    <col min="8512" max="8513" width="5.625" style="2" customWidth="1"/>
    <col min="8514" max="8514" width="6.625" style="2" customWidth="1"/>
    <col min="8515" max="8515" width="9.875" style="2" customWidth="1"/>
    <col min="8516" max="8517" width="8.625" style="2" customWidth="1"/>
    <col min="8518" max="8518" width="5.5" style="2" bestFit="1" customWidth="1"/>
    <col min="8519" max="8560" width="6.75" style="2" customWidth="1"/>
    <col min="8561" max="8561" width="9" style="2" customWidth="1"/>
    <col min="8562" max="8562" width="9.875" style="2" customWidth="1"/>
    <col min="8563" max="8563" width="2.875" style="2" customWidth="1"/>
    <col min="8564" max="8564" width="12.25" style="2" customWidth="1"/>
    <col min="8565" max="8565" width="6.375" style="2" customWidth="1"/>
    <col min="8566" max="8567" width="3.125" style="2" customWidth="1"/>
    <col min="8568" max="8568" width="1.125" style="2" customWidth="1"/>
    <col min="8569" max="8569" width="9" style="2" customWidth="1"/>
    <col min="8570" max="8570" width="2.375" style="2" customWidth="1"/>
    <col min="8571" max="8588" width="7.625" style="2" customWidth="1"/>
    <col min="8589" max="8751" width="9" style="2" customWidth="1"/>
    <col min="8752" max="8753" width="3.125" style="2" customWidth="1"/>
    <col min="8754" max="8754" width="5.875" style="2" bestFit="1" customWidth="1"/>
    <col min="8755" max="8755" width="5.625" style="2" customWidth="1"/>
    <col min="8756" max="8756" width="10.625" style="2" customWidth="1"/>
    <col min="8757" max="8757" width="12.625" style="2" customWidth="1"/>
    <col min="8758" max="8758" width="8.625" style="2" customWidth="1"/>
    <col min="8759" max="8759" width="5.625" style="2" customWidth="1"/>
    <col min="8760" max="8760" width="4.625" style="2" customWidth="1"/>
    <col min="8761" max="8761" width="5.625" style="2" customWidth="1"/>
    <col min="8762" max="8765" width="4.625" style="2" customWidth="1"/>
    <col min="8766" max="8766" width="7.625" style="2" customWidth="1"/>
    <col min="8767" max="8767" width="8.625" style="2" customWidth="1"/>
    <col min="8768" max="8769" width="5.625" style="2" customWidth="1"/>
    <col min="8770" max="8770" width="6.625" style="2" customWidth="1"/>
    <col min="8771" max="8771" width="9.875" style="2" customWidth="1"/>
    <col min="8772" max="8773" width="8.625" style="2" customWidth="1"/>
    <col min="8774" max="8774" width="5.5" style="2" bestFit="1" customWidth="1"/>
    <col min="8775" max="8816" width="6.75" style="2" customWidth="1"/>
    <col min="8817" max="8817" width="9" style="2" customWidth="1"/>
    <col min="8818" max="8818" width="9.875" style="2" customWidth="1"/>
    <col min="8819" max="8819" width="2.875" style="2" customWidth="1"/>
    <col min="8820" max="8820" width="12.25" style="2" customWidth="1"/>
    <col min="8821" max="8821" width="6.375" style="2" customWidth="1"/>
    <col min="8822" max="8823" width="3.125" style="2" customWidth="1"/>
    <col min="8824" max="8824" width="1.125" style="2" customWidth="1"/>
    <col min="8825" max="8825" width="9" style="2" customWidth="1"/>
    <col min="8826" max="8826" width="2.375" style="2" customWidth="1"/>
    <col min="8827" max="8844" width="7.625" style="2" customWidth="1"/>
    <col min="8845" max="9007" width="9" style="2" customWidth="1"/>
    <col min="9008" max="9009" width="3.125" style="2" customWidth="1"/>
    <col min="9010" max="9010" width="5.875" style="2" bestFit="1" customWidth="1"/>
    <col min="9011" max="9011" width="5.625" style="2" customWidth="1"/>
    <col min="9012" max="9012" width="10.625" style="2" customWidth="1"/>
    <col min="9013" max="9013" width="12.625" style="2" customWidth="1"/>
    <col min="9014" max="9014" width="8.625" style="2" customWidth="1"/>
    <col min="9015" max="9015" width="5.625" style="2" customWidth="1"/>
    <col min="9016" max="9016" width="4.625" style="2" customWidth="1"/>
    <col min="9017" max="9017" width="5.625" style="2" customWidth="1"/>
    <col min="9018" max="9021" width="4.625" style="2" customWidth="1"/>
    <col min="9022" max="9022" width="7.625" style="2" customWidth="1"/>
    <col min="9023" max="9023" width="8.625" style="2" customWidth="1"/>
    <col min="9024" max="9025" width="5.625" style="2" customWidth="1"/>
    <col min="9026" max="9026" width="6.625" style="2" customWidth="1"/>
    <col min="9027" max="9027" width="9.875" style="2" customWidth="1"/>
    <col min="9028" max="9029" width="8.625" style="2" customWidth="1"/>
    <col min="9030" max="9030" width="5.5" style="2" bestFit="1" customWidth="1"/>
    <col min="9031" max="9072" width="6.75" style="2" customWidth="1"/>
    <col min="9073" max="9073" width="9" style="2" customWidth="1"/>
    <col min="9074" max="9074" width="9.875" style="2" customWidth="1"/>
    <col min="9075" max="9075" width="2.875" style="2" customWidth="1"/>
    <col min="9076" max="9076" width="12.25" style="2" customWidth="1"/>
    <col min="9077" max="9077" width="6.375" style="2" customWidth="1"/>
    <col min="9078" max="9079" width="3.125" style="2" customWidth="1"/>
    <col min="9080" max="9080" width="1.125" style="2" customWidth="1"/>
    <col min="9081" max="9081" width="9" style="2" customWidth="1"/>
    <col min="9082" max="9082" width="2.375" style="2" customWidth="1"/>
    <col min="9083" max="9100" width="7.625" style="2" customWidth="1"/>
    <col min="9101" max="9263" width="9" style="2" customWidth="1"/>
    <col min="9264" max="9265" width="3.125" style="2" customWidth="1"/>
    <col min="9266" max="9266" width="5.875" style="2" bestFit="1" customWidth="1"/>
    <col min="9267" max="9267" width="5.625" style="2" customWidth="1"/>
    <col min="9268" max="9268" width="10.625" style="2" customWidth="1"/>
    <col min="9269" max="9269" width="12.625" style="2" customWidth="1"/>
    <col min="9270" max="9270" width="8.625" style="2" customWidth="1"/>
    <col min="9271" max="9271" width="5.625" style="2" customWidth="1"/>
    <col min="9272" max="9272" width="4.625" style="2" customWidth="1"/>
    <col min="9273" max="9273" width="5.625" style="2" customWidth="1"/>
    <col min="9274" max="9277" width="4.625" style="2" customWidth="1"/>
    <col min="9278" max="9278" width="7.625" style="2" customWidth="1"/>
    <col min="9279" max="9279" width="8.625" style="2" customWidth="1"/>
    <col min="9280" max="9281" width="5.625" style="2" customWidth="1"/>
    <col min="9282" max="9282" width="6.625" style="2" customWidth="1"/>
    <col min="9283" max="9283" width="9.875" style="2" customWidth="1"/>
    <col min="9284" max="9285" width="8.625" style="2" customWidth="1"/>
    <col min="9286" max="9286" width="5.5" style="2" bestFit="1" customWidth="1"/>
    <col min="9287" max="9328" width="6.75" style="2" customWidth="1"/>
    <col min="9329" max="9329" width="9" style="2" customWidth="1"/>
    <col min="9330" max="9330" width="9.875" style="2" customWidth="1"/>
    <col min="9331" max="9331" width="2.875" style="2" customWidth="1"/>
    <col min="9332" max="9332" width="12.25" style="2" customWidth="1"/>
    <col min="9333" max="9333" width="6.375" style="2" customWidth="1"/>
    <col min="9334" max="9335" width="3.125" style="2" customWidth="1"/>
    <col min="9336" max="9336" width="1.125" style="2" customWidth="1"/>
    <col min="9337" max="9337" width="9" style="2" customWidth="1"/>
    <col min="9338" max="9338" width="2.375" style="2" customWidth="1"/>
    <col min="9339" max="9356" width="7.625" style="2" customWidth="1"/>
    <col min="9357" max="9519" width="9" style="2" customWidth="1"/>
    <col min="9520" max="9521" width="3.125" style="2" customWidth="1"/>
    <col min="9522" max="9522" width="5.875" style="2" bestFit="1" customWidth="1"/>
    <col min="9523" max="9523" width="5.625" style="2" customWidth="1"/>
    <col min="9524" max="9524" width="10.625" style="2" customWidth="1"/>
    <col min="9525" max="9525" width="12.625" style="2" customWidth="1"/>
    <col min="9526" max="9526" width="8.625" style="2" customWidth="1"/>
    <col min="9527" max="9527" width="5.625" style="2" customWidth="1"/>
    <col min="9528" max="9528" width="4.625" style="2" customWidth="1"/>
    <col min="9529" max="9529" width="5.625" style="2" customWidth="1"/>
    <col min="9530" max="9533" width="4.625" style="2" customWidth="1"/>
    <col min="9534" max="9534" width="7.625" style="2" customWidth="1"/>
    <col min="9535" max="9535" width="8.625" style="2" customWidth="1"/>
    <col min="9536" max="9537" width="5.625" style="2" customWidth="1"/>
    <col min="9538" max="9538" width="6.625" style="2" customWidth="1"/>
    <col min="9539" max="9539" width="9.875" style="2" customWidth="1"/>
    <col min="9540" max="9541" width="8.625" style="2" customWidth="1"/>
    <col min="9542" max="9542" width="5.5" style="2" bestFit="1" customWidth="1"/>
    <col min="9543" max="9584" width="6.75" style="2" customWidth="1"/>
    <col min="9585" max="9585" width="9" style="2" customWidth="1"/>
    <col min="9586" max="9586" width="9.875" style="2" customWidth="1"/>
    <col min="9587" max="9587" width="2.875" style="2" customWidth="1"/>
    <col min="9588" max="9588" width="12.25" style="2" customWidth="1"/>
    <col min="9589" max="9589" width="6.375" style="2" customWidth="1"/>
    <col min="9590" max="9591" width="3.125" style="2" customWidth="1"/>
    <col min="9592" max="9592" width="1.125" style="2" customWidth="1"/>
    <col min="9593" max="9593" width="9" style="2" customWidth="1"/>
    <col min="9594" max="9594" width="2.375" style="2" customWidth="1"/>
    <col min="9595" max="9612" width="7.625" style="2" customWidth="1"/>
    <col min="9613" max="9775" width="9" style="2" customWidth="1"/>
    <col min="9776" max="9777" width="3.125" style="2" customWidth="1"/>
    <col min="9778" max="9778" width="5.875" style="2" bestFit="1" customWidth="1"/>
    <col min="9779" max="9779" width="5.625" style="2" customWidth="1"/>
    <col min="9780" max="9780" width="10.625" style="2" customWidth="1"/>
    <col min="9781" max="9781" width="12.625" style="2" customWidth="1"/>
    <col min="9782" max="9782" width="8.625" style="2" customWidth="1"/>
    <col min="9783" max="9783" width="5.625" style="2" customWidth="1"/>
    <col min="9784" max="9784" width="4.625" style="2" customWidth="1"/>
    <col min="9785" max="9785" width="5.625" style="2" customWidth="1"/>
    <col min="9786" max="9789" width="4.625" style="2" customWidth="1"/>
    <col min="9790" max="9790" width="7.625" style="2" customWidth="1"/>
    <col min="9791" max="9791" width="8.625" style="2" customWidth="1"/>
    <col min="9792" max="9793" width="5.625" style="2" customWidth="1"/>
    <col min="9794" max="9794" width="6.625" style="2" customWidth="1"/>
    <col min="9795" max="9795" width="9.875" style="2" customWidth="1"/>
    <col min="9796" max="9797" width="8.625" style="2" customWidth="1"/>
    <col min="9798" max="9798" width="5.5" style="2" bestFit="1" customWidth="1"/>
    <col min="9799" max="9840" width="6.75" style="2" customWidth="1"/>
    <col min="9841" max="9841" width="9" style="2" customWidth="1"/>
    <col min="9842" max="9842" width="9.875" style="2" customWidth="1"/>
    <col min="9843" max="9843" width="2.875" style="2" customWidth="1"/>
    <col min="9844" max="9844" width="12.25" style="2" customWidth="1"/>
    <col min="9845" max="9845" width="6.375" style="2" customWidth="1"/>
    <col min="9846" max="9847" width="3.125" style="2" customWidth="1"/>
    <col min="9848" max="9848" width="1.125" style="2" customWidth="1"/>
    <col min="9849" max="9849" width="9" style="2" customWidth="1"/>
    <col min="9850" max="9850" width="2.375" style="2" customWidth="1"/>
    <col min="9851" max="9868" width="7.625" style="2" customWidth="1"/>
    <col min="9869" max="10031" width="9" style="2" customWidth="1"/>
    <col min="10032" max="10033" width="3.125" style="2" customWidth="1"/>
    <col min="10034" max="10034" width="5.875" style="2" bestFit="1" customWidth="1"/>
    <col min="10035" max="10035" width="5.625" style="2" customWidth="1"/>
    <col min="10036" max="10036" width="10.625" style="2" customWidth="1"/>
    <col min="10037" max="10037" width="12.625" style="2" customWidth="1"/>
    <col min="10038" max="10038" width="8.625" style="2" customWidth="1"/>
    <col min="10039" max="10039" width="5.625" style="2" customWidth="1"/>
    <col min="10040" max="10040" width="4.625" style="2" customWidth="1"/>
    <col min="10041" max="10041" width="5.625" style="2" customWidth="1"/>
    <col min="10042" max="10045" width="4.625" style="2" customWidth="1"/>
    <col min="10046" max="10046" width="7.625" style="2" customWidth="1"/>
    <col min="10047" max="10047" width="8.625" style="2" customWidth="1"/>
    <col min="10048" max="10049" width="5.625" style="2" customWidth="1"/>
    <col min="10050" max="10050" width="6.625" style="2" customWidth="1"/>
    <col min="10051" max="10051" width="9.875" style="2" customWidth="1"/>
    <col min="10052" max="10053" width="8.625" style="2" customWidth="1"/>
    <col min="10054" max="10054" width="5.5" style="2" bestFit="1" customWidth="1"/>
    <col min="10055" max="10096" width="6.75" style="2" customWidth="1"/>
    <col min="10097" max="10097" width="9" style="2" customWidth="1"/>
    <col min="10098" max="10098" width="9.875" style="2" customWidth="1"/>
    <col min="10099" max="10099" width="2.875" style="2" customWidth="1"/>
    <col min="10100" max="10100" width="12.25" style="2" customWidth="1"/>
    <col min="10101" max="10101" width="6.375" style="2" customWidth="1"/>
    <col min="10102" max="10103" width="3.125" style="2" customWidth="1"/>
    <col min="10104" max="10104" width="1.125" style="2" customWidth="1"/>
    <col min="10105" max="10105" width="9" style="2" customWidth="1"/>
    <col min="10106" max="10106" width="2.375" style="2" customWidth="1"/>
    <col min="10107" max="10124" width="7.625" style="2" customWidth="1"/>
    <col min="10125" max="10287" width="9" style="2" customWidth="1"/>
    <col min="10288" max="10289" width="3.125" style="2" customWidth="1"/>
    <col min="10290" max="10290" width="5.875" style="2" bestFit="1" customWidth="1"/>
    <col min="10291" max="10291" width="5.625" style="2" customWidth="1"/>
    <col min="10292" max="10292" width="10.625" style="2" customWidth="1"/>
    <col min="10293" max="10293" width="12.625" style="2" customWidth="1"/>
    <col min="10294" max="10294" width="8.625" style="2" customWidth="1"/>
    <col min="10295" max="10295" width="5.625" style="2" customWidth="1"/>
    <col min="10296" max="10296" width="4.625" style="2" customWidth="1"/>
    <col min="10297" max="10297" width="5.625" style="2" customWidth="1"/>
    <col min="10298" max="10301" width="4.625" style="2" customWidth="1"/>
    <col min="10302" max="10302" width="7.625" style="2" customWidth="1"/>
    <col min="10303" max="10303" width="8.625" style="2" customWidth="1"/>
    <col min="10304" max="10305" width="5.625" style="2" customWidth="1"/>
    <col min="10306" max="10306" width="6.625" style="2" customWidth="1"/>
    <col min="10307" max="10307" width="9.875" style="2" customWidth="1"/>
    <col min="10308" max="10309" width="8.625" style="2" customWidth="1"/>
    <col min="10310" max="10310" width="5.5" style="2" bestFit="1" customWidth="1"/>
    <col min="10311" max="10352" width="6.75" style="2" customWidth="1"/>
    <col min="10353" max="10353" width="9" style="2" customWidth="1"/>
    <col min="10354" max="10354" width="9.875" style="2" customWidth="1"/>
    <col min="10355" max="10355" width="2.875" style="2" customWidth="1"/>
    <col min="10356" max="10356" width="12.25" style="2" customWidth="1"/>
    <col min="10357" max="10357" width="6.375" style="2" customWidth="1"/>
    <col min="10358" max="10359" width="3.125" style="2" customWidth="1"/>
    <col min="10360" max="10360" width="1.125" style="2" customWidth="1"/>
    <col min="10361" max="10361" width="9" style="2" customWidth="1"/>
    <col min="10362" max="10362" width="2.375" style="2" customWidth="1"/>
    <col min="10363" max="10380" width="7.625" style="2" customWidth="1"/>
    <col min="10381" max="10543" width="9" style="2" customWidth="1"/>
    <col min="10544" max="10545" width="3.125" style="2" customWidth="1"/>
    <col min="10546" max="10546" width="5.875" style="2" bestFit="1" customWidth="1"/>
    <col min="10547" max="10547" width="5.625" style="2" customWidth="1"/>
    <col min="10548" max="10548" width="10.625" style="2" customWidth="1"/>
    <col min="10549" max="10549" width="12.625" style="2" customWidth="1"/>
    <col min="10550" max="10550" width="8.625" style="2" customWidth="1"/>
    <col min="10551" max="10551" width="5.625" style="2" customWidth="1"/>
    <col min="10552" max="10552" width="4.625" style="2" customWidth="1"/>
    <col min="10553" max="10553" width="5.625" style="2" customWidth="1"/>
    <col min="10554" max="10557" width="4.625" style="2" customWidth="1"/>
    <col min="10558" max="10558" width="7.625" style="2" customWidth="1"/>
    <col min="10559" max="10559" width="8.625" style="2" customWidth="1"/>
    <col min="10560" max="10561" width="5.625" style="2" customWidth="1"/>
    <col min="10562" max="10562" width="6.625" style="2" customWidth="1"/>
    <col min="10563" max="10563" width="9.875" style="2" customWidth="1"/>
    <col min="10564" max="10565" width="8.625" style="2" customWidth="1"/>
    <col min="10566" max="10566" width="5.5" style="2" bestFit="1" customWidth="1"/>
    <col min="10567" max="10608" width="6.75" style="2" customWidth="1"/>
    <col min="10609" max="10609" width="9" style="2" customWidth="1"/>
    <col min="10610" max="10610" width="9.875" style="2" customWidth="1"/>
    <col min="10611" max="10611" width="2.875" style="2" customWidth="1"/>
    <col min="10612" max="10612" width="12.25" style="2" customWidth="1"/>
    <col min="10613" max="10613" width="6.375" style="2" customWidth="1"/>
    <col min="10614" max="10615" width="3.125" style="2" customWidth="1"/>
    <col min="10616" max="10616" width="1.125" style="2" customWidth="1"/>
    <col min="10617" max="10617" width="9" style="2" customWidth="1"/>
    <col min="10618" max="10618" width="2.375" style="2" customWidth="1"/>
    <col min="10619" max="10636" width="7.625" style="2" customWidth="1"/>
    <col min="10637" max="10799" width="9" style="2" customWidth="1"/>
    <col min="10800" max="10801" width="3.125" style="2" customWidth="1"/>
    <col min="10802" max="10802" width="5.875" style="2" bestFit="1" customWidth="1"/>
    <col min="10803" max="10803" width="5.625" style="2" customWidth="1"/>
    <col min="10804" max="10804" width="10.625" style="2" customWidth="1"/>
    <col min="10805" max="10805" width="12.625" style="2" customWidth="1"/>
    <col min="10806" max="10806" width="8.625" style="2" customWidth="1"/>
    <col min="10807" max="10807" width="5.625" style="2" customWidth="1"/>
    <col min="10808" max="10808" width="4.625" style="2" customWidth="1"/>
    <col min="10809" max="10809" width="5.625" style="2" customWidth="1"/>
    <col min="10810" max="10813" width="4.625" style="2" customWidth="1"/>
    <col min="10814" max="10814" width="7.625" style="2" customWidth="1"/>
    <col min="10815" max="10815" width="8.625" style="2" customWidth="1"/>
    <col min="10816" max="10817" width="5.625" style="2" customWidth="1"/>
    <col min="10818" max="10818" width="6.625" style="2" customWidth="1"/>
    <col min="10819" max="10819" width="9.875" style="2" customWidth="1"/>
    <col min="10820" max="10821" width="8.625" style="2" customWidth="1"/>
    <col min="10822" max="10822" width="5.5" style="2" bestFit="1" customWidth="1"/>
    <col min="10823" max="10864" width="6.75" style="2" customWidth="1"/>
    <col min="10865" max="10865" width="9" style="2" customWidth="1"/>
    <col min="10866" max="10866" width="9.875" style="2" customWidth="1"/>
    <col min="10867" max="10867" width="2.875" style="2" customWidth="1"/>
    <col min="10868" max="10868" width="12.25" style="2" customWidth="1"/>
    <col min="10869" max="10869" width="6.375" style="2" customWidth="1"/>
    <col min="10870" max="10871" width="3.125" style="2" customWidth="1"/>
    <col min="10872" max="10872" width="1.125" style="2" customWidth="1"/>
    <col min="10873" max="10873" width="9" style="2" customWidth="1"/>
    <col min="10874" max="10874" width="2.375" style="2" customWidth="1"/>
    <col min="10875" max="10892" width="7.625" style="2" customWidth="1"/>
    <col min="10893" max="11055" width="9" style="2" customWidth="1"/>
    <col min="11056" max="11057" width="3.125" style="2" customWidth="1"/>
    <col min="11058" max="11058" width="5.875" style="2" bestFit="1" customWidth="1"/>
    <col min="11059" max="11059" width="5.625" style="2" customWidth="1"/>
    <col min="11060" max="11060" width="10.625" style="2" customWidth="1"/>
    <col min="11061" max="11061" width="12.625" style="2" customWidth="1"/>
    <col min="11062" max="11062" width="8.625" style="2" customWidth="1"/>
    <col min="11063" max="11063" width="5.625" style="2" customWidth="1"/>
    <col min="11064" max="11064" width="4.625" style="2" customWidth="1"/>
    <col min="11065" max="11065" width="5.625" style="2" customWidth="1"/>
    <col min="11066" max="11069" width="4.625" style="2" customWidth="1"/>
    <col min="11070" max="11070" width="7.625" style="2" customWidth="1"/>
    <col min="11071" max="11071" width="8.625" style="2" customWidth="1"/>
    <col min="11072" max="11073" width="5.625" style="2" customWidth="1"/>
    <col min="11074" max="11074" width="6.625" style="2" customWidth="1"/>
    <col min="11075" max="11075" width="9.875" style="2" customWidth="1"/>
    <col min="11076" max="11077" width="8.625" style="2" customWidth="1"/>
    <col min="11078" max="11078" width="5.5" style="2" bestFit="1" customWidth="1"/>
    <col min="11079" max="11120" width="6.75" style="2" customWidth="1"/>
    <col min="11121" max="11121" width="9" style="2" customWidth="1"/>
    <col min="11122" max="11122" width="9.875" style="2" customWidth="1"/>
    <col min="11123" max="11123" width="2.875" style="2" customWidth="1"/>
    <col min="11124" max="11124" width="12.25" style="2" customWidth="1"/>
    <col min="11125" max="11125" width="6.375" style="2" customWidth="1"/>
    <col min="11126" max="11127" width="3.125" style="2" customWidth="1"/>
    <col min="11128" max="11128" width="1.125" style="2" customWidth="1"/>
    <col min="11129" max="11129" width="9" style="2" customWidth="1"/>
    <col min="11130" max="11130" width="2.375" style="2" customWidth="1"/>
    <col min="11131" max="11148" width="7.625" style="2" customWidth="1"/>
    <col min="11149" max="11311" width="9" style="2" customWidth="1"/>
    <col min="11312" max="11313" width="3.125" style="2" customWidth="1"/>
    <col min="11314" max="11314" width="5.875" style="2" bestFit="1" customWidth="1"/>
    <col min="11315" max="11315" width="5.625" style="2" customWidth="1"/>
    <col min="11316" max="11316" width="10.625" style="2" customWidth="1"/>
    <col min="11317" max="11317" width="12.625" style="2" customWidth="1"/>
    <col min="11318" max="11318" width="8.625" style="2" customWidth="1"/>
    <col min="11319" max="11319" width="5.625" style="2" customWidth="1"/>
    <col min="11320" max="11320" width="4.625" style="2" customWidth="1"/>
    <col min="11321" max="11321" width="5.625" style="2" customWidth="1"/>
    <col min="11322" max="11325" width="4.625" style="2" customWidth="1"/>
    <col min="11326" max="11326" width="7.625" style="2" customWidth="1"/>
    <col min="11327" max="11327" width="8.625" style="2" customWidth="1"/>
    <col min="11328" max="11329" width="5.625" style="2" customWidth="1"/>
    <col min="11330" max="11330" width="6.625" style="2" customWidth="1"/>
    <col min="11331" max="11331" width="9.875" style="2" customWidth="1"/>
    <col min="11332" max="11333" width="8.625" style="2" customWidth="1"/>
    <col min="11334" max="11334" width="5.5" style="2" bestFit="1" customWidth="1"/>
    <col min="11335" max="11376" width="6.75" style="2" customWidth="1"/>
    <col min="11377" max="11377" width="9" style="2" customWidth="1"/>
    <col min="11378" max="11378" width="9.875" style="2" customWidth="1"/>
    <col min="11379" max="11379" width="2.875" style="2" customWidth="1"/>
    <col min="11380" max="11380" width="12.25" style="2" customWidth="1"/>
    <col min="11381" max="11381" width="6.375" style="2" customWidth="1"/>
    <col min="11382" max="11383" width="3.125" style="2" customWidth="1"/>
    <col min="11384" max="11384" width="1.125" style="2" customWidth="1"/>
    <col min="11385" max="11385" width="9" style="2" customWidth="1"/>
    <col min="11386" max="11386" width="2.375" style="2" customWidth="1"/>
    <col min="11387" max="11404" width="7.625" style="2" customWidth="1"/>
    <col min="11405" max="11567" width="9" style="2" customWidth="1"/>
    <col min="11568" max="11569" width="3.125" style="2" customWidth="1"/>
    <col min="11570" max="11570" width="5.875" style="2" bestFit="1" customWidth="1"/>
    <col min="11571" max="11571" width="5.625" style="2" customWidth="1"/>
    <col min="11572" max="11572" width="10.625" style="2" customWidth="1"/>
    <col min="11573" max="11573" width="12.625" style="2" customWidth="1"/>
    <col min="11574" max="11574" width="8.625" style="2" customWidth="1"/>
    <col min="11575" max="11575" width="5.625" style="2" customWidth="1"/>
    <col min="11576" max="11576" width="4.625" style="2" customWidth="1"/>
    <col min="11577" max="11577" width="5.625" style="2" customWidth="1"/>
    <col min="11578" max="11581" width="4.625" style="2" customWidth="1"/>
    <col min="11582" max="11582" width="7.625" style="2" customWidth="1"/>
    <col min="11583" max="11583" width="8.625" style="2" customWidth="1"/>
    <col min="11584" max="11585" width="5.625" style="2" customWidth="1"/>
    <col min="11586" max="11586" width="6.625" style="2" customWidth="1"/>
    <col min="11587" max="11587" width="9.875" style="2" customWidth="1"/>
    <col min="11588" max="11589" width="8.625" style="2" customWidth="1"/>
    <col min="11590" max="11590" width="5.5" style="2" bestFit="1" customWidth="1"/>
    <col min="11591" max="11632" width="6.75" style="2" customWidth="1"/>
    <col min="11633" max="11633" width="9" style="2" customWidth="1"/>
    <col min="11634" max="11634" width="9.875" style="2" customWidth="1"/>
    <col min="11635" max="11635" width="2.875" style="2" customWidth="1"/>
    <col min="11636" max="11636" width="12.25" style="2" customWidth="1"/>
    <col min="11637" max="11637" width="6.375" style="2" customWidth="1"/>
    <col min="11638" max="11639" width="3.125" style="2" customWidth="1"/>
    <col min="11640" max="11640" width="1.125" style="2" customWidth="1"/>
    <col min="11641" max="11641" width="9" style="2" customWidth="1"/>
    <col min="11642" max="11642" width="2.375" style="2" customWidth="1"/>
    <col min="11643" max="11660" width="7.625" style="2" customWidth="1"/>
    <col min="11661" max="11823" width="9" style="2" customWidth="1"/>
    <col min="11824" max="11825" width="3.125" style="2" customWidth="1"/>
    <col min="11826" max="11826" width="5.875" style="2" bestFit="1" customWidth="1"/>
    <col min="11827" max="11827" width="5.625" style="2" customWidth="1"/>
    <col min="11828" max="11828" width="10.625" style="2" customWidth="1"/>
    <col min="11829" max="11829" width="12.625" style="2" customWidth="1"/>
    <col min="11830" max="11830" width="8.625" style="2" customWidth="1"/>
    <col min="11831" max="11831" width="5.625" style="2" customWidth="1"/>
    <col min="11832" max="11832" width="4.625" style="2" customWidth="1"/>
    <col min="11833" max="11833" width="5.625" style="2" customWidth="1"/>
    <col min="11834" max="11837" width="4.625" style="2" customWidth="1"/>
    <col min="11838" max="11838" width="7.625" style="2" customWidth="1"/>
    <col min="11839" max="11839" width="8.625" style="2" customWidth="1"/>
    <col min="11840" max="11841" width="5.625" style="2" customWidth="1"/>
    <col min="11842" max="11842" width="6.625" style="2" customWidth="1"/>
    <col min="11843" max="11843" width="9.875" style="2" customWidth="1"/>
    <col min="11844" max="11845" width="8.625" style="2" customWidth="1"/>
    <col min="11846" max="11846" width="5.5" style="2" bestFit="1" customWidth="1"/>
    <col min="11847" max="11888" width="6.75" style="2" customWidth="1"/>
    <col min="11889" max="11889" width="9" style="2" customWidth="1"/>
    <col min="11890" max="11890" width="9.875" style="2" customWidth="1"/>
    <col min="11891" max="11891" width="2.875" style="2" customWidth="1"/>
    <col min="11892" max="11892" width="12.25" style="2" customWidth="1"/>
    <col min="11893" max="11893" width="6.375" style="2" customWidth="1"/>
    <col min="11894" max="11895" width="3.125" style="2" customWidth="1"/>
    <col min="11896" max="11896" width="1.125" style="2" customWidth="1"/>
    <col min="11897" max="11897" width="9" style="2" customWidth="1"/>
    <col min="11898" max="11898" width="2.375" style="2" customWidth="1"/>
    <col min="11899" max="11916" width="7.625" style="2" customWidth="1"/>
    <col min="11917" max="12079" width="9" style="2" customWidth="1"/>
    <col min="12080" max="12081" width="3.125" style="2" customWidth="1"/>
    <col min="12082" max="12082" width="5.875" style="2" bestFit="1" customWidth="1"/>
    <col min="12083" max="12083" width="5.625" style="2" customWidth="1"/>
    <col min="12084" max="12084" width="10.625" style="2" customWidth="1"/>
    <col min="12085" max="12085" width="12.625" style="2" customWidth="1"/>
    <col min="12086" max="12086" width="8.625" style="2" customWidth="1"/>
    <col min="12087" max="12087" width="5.625" style="2" customWidth="1"/>
    <col min="12088" max="12088" width="4.625" style="2" customWidth="1"/>
    <col min="12089" max="12089" width="5.625" style="2" customWidth="1"/>
    <col min="12090" max="12093" width="4.625" style="2" customWidth="1"/>
    <col min="12094" max="12094" width="7.625" style="2" customWidth="1"/>
    <col min="12095" max="12095" width="8.625" style="2" customWidth="1"/>
    <col min="12096" max="12097" width="5.625" style="2" customWidth="1"/>
    <col min="12098" max="12098" width="6.625" style="2" customWidth="1"/>
    <col min="12099" max="12099" width="9.875" style="2" customWidth="1"/>
    <col min="12100" max="12101" width="8.625" style="2" customWidth="1"/>
    <col min="12102" max="12102" width="5.5" style="2" bestFit="1" customWidth="1"/>
    <col min="12103" max="12144" width="6.75" style="2" customWidth="1"/>
    <col min="12145" max="12145" width="9" style="2" customWidth="1"/>
    <col min="12146" max="12146" width="9.875" style="2" customWidth="1"/>
    <col min="12147" max="12147" width="2.875" style="2" customWidth="1"/>
    <col min="12148" max="12148" width="12.25" style="2" customWidth="1"/>
    <col min="12149" max="12149" width="6.375" style="2" customWidth="1"/>
    <col min="12150" max="12151" width="3.125" style="2" customWidth="1"/>
    <col min="12152" max="12152" width="1.125" style="2" customWidth="1"/>
    <col min="12153" max="12153" width="9" style="2" customWidth="1"/>
    <col min="12154" max="12154" width="2.375" style="2" customWidth="1"/>
    <col min="12155" max="12172" width="7.625" style="2" customWidth="1"/>
    <col min="12173" max="12335" width="9" style="2" customWidth="1"/>
    <col min="12336" max="12337" width="3.125" style="2" customWidth="1"/>
    <col min="12338" max="12338" width="5.875" style="2" bestFit="1" customWidth="1"/>
    <col min="12339" max="12339" width="5.625" style="2" customWidth="1"/>
    <col min="12340" max="12340" width="10.625" style="2" customWidth="1"/>
    <col min="12341" max="12341" width="12.625" style="2" customWidth="1"/>
    <col min="12342" max="12342" width="8.625" style="2" customWidth="1"/>
    <col min="12343" max="12343" width="5.625" style="2" customWidth="1"/>
    <col min="12344" max="12344" width="4.625" style="2" customWidth="1"/>
    <col min="12345" max="12345" width="5.625" style="2" customWidth="1"/>
    <col min="12346" max="12349" width="4.625" style="2" customWidth="1"/>
    <col min="12350" max="12350" width="7.625" style="2" customWidth="1"/>
    <col min="12351" max="12351" width="8.625" style="2" customWidth="1"/>
    <col min="12352" max="12353" width="5.625" style="2" customWidth="1"/>
    <col min="12354" max="12354" width="6.625" style="2" customWidth="1"/>
    <col min="12355" max="12355" width="9.875" style="2" customWidth="1"/>
    <col min="12356" max="12357" width="8.625" style="2" customWidth="1"/>
    <col min="12358" max="12358" width="5.5" style="2" bestFit="1" customWidth="1"/>
    <col min="12359" max="12400" width="6.75" style="2" customWidth="1"/>
    <col min="12401" max="12401" width="9" style="2" customWidth="1"/>
    <col min="12402" max="12402" width="9.875" style="2" customWidth="1"/>
    <col min="12403" max="12403" width="2.875" style="2" customWidth="1"/>
    <col min="12404" max="12404" width="12.25" style="2" customWidth="1"/>
    <col min="12405" max="12405" width="6.375" style="2" customWidth="1"/>
    <col min="12406" max="12407" width="3.125" style="2" customWidth="1"/>
    <col min="12408" max="12408" width="1.125" style="2" customWidth="1"/>
    <col min="12409" max="12409" width="9" style="2" customWidth="1"/>
    <col min="12410" max="12410" width="2.375" style="2" customWidth="1"/>
    <col min="12411" max="12428" width="7.625" style="2" customWidth="1"/>
    <col min="12429" max="12591" width="9" style="2" customWidth="1"/>
    <col min="12592" max="12593" width="3.125" style="2" customWidth="1"/>
    <col min="12594" max="12594" width="5.875" style="2" bestFit="1" customWidth="1"/>
    <col min="12595" max="12595" width="5.625" style="2" customWidth="1"/>
    <col min="12596" max="12596" width="10.625" style="2" customWidth="1"/>
    <col min="12597" max="12597" width="12.625" style="2" customWidth="1"/>
    <col min="12598" max="12598" width="8.625" style="2" customWidth="1"/>
    <col min="12599" max="12599" width="5.625" style="2" customWidth="1"/>
    <col min="12600" max="12600" width="4.625" style="2" customWidth="1"/>
    <col min="12601" max="12601" width="5.625" style="2" customWidth="1"/>
    <col min="12602" max="12605" width="4.625" style="2" customWidth="1"/>
    <col min="12606" max="12606" width="7.625" style="2" customWidth="1"/>
    <col min="12607" max="12607" width="8.625" style="2" customWidth="1"/>
    <col min="12608" max="12609" width="5.625" style="2" customWidth="1"/>
    <col min="12610" max="12610" width="6.625" style="2" customWidth="1"/>
    <col min="12611" max="12611" width="9.875" style="2" customWidth="1"/>
    <col min="12612" max="12613" width="8.625" style="2" customWidth="1"/>
    <col min="12614" max="12614" width="5.5" style="2" bestFit="1" customWidth="1"/>
    <col min="12615" max="12656" width="6.75" style="2" customWidth="1"/>
    <col min="12657" max="12657" width="9" style="2" customWidth="1"/>
    <col min="12658" max="12658" width="9.875" style="2" customWidth="1"/>
    <col min="12659" max="12659" width="2.875" style="2" customWidth="1"/>
    <col min="12660" max="12660" width="12.25" style="2" customWidth="1"/>
    <col min="12661" max="12661" width="6.375" style="2" customWidth="1"/>
    <col min="12662" max="12663" width="3.125" style="2" customWidth="1"/>
    <col min="12664" max="12664" width="1.125" style="2" customWidth="1"/>
    <col min="12665" max="12665" width="9" style="2" customWidth="1"/>
    <col min="12666" max="12666" width="2.375" style="2" customWidth="1"/>
    <col min="12667" max="12684" width="7.625" style="2" customWidth="1"/>
    <col min="12685" max="12847" width="9" style="2" customWidth="1"/>
    <col min="12848" max="12849" width="3.125" style="2" customWidth="1"/>
    <col min="12850" max="12850" width="5.875" style="2" bestFit="1" customWidth="1"/>
    <col min="12851" max="12851" width="5.625" style="2" customWidth="1"/>
    <col min="12852" max="12852" width="10.625" style="2" customWidth="1"/>
    <col min="12853" max="12853" width="12.625" style="2" customWidth="1"/>
    <col min="12854" max="12854" width="8.625" style="2" customWidth="1"/>
    <col min="12855" max="12855" width="5.625" style="2" customWidth="1"/>
    <col min="12856" max="12856" width="4.625" style="2" customWidth="1"/>
    <col min="12857" max="12857" width="5.625" style="2" customWidth="1"/>
    <col min="12858" max="12861" width="4.625" style="2" customWidth="1"/>
    <col min="12862" max="12862" width="7.625" style="2" customWidth="1"/>
    <col min="12863" max="12863" width="8.625" style="2" customWidth="1"/>
    <col min="12864" max="12865" width="5.625" style="2" customWidth="1"/>
    <col min="12866" max="12866" width="6.625" style="2" customWidth="1"/>
    <col min="12867" max="12867" width="9.875" style="2" customWidth="1"/>
    <col min="12868" max="12869" width="8.625" style="2" customWidth="1"/>
    <col min="12870" max="12870" width="5.5" style="2" bestFit="1" customWidth="1"/>
    <col min="12871" max="12912" width="6.75" style="2" customWidth="1"/>
    <col min="12913" max="12913" width="9" style="2" customWidth="1"/>
    <col min="12914" max="12914" width="9.875" style="2" customWidth="1"/>
    <col min="12915" max="12915" width="2.875" style="2" customWidth="1"/>
    <col min="12916" max="12916" width="12.25" style="2" customWidth="1"/>
    <col min="12917" max="12917" width="6.375" style="2" customWidth="1"/>
    <col min="12918" max="12919" width="3.125" style="2" customWidth="1"/>
    <col min="12920" max="12920" width="1.125" style="2" customWidth="1"/>
    <col min="12921" max="12921" width="9" style="2" customWidth="1"/>
    <col min="12922" max="12922" width="2.375" style="2" customWidth="1"/>
    <col min="12923" max="12940" width="7.625" style="2" customWidth="1"/>
    <col min="12941" max="13103" width="9" style="2" customWidth="1"/>
    <col min="13104" max="13105" width="3.125" style="2" customWidth="1"/>
    <col min="13106" max="13106" width="5.875" style="2" bestFit="1" customWidth="1"/>
    <col min="13107" max="13107" width="5.625" style="2" customWidth="1"/>
    <col min="13108" max="13108" width="10.625" style="2" customWidth="1"/>
    <col min="13109" max="13109" width="12.625" style="2" customWidth="1"/>
    <col min="13110" max="13110" width="8.625" style="2" customWidth="1"/>
    <col min="13111" max="13111" width="5.625" style="2" customWidth="1"/>
    <col min="13112" max="13112" width="4.625" style="2" customWidth="1"/>
    <col min="13113" max="13113" width="5.625" style="2" customWidth="1"/>
    <col min="13114" max="13117" width="4.625" style="2" customWidth="1"/>
    <col min="13118" max="13118" width="7.625" style="2" customWidth="1"/>
    <col min="13119" max="13119" width="8.625" style="2" customWidth="1"/>
    <col min="13120" max="13121" width="5.625" style="2" customWidth="1"/>
    <col min="13122" max="13122" width="6.625" style="2" customWidth="1"/>
    <col min="13123" max="13123" width="9.875" style="2" customWidth="1"/>
    <col min="13124" max="13125" width="8.625" style="2" customWidth="1"/>
    <col min="13126" max="13126" width="5.5" style="2" bestFit="1" customWidth="1"/>
    <col min="13127" max="13168" width="6.75" style="2" customWidth="1"/>
    <col min="13169" max="13169" width="9" style="2" customWidth="1"/>
    <col min="13170" max="13170" width="9.875" style="2" customWidth="1"/>
    <col min="13171" max="13171" width="2.875" style="2" customWidth="1"/>
    <col min="13172" max="13172" width="12.25" style="2" customWidth="1"/>
    <col min="13173" max="13173" width="6.375" style="2" customWidth="1"/>
    <col min="13174" max="13175" width="3.125" style="2" customWidth="1"/>
    <col min="13176" max="13176" width="1.125" style="2" customWidth="1"/>
    <col min="13177" max="13177" width="9" style="2" customWidth="1"/>
    <col min="13178" max="13178" width="2.375" style="2" customWidth="1"/>
    <col min="13179" max="13196" width="7.625" style="2" customWidth="1"/>
    <col min="13197" max="13359" width="9" style="2" customWidth="1"/>
    <col min="13360" max="13361" width="3.125" style="2" customWidth="1"/>
    <col min="13362" max="13362" width="5.875" style="2" bestFit="1" customWidth="1"/>
    <col min="13363" max="13363" width="5.625" style="2" customWidth="1"/>
    <col min="13364" max="13364" width="10.625" style="2" customWidth="1"/>
    <col min="13365" max="13365" width="12.625" style="2" customWidth="1"/>
    <col min="13366" max="13366" width="8.625" style="2" customWidth="1"/>
    <col min="13367" max="13367" width="5.625" style="2" customWidth="1"/>
    <col min="13368" max="13368" width="4.625" style="2" customWidth="1"/>
    <col min="13369" max="13369" width="5.625" style="2" customWidth="1"/>
    <col min="13370" max="13373" width="4.625" style="2" customWidth="1"/>
    <col min="13374" max="13374" width="7.625" style="2" customWidth="1"/>
    <col min="13375" max="13375" width="8.625" style="2" customWidth="1"/>
    <col min="13376" max="13377" width="5.625" style="2" customWidth="1"/>
    <col min="13378" max="13378" width="6.625" style="2" customWidth="1"/>
    <col min="13379" max="13379" width="9.875" style="2" customWidth="1"/>
    <col min="13380" max="13381" width="8.625" style="2" customWidth="1"/>
    <col min="13382" max="13382" width="5.5" style="2" bestFit="1" customWidth="1"/>
    <col min="13383" max="13424" width="6.75" style="2" customWidth="1"/>
    <col min="13425" max="13425" width="9" style="2" customWidth="1"/>
    <col min="13426" max="13426" width="9.875" style="2" customWidth="1"/>
    <col min="13427" max="13427" width="2.875" style="2" customWidth="1"/>
    <col min="13428" max="13428" width="12.25" style="2" customWidth="1"/>
    <col min="13429" max="13429" width="6.375" style="2" customWidth="1"/>
    <col min="13430" max="13431" width="3.125" style="2" customWidth="1"/>
    <col min="13432" max="13432" width="1.125" style="2" customWidth="1"/>
    <col min="13433" max="13433" width="9" style="2" customWidth="1"/>
    <col min="13434" max="13434" width="2.375" style="2" customWidth="1"/>
    <col min="13435" max="13452" width="7.625" style="2" customWidth="1"/>
    <col min="13453" max="13615" width="9" style="2" customWidth="1"/>
    <col min="13616" max="13617" width="3.125" style="2" customWidth="1"/>
    <col min="13618" max="13618" width="5.875" style="2" bestFit="1" customWidth="1"/>
    <col min="13619" max="13619" width="5.625" style="2" customWidth="1"/>
    <col min="13620" max="13620" width="10.625" style="2" customWidth="1"/>
    <col min="13621" max="13621" width="12.625" style="2" customWidth="1"/>
    <col min="13622" max="13622" width="8.625" style="2" customWidth="1"/>
    <col min="13623" max="13623" width="5.625" style="2" customWidth="1"/>
    <col min="13624" max="13624" width="4.625" style="2" customWidth="1"/>
    <col min="13625" max="13625" width="5.625" style="2" customWidth="1"/>
    <col min="13626" max="13629" width="4.625" style="2" customWidth="1"/>
    <col min="13630" max="13630" width="7.625" style="2" customWidth="1"/>
    <col min="13631" max="13631" width="8.625" style="2" customWidth="1"/>
    <col min="13632" max="13633" width="5.625" style="2" customWidth="1"/>
    <col min="13634" max="13634" width="6.625" style="2" customWidth="1"/>
    <col min="13635" max="13635" width="9.875" style="2" customWidth="1"/>
    <col min="13636" max="13637" width="8.625" style="2" customWidth="1"/>
    <col min="13638" max="13638" width="5.5" style="2" bestFit="1" customWidth="1"/>
    <col min="13639" max="13680" width="6.75" style="2" customWidth="1"/>
    <col min="13681" max="13681" width="9" style="2" customWidth="1"/>
    <col min="13682" max="13682" width="9.875" style="2" customWidth="1"/>
    <col min="13683" max="13683" width="2.875" style="2" customWidth="1"/>
    <col min="13684" max="13684" width="12.25" style="2" customWidth="1"/>
    <col min="13685" max="13685" width="6.375" style="2" customWidth="1"/>
    <col min="13686" max="13687" width="3.125" style="2" customWidth="1"/>
    <col min="13688" max="13688" width="1.125" style="2" customWidth="1"/>
    <col min="13689" max="13689" width="9" style="2" customWidth="1"/>
    <col min="13690" max="13690" width="2.375" style="2" customWidth="1"/>
    <col min="13691" max="13708" width="7.625" style="2" customWidth="1"/>
    <col min="13709" max="13871" width="9" style="2" customWidth="1"/>
    <col min="13872" max="13873" width="3.125" style="2" customWidth="1"/>
    <col min="13874" max="13874" width="5.875" style="2" bestFit="1" customWidth="1"/>
    <col min="13875" max="13875" width="5.625" style="2" customWidth="1"/>
    <col min="13876" max="13876" width="10.625" style="2" customWidth="1"/>
    <col min="13877" max="13877" width="12.625" style="2" customWidth="1"/>
    <col min="13878" max="13878" width="8.625" style="2" customWidth="1"/>
    <col min="13879" max="13879" width="5.625" style="2" customWidth="1"/>
    <col min="13880" max="13880" width="4.625" style="2" customWidth="1"/>
    <col min="13881" max="13881" width="5.625" style="2" customWidth="1"/>
    <col min="13882" max="13885" width="4.625" style="2" customWidth="1"/>
    <col min="13886" max="13886" width="7.625" style="2" customWidth="1"/>
    <col min="13887" max="13887" width="8.625" style="2" customWidth="1"/>
    <col min="13888" max="13889" width="5.625" style="2" customWidth="1"/>
    <col min="13890" max="13890" width="6.625" style="2" customWidth="1"/>
    <col min="13891" max="13891" width="9.875" style="2" customWidth="1"/>
    <col min="13892" max="13893" width="8.625" style="2" customWidth="1"/>
    <col min="13894" max="13894" width="5.5" style="2" bestFit="1" customWidth="1"/>
    <col min="13895" max="13936" width="6.75" style="2" customWidth="1"/>
    <col min="13937" max="13937" width="9" style="2" customWidth="1"/>
    <col min="13938" max="13938" width="9.875" style="2" customWidth="1"/>
    <col min="13939" max="13939" width="2.875" style="2" customWidth="1"/>
    <col min="13940" max="13940" width="12.25" style="2" customWidth="1"/>
    <col min="13941" max="13941" width="6.375" style="2" customWidth="1"/>
    <col min="13942" max="13943" width="3.125" style="2" customWidth="1"/>
    <col min="13944" max="13944" width="1.125" style="2" customWidth="1"/>
    <col min="13945" max="13945" width="9" style="2" customWidth="1"/>
    <col min="13946" max="13946" width="2.375" style="2" customWidth="1"/>
    <col min="13947" max="13964" width="7.625" style="2" customWidth="1"/>
    <col min="13965" max="14127" width="9" style="2" customWidth="1"/>
    <col min="14128" max="14129" width="3.125" style="2" customWidth="1"/>
    <col min="14130" max="14130" width="5.875" style="2" bestFit="1" customWidth="1"/>
    <col min="14131" max="14131" width="5.625" style="2" customWidth="1"/>
    <col min="14132" max="14132" width="10.625" style="2" customWidth="1"/>
    <col min="14133" max="14133" width="12.625" style="2" customWidth="1"/>
    <col min="14134" max="14134" width="8.625" style="2" customWidth="1"/>
    <col min="14135" max="14135" width="5.625" style="2" customWidth="1"/>
    <col min="14136" max="14136" width="4.625" style="2" customWidth="1"/>
    <col min="14137" max="14137" width="5.625" style="2" customWidth="1"/>
    <col min="14138" max="14141" width="4.625" style="2" customWidth="1"/>
    <col min="14142" max="14142" width="7.625" style="2" customWidth="1"/>
    <col min="14143" max="14143" width="8.625" style="2" customWidth="1"/>
    <col min="14144" max="14145" width="5.625" style="2" customWidth="1"/>
    <col min="14146" max="14146" width="6.625" style="2" customWidth="1"/>
    <col min="14147" max="14147" width="9.875" style="2" customWidth="1"/>
    <col min="14148" max="14149" width="8.625" style="2" customWidth="1"/>
    <col min="14150" max="14150" width="5.5" style="2" bestFit="1" customWidth="1"/>
    <col min="14151" max="14192" width="6.75" style="2" customWidth="1"/>
    <col min="14193" max="14193" width="9" style="2" customWidth="1"/>
    <col min="14194" max="14194" width="9.875" style="2" customWidth="1"/>
    <col min="14195" max="14195" width="2.875" style="2" customWidth="1"/>
    <col min="14196" max="14196" width="12.25" style="2" customWidth="1"/>
    <col min="14197" max="14197" width="6.375" style="2" customWidth="1"/>
    <col min="14198" max="14199" width="3.125" style="2" customWidth="1"/>
    <col min="14200" max="14200" width="1.125" style="2" customWidth="1"/>
    <col min="14201" max="14201" width="9" style="2" customWidth="1"/>
    <col min="14202" max="14202" width="2.375" style="2" customWidth="1"/>
    <col min="14203" max="14220" width="7.625" style="2" customWidth="1"/>
    <col min="14221" max="14383" width="9" style="2" customWidth="1"/>
    <col min="14384" max="14385" width="3.125" style="2" customWidth="1"/>
    <col min="14386" max="14386" width="5.875" style="2" bestFit="1" customWidth="1"/>
    <col min="14387" max="14387" width="5.625" style="2" customWidth="1"/>
    <col min="14388" max="14388" width="10.625" style="2" customWidth="1"/>
    <col min="14389" max="14389" width="12.625" style="2" customWidth="1"/>
    <col min="14390" max="14390" width="8.625" style="2" customWidth="1"/>
    <col min="14391" max="14391" width="5.625" style="2" customWidth="1"/>
    <col min="14392" max="14392" width="4.625" style="2" customWidth="1"/>
    <col min="14393" max="14393" width="5.625" style="2" customWidth="1"/>
    <col min="14394" max="14397" width="4.625" style="2" customWidth="1"/>
    <col min="14398" max="14398" width="7.625" style="2" customWidth="1"/>
    <col min="14399" max="14399" width="8.625" style="2" customWidth="1"/>
    <col min="14400" max="14401" width="5.625" style="2" customWidth="1"/>
    <col min="14402" max="14402" width="6.625" style="2" customWidth="1"/>
    <col min="14403" max="14403" width="9.875" style="2" customWidth="1"/>
    <col min="14404" max="14405" width="8.625" style="2" customWidth="1"/>
    <col min="14406" max="14406" width="5.5" style="2" bestFit="1" customWidth="1"/>
    <col min="14407" max="14448" width="6.75" style="2" customWidth="1"/>
    <col min="14449" max="14449" width="9" style="2" customWidth="1"/>
    <col min="14450" max="14450" width="9.875" style="2" customWidth="1"/>
    <col min="14451" max="14451" width="2.875" style="2" customWidth="1"/>
    <col min="14452" max="14452" width="12.25" style="2" customWidth="1"/>
    <col min="14453" max="14453" width="6.375" style="2" customWidth="1"/>
    <col min="14454" max="14455" width="3.125" style="2" customWidth="1"/>
    <col min="14456" max="14456" width="1.125" style="2" customWidth="1"/>
    <col min="14457" max="14457" width="9" style="2" customWidth="1"/>
    <col min="14458" max="14458" width="2.375" style="2" customWidth="1"/>
    <col min="14459" max="14476" width="7.625" style="2" customWidth="1"/>
    <col min="14477" max="14639" width="9" style="2" customWidth="1"/>
    <col min="14640" max="14641" width="3.125" style="2" customWidth="1"/>
    <col min="14642" max="14642" width="5.875" style="2" bestFit="1" customWidth="1"/>
    <col min="14643" max="14643" width="5.625" style="2" customWidth="1"/>
    <col min="14644" max="14644" width="10.625" style="2" customWidth="1"/>
    <col min="14645" max="14645" width="12.625" style="2" customWidth="1"/>
    <col min="14646" max="14646" width="8.625" style="2" customWidth="1"/>
    <col min="14647" max="14647" width="5.625" style="2" customWidth="1"/>
    <col min="14648" max="14648" width="4.625" style="2" customWidth="1"/>
    <col min="14649" max="14649" width="5.625" style="2" customWidth="1"/>
    <col min="14650" max="14653" width="4.625" style="2" customWidth="1"/>
    <col min="14654" max="14654" width="7.625" style="2" customWidth="1"/>
    <col min="14655" max="14655" width="8.625" style="2" customWidth="1"/>
    <col min="14656" max="14657" width="5.625" style="2" customWidth="1"/>
    <col min="14658" max="14658" width="6.625" style="2" customWidth="1"/>
    <col min="14659" max="14659" width="9.875" style="2" customWidth="1"/>
    <col min="14660" max="14661" width="8.625" style="2" customWidth="1"/>
    <col min="14662" max="14662" width="5.5" style="2" bestFit="1" customWidth="1"/>
    <col min="14663" max="14704" width="6.75" style="2" customWidth="1"/>
    <col min="14705" max="14705" width="9" style="2" customWidth="1"/>
    <col min="14706" max="14706" width="9.875" style="2" customWidth="1"/>
    <col min="14707" max="14707" width="2.875" style="2" customWidth="1"/>
    <col min="14708" max="14708" width="12.25" style="2" customWidth="1"/>
    <col min="14709" max="14709" width="6.375" style="2" customWidth="1"/>
    <col min="14710" max="14711" width="3.125" style="2" customWidth="1"/>
    <col min="14712" max="14712" width="1.125" style="2" customWidth="1"/>
    <col min="14713" max="14713" width="9" style="2" customWidth="1"/>
    <col min="14714" max="14714" width="2.375" style="2" customWidth="1"/>
    <col min="14715" max="14732" width="7.625" style="2" customWidth="1"/>
    <col min="14733" max="14895" width="9" style="2" customWidth="1"/>
    <col min="14896" max="14897" width="3.125" style="2" customWidth="1"/>
    <col min="14898" max="14898" width="5.875" style="2" bestFit="1" customWidth="1"/>
    <col min="14899" max="14899" width="5.625" style="2" customWidth="1"/>
    <col min="14900" max="14900" width="10.625" style="2" customWidth="1"/>
    <col min="14901" max="14901" width="12.625" style="2" customWidth="1"/>
    <col min="14902" max="14902" width="8.625" style="2" customWidth="1"/>
    <col min="14903" max="14903" width="5.625" style="2" customWidth="1"/>
    <col min="14904" max="14904" width="4.625" style="2" customWidth="1"/>
    <col min="14905" max="14905" width="5.625" style="2" customWidth="1"/>
    <col min="14906" max="14909" width="4.625" style="2" customWidth="1"/>
    <col min="14910" max="14910" width="7.625" style="2" customWidth="1"/>
    <col min="14911" max="14911" width="8.625" style="2" customWidth="1"/>
    <col min="14912" max="14913" width="5.625" style="2" customWidth="1"/>
    <col min="14914" max="14914" width="6.625" style="2" customWidth="1"/>
    <col min="14915" max="14915" width="9.875" style="2" customWidth="1"/>
    <col min="14916" max="14917" width="8.625" style="2" customWidth="1"/>
    <col min="14918" max="14918" width="5.5" style="2" bestFit="1" customWidth="1"/>
    <col min="14919" max="14960" width="6.75" style="2" customWidth="1"/>
    <col min="14961" max="14961" width="9" style="2" customWidth="1"/>
    <col min="14962" max="14962" width="9.875" style="2" customWidth="1"/>
    <col min="14963" max="14963" width="2.875" style="2" customWidth="1"/>
    <col min="14964" max="14964" width="12.25" style="2" customWidth="1"/>
    <col min="14965" max="14965" width="6.375" style="2" customWidth="1"/>
    <col min="14966" max="14967" width="3.125" style="2" customWidth="1"/>
    <col min="14968" max="14968" width="1.125" style="2" customWidth="1"/>
    <col min="14969" max="14969" width="9" style="2" customWidth="1"/>
    <col min="14970" max="14970" width="2.375" style="2" customWidth="1"/>
    <col min="14971" max="14988" width="7.625" style="2" customWidth="1"/>
    <col min="14989" max="15151" width="9" style="2" customWidth="1"/>
    <col min="15152" max="15153" width="3.125" style="2" customWidth="1"/>
    <col min="15154" max="15154" width="5.875" style="2" bestFit="1" customWidth="1"/>
    <col min="15155" max="15155" width="5.625" style="2" customWidth="1"/>
    <col min="15156" max="15156" width="10.625" style="2" customWidth="1"/>
    <col min="15157" max="15157" width="12.625" style="2" customWidth="1"/>
    <col min="15158" max="15158" width="8.625" style="2" customWidth="1"/>
    <col min="15159" max="15159" width="5.625" style="2" customWidth="1"/>
    <col min="15160" max="15160" width="4.625" style="2" customWidth="1"/>
    <col min="15161" max="15161" width="5.625" style="2" customWidth="1"/>
    <col min="15162" max="15165" width="4.625" style="2" customWidth="1"/>
    <col min="15166" max="15166" width="7.625" style="2" customWidth="1"/>
    <col min="15167" max="15167" width="8.625" style="2" customWidth="1"/>
    <col min="15168" max="15169" width="5.625" style="2" customWidth="1"/>
    <col min="15170" max="15170" width="6.625" style="2" customWidth="1"/>
    <col min="15171" max="15171" width="9.875" style="2" customWidth="1"/>
    <col min="15172" max="15173" width="8.625" style="2" customWidth="1"/>
    <col min="15174" max="15174" width="5.5" style="2" bestFit="1" customWidth="1"/>
    <col min="15175" max="15216" width="6.75" style="2" customWidth="1"/>
    <col min="15217" max="15217" width="9" style="2" customWidth="1"/>
    <col min="15218" max="15218" width="9.875" style="2" customWidth="1"/>
    <col min="15219" max="15219" width="2.875" style="2" customWidth="1"/>
    <col min="15220" max="15220" width="12.25" style="2" customWidth="1"/>
    <col min="15221" max="15221" width="6.375" style="2" customWidth="1"/>
    <col min="15222" max="15223" width="3.125" style="2" customWidth="1"/>
    <col min="15224" max="15224" width="1.125" style="2" customWidth="1"/>
    <col min="15225" max="15225" width="9" style="2" customWidth="1"/>
    <col min="15226" max="15226" width="2.375" style="2" customWidth="1"/>
    <col min="15227" max="15244" width="7.625" style="2" customWidth="1"/>
    <col min="15245" max="15407" width="9" style="2" customWidth="1"/>
    <col min="15408" max="15409" width="3.125" style="2" customWidth="1"/>
    <col min="15410" max="15410" width="5.875" style="2" bestFit="1" customWidth="1"/>
    <col min="15411" max="15411" width="5.625" style="2" customWidth="1"/>
    <col min="15412" max="15412" width="10.625" style="2" customWidth="1"/>
    <col min="15413" max="15413" width="12.625" style="2" customWidth="1"/>
    <col min="15414" max="15414" width="8.625" style="2" customWidth="1"/>
    <col min="15415" max="15415" width="5.625" style="2" customWidth="1"/>
    <col min="15416" max="15416" width="4.625" style="2" customWidth="1"/>
    <col min="15417" max="15417" width="5.625" style="2" customWidth="1"/>
    <col min="15418" max="15421" width="4.625" style="2" customWidth="1"/>
    <col min="15422" max="15422" width="7.625" style="2" customWidth="1"/>
    <col min="15423" max="15423" width="8.625" style="2" customWidth="1"/>
    <col min="15424" max="15425" width="5.625" style="2" customWidth="1"/>
    <col min="15426" max="15426" width="6.625" style="2" customWidth="1"/>
    <col min="15427" max="15427" width="9.875" style="2" customWidth="1"/>
    <col min="15428" max="15429" width="8.625" style="2" customWidth="1"/>
    <col min="15430" max="15430" width="5.5" style="2" bestFit="1" customWidth="1"/>
    <col min="15431" max="15472" width="6.75" style="2" customWidth="1"/>
    <col min="15473" max="15473" width="9" style="2" customWidth="1"/>
    <col min="15474" max="15474" width="9.875" style="2" customWidth="1"/>
    <col min="15475" max="15475" width="2.875" style="2" customWidth="1"/>
    <col min="15476" max="15476" width="12.25" style="2" customWidth="1"/>
    <col min="15477" max="15477" width="6.375" style="2" customWidth="1"/>
    <col min="15478" max="15479" width="3.125" style="2" customWidth="1"/>
    <col min="15480" max="15480" width="1.125" style="2" customWidth="1"/>
    <col min="15481" max="15481" width="9" style="2" customWidth="1"/>
    <col min="15482" max="15482" width="2.375" style="2" customWidth="1"/>
    <col min="15483" max="15500" width="7.625" style="2" customWidth="1"/>
    <col min="15501" max="15663" width="9" style="2" customWidth="1"/>
    <col min="15664" max="15665" width="3.125" style="2" customWidth="1"/>
    <col min="15666" max="15666" width="5.875" style="2" bestFit="1" customWidth="1"/>
    <col min="15667" max="15667" width="5.625" style="2" customWidth="1"/>
    <col min="15668" max="15668" width="10.625" style="2" customWidth="1"/>
    <col min="15669" max="15669" width="12.625" style="2" customWidth="1"/>
    <col min="15670" max="15670" width="8.625" style="2" customWidth="1"/>
    <col min="15671" max="15671" width="5.625" style="2" customWidth="1"/>
    <col min="15672" max="15672" width="4.625" style="2" customWidth="1"/>
    <col min="15673" max="15673" width="5.625" style="2" customWidth="1"/>
    <col min="15674" max="15677" width="4.625" style="2" customWidth="1"/>
    <col min="15678" max="15678" width="7.625" style="2" customWidth="1"/>
    <col min="15679" max="15679" width="8.625" style="2" customWidth="1"/>
    <col min="15680" max="15681" width="5.625" style="2" customWidth="1"/>
    <col min="15682" max="15682" width="6.625" style="2" customWidth="1"/>
    <col min="15683" max="15683" width="9.875" style="2" customWidth="1"/>
    <col min="15684" max="15685" width="8.625" style="2" customWidth="1"/>
    <col min="15686" max="15686" width="5.5" style="2" bestFit="1" customWidth="1"/>
    <col min="15687" max="15728" width="6.75" style="2" customWidth="1"/>
    <col min="15729" max="15729" width="9" style="2" customWidth="1"/>
    <col min="15730" max="15730" width="9.875" style="2" customWidth="1"/>
    <col min="15731" max="15731" width="2.875" style="2" customWidth="1"/>
    <col min="15732" max="15732" width="12.25" style="2" customWidth="1"/>
    <col min="15733" max="15733" width="6.375" style="2" customWidth="1"/>
    <col min="15734" max="15735" width="3.125" style="2" customWidth="1"/>
    <col min="15736" max="15736" width="1.125" style="2" customWidth="1"/>
    <col min="15737" max="15737" width="9" style="2" customWidth="1"/>
    <col min="15738" max="15738" width="2.375" style="2" customWidth="1"/>
    <col min="15739" max="15756" width="7.625" style="2" customWidth="1"/>
    <col min="15757" max="15919" width="9" style="2" customWidth="1"/>
    <col min="15920" max="15921" width="3.125" style="2" customWidth="1"/>
    <col min="15922" max="15922" width="5.875" style="2" bestFit="1" customWidth="1"/>
    <col min="15923" max="15923" width="5.625" style="2" customWidth="1"/>
    <col min="15924" max="15924" width="10.625" style="2" customWidth="1"/>
    <col min="15925" max="15925" width="12.625" style="2" customWidth="1"/>
    <col min="15926" max="15926" width="8.625" style="2" customWidth="1"/>
    <col min="15927" max="15927" width="5.625" style="2" customWidth="1"/>
    <col min="15928" max="15928" width="4.625" style="2" customWidth="1"/>
    <col min="15929" max="15929" width="5.625" style="2" customWidth="1"/>
    <col min="15930" max="15933" width="4.625" style="2" customWidth="1"/>
    <col min="15934" max="15934" width="7.625" style="2" customWidth="1"/>
    <col min="15935" max="15935" width="8.625" style="2" customWidth="1"/>
    <col min="15936" max="15937" width="5.625" style="2" customWidth="1"/>
    <col min="15938" max="15938" width="6.625" style="2" customWidth="1"/>
    <col min="15939" max="15939" width="9.875" style="2" customWidth="1"/>
    <col min="15940" max="15941" width="8.625" style="2" customWidth="1"/>
    <col min="15942" max="15942" width="5.5" style="2" bestFit="1" customWidth="1"/>
    <col min="15943" max="15984" width="6.75" style="2" customWidth="1"/>
    <col min="15985" max="15985" width="9" style="2" customWidth="1"/>
    <col min="15986" max="15986" width="9.875" style="2" customWidth="1"/>
    <col min="15987" max="15987" width="2.875" style="2" customWidth="1"/>
    <col min="15988" max="15988" width="12.25" style="2" customWidth="1"/>
    <col min="15989" max="15989" width="6.375" style="2" customWidth="1"/>
    <col min="15990" max="15991" width="3.125" style="2" customWidth="1"/>
    <col min="15992" max="15992" width="1.125" style="2" customWidth="1"/>
    <col min="15993" max="15993" width="9" style="2" customWidth="1"/>
    <col min="15994" max="15994" width="2.375" style="2" customWidth="1"/>
    <col min="15995" max="16012" width="7.625" style="2" customWidth="1"/>
    <col min="16013" max="16175" width="9" style="2" customWidth="1"/>
    <col min="16176" max="16177" width="3.125" style="2" customWidth="1"/>
    <col min="16178" max="16178" width="5.875" style="2" bestFit="1" customWidth="1"/>
    <col min="16179" max="16179" width="5.625" style="2" customWidth="1"/>
    <col min="16180" max="16180" width="10.625" style="2" customWidth="1"/>
    <col min="16181" max="16181" width="12.625" style="2" customWidth="1"/>
    <col min="16182" max="16182" width="8.625" style="2" customWidth="1"/>
    <col min="16183" max="16183" width="5.625" style="2" customWidth="1"/>
    <col min="16184" max="16184" width="4.625" style="2" customWidth="1"/>
    <col min="16185" max="16185" width="5.625" style="2" customWidth="1"/>
    <col min="16186" max="16189" width="4.625" style="2" customWidth="1"/>
    <col min="16190" max="16190" width="7.625" style="2" customWidth="1"/>
    <col min="16191" max="16191" width="8.625" style="2" customWidth="1"/>
    <col min="16192" max="16193" width="5.625" style="2" customWidth="1"/>
    <col min="16194" max="16194" width="6.625" style="2" customWidth="1"/>
    <col min="16195" max="16195" width="9.875" style="2" customWidth="1"/>
    <col min="16196" max="16197" width="8.625" style="2" customWidth="1"/>
    <col min="16198" max="16198" width="5.5" style="2" bestFit="1" customWidth="1"/>
    <col min="16199" max="16240" width="6.75" style="2" customWidth="1"/>
    <col min="16241" max="16241" width="9" style="2" customWidth="1"/>
    <col min="16242" max="16242" width="9.875" style="2" customWidth="1"/>
    <col min="16243" max="16243" width="2.875" style="2" customWidth="1"/>
    <col min="16244" max="16244" width="12.25" style="2" customWidth="1"/>
    <col min="16245" max="16245" width="6.375" style="2" customWidth="1"/>
    <col min="16246" max="16247" width="3.125" style="2" customWidth="1"/>
    <col min="16248" max="16248" width="1.125" style="2" customWidth="1"/>
    <col min="16249" max="16249" width="9" style="2" customWidth="1"/>
    <col min="16250" max="16250" width="2.375" style="2" customWidth="1"/>
    <col min="16251" max="16268" width="7.625" style="2" customWidth="1"/>
    <col min="16269" max="16384" width="9" style="2" customWidth="1"/>
  </cols>
  <sheetData>
    <row r="1" spans="1:132" ht="13.5" customHeight="1" x14ac:dyDescent="0.4">
      <c r="A1" s="203" t="str">
        <f>令和8年7月!$A$1</f>
        <v>天理</v>
      </c>
      <c r="B1" s="193"/>
      <c r="C1" s="193"/>
      <c r="D1" s="193"/>
      <c r="E1" s="193"/>
      <c r="F1" s="192" t="s">
        <v>0</v>
      </c>
      <c r="G1" s="195" t="s">
        <v>1</v>
      </c>
      <c r="H1" s="194" t="s">
        <v>122</v>
      </c>
      <c r="I1" s="193"/>
      <c r="J1" s="193"/>
      <c r="K1" s="193"/>
      <c r="L1" s="159"/>
      <c r="M1" s="194" t="s">
        <v>136</v>
      </c>
      <c r="N1" s="159"/>
      <c r="O1" s="159"/>
      <c r="P1" s="159"/>
      <c r="Q1" s="159"/>
      <c r="R1" s="159"/>
      <c r="S1" s="159"/>
      <c r="T1" s="159"/>
      <c r="U1" s="1"/>
      <c r="V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U1" s="162"/>
      <c r="AX1" s="204" t="s">
        <v>4</v>
      </c>
      <c r="AY1" s="199"/>
      <c r="AZ1" s="199"/>
      <c r="BA1" s="199"/>
      <c r="BB1" s="199"/>
      <c r="BC1" s="199"/>
      <c r="BD1" s="4"/>
    </row>
    <row r="2" spans="1:132" ht="13.5" customHeight="1" x14ac:dyDescent="0.4">
      <c r="A2" s="193"/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59"/>
      <c r="M2" s="193"/>
      <c r="N2" s="159"/>
      <c r="O2" s="159"/>
      <c r="P2" s="159"/>
      <c r="Q2" s="159"/>
      <c r="R2" s="159"/>
      <c r="S2" s="159"/>
      <c r="T2" s="159"/>
      <c r="U2" s="1"/>
      <c r="V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U2" s="162"/>
      <c r="AX2" s="199"/>
      <c r="AY2" s="199"/>
      <c r="AZ2" s="199"/>
      <c r="BA2" s="199"/>
      <c r="BB2" s="199"/>
      <c r="BC2" s="199"/>
      <c r="BD2" s="4"/>
    </row>
    <row r="3" spans="1:132" ht="13.9" customHeight="1" thickBot="1" x14ac:dyDescent="0.45">
      <c r="AC3" s="7"/>
      <c r="AV3" s="2">
        <v>95</v>
      </c>
      <c r="AW3" s="2">
        <v>1</v>
      </c>
      <c r="AY3" s="2">
        <v>2</v>
      </c>
      <c r="BA3" s="2">
        <v>3</v>
      </c>
      <c r="BC3" s="2">
        <v>4</v>
      </c>
      <c r="BE3" s="2">
        <v>6</v>
      </c>
      <c r="BG3" s="2">
        <v>7</v>
      </c>
      <c r="BI3" s="2">
        <v>8</v>
      </c>
      <c r="BK3" s="2">
        <v>9</v>
      </c>
      <c r="BM3" s="2">
        <v>10</v>
      </c>
      <c r="BO3" s="2">
        <v>11</v>
      </c>
      <c r="BQ3" s="2">
        <v>12</v>
      </c>
      <c r="BS3" s="2">
        <v>15</v>
      </c>
      <c r="BU3" s="2">
        <v>28</v>
      </c>
      <c r="BW3" s="2">
        <v>33</v>
      </c>
      <c r="BY3" s="2">
        <v>40</v>
      </c>
      <c r="CA3" s="2">
        <v>41</v>
      </c>
      <c r="CC3" s="2">
        <v>45</v>
      </c>
      <c r="CE3" s="2">
        <v>46</v>
      </c>
      <c r="CG3" s="2">
        <v>36</v>
      </c>
      <c r="CI3" s="2">
        <v>47</v>
      </c>
      <c r="CK3" s="2">
        <v>31</v>
      </c>
      <c r="CM3" s="2">
        <v>48</v>
      </c>
    </row>
    <row r="4" spans="1:132" ht="26.45" customHeight="1" thickTop="1" thickBot="1" x14ac:dyDescent="0.45">
      <c r="A4" s="106" t="s">
        <v>5</v>
      </c>
      <c r="B4" s="94" t="s">
        <v>6</v>
      </c>
      <c r="C4" s="131" t="s">
        <v>7</v>
      </c>
      <c r="D4" s="131" t="s">
        <v>8</v>
      </c>
      <c r="E4" s="107" t="s">
        <v>9</v>
      </c>
      <c r="F4" s="108" t="s">
        <v>10</v>
      </c>
      <c r="G4" s="109" t="s">
        <v>11</v>
      </c>
      <c r="H4" s="110" t="s">
        <v>12</v>
      </c>
      <c r="I4" s="147" t="s">
        <v>13</v>
      </c>
      <c r="J4" s="111" t="s">
        <v>14</v>
      </c>
      <c r="K4" s="112" t="s">
        <v>15</v>
      </c>
      <c r="L4" s="113" t="s">
        <v>16</v>
      </c>
      <c r="M4" s="114" t="s">
        <v>17</v>
      </c>
      <c r="N4" s="115" t="s">
        <v>16</v>
      </c>
      <c r="O4" s="116" t="s">
        <v>18</v>
      </c>
      <c r="P4" s="117" t="s">
        <v>19</v>
      </c>
      <c r="Q4" s="118" t="s">
        <v>20</v>
      </c>
      <c r="R4" s="129" t="s">
        <v>21</v>
      </c>
      <c r="S4" s="130" t="s">
        <v>22</v>
      </c>
      <c r="T4" s="8" t="s">
        <v>23</v>
      </c>
      <c r="U4" s="9" t="s">
        <v>24</v>
      </c>
      <c r="V4" s="10" t="s">
        <v>25</v>
      </c>
      <c r="W4" s="11" t="s">
        <v>26</v>
      </c>
      <c r="X4" s="12" t="s">
        <v>27</v>
      </c>
      <c r="Y4" s="13" t="s">
        <v>28</v>
      </c>
      <c r="Z4" s="119" t="s">
        <v>29</v>
      </c>
      <c r="AA4" s="14" t="s">
        <v>30</v>
      </c>
      <c r="AB4" s="15" t="s">
        <v>31</v>
      </c>
      <c r="AC4" s="16" t="s">
        <v>32</v>
      </c>
      <c r="AD4" s="17" t="s">
        <v>33</v>
      </c>
      <c r="AE4" s="18" t="s">
        <v>34</v>
      </c>
      <c r="AF4" s="18" t="s">
        <v>35</v>
      </c>
      <c r="AG4" s="18" t="s">
        <v>36</v>
      </c>
      <c r="AH4" s="18" t="s">
        <v>37</v>
      </c>
      <c r="AI4" s="18" t="s">
        <v>38</v>
      </c>
      <c r="AJ4" s="18" t="s">
        <v>39</v>
      </c>
      <c r="AK4" s="18" t="s">
        <v>40</v>
      </c>
      <c r="AL4" s="17" t="s">
        <v>41</v>
      </c>
      <c r="AM4" s="18" t="str">
        <f>令和8年7月!$AM$4</f>
        <v>フリー①</v>
      </c>
      <c r="AN4" s="132" t="str">
        <f>令和8年7月!$AN$4</f>
        <v>フリー②</v>
      </c>
      <c r="AO4" s="18" t="str">
        <f>令和8年7月!$AO$4</f>
        <v>フリー③</v>
      </c>
      <c r="AP4" s="18" t="str">
        <f>令和8年7月!$AP$4</f>
        <v>フリー④</v>
      </c>
      <c r="AQ4" s="78" t="str">
        <f>令和8年7月!$AQ$4</f>
        <v>フリー⑤</v>
      </c>
      <c r="AR4" s="19" t="s">
        <v>47</v>
      </c>
      <c r="AS4" s="20" t="s">
        <v>48</v>
      </c>
      <c r="AT4" s="21" t="s">
        <v>49</v>
      </c>
      <c r="AU4" s="163"/>
      <c r="AV4" s="80" t="s">
        <v>144</v>
      </c>
      <c r="AW4" s="76" t="s">
        <v>145</v>
      </c>
      <c r="AX4" s="75" t="s">
        <v>146</v>
      </c>
      <c r="AY4" s="76" t="s">
        <v>147</v>
      </c>
      <c r="AZ4" s="75" t="s">
        <v>146</v>
      </c>
      <c r="BA4" s="76" t="s">
        <v>52</v>
      </c>
      <c r="BB4" s="75" t="s">
        <v>146</v>
      </c>
      <c r="BC4" s="76" t="s">
        <v>53</v>
      </c>
      <c r="BD4" s="75" t="s">
        <v>146</v>
      </c>
      <c r="BE4" s="76" t="s">
        <v>148</v>
      </c>
      <c r="BF4" s="75" t="s">
        <v>146</v>
      </c>
      <c r="BG4" s="76" t="s">
        <v>149</v>
      </c>
      <c r="BH4" s="75" t="s">
        <v>146</v>
      </c>
      <c r="BI4" s="76" t="s">
        <v>150</v>
      </c>
      <c r="BJ4" s="75" t="s">
        <v>146</v>
      </c>
      <c r="BK4" s="76" t="s">
        <v>57</v>
      </c>
      <c r="BL4" s="75" t="s">
        <v>146</v>
      </c>
      <c r="BM4" s="76" t="s">
        <v>58</v>
      </c>
      <c r="BN4" s="75" t="s">
        <v>146</v>
      </c>
      <c r="BO4" s="76" t="s">
        <v>151</v>
      </c>
      <c r="BP4" s="75" t="s">
        <v>146</v>
      </c>
      <c r="BQ4" s="76" t="s">
        <v>60</v>
      </c>
      <c r="BR4" s="75" t="s">
        <v>146</v>
      </c>
      <c r="BS4" s="76" t="s">
        <v>152</v>
      </c>
      <c r="BT4" s="75" t="s">
        <v>146</v>
      </c>
      <c r="BU4" s="76" t="s">
        <v>153</v>
      </c>
      <c r="BV4" s="75" t="s">
        <v>146</v>
      </c>
      <c r="BW4" s="76" t="s">
        <v>154</v>
      </c>
      <c r="BX4" s="75" t="s">
        <v>48</v>
      </c>
      <c r="BY4" s="76" t="s">
        <v>155</v>
      </c>
      <c r="BZ4" s="75" t="s">
        <v>156</v>
      </c>
      <c r="CA4" s="76" t="s">
        <v>157</v>
      </c>
      <c r="CB4" s="75" t="s">
        <v>48</v>
      </c>
      <c r="CC4" s="76" t="s">
        <v>158</v>
      </c>
      <c r="CD4" s="81" t="s">
        <v>48</v>
      </c>
      <c r="CE4" s="76" t="s">
        <v>159</v>
      </c>
      <c r="CF4" s="81" t="s">
        <v>48</v>
      </c>
      <c r="CG4" s="76" t="s">
        <v>160</v>
      </c>
      <c r="CH4" s="75" t="s">
        <v>48</v>
      </c>
      <c r="CI4" s="76" t="s">
        <v>161</v>
      </c>
      <c r="CJ4" s="81" t="s">
        <v>48</v>
      </c>
      <c r="CK4" s="76" t="s">
        <v>162</v>
      </c>
      <c r="CL4" s="81" t="s">
        <v>48</v>
      </c>
      <c r="CM4" s="76" t="s">
        <v>163</v>
      </c>
      <c r="CN4" s="75" t="s">
        <v>48</v>
      </c>
      <c r="CO4" s="76" t="s">
        <v>67</v>
      </c>
      <c r="CP4" s="81" t="s">
        <v>48</v>
      </c>
      <c r="CQ4" s="76" t="s">
        <v>68</v>
      </c>
      <c r="CR4" s="81" t="s">
        <v>48</v>
      </c>
      <c r="CS4" s="76" t="s">
        <v>69</v>
      </c>
      <c r="CT4" s="20" t="s">
        <v>48</v>
      </c>
      <c r="CU4" s="85" t="s">
        <v>70</v>
      </c>
      <c r="CV4" s="86" t="s">
        <v>71</v>
      </c>
      <c r="CW4" s="89"/>
      <c r="CX4" s="85" t="s">
        <v>104</v>
      </c>
      <c r="CY4" s="153" t="s">
        <v>15</v>
      </c>
      <c r="CZ4" s="155" t="s">
        <v>105</v>
      </c>
      <c r="DA4" s="93" t="s">
        <v>15</v>
      </c>
      <c r="DB4" s="94" t="s">
        <v>5</v>
      </c>
      <c r="DC4" s="95" t="s">
        <v>6</v>
      </c>
      <c r="DD4" s="2" t="s">
        <v>164</v>
      </c>
      <c r="DF4" s="121" t="s">
        <v>74</v>
      </c>
      <c r="DG4" s="122" t="s">
        <v>75</v>
      </c>
      <c r="DH4" s="122" t="s">
        <v>76</v>
      </c>
      <c r="DI4" s="122" t="s">
        <v>77</v>
      </c>
      <c r="DJ4" s="122" t="s">
        <v>78</v>
      </c>
      <c r="DK4" s="122" t="s">
        <v>42</v>
      </c>
      <c r="DL4" s="122" t="s">
        <v>43</v>
      </c>
      <c r="DM4" s="122" t="s">
        <v>44</v>
      </c>
      <c r="DN4" s="122" t="s">
        <v>45</v>
      </c>
      <c r="DO4" s="122" t="s">
        <v>46</v>
      </c>
      <c r="DP4" s="123" t="s">
        <v>79</v>
      </c>
      <c r="DQ4" s="124" t="s">
        <v>48</v>
      </c>
      <c r="DS4" s="205" t="s">
        <v>80</v>
      </c>
      <c r="DT4" s="206"/>
      <c r="DU4" s="206"/>
      <c r="DV4" s="207"/>
      <c r="DW4" s="160" t="s">
        <v>81</v>
      </c>
      <c r="DX4" s="160" t="s">
        <v>82</v>
      </c>
      <c r="DY4" s="22"/>
      <c r="DZ4" s="22"/>
      <c r="EA4" s="22"/>
    </row>
    <row r="5" spans="1:132" ht="13.5" customHeight="1" x14ac:dyDescent="0.4">
      <c r="A5" s="104">
        <v>1</v>
      </c>
      <c r="B5" s="23" t="s">
        <v>85</v>
      </c>
      <c r="C5" s="164"/>
      <c r="D5" s="164"/>
      <c r="E5" s="24"/>
      <c r="F5" s="29"/>
      <c r="G5" s="25" t="str">
        <f>IF(SUM($F$5:F5)=0,"",SUM($F$5:F5))</f>
        <v/>
      </c>
      <c r="H5" s="43" t="str">
        <f t="shared" ref="H5:H35" si="0">IF(ISERROR(G5/V5),"",(G5/V5))</f>
        <v/>
      </c>
      <c r="I5" s="148" t="e">
        <f t="array" aca="1" ref="I5" ca="1">IF($A6="",$G5/($V5-$U$5+INDIRECT(IF(_xlfn.SHEET()&lt;6,"令和8年"&amp;_xlfn.SHEET()+7&amp;"月","令和9年"&amp;_xlfn.SHEET()-5&amp;"月")&amp;"!$U$5")),$G5/($V6-$U$5))</f>
        <v>#VALUE!</v>
      </c>
      <c r="J5" s="26" t="str">
        <f t="shared" ref="J5:J35" si="1">IFERROR(G5/AC5,"")</f>
        <v/>
      </c>
      <c r="K5" s="27"/>
      <c r="L5" s="165">
        <f t="shared" ref="L5:L37" si="2">IF(ISERROR(K5/W5),"",(K5/W5))</f>
        <v>0</v>
      </c>
      <c r="M5" s="28" t="str">
        <f t="shared" ref="M5:M35" si="3">IF(ISERROR(F5/K5),"",(F5/K5))</f>
        <v/>
      </c>
      <c r="N5" s="166" t="str">
        <f t="shared" ref="N5:N37" si="4">IF(ISERROR(M5/X5),"",(M5/X5))</f>
        <v/>
      </c>
      <c r="O5" s="167" t="str">
        <f t="shared" ref="O5:O35" si="5">IF(ISERROR(F5/P5),"",(F5/P5))</f>
        <v/>
      </c>
      <c r="P5" s="168"/>
      <c r="Q5" s="169" t="str">
        <f t="shared" ref="Q5:Q35" si="6">IF(ISERROR(P5/K5),"",(P5/K5))</f>
        <v/>
      </c>
      <c r="R5" s="170">
        <v>18</v>
      </c>
      <c r="S5" s="171">
        <v>10</v>
      </c>
      <c r="T5" s="24" t="s">
        <v>93</v>
      </c>
      <c r="U5" s="29">
        <v>243193</v>
      </c>
      <c r="V5" s="30">
        <f>SUM(U5)</f>
        <v>243193</v>
      </c>
      <c r="W5" s="27">
        <v>176</v>
      </c>
      <c r="X5" s="31">
        <f t="shared" ref="X5:X35" si="7">IF(ISERROR(U5/W5),"",(U5/W5))</f>
        <v>1381.778409090909</v>
      </c>
      <c r="Y5" s="29">
        <v>220950</v>
      </c>
      <c r="Z5" s="32">
        <f>SUM(Y5)</f>
        <v>220950</v>
      </c>
      <c r="AA5" s="33">
        <f t="shared" ref="AA5:AA35" si="8">IF(ISERROR(V5/Z5),"",(V5/Z5))</f>
        <v>1.1006698348042543</v>
      </c>
      <c r="AB5" s="158">
        <v>210000</v>
      </c>
      <c r="AC5" s="34">
        <f>AB5</f>
        <v>210000</v>
      </c>
      <c r="AD5" s="158"/>
      <c r="AE5" s="25"/>
      <c r="AF5" s="25"/>
      <c r="AG5" s="25"/>
      <c r="AH5" s="25"/>
      <c r="AI5" s="25"/>
      <c r="AJ5" s="25"/>
      <c r="AK5" s="25"/>
      <c r="AL5" s="158"/>
      <c r="AM5" s="25"/>
      <c r="AN5" s="158"/>
      <c r="AO5" s="25"/>
      <c r="AP5" s="25"/>
      <c r="AQ5" s="158"/>
      <c r="AR5" s="35">
        <f t="shared" ref="AR5:AR35" si="9">SUM(AD5:AQ5)</f>
        <v>0</v>
      </c>
      <c r="AS5" s="172" t="str">
        <f t="shared" ref="AS5:AS35" si="10">IF(ISERROR((AR5/F5)),"",AR5/F5)</f>
        <v/>
      </c>
      <c r="AT5" s="36">
        <f t="shared" ref="AT5:AT35" si="11">F5-AR5+DW5</f>
        <v>0</v>
      </c>
      <c r="AU5" s="173"/>
      <c r="AV5" s="82">
        <f t="shared" ref="AV5:AV35" si="12">A5</f>
        <v>1</v>
      </c>
      <c r="AW5" s="37"/>
      <c r="AX5" s="174" t="str">
        <f t="shared" ref="AX5:AX35" si="13">IF(ISERROR((AW5/$F5)),"",AW5/$F5)</f>
        <v/>
      </c>
      <c r="AY5" s="37"/>
      <c r="AZ5" s="174" t="str">
        <f t="shared" ref="AZ5:AZ35" si="14">IF(ISERROR((AY5/$F5)),"",AY5/$F5)</f>
        <v/>
      </c>
      <c r="BA5" s="37"/>
      <c r="BB5" s="174" t="str">
        <f t="shared" ref="BB5:BB35" si="15">IF(ISERROR((BA5/$F5)),"",BA5/$F5)</f>
        <v/>
      </c>
      <c r="BC5" s="37"/>
      <c r="BD5" s="174" t="str">
        <f t="shared" ref="BD5:BD35" si="16">IF(ISERROR((BC5/$F5)),"",BC5/$F5)</f>
        <v/>
      </c>
      <c r="BE5" s="37"/>
      <c r="BF5" s="174" t="str">
        <f t="shared" ref="BF5:BF35" si="17">IF(ISERROR((BE5/$F5)),"",BE5/$F5)</f>
        <v/>
      </c>
      <c r="BG5" s="37"/>
      <c r="BH5" s="174" t="str">
        <f t="shared" ref="BH5:BH35" si="18">IF(ISERROR((BG5/$F5)),"",BG5/$F5)</f>
        <v/>
      </c>
      <c r="BI5" s="37"/>
      <c r="BJ5" s="174" t="str">
        <f t="shared" ref="BJ5:BJ35" si="19">IF(ISERROR((BI5/$F5)),"",BI5/$F5)</f>
        <v/>
      </c>
      <c r="BK5" s="37"/>
      <c r="BL5" s="174" t="str">
        <f t="shared" ref="BL5:BL35" si="20">IF(ISERROR((BK5/$F5)),"",BK5/$F5)</f>
        <v/>
      </c>
      <c r="BM5" s="37"/>
      <c r="BN5" s="174" t="str">
        <f t="shared" ref="BN5:BN35" si="21">IF(ISERROR((BM5/$F5)),"",BM5/$F5)</f>
        <v/>
      </c>
      <c r="BO5" s="37"/>
      <c r="BP5" s="174" t="str">
        <f t="shared" ref="BP5:BP35" si="22">IF(ISERROR((BO5/$F5)),"",BO5/$F5)</f>
        <v/>
      </c>
      <c r="BQ5" s="37"/>
      <c r="BR5" s="174" t="str">
        <f t="shared" ref="BR5:BR35" si="23">IF(ISERROR((BQ5/$F5)),"",BQ5/$F5)</f>
        <v/>
      </c>
      <c r="BS5" s="37"/>
      <c r="BT5" s="174" t="str">
        <f t="shared" ref="BT5:BT35" si="24">IF(ISERROR((BS5/$F5)),"",BS5/$F5)</f>
        <v/>
      </c>
      <c r="BU5" s="37"/>
      <c r="BV5" s="174" t="str">
        <f t="shared" ref="BV5:BV35" si="25">IF(ISERROR((BU5/$F5)),"",BU5/$F5)</f>
        <v/>
      </c>
      <c r="BW5" s="37"/>
      <c r="BX5" s="174" t="str">
        <f t="shared" ref="BX5:BX35" si="26">IF(ISERROR((BW5/$F5)),"",BW5/$F5)</f>
        <v/>
      </c>
      <c r="BY5" s="37"/>
      <c r="BZ5" s="174" t="str">
        <f t="shared" ref="BZ5:BZ35" si="27">IF(ISERROR((BY5/$F5)),"",BY5/$F5)</f>
        <v/>
      </c>
      <c r="CA5" s="37"/>
      <c r="CB5" s="174" t="str">
        <f t="shared" ref="CB5:CB35" si="28">IF(ISERROR((CA5/$F5)),"",CA5/$F5)</f>
        <v/>
      </c>
      <c r="CC5" s="37"/>
      <c r="CD5" s="174" t="str">
        <f t="shared" ref="CD5:CD35" si="29">IF(ISERROR((CC5/$F5)),"",CC5/$F5)</f>
        <v/>
      </c>
      <c r="CE5" s="37"/>
      <c r="CF5" s="174" t="str">
        <f t="shared" ref="CF5:CF35" si="30">IF(ISERROR((CE5/$F5)),"",CE5/$F5)</f>
        <v/>
      </c>
      <c r="CG5" s="37"/>
      <c r="CH5" s="174" t="str">
        <f t="shared" ref="CH5:CH35" si="31">IF(ISERROR((CG5/$F5)),"",CG5/$F5)</f>
        <v/>
      </c>
      <c r="CI5" s="37"/>
      <c r="CJ5" s="174" t="str">
        <f t="shared" ref="CJ5:CJ35" si="32">IF(ISERROR((CI5/$F5)),"",CI5/$F5)</f>
        <v/>
      </c>
      <c r="CK5" s="37"/>
      <c r="CL5" s="174" t="str">
        <f t="shared" ref="CL5:CL35" si="33">IF(ISERROR((CK5/$F5)),"",CK5/$F5)</f>
        <v/>
      </c>
      <c r="CM5" s="37"/>
      <c r="CN5" s="174" t="str">
        <f t="shared" ref="CN5:CN35" si="34">IF(ISERROR((CM5/$F5)),"",CM5/$F5)</f>
        <v/>
      </c>
      <c r="CO5" s="37"/>
      <c r="CP5" s="174" t="str">
        <f t="shared" ref="CP5:CP35" si="35">IF(ISERROR((CO5/$F5)),"",CO5/$F5)</f>
        <v/>
      </c>
      <c r="CQ5" s="37"/>
      <c r="CR5" s="174" t="str">
        <f t="shared" ref="CR5:CR35" si="36">IF(ISERROR((CQ5/$F5)),"",CQ5/$F5)</f>
        <v/>
      </c>
      <c r="CS5" s="37"/>
      <c r="CT5" s="174" t="str">
        <f t="shared" ref="CT5:CT35" si="37">IF(ISERROR((CS5/$F5)),"",CS5/$F5)</f>
        <v/>
      </c>
      <c r="CU5" s="38"/>
      <c r="CV5" s="87"/>
      <c r="CW5" s="90"/>
      <c r="CX5" s="38"/>
      <c r="CY5" s="39"/>
      <c r="CZ5" s="37"/>
      <c r="DA5" s="39"/>
      <c r="DB5" s="24">
        <v>1</v>
      </c>
      <c r="DC5" s="96" t="str">
        <f t="shared" ref="DC5:DC35" si="38">B5</f>
        <v>木</v>
      </c>
      <c r="DF5" s="125"/>
      <c r="DG5" s="40"/>
      <c r="DH5" s="40"/>
      <c r="DI5" s="40"/>
      <c r="DJ5" s="40"/>
      <c r="DK5" s="40"/>
      <c r="DL5" s="40"/>
      <c r="DM5" s="40"/>
      <c r="DN5" s="40"/>
      <c r="DO5" s="40"/>
      <c r="DP5" s="40">
        <f t="shared" ref="DP5:DP35" si="39">SUM(DF5:DO5)</f>
        <v>0</v>
      </c>
      <c r="DQ5" s="172" t="str">
        <f t="shared" ref="DQ5:DQ35" si="40">IF(ISERROR((DP5/F5)),"",DP5/F5)</f>
        <v/>
      </c>
      <c r="DS5" s="189"/>
      <c r="DT5" s="190"/>
      <c r="DU5" s="190"/>
      <c r="DV5" s="191"/>
      <c r="DW5" s="41"/>
      <c r="DX5" s="42"/>
      <c r="DY5" s="22"/>
      <c r="DZ5" s="22"/>
      <c r="EA5" s="22"/>
    </row>
    <row r="6" spans="1:132" ht="13.5" customHeight="1" x14ac:dyDescent="0.4">
      <c r="A6" s="104">
        <v>2</v>
      </c>
      <c r="B6" s="23" t="s">
        <v>86</v>
      </c>
      <c r="C6" s="164"/>
      <c r="D6" s="164"/>
      <c r="E6" s="24"/>
      <c r="F6" s="29"/>
      <c r="G6" s="25" t="str">
        <f>IF(SUM($F$5:F6)=0,"",SUM($F$5:F6))</f>
        <v/>
      </c>
      <c r="H6" s="43" t="str">
        <f t="shared" si="0"/>
        <v/>
      </c>
      <c r="I6" s="148" t="e">
        <f t="array" aca="1" ref="I6" ca="1">IF($A7="",$G6/($V6-$U$5+INDIRECT(IF(_xlfn.SHEET()&lt;6,"令和8年"&amp;_xlfn.SHEET()+7&amp;"月","令和9年"&amp;_xlfn.SHEET()-5&amp;"月")&amp;"!$U$5")),$G6/($V7-$U$5))</f>
        <v>#VALUE!</v>
      </c>
      <c r="J6" s="26" t="str">
        <f t="shared" si="1"/>
        <v/>
      </c>
      <c r="K6" s="27"/>
      <c r="L6" s="165">
        <f t="shared" si="2"/>
        <v>0</v>
      </c>
      <c r="M6" s="28" t="str">
        <f t="shared" si="3"/>
        <v/>
      </c>
      <c r="N6" s="166" t="str">
        <f t="shared" si="4"/>
        <v/>
      </c>
      <c r="O6" s="167" t="str">
        <f t="shared" si="5"/>
        <v/>
      </c>
      <c r="P6" s="168"/>
      <c r="Q6" s="169" t="str">
        <f t="shared" si="6"/>
        <v/>
      </c>
      <c r="R6" s="170">
        <v>20</v>
      </c>
      <c r="S6" s="171">
        <v>12</v>
      </c>
      <c r="T6" s="24" t="s">
        <v>84</v>
      </c>
      <c r="U6" s="29">
        <v>234338</v>
      </c>
      <c r="V6" s="30">
        <f t="shared" ref="V6:V35" si="41">SUM(V5+U6)</f>
        <v>477531</v>
      </c>
      <c r="W6" s="27">
        <v>150</v>
      </c>
      <c r="X6" s="31">
        <f t="shared" si="7"/>
        <v>1562.2533333333333</v>
      </c>
      <c r="Y6" s="29">
        <v>203966</v>
      </c>
      <c r="Z6" s="32">
        <f t="shared" ref="Z6:Z35" si="42">SUM(Z5+Y6)</f>
        <v>424916</v>
      </c>
      <c r="AA6" s="33">
        <f t="shared" si="8"/>
        <v>1.1238244735430061</v>
      </c>
      <c r="AB6" s="158">
        <v>210000</v>
      </c>
      <c r="AC6" s="34">
        <f t="shared" ref="AC6:AC35" si="43">AB6+AC5</f>
        <v>420000</v>
      </c>
      <c r="AD6" s="158"/>
      <c r="AE6" s="25"/>
      <c r="AF6" s="25"/>
      <c r="AG6" s="25"/>
      <c r="AH6" s="25"/>
      <c r="AI6" s="25"/>
      <c r="AJ6" s="25"/>
      <c r="AK6" s="25"/>
      <c r="AL6" s="158"/>
      <c r="AM6" s="25"/>
      <c r="AN6" s="158"/>
      <c r="AO6" s="25"/>
      <c r="AP6" s="25"/>
      <c r="AQ6" s="158"/>
      <c r="AR6" s="35">
        <f t="shared" si="9"/>
        <v>0</v>
      </c>
      <c r="AS6" s="172" t="str">
        <f t="shared" si="10"/>
        <v/>
      </c>
      <c r="AT6" s="36">
        <f t="shared" si="11"/>
        <v>0</v>
      </c>
      <c r="AU6" s="173"/>
      <c r="AV6" s="82">
        <f t="shared" si="12"/>
        <v>2</v>
      </c>
      <c r="AW6" s="37"/>
      <c r="AX6" s="174" t="str">
        <f t="shared" si="13"/>
        <v/>
      </c>
      <c r="AY6" s="37"/>
      <c r="AZ6" s="174" t="str">
        <f t="shared" si="14"/>
        <v/>
      </c>
      <c r="BA6" s="37"/>
      <c r="BB6" s="174" t="str">
        <f t="shared" si="15"/>
        <v/>
      </c>
      <c r="BC6" s="37"/>
      <c r="BD6" s="174" t="str">
        <f t="shared" si="16"/>
        <v/>
      </c>
      <c r="BE6" s="37"/>
      <c r="BF6" s="174" t="str">
        <f t="shared" si="17"/>
        <v/>
      </c>
      <c r="BG6" s="37"/>
      <c r="BH6" s="174" t="str">
        <f t="shared" si="18"/>
        <v/>
      </c>
      <c r="BI6" s="37"/>
      <c r="BJ6" s="174" t="str">
        <f t="shared" si="19"/>
        <v/>
      </c>
      <c r="BK6" s="37"/>
      <c r="BL6" s="174" t="str">
        <f t="shared" si="20"/>
        <v/>
      </c>
      <c r="BM6" s="37"/>
      <c r="BN6" s="174" t="str">
        <f t="shared" si="21"/>
        <v/>
      </c>
      <c r="BO6" s="37"/>
      <c r="BP6" s="174" t="str">
        <f t="shared" si="22"/>
        <v/>
      </c>
      <c r="BQ6" s="37"/>
      <c r="BR6" s="174" t="str">
        <f t="shared" si="23"/>
        <v/>
      </c>
      <c r="BS6" s="37"/>
      <c r="BT6" s="174" t="str">
        <f t="shared" si="24"/>
        <v/>
      </c>
      <c r="BU6" s="37"/>
      <c r="BV6" s="174" t="str">
        <f t="shared" si="25"/>
        <v/>
      </c>
      <c r="BW6" s="37"/>
      <c r="BX6" s="174" t="str">
        <f t="shared" si="26"/>
        <v/>
      </c>
      <c r="BY6" s="37"/>
      <c r="BZ6" s="174" t="str">
        <f t="shared" si="27"/>
        <v/>
      </c>
      <c r="CA6" s="37"/>
      <c r="CB6" s="174" t="str">
        <f t="shared" si="28"/>
        <v/>
      </c>
      <c r="CC6" s="37"/>
      <c r="CD6" s="174" t="str">
        <f t="shared" si="29"/>
        <v/>
      </c>
      <c r="CE6" s="37"/>
      <c r="CF6" s="174" t="str">
        <f t="shared" si="30"/>
        <v/>
      </c>
      <c r="CG6" s="37"/>
      <c r="CH6" s="174" t="str">
        <f t="shared" si="31"/>
        <v/>
      </c>
      <c r="CI6" s="37"/>
      <c r="CJ6" s="174" t="str">
        <f t="shared" si="32"/>
        <v/>
      </c>
      <c r="CK6" s="37"/>
      <c r="CL6" s="174" t="str">
        <f t="shared" si="33"/>
        <v/>
      </c>
      <c r="CM6" s="37"/>
      <c r="CN6" s="174" t="str">
        <f t="shared" si="34"/>
        <v/>
      </c>
      <c r="CO6" s="37"/>
      <c r="CP6" s="174" t="str">
        <f t="shared" si="35"/>
        <v/>
      </c>
      <c r="CQ6" s="37"/>
      <c r="CR6" s="174" t="str">
        <f t="shared" si="36"/>
        <v/>
      </c>
      <c r="CS6" s="37"/>
      <c r="CT6" s="174" t="str">
        <f t="shared" si="37"/>
        <v/>
      </c>
      <c r="CU6" s="38"/>
      <c r="CV6" s="87"/>
      <c r="CW6" s="90"/>
      <c r="CX6" s="38"/>
      <c r="CY6" s="39"/>
      <c r="CZ6" s="37"/>
      <c r="DA6" s="39"/>
      <c r="DB6" s="24">
        <v>2</v>
      </c>
      <c r="DC6" s="96" t="str">
        <f t="shared" si="38"/>
        <v>金</v>
      </c>
      <c r="DF6" s="125"/>
      <c r="DG6" s="40"/>
      <c r="DH6" s="40"/>
      <c r="DI6" s="40"/>
      <c r="DJ6" s="40"/>
      <c r="DK6" s="40"/>
      <c r="DL6" s="40"/>
      <c r="DM6" s="40"/>
      <c r="DN6" s="40"/>
      <c r="DO6" s="40"/>
      <c r="DP6" s="40">
        <f t="shared" si="39"/>
        <v>0</v>
      </c>
      <c r="DQ6" s="172" t="str">
        <f t="shared" si="40"/>
        <v/>
      </c>
      <c r="DS6" s="189"/>
      <c r="DT6" s="190"/>
      <c r="DU6" s="190"/>
      <c r="DV6" s="191"/>
      <c r="DW6" s="41"/>
      <c r="DX6" s="42"/>
      <c r="DY6" s="22"/>
      <c r="DZ6" s="22"/>
      <c r="EA6" s="22"/>
    </row>
    <row r="7" spans="1:132" ht="13.5" customHeight="1" x14ac:dyDescent="0.4">
      <c r="A7" s="104">
        <v>3</v>
      </c>
      <c r="B7" s="23" t="s">
        <v>88</v>
      </c>
      <c r="C7" s="164"/>
      <c r="D7" s="164"/>
      <c r="E7" s="24"/>
      <c r="F7" s="29"/>
      <c r="G7" s="25" t="str">
        <f>IF(SUM($F$5:F7)=0,"",SUM($F$5:F7))</f>
        <v/>
      </c>
      <c r="H7" s="43" t="str">
        <f t="shared" si="0"/>
        <v/>
      </c>
      <c r="I7" s="148" t="e">
        <f t="array" aca="1" ref="I7" ca="1">IF($A8="",$G7/($V7-$U$5+INDIRECT(IF(_xlfn.SHEET()&lt;6,"令和8年"&amp;_xlfn.SHEET()+7&amp;"月","令和9年"&amp;_xlfn.SHEET()-5&amp;"月")&amp;"!$U$5")),$G7/($V8-$U$5))</f>
        <v>#VALUE!</v>
      </c>
      <c r="J7" s="26" t="str">
        <f t="shared" si="1"/>
        <v/>
      </c>
      <c r="K7" s="27"/>
      <c r="L7" s="165">
        <f t="shared" si="2"/>
        <v>0</v>
      </c>
      <c r="M7" s="28" t="str">
        <f t="shared" si="3"/>
        <v/>
      </c>
      <c r="N7" s="166" t="str">
        <f t="shared" si="4"/>
        <v/>
      </c>
      <c r="O7" s="167" t="str">
        <f t="shared" si="5"/>
        <v/>
      </c>
      <c r="P7" s="168"/>
      <c r="Q7" s="169" t="str">
        <f t="shared" si="6"/>
        <v/>
      </c>
      <c r="R7" s="170">
        <v>21</v>
      </c>
      <c r="S7" s="171">
        <v>6</v>
      </c>
      <c r="T7" s="24" t="s">
        <v>84</v>
      </c>
      <c r="U7" s="29">
        <v>222159</v>
      </c>
      <c r="V7" s="30">
        <f t="shared" si="41"/>
        <v>699690</v>
      </c>
      <c r="W7" s="27">
        <v>159</v>
      </c>
      <c r="X7" s="31">
        <f t="shared" si="7"/>
        <v>1397.2264150943397</v>
      </c>
      <c r="Y7" s="29">
        <v>242076</v>
      </c>
      <c r="Z7" s="32">
        <f t="shared" si="42"/>
        <v>666992</v>
      </c>
      <c r="AA7" s="33">
        <f t="shared" si="8"/>
        <v>1.0490230767385516</v>
      </c>
      <c r="AB7" s="158">
        <v>630000</v>
      </c>
      <c r="AC7" s="34">
        <f t="shared" si="43"/>
        <v>1050000</v>
      </c>
      <c r="AD7" s="158"/>
      <c r="AE7" s="25"/>
      <c r="AF7" s="25"/>
      <c r="AG7" s="25"/>
      <c r="AH7" s="25"/>
      <c r="AI7" s="25"/>
      <c r="AJ7" s="25"/>
      <c r="AK7" s="25"/>
      <c r="AL7" s="158"/>
      <c r="AM7" s="25"/>
      <c r="AN7" s="158"/>
      <c r="AO7" s="25"/>
      <c r="AP7" s="25"/>
      <c r="AQ7" s="158"/>
      <c r="AR7" s="35">
        <f t="shared" si="9"/>
        <v>0</v>
      </c>
      <c r="AS7" s="172" t="str">
        <f t="shared" si="10"/>
        <v/>
      </c>
      <c r="AT7" s="36">
        <f t="shared" si="11"/>
        <v>0</v>
      </c>
      <c r="AU7" s="173"/>
      <c r="AV7" s="82">
        <f t="shared" si="12"/>
        <v>3</v>
      </c>
      <c r="AW7" s="37"/>
      <c r="AX7" s="174" t="str">
        <f t="shared" si="13"/>
        <v/>
      </c>
      <c r="AY7" s="37"/>
      <c r="AZ7" s="174" t="str">
        <f t="shared" si="14"/>
        <v/>
      </c>
      <c r="BA7" s="37"/>
      <c r="BB7" s="174" t="str">
        <f t="shared" si="15"/>
        <v/>
      </c>
      <c r="BC7" s="37"/>
      <c r="BD7" s="174" t="str">
        <f t="shared" si="16"/>
        <v/>
      </c>
      <c r="BE7" s="37"/>
      <c r="BF7" s="174" t="str">
        <f t="shared" si="17"/>
        <v/>
      </c>
      <c r="BG7" s="37"/>
      <c r="BH7" s="174" t="str">
        <f t="shared" si="18"/>
        <v/>
      </c>
      <c r="BI7" s="37"/>
      <c r="BJ7" s="174" t="str">
        <f t="shared" si="19"/>
        <v/>
      </c>
      <c r="BK7" s="37"/>
      <c r="BL7" s="174" t="str">
        <f t="shared" si="20"/>
        <v/>
      </c>
      <c r="BM7" s="37"/>
      <c r="BN7" s="174" t="str">
        <f t="shared" si="21"/>
        <v/>
      </c>
      <c r="BO7" s="37"/>
      <c r="BP7" s="174" t="str">
        <f t="shared" si="22"/>
        <v/>
      </c>
      <c r="BQ7" s="37"/>
      <c r="BR7" s="174" t="str">
        <f t="shared" si="23"/>
        <v/>
      </c>
      <c r="BS7" s="37"/>
      <c r="BT7" s="174" t="str">
        <f t="shared" si="24"/>
        <v/>
      </c>
      <c r="BU7" s="37"/>
      <c r="BV7" s="174" t="str">
        <f t="shared" si="25"/>
        <v/>
      </c>
      <c r="BW7" s="37"/>
      <c r="BX7" s="174" t="str">
        <f t="shared" si="26"/>
        <v/>
      </c>
      <c r="BY7" s="37"/>
      <c r="BZ7" s="174" t="str">
        <f t="shared" si="27"/>
        <v/>
      </c>
      <c r="CA7" s="37"/>
      <c r="CB7" s="174" t="str">
        <f t="shared" si="28"/>
        <v/>
      </c>
      <c r="CC7" s="37"/>
      <c r="CD7" s="174" t="str">
        <f t="shared" si="29"/>
        <v/>
      </c>
      <c r="CE7" s="37"/>
      <c r="CF7" s="174" t="str">
        <f t="shared" si="30"/>
        <v/>
      </c>
      <c r="CG7" s="37"/>
      <c r="CH7" s="174" t="str">
        <f t="shared" si="31"/>
        <v/>
      </c>
      <c r="CI7" s="37"/>
      <c r="CJ7" s="174" t="str">
        <f t="shared" si="32"/>
        <v/>
      </c>
      <c r="CK7" s="37"/>
      <c r="CL7" s="174" t="str">
        <f t="shared" si="33"/>
        <v/>
      </c>
      <c r="CM7" s="37"/>
      <c r="CN7" s="174" t="str">
        <f t="shared" si="34"/>
        <v/>
      </c>
      <c r="CO7" s="37"/>
      <c r="CP7" s="174" t="str">
        <f t="shared" si="35"/>
        <v/>
      </c>
      <c r="CQ7" s="37"/>
      <c r="CR7" s="174" t="str">
        <f t="shared" si="36"/>
        <v/>
      </c>
      <c r="CS7" s="37"/>
      <c r="CT7" s="174" t="str">
        <f t="shared" si="37"/>
        <v/>
      </c>
      <c r="CU7" s="38"/>
      <c r="CV7" s="87"/>
      <c r="CW7" s="90"/>
      <c r="CX7" s="38"/>
      <c r="CY7" s="39"/>
      <c r="CZ7" s="37"/>
      <c r="DA7" s="39"/>
      <c r="DB7" s="24">
        <v>3</v>
      </c>
      <c r="DC7" s="96" t="str">
        <f t="shared" si="38"/>
        <v>土</v>
      </c>
      <c r="DF7" s="125"/>
      <c r="DG7" s="40"/>
      <c r="DH7" s="40"/>
      <c r="DI7" s="40"/>
      <c r="DJ7" s="40"/>
      <c r="DK7" s="40"/>
      <c r="DL7" s="40"/>
      <c r="DM7" s="40"/>
      <c r="DN7" s="40"/>
      <c r="DO7" s="40"/>
      <c r="DP7" s="40">
        <f t="shared" si="39"/>
        <v>0</v>
      </c>
      <c r="DQ7" s="172" t="str">
        <f t="shared" si="40"/>
        <v/>
      </c>
      <c r="DS7" s="189"/>
      <c r="DT7" s="190"/>
      <c r="DU7" s="190"/>
      <c r="DV7" s="191"/>
      <c r="DW7" s="138"/>
      <c r="DX7" s="42"/>
      <c r="DY7" s="139"/>
      <c r="DZ7" s="139"/>
      <c r="EA7" s="139"/>
      <c r="EB7" s="139"/>
    </row>
    <row r="8" spans="1:132" ht="13.5" customHeight="1" x14ac:dyDescent="0.4">
      <c r="A8" s="104">
        <v>4</v>
      </c>
      <c r="B8" s="23" t="s">
        <v>89</v>
      </c>
      <c r="C8" s="164"/>
      <c r="D8" s="164"/>
      <c r="E8" s="24"/>
      <c r="F8" s="29"/>
      <c r="G8" s="25" t="str">
        <f>IF(SUM($F$5:F8)=0,"",SUM($F$5:F8))</f>
        <v/>
      </c>
      <c r="H8" s="43" t="str">
        <f t="shared" si="0"/>
        <v/>
      </c>
      <c r="I8" s="148" t="e">
        <f t="array" aca="1" ref="I8" ca="1">IF($A9="",$G8/($V8-$U$5+INDIRECT(IF(_xlfn.SHEET()&lt;6,"令和8年"&amp;_xlfn.SHEET()+7&amp;"月","令和9年"&amp;_xlfn.SHEET()-5&amp;"月")&amp;"!$U$5")),$G8/($V9-$U$5))</f>
        <v>#VALUE!</v>
      </c>
      <c r="J8" s="26" t="str">
        <f t="shared" si="1"/>
        <v/>
      </c>
      <c r="K8" s="27"/>
      <c r="L8" s="165">
        <f t="shared" si="2"/>
        <v>0</v>
      </c>
      <c r="M8" s="28" t="str">
        <f t="shared" si="3"/>
        <v/>
      </c>
      <c r="N8" s="166" t="str">
        <f t="shared" si="4"/>
        <v/>
      </c>
      <c r="O8" s="167" t="str">
        <f t="shared" si="5"/>
        <v/>
      </c>
      <c r="P8" s="168"/>
      <c r="Q8" s="169" t="str">
        <f t="shared" si="6"/>
        <v/>
      </c>
      <c r="R8" s="170">
        <v>16</v>
      </c>
      <c r="S8" s="171">
        <v>3</v>
      </c>
      <c r="T8" s="24" t="s">
        <v>93</v>
      </c>
      <c r="U8" s="29">
        <v>554148</v>
      </c>
      <c r="V8" s="30">
        <f t="shared" si="41"/>
        <v>1253838</v>
      </c>
      <c r="W8" s="27">
        <v>333</v>
      </c>
      <c r="X8" s="31">
        <f t="shared" si="7"/>
        <v>1664.1081081081081</v>
      </c>
      <c r="Y8" s="29">
        <v>255504</v>
      </c>
      <c r="Z8" s="32">
        <f t="shared" si="42"/>
        <v>922496</v>
      </c>
      <c r="AA8" s="33">
        <f t="shared" si="8"/>
        <v>1.3591798772027195</v>
      </c>
      <c r="AB8" s="158">
        <v>630000</v>
      </c>
      <c r="AC8" s="34">
        <f t="shared" si="43"/>
        <v>1680000</v>
      </c>
      <c r="AD8" s="158"/>
      <c r="AE8" s="25"/>
      <c r="AF8" s="25"/>
      <c r="AG8" s="25"/>
      <c r="AH8" s="25"/>
      <c r="AI8" s="25"/>
      <c r="AJ8" s="25"/>
      <c r="AK8" s="79"/>
      <c r="AL8" s="120"/>
      <c r="AM8" s="79"/>
      <c r="AN8" s="120"/>
      <c r="AO8" s="79"/>
      <c r="AP8" s="79"/>
      <c r="AQ8" s="158"/>
      <c r="AR8" s="35">
        <f t="shared" si="9"/>
        <v>0</v>
      </c>
      <c r="AS8" s="172" t="str">
        <f t="shared" si="10"/>
        <v/>
      </c>
      <c r="AT8" s="36">
        <f t="shared" si="11"/>
        <v>0</v>
      </c>
      <c r="AU8" s="173"/>
      <c r="AV8" s="82">
        <f t="shared" si="12"/>
        <v>4</v>
      </c>
      <c r="AW8" s="37"/>
      <c r="AX8" s="174" t="str">
        <f t="shared" si="13"/>
        <v/>
      </c>
      <c r="AY8" s="37"/>
      <c r="AZ8" s="174" t="str">
        <f t="shared" si="14"/>
        <v/>
      </c>
      <c r="BA8" s="37"/>
      <c r="BB8" s="174" t="str">
        <f t="shared" si="15"/>
        <v/>
      </c>
      <c r="BC8" s="37"/>
      <c r="BD8" s="174" t="str">
        <f t="shared" si="16"/>
        <v/>
      </c>
      <c r="BE8" s="37"/>
      <c r="BF8" s="174" t="str">
        <f t="shared" si="17"/>
        <v/>
      </c>
      <c r="BG8" s="37"/>
      <c r="BH8" s="174" t="str">
        <f t="shared" si="18"/>
        <v/>
      </c>
      <c r="BI8" s="37"/>
      <c r="BJ8" s="174" t="str">
        <f t="shared" si="19"/>
        <v/>
      </c>
      <c r="BK8" s="37"/>
      <c r="BL8" s="174" t="str">
        <f t="shared" si="20"/>
        <v/>
      </c>
      <c r="BM8" s="37"/>
      <c r="BN8" s="174" t="str">
        <f t="shared" si="21"/>
        <v/>
      </c>
      <c r="BO8" s="37"/>
      <c r="BP8" s="174" t="str">
        <f t="shared" si="22"/>
        <v/>
      </c>
      <c r="BQ8" s="37"/>
      <c r="BR8" s="174" t="str">
        <f t="shared" si="23"/>
        <v/>
      </c>
      <c r="BS8" s="37"/>
      <c r="BT8" s="174" t="str">
        <f t="shared" si="24"/>
        <v/>
      </c>
      <c r="BU8" s="37"/>
      <c r="BV8" s="174" t="str">
        <f t="shared" si="25"/>
        <v/>
      </c>
      <c r="BW8" s="37"/>
      <c r="BX8" s="174" t="str">
        <f t="shared" si="26"/>
        <v/>
      </c>
      <c r="BY8" s="37"/>
      <c r="BZ8" s="174" t="str">
        <f t="shared" si="27"/>
        <v/>
      </c>
      <c r="CA8" s="37"/>
      <c r="CB8" s="174" t="str">
        <f t="shared" si="28"/>
        <v/>
      </c>
      <c r="CC8" s="37"/>
      <c r="CD8" s="174" t="str">
        <f t="shared" si="29"/>
        <v/>
      </c>
      <c r="CE8" s="37"/>
      <c r="CF8" s="174" t="str">
        <f t="shared" si="30"/>
        <v/>
      </c>
      <c r="CG8" s="37"/>
      <c r="CH8" s="174" t="str">
        <f t="shared" si="31"/>
        <v/>
      </c>
      <c r="CI8" s="37"/>
      <c r="CJ8" s="174" t="str">
        <f t="shared" si="32"/>
        <v/>
      </c>
      <c r="CK8" s="37"/>
      <c r="CL8" s="174" t="str">
        <f t="shared" si="33"/>
        <v/>
      </c>
      <c r="CM8" s="37"/>
      <c r="CN8" s="174" t="str">
        <f t="shared" si="34"/>
        <v/>
      </c>
      <c r="CO8" s="37"/>
      <c r="CP8" s="174" t="str">
        <f t="shared" si="35"/>
        <v/>
      </c>
      <c r="CQ8" s="37"/>
      <c r="CR8" s="174" t="str">
        <f t="shared" si="36"/>
        <v/>
      </c>
      <c r="CS8" s="37"/>
      <c r="CT8" s="174" t="str">
        <f t="shared" si="37"/>
        <v/>
      </c>
      <c r="CU8" s="38"/>
      <c r="CV8" s="87"/>
      <c r="CW8" s="90"/>
      <c r="CX8" s="38"/>
      <c r="CY8" s="39"/>
      <c r="CZ8" s="37"/>
      <c r="DA8" s="39"/>
      <c r="DB8" s="24">
        <v>4</v>
      </c>
      <c r="DC8" s="96" t="str">
        <f t="shared" si="38"/>
        <v>日</v>
      </c>
      <c r="DF8" s="125"/>
      <c r="DG8" s="40"/>
      <c r="DH8" s="40"/>
      <c r="DI8" s="40"/>
      <c r="DJ8" s="40"/>
      <c r="DK8" s="40"/>
      <c r="DL8" s="40"/>
      <c r="DM8" s="40"/>
      <c r="DN8" s="40"/>
      <c r="DO8" s="40"/>
      <c r="DP8" s="40">
        <f t="shared" si="39"/>
        <v>0</v>
      </c>
      <c r="DQ8" s="172" t="str">
        <f t="shared" si="40"/>
        <v/>
      </c>
      <c r="DS8" s="189"/>
      <c r="DT8" s="190"/>
      <c r="DU8" s="190"/>
      <c r="DV8" s="191"/>
      <c r="DW8" s="41"/>
      <c r="DX8" s="42"/>
      <c r="DY8" s="139"/>
      <c r="DZ8" s="139"/>
      <c r="EA8" s="139"/>
      <c r="EB8" s="139"/>
    </row>
    <row r="9" spans="1:132" ht="13.5" customHeight="1" x14ac:dyDescent="0.4">
      <c r="A9" s="104">
        <v>5</v>
      </c>
      <c r="B9" s="141" t="s">
        <v>90</v>
      </c>
      <c r="C9" s="164"/>
      <c r="D9" s="164"/>
      <c r="E9" s="24"/>
      <c r="F9" s="29"/>
      <c r="G9" s="25" t="str">
        <f>IF(SUM($F$5:F9)=0,"",SUM($F$5:F9))</f>
        <v/>
      </c>
      <c r="H9" s="43" t="str">
        <f t="shared" si="0"/>
        <v/>
      </c>
      <c r="I9" s="148" t="e">
        <f t="array" aca="1" ref="I9" ca="1">IF($A10="",$G9/($V9-$U$5+INDIRECT(IF(_xlfn.SHEET()&lt;6,"令和8年"&amp;_xlfn.SHEET()+7&amp;"月","令和9年"&amp;_xlfn.SHEET()-5&amp;"月")&amp;"!$U$5")),$G9/($V10-$U$5))</f>
        <v>#VALUE!</v>
      </c>
      <c r="J9" s="26" t="str">
        <f t="shared" si="1"/>
        <v/>
      </c>
      <c r="K9" s="27"/>
      <c r="L9" s="165">
        <f t="shared" si="2"/>
        <v>0</v>
      </c>
      <c r="M9" s="28" t="str">
        <f t="shared" si="3"/>
        <v/>
      </c>
      <c r="N9" s="166" t="str">
        <f t="shared" si="4"/>
        <v/>
      </c>
      <c r="O9" s="167" t="str">
        <f t="shared" si="5"/>
        <v/>
      </c>
      <c r="P9" s="168"/>
      <c r="Q9" s="169" t="str">
        <f t="shared" si="6"/>
        <v/>
      </c>
      <c r="R9" s="170">
        <v>23</v>
      </c>
      <c r="S9" s="171">
        <v>15</v>
      </c>
      <c r="T9" s="24" t="s">
        <v>84</v>
      </c>
      <c r="U9" s="29">
        <v>558773</v>
      </c>
      <c r="V9" s="30">
        <f t="shared" si="41"/>
        <v>1812611</v>
      </c>
      <c r="W9" s="27">
        <v>332</v>
      </c>
      <c r="X9" s="31">
        <f t="shared" si="7"/>
        <v>1683.051204819277</v>
      </c>
      <c r="Y9" s="29">
        <v>477965</v>
      </c>
      <c r="Z9" s="32">
        <f t="shared" si="42"/>
        <v>1400461</v>
      </c>
      <c r="AA9" s="33">
        <f t="shared" si="8"/>
        <v>1.2942959496908517</v>
      </c>
      <c r="AB9" s="158">
        <v>210000</v>
      </c>
      <c r="AC9" s="34">
        <f t="shared" si="43"/>
        <v>1890000</v>
      </c>
      <c r="AD9" s="158"/>
      <c r="AE9" s="25"/>
      <c r="AF9" s="25"/>
      <c r="AG9" s="25"/>
      <c r="AH9" s="25"/>
      <c r="AI9" s="25"/>
      <c r="AJ9" s="25"/>
      <c r="AK9" s="25"/>
      <c r="AL9" s="158"/>
      <c r="AM9" s="25"/>
      <c r="AN9" s="158"/>
      <c r="AO9" s="25"/>
      <c r="AP9" s="25"/>
      <c r="AQ9" s="158"/>
      <c r="AR9" s="35">
        <f t="shared" si="9"/>
        <v>0</v>
      </c>
      <c r="AS9" s="172" t="str">
        <f t="shared" si="10"/>
        <v/>
      </c>
      <c r="AT9" s="36">
        <f t="shared" si="11"/>
        <v>0</v>
      </c>
      <c r="AU9" s="173"/>
      <c r="AV9" s="82">
        <f t="shared" si="12"/>
        <v>5</v>
      </c>
      <c r="AW9" s="37"/>
      <c r="AX9" s="174" t="str">
        <f t="shared" si="13"/>
        <v/>
      </c>
      <c r="AY9" s="37"/>
      <c r="AZ9" s="174" t="str">
        <f t="shared" si="14"/>
        <v/>
      </c>
      <c r="BA9" s="37"/>
      <c r="BB9" s="174" t="str">
        <f t="shared" si="15"/>
        <v/>
      </c>
      <c r="BC9" s="37"/>
      <c r="BD9" s="174" t="str">
        <f t="shared" si="16"/>
        <v/>
      </c>
      <c r="BE9" s="37"/>
      <c r="BF9" s="174" t="str">
        <f t="shared" si="17"/>
        <v/>
      </c>
      <c r="BG9" s="37"/>
      <c r="BH9" s="174" t="str">
        <f t="shared" si="18"/>
        <v/>
      </c>
      <c r="BI9" s="37"/>
      <c r="BJ9" s="174" t="str">
        <f t="shared" si="19"/>
        <v/>
      </c>
      <c r="BK9" s="37"/>
      <c r="BL9" s="174" t="str">
        <f t="shared" si="20"/>
        <v/>
      </c>
      <c r="BM9" s="37"/>
      <c r="BN9" s="174" t="str">
        <f t="shared" si="21"/>
        <v/>
      </c>
      <c r="BO9" s="37"/>
      <c r="BP9" s="174" t="str">
        <f t="shared" si="22"/>
        <v/>
      </c>
      <c r="BQ9" s="37"/>
      <c r="BR9" s="174" t="str">
        <f t="shared" si="23"/>
        <v/>
      </c>
      <c r="BS9" s="37"/>
      <c r="BT9" s="174" t="str">
        <f t="shared" si="24"/>
        <v/>
      </c>
      <c r="BU9" s="37"/>
      <c r="BV9" s="174" t="str">
        <f t="shared" si="25"/>
        <v/>
      </c>
      <c r="BW9" s="37"/>
      <c r="BX9" s="174" t="str">
        <f t="shared" si="26"/>
        <v/>
      </c>
      <c r="BY9" s="37"/>
      <c r="BZ9" s="174" t="str">
        <f t="shared" si="27"/>
        <v/>
      </c>
      <c r="CA9" s="37"/>
      <c r="CB9" s="174" t="str">
        <f t="shared" si="28"/>
        <v/>
      </c>
      <c r="CC9" s="37"/>
      <c r="CD9" s="174" t="str">
        <f t="shared" si="29"/>
        <v/>
      </c>
      <c r="CE9" s="37"/>
      <c r="CF9" s="174" t="str">
        <f t="shared" si="30"/>
        <v/>
      </c>
      <c r="CG9" s="37"/>
      <c r="CH9" s="174" t="str">
        <f t="shared" si="31"/>
        <v/>
      </c>
      <c r="CI9" s="37"/>
      <c r="CJ9" s="174" t="str">
        <f t="shared" si="32"/>
        <v/>
      </c>
      <c r="CK9" s="37"/>
      <c r="CL9" s="174" t="str">
        <f t="shared" si="33"/>
        <v/>
      </c>
      <c r="CM9" s="37"/>
      <c r="CN9" s="174" t="str">
        <f t="shared" si="34"/>
        <v/>
      </c>
      <c r="CO9" s="37"/>
      <c r="CP9" s="174" t="str">
        <f t="shared" si="35"/>
        <v/>
      </c>
      <c r="CQ9" s="37"/>
      <c r="CR9" s="174" t="str">
        <f t="shared" si="36"/>
        <v/>
      </c>
      <c r="CS9" s="37"/>
      <c r="CT9" s="174" t="str">
        <f t="shared" si="37"/>
        <v/>
      </c>
      <c r="CU9" s="38"/>
      <c r="CV9" s="87"/>
      <c r="CW9" s="90"/>
      <c r="CX9" s="38"/>
      <c r="CY9" s="39"/>
      <c r="CZ9" s="37"/>
      <c r="DA9" s="39"/>
      <c r="DB9" s="24">
        <v>5</v>
      </c>
      <c r="DC9" s="96" t="str">
        <f t="shared" si="38"/>
        <v>月</v>
      </c>
      <c r="DF9" s="125"/>
      <c r="DG9" s="40"/>
      <c r="DH9" s="40"/>
      <c r="DI9" s="40"/>
      <c r="DJ9" s="40"/>
      <c r="DK9" s="40"/>
      <c r="DL9" s="40"/>
      <c r="DM9" s="40"/>
      <c r="DN9" s="40"/>
      <c r="DO9" s="40"/>
      <c r="DP9" s="40">
        <f t="shared" si="39"/>
        <v>0</v>
      </c>
      <c r="DQ9" s="172" t="str">
        <f t="shared" si="40"/>
        <v/>
      </c>
      <c r="DS9" s="189"/>
      <c r="DT9" s="190"/>
      <c r="DU9" s="190"/>
      <c r="DV9" s="191"/>
      <c r="DW9" s="41"/>
      <c r="DX9" s="42"/>
      <c r="DY9" s="139"/>
      <c r="DZ9" s="139"/>
      <c r="EA9" s="139"/>
      <c r="EB9" s="139"/>
    </row>
    <row r="10" spans="1:132" ht="13.5" customHeight="1" x14ac:dyDescent="0.4">
      <c r="A10" s="104">
        <v>6</v>
      </c>
      <c r="B10" s="23" t="s">
        <v>91</v>
      </c>
      <c r="C10" s="164"/>
      <c r="D10" s="164"/>
      <c r="E10" s="24"/>
      <c r="F10" s="29"/>
      <c r="G10" s="25" t="str">
        <f>IF(SUM($F$5:F10)=0,"",SUM($F$5:F10))</f>
        <v/>
      </c>
      <c r="H10" s="43" t="str">
        <f t="shared" si="0"/>
        <v/>
      </c>
      <c r="I10" s="148" t="e">
        <f t="array" aca="1" ref="I10" ca="1">IF($A11="",$G10/($V10-$U$5+INDIRECT(IF(_xlfn.SHEET()&lt;6,"令和8年"&amp;_xlfn.SHEET()+7&amp;"月","令和9年"&amp;_xlfn.SHEET()-5&amp;"月")&amp;"!$U$5")),$G10/($V11-$U$5))</f>
        <v>#VALUE!</v>
      </c>
      <c r="J10" s="26" t="str">
        <f t="shared" si="1"/>
        <v/>
      </c>
      <c r="K10" s="27"/>
      <c r="L10" s="165">
        <f t="shared" si="2"/>
        <v>0</v>
      </c>
      <c r="M10" s="28" t="str">
        <f t="shared" si="3"/>
        <v/>
      </c>
      <c r="N10" s="166" t="str">
        <f t="shared" si="4"/>
        <v/>
      </c>
      <c r="O10" s="167" t="str">
        <f t="shared" si="5"/>
        <v/>
      </c>
      <c r="P10" s="168"/>
      <c r="Q10" s="169" t="str">
        <f t="shared" si="6"/>
        <v/>
      </c>
      <c r="R10" s="170">
        <v>24</v>
      </c>
      <c r="S10" s="171">
        <v>12</v>
      </c>
      <c r="T10" s="24" t="s">
        <v>84</v>
      </c>
      <c r="U10" s="29">
        <v>147814</v>
      </c>
      <c r="V10" s="30">
        <f t="shared" si="41"/>
        <v>1960425</v>
      </c>
      <c r="W10" s="27">
        <v>94</v>
      </c>
      <c r="X10" s="31">
        <f t="shared" si="7"/>
        <v>1572.4893617021276</v>
      </c>
      <c r="Y10" s="29">
        <v>529555</v>
      </c>
      <c r="Z10" s="32">
        <f t="shared" si="42"/>
        <v>1930016</v>
      </c>
      <c r="AA10" s="33">
        <f t="shared" si="8"/>
        <v>1.0157558279309602</v>
      </c>
      <c r="AB10" s="158">
        <v>210000</v>
      </c>
      <c r="AC10" s="34">
        <f t="shared" si="43"/>
        <v>2100000</v>
      </c>
      <c r="AD10" s="158"/>
      <c r="AE10" s="25"/>
      <c r="AF10" s="25"/>
      <c r="AG10" s="25"/>
      <c r="AH10" s="25"/>
      <c r="AI10" s="25"/>
      <c r="AJ10" s="25"/>
      <c r="AK10" s="25"/>
      <c r="AL10" s="158"/>
      <c r="AM10" s="25"/>
      <c r="AN10" s="158"/>
      <c r="AO10" s="25"/>
      <c r="AP10" s="25"/>
      <c r="AQ10" s="158"/>
      <c r="AR10" s="35">
        <f t="shared" si="9"/>
        <v>0</v>
      </c>
      <c r="AS10" s="172" t="str">
        <f t="shared" si="10"/>
        <v/>
      </c>
      <c r="AT10" s="36">
        <f t="shared" si="11"/>
        <v>0</v>
      </c>
      <c r="AU10" s="173"/>
      <c r="AV10" s="82">
        <f t="shared" si="12"/>
        <v>6</v>
      </c>
      <c r="AW10" s="37"/>
      <c r="AX10" s="174" t="str">
        <f t="shared" si="13"/>
        <v/>
      </c>
      <c r="AY10" s="37"/>
      <c r="AZ10" s="174" t="str">
        <f t="shared" si="14"/>
        <v/>
      </c>
      <c r="BA10" s="37"/>
      <c r="BB10" s="174" t="str">
        <f t="shared" si="15"/>
        <v/>
      </c>
      <c r="BC10" s="37"/>
      <c r="BD10" s="174" t="str">
        <f t="shared" si="16"/>
        <v/>
      </c>
      <c r="BE10" s="37"/>
      <c r="BF10" s="174" t="str">
        <f t="shared" si="17"/>
        <v/>
      </c>
      <c r="BG10" s="37"/>
      <c r="BH10" s="174" t="str">
        <f t="shared" si="18"/>
        <v/>
      </c>
      <c r="BI10" s="37"/>
      <c r="BJ10" s="174" t="str">
        <f t="shared" si="19"/>
        <v/>
      </c>
      <c r="BK10" s="37"/>
      <c r="BL10" s="174" t="str">
        <f t="shared" si="20"/>
        <v/>
      </c>
      <c r="BM10" s="37"/>
      <c r="BN10" s="174" t="str">
        <f t="shared" si="21"/>
        <v/>
      </c>
      <c r="BO10" s="37"/>
      <c r="BP10" s="174" t="str">
        <f t="shared" si="22"/>
        <v/>
      </c>
      <c r="BQ10" s="37"/>
      <c r="BR10" s="174" t="str">
        <f t="shared" si="23"/>
        <v/>
      </c>
      <c r="BS10" s="37"/>
      <c r="BT10" s="174" t="str">
        <f t="shared" si="24"/>
        <v/>
      </c>
      <c r="BU10" s="37"/>
      <c r="BV10" s="174" t="str">
        <f t="shared" si="25"/>
        <v/>
      </c>
      <c r="BW10" s="37"/>
      <c r="BX10" s="174" t="str">
        <f t="shared" si="26"/>
        <v/>
      </c>
      <c r="BY10" s="37"/>
      <c r="BZ10" s="174" t="str">
        <f t="shared" si="27"/>
        <v/>
      </c>
      <c r="CA10" s="37"/>
      <c r="CB10" s="174" t="str">
        <f t="shared" si="28"/>
        <v/>
      </c>
      <c r="CC10" s="37"/>
      <c r="CD10" s="174" t="str">
        <f t="shared" si="29"/>
        <v/>
      </c>
      <c r="CE10" s="37"/>
      <c r="CF10" s="174" t="str">
        <f t="shared" si="30"/>
        <v/>
      </c>
      <c r="CG10" s="37"/>
      <c r="CH10" s="174" t="str">
        <f t="shared" si="31"/>
        <v/>
      </c>
      <c r="CI10" s="37"/>
      <c r="CJ10" s="174" t="str">
        <f t="shared" si="32"/>
        <v/>
      </c>
      <c r="CK10" s="37"/>
      <c r="CL10" s="174" t="str">
        <f t="shared" si="33"/>
        <v/>
      </c>
      <c r="CM10" s="37"/>
      <c r="CN10" s="174" t="str">
        <f t="shared" si="34"/>
        <v/>
      </c>
      <c r="CO10" s="37"/>
      <c r="CP10" s="174" t="str">
        <f t="shared" si="35"/>
        <v/>
      </c>
      <c r="CQ10" s="37"/>
      <c r="CR10" s="174" t="str">
        <f t="shared" si="36"/>
        <v/>
      </c>
      <c r="CS10" s="37"/>
      <c r="CT10" s="174" t="str">
        <f t="shared" si="37"/>
        <v/>
      </c>
      <c r="CU10" s="38"/>
      <c r="CV10" s="87"/>
      <c r="CW10" s="90"/>
      <c r="CX10" s="38"/>
      <c r="CY10" s="39"/>
      <c r="CZ10" s="37"/>
      <c r="DA10" s="39"/>
      <c r="DB10" s="24">
        <v>6</v>
      </c>
      <c r="DC10" s="96" t="str">
        <f t="shared" si="38"/>
        <v>火</v>
      </c>
      <c r="DF10" s="125"/>
      <c r="DG10" s="40"/>
      <c r="DH10" s="40"/>
      <c r="DI10" s="40"/>
      <c r="DJ10" s="40"/>
      <c r="DK10" s="40"/>
      <c r="DL10" s="40"/>
      <c r="DM10" s="40"/>
      <c r="DN10" s="40"/>
      <c r="DO10" s="40"/>
      <c r="DP10" s="40">
        <f t="shared" si="39"/>
        <v>0</v>
      </c>
      <c r="DQ10" s="172" t="str">
        <f t="shared" si="40"/>
        <v/>
      </c>
      <c r="DS10" s="189"/>
      <c r="DT10" s="190"/>
      <c r="DU10" s="190"/>
      <c r="DV10" s="191"/>
      <c r="DW10" s="138"/>
      <c r="DX10" s="42"/>
      <c r="DY10" s="139"/>
      <c r="DZ10" s="139"/>
      <c r="EA10" s="139"/>
      <c r="EB10" s="139"/>
    </row>
    <row r="11" spans="1:132" ht="13.5" customHeight="1" x14ac:dyDescent="0.4">
      <c r="A11" s="104">
        <v>7</v>
      </c>
      <c r="B11" s="23" t="s">
        <v>83</v>
      </c>
      <c r="C11" s="164"/>
      <c r="D11" s="164"/>
      <c r="E11" s="24"/>
      <c r="F11" s="29"/>
      <c r="G11" s="25" t="str">
        <f>IF(SUM($F$5:F11)=0,"",SUM($F$5:F11))</f>
        <v/>
      </c>
      <c r="H11" s="43" t="str">
        <f t="shared" si="0"/>
        <v/>
      </c>
      <c r="I11" s="148" t="e">
        <f t="array" aca="1" ref="I11" ca="1">IF($A12="",$G11/($V11-$U$5+INDIRECT(IF(_xlfn.SHEET()&lt;6,"令和8年"&amp;_xlfn.SHEET()+7&amp;"月","令和9年"&amp;_xlfn.SHEET()-5&amp;"月")&amp;"!$U$5")),$G11/($V12-$U$5))</f>
        <v>#VALUE!</v>
      </c>
      <c r="J11" s="26" t="str">
        <f t="shared" si="1"/>
        <v/>
      </c>
      <c r="K11" s="27"/>
      <c r="L11" s="165">
        <f t="shared" si="2"/>
        <v>0</v>
      </c>
      <c r="M11" s="28" t="str">
        <f t="shared" si="3"/>
        <v/>
      </c>
      <c r="N11" s="166" t="str">
        <f t="shared" si="4"/>
        <v/>
      </c>
      <c r="O11" s="167" t="str">
        <f t="shared" si="5"/>
        <v/>
      </c>
      <c r="P11" s="168"/>
      <c r="Q11" s="169" t="str">
        <f t="shared" si="6"/>
        <v/>
      </c>
      <c r="R11" s="170">
        <v>17</v>
      </c>
      <c r="S11" s="171">
        <v>6</v>
      </c>
      <c r="T11" s="24" t="s">
        <v>114</v>
      </c>
      <c r="U11" s="29">
        <v>143557</v>
      </c>
      <c r="V11" s="30">
        <f t="shared" si="41"/>
        <v>2103982</v>
      </c>
      <c r="W11" s="27">
        <v>122</v>
      </c>
      <c r="X11" s="31">
        <f t="shared" si="7"/>
        <v>1176.6967213114754</v>
      </c>
      <c r="Y11" s="29">
        <v>162013</v>
      </c>
      <c r="Z11" s="32">
        <f t="shared" si="42"/>
        <v>2092029</v>
      </c>
      <c r="AA11" s="33">
        <f t="shared" si="8"/>
        <v>1.0057135919243949</v>
      </c>
      <c r="AB11" s="158">
        <v>210000</v>
      </c>
      <c r="AC11" s="34">
        <f t="shared" si="43"/>
        <v>2310000</v>
      </c>
      <c r="AD11" s="158"/>
      <c r="AE11" s="25"/>
      <c r="AF11" s="25"/>
      <c r="AG11" s="25"/>
      <c r="AH11" s="25"/>
      <c r="AI11" s="25"/>
      <c r="AJ11" s="25"/>
      <c r="AK11" s="25"/>
      <c r="AL11" s="158"/>
      <c r="AM11" s="25"/>
      <c r="AN11" s="158"/>
      <c r="AO11" s="25"/>
      <c r="AP11" s="25"/>
      <c r="AQ11" s="158"/>
      <c r="AR11" s="35">
        <f t="shared" si="9"/>
        <v>0</v>
      </c>
      <c r="AS11" s="172" t="str">
        <f t="shared" si="10"/>
        <v/>
      </c>
      <c r="AT11" s="36">
        <f t="shared" si="11"/>
        <v>0</v>
      </c>
      <c r="AU11" s="173"/>
      <c r="AV11" s="82">
        <f t="shared" si="12"/>
        <v>7</v>
      </c>
      <c r="AW11" s="37"/>
      <c r="AX11" s="174" t="str">
        <f t="shared" si="13"/>
        <v/>
      </c>
      <c r="AY11" s="37"/>
      <c r="AZ11" s="174" t="str">
        <f t="shared" si="14"/>
        <v/>
      </c>
      <c r="BA11" s="37"/>
      <c r="BB11" s="174" t="str">
        <f t="shared" si="15"/>
        <v/>
      </c>
      <c r="BC11" s="37"/>
      <c r="BD11" s="174" t="str">
        <f t="shared" si="16"/>
        <v/>
      </c>
      <c r="BE11" s="37"/>
      <c r="BF11" s="174" t="str">
        <f t="shared" si="17"/>
        <v/>
      </c>
      <c r="BG11" s="37"/>
      <c r="BH11" s="174" t="str">
        <f t="shared" si="18"/>
        <v/>
      </c>
      <c r="BI11" s="37"/>
      <c r="BJ11" s="174" t="str">
        <f t="shared" si="19"/>
        <v/>
      </c>
      <c r="BK11" s="37"/>
      <c r="BL11" s="174" t="str">
        <f t="shared" si="20"/>
        <v/>
      </c>
      <c r="BM11" s="37"/>
      <c r="BN11" s="174" t="str">
        <f t="shared" si="21"/>
        <v/>
      </c>
      <c r="BO11" s="37"/>
      <c r="BP11" s="174" t="str">
        <f t="shared" si="22"/>
        <v/>
      </c>
      <c r="BQ11" s="37"/>
      <c r="BR11" s="174" t="str">
        <f t="shared" si="23"/>
        <v/>
      </c>
      <c r="BS11" s="37"/>
      <c r="BT11" s="174" t="str">
        <f t="shared" si="24"/>
        <v/>
      </c>
      <c r="BU11" s="37"/>
      <c r="BV11" s="174" t="str">
        <f t="shared" si="25"/>
        <v/>
      </c>
      <c r="BW11" s="37"/>
      <c r="BX11" s="174" t="str">
        <f t="shared" si="26"/>
        <v/>
      </c>
      <c r="BY11" s="37"/>
      <c r="BZ11" s="174" t="str">
        <f t="shared" si="27"/>
        <v/>
      </c>
      <c r="CA11" s="37"/>
      <c r="CB11" s="174" t="str">
        <f t="shared" si="28"/>
        <v/>
      </c>
      <c r="CC11" s="37"/>
      <c r="CD11" s="174" t="str">
        <f t="shared" si="29"/>
        <v/>
      </c>
      <c r="CE11" s="37"/>
      <c r="CF11" s="174" t="str">
        <f t="shared" si="30"/>
        <v/>
      </c>
      <c r="CG11" s="37"/>
      <c r="CH11" s="174" t="str">
        <f t="shared" si="31"/>
        <v/>
      </c>
      <c r="CI11" s="37"/>
      <c r="CJ11" s="174" t="str">
        <f t="shared" si="32"/>
        <v/>
      </c>
      <c r="CK11" s="37"/>
      <c r="CL11" s="174" t="str">
        <f t="shared" si="33"/>
        <v/>
      </c>
      <c r="CM11" s="37"/>
      <c r="CN11" s="174" t="str">
        <f t="shared" si="34"/>
        <v/>
      </c>
      <c r="CO11" s="37"/>
      <c r="CP11" s="174" t="str">
        <f t="shared" si="35"/>
        <v/>
      </c>
      <c r="CQ11" s="37"/>
      <c r="CR11" s="174" t="str">
        <f t="shared" si="36"/>
        <v/>
      </c>
      <c r="CS11" s="37"/>
      <c r="CT11" s="174" t="str">
        <f t="shared" si="37"/>
        <v/>
      </c>
      <c r="CU11" s="38"/>
      <c r="CV11" s="87"/>
      <c r="CW11" s="90"/>
      <c r="CX11" s="38"/>
      <c r="CY11" s="39"/>
      <c r="CZ11" s="37"/>
      <c r="DA11" s="39"/>
      <c r="DB11" s="24">
        <v>7</v>
      </c>
      <c r="DC11" s="96" t="str">
        <f t="shared" si="38"/>
        <v>水</v>
      </c>
      <c r="DF11" s="125"/>
      <c r="DG11" s="40"/>
      <c r="DH11" s="40"/>
      <c r="DI11" s="40"/>
      <c r="DJ11" s="40"/>
      <c r="DK11" s="40"/>
      <c r="DL11" s="40"/>
      <c r="DM11" s="40"/>
      <c r="DN11" s="40"/>
      <c r="DO11" s="40"/>
      <c r="DP11" s="40">
        <f t="shared" si="39"/>
        <v>0</v>
      </c>
      <c r="DQ11" s="172" t="str">
        <f t="shared" si="40"/>
        <v/>
      </c>
      <c r="DS11" s="189"/>
      <c r="DT11" s="190"/>
      <c r="DU11" s="190"/>
      <c r="DV11" s="191"/>
      <c r="DW11" s="41"/>
      <c r="DX11" s="42"/>
    </row>
    <row r="12" spans="1:132" ht="13.5" customHeight="1" x14ac:dyDescent="0.4">
      <c r="A12" s="104">
        <v>8</v>
      </c>
      <c r="B12" s="23" t="s">
        <v>85</v>
      </c>
      <c r="C12" s="164"/>
      <c r="D12" s="164"/>
      <c r="E12" s="24"/>
      <c r="F12" s="29"/>
      <c r="G12" s="25" t="str">
        <f>IF(SUM($F$5:F12)=0,"",SUM($F$5:F12))</f>
        <v/>
      </c>
      <c r="H12" s="43" t="str">
        <f t="shared" si="0"/>
        <v/>
      </c>
      <c r="I12" s="148" t="e">
        <f t="array" aca="1" ref="I12" ca="1">IF($A13="",$G12/($V12-$U$5+INDIRECT(IF(_xlfn.SHEET()&lt;6,"令和8年"&amp;_xlfn.SHEET()+7&amp;"月","令和9年"&amp;_xlfn.SHEET()-5&amp;"月")&amp;"!$U$5")),$G12/($V13-$U$5))</f>
        <v>#VALUE!</v>
      </c>
      <c r="J12" s="26" t="str">
        <f t="shared" si="1"/>
        <v/>
      </c>
      <c r="K12" s="27"/>
      <c r="L12" s="165">
        <f t="shared" si="2"/>
        <v>0</v>
      </c>
      <c r="M12" s="28" t="str">
        <f t="shared" si="3"/>
        <v/>
      </c>
      <c r="N12" s="166" t="str">
        <f t="shared" si="4"/>
        <v/>
      </c>
      <c r="O12" s="167" t="str">
        <f t="shared" si="5"/>
        <v/>
      </c>
      <c r="P12" s="168"/>
      <c r="Q12" s="169" t="str">
        <f t="shared" si="6"/>
        <v/>
      </c>
      <c r="R12" s="170">
        <v>19</v>
      </c>
      <c r="S12" s="171">
        <v>4</v>
      </c>
      <c r="T12" s="24" t="s">
        <v>84</v>
      </c>
      <c r="U12" s="29">
        <v>176255</v>
      </c>
      <c r="V12" s="30">
        <f t="shared" si="41"/>
        <v>2280237</v>
      </c>
      <c r="W12" s="27">
        <v>130</v>
      </c>
      <c r="X12" s="31">
        <f t="shared" si="7"/>
        <v>1355.8076923076924</v>
      </c>
      <c r="Y12" s="29">
        <v>152190</v>
      </c>
      <c r="Z12" s="32">
        <f t="shared" si="42"/>
        <v>2244219</v>
      </c>
      <c r="AA12" s="33">
        <f t="shared" si="8"/>
        <v>1.0160492358366096</v>
      </c>
      <c r="AB12" s="158">
        <v>210000</v>
      </c>
      <c r="AC12" s="34">
        <f t="shared" si="43"/>
        <v>2520000</v>
      </c>
      <c r="AD12" s="158"/>
      <c r="AE12" s="25"/>
      <c r="AF12" s="25"/>
      <c r="AG12" s="25"/>
      <c r="AH12" s="25"/>
      <c r="AI12" s="25"/>
      <c r="AJ12" s="25"/>
      <c r="AK12" s="25"/>
      <c r="AL12" s="158"/>
      <c r="AM12" s="25"/>
      <c r="AN12" s="158"/>
      <c r="AO12" s="25"/>
      <c r="AP12" s="25"/>
      <c r="AQ12" s="158"/>
      <c r="AR12" s="35">
        <f t="shared" si="9"/>
        <v>0</v>
      </c>
      <c r="AS12" s="172" t="str">
        <f t="shared" si="10"/>
        <v/>
      </c>
      <c r="AT12" s="36">
        <f t="shared" si="11"/>
        <v>0</v>
      </c>
      <c r="AU12" s="173"/>
      <c r="AV12" s="82">
        <f t="shared" si="12"/>
        <v>8</v>
      </c>
      <c r="AW12" s="37"/>
      <c r="AX12" s="174" t="str">
        <f t="shared" si="13"/>
        <v/>
      </c>
      <c r="AY12" s="37"/>
      <c r="AZ12" s="174" t="str">
        <f t="shared" si="14"/>
        <v/>
      </c>
      <c r="BA12" s="37"/>
      <c r="BB12" s="174" t="str">
        <f t="shared" si="15"/>
        <v/>
      </c>
      <c r="BC12" s="37"/>
      <c r="BD12" s="174" t="str">
        <f t="shared" si="16"/>
        <v/>
      </c>
      <c r="BE12" s="37"/>
      <c r="BF12" s="174" t="str">
        <f t="shared" si="17"/>
        <v/>
      </c>
      <c r="BG12" s="37"/>
      <c r="BH12" s="174" t="str">
        <f t="shared" si="18"/>
        <v/>
      </c>
      <c r="BI12" s="37"/>
      <c r="BJ12" s="174" t="str">
        <f t="shared" si="19"/>
        <v/>
      </c>
      <c r="BK12" s="37"/>
      <c r="BL12" s="174" t="str">
        <f t="shared" si="20"/>
        <v/>
      </c>
      <c r="BM12" s="37"/>
      <c r="BN12" s="174" t="str">
        <f t="shared" si="21"/>
        <v/>
      </c>
      <c r="BO12" s="37"/>
      <c r="BP12" s="174" t="str">
        <f t="shared" si="22"/>
        <v/>
      </c>
      <c r="BQ12" s="37"/>
      <c r="BR12" s="174" t="str">
        <f t="shared" si="23"/>
        <v/>
      </c>
      <c r="BS12" s="37"/>
      <c r="BT12" s="174" t="str">
        <f t="shared" si="24"/>
        <v/>
      </c>
      <c r="BU12" s="37"/>
      <c r="BV12" s="174" t="str">
        <f t="shared" si="25"/>
        <v/>
      </c>
      <c r="BW12" s="37"/>
      <c r="BX12" s="174" t="str">
        <f t="shared" si="26"/>
        <v/>
      </c>
      <c r="BY12" s="37"/>
      <c r="BZ12" s="174" t="str">
        <f t="shared" si="27"/>
        <v/>
      </c>
      <c r="CA12" s="37"/>
      <c r="CB12" s="174" t="str">
        <f t="shared" si="28"/>
        <v/>
      </c>
      <c r="CC12" s="37"/>
      <c r="CD12" s="174" t="str">
        <f t="shared" si="29"/>
        <v/>
      </c>
      <c r="CE12" s="37"/>
      <c r="CF12" s="174" t="str">
        <f t="shared" si="30"/>
        <v/>
      </c>
      <c r="CG12" s="37"/>
      <c r="CH12" s="174" t="str">
        <f t="shared" si="31"/>
        <v/>
      </c>
      <c r="CI12" s="37"/>
      <c r="CJ12" s="174" t="str">
        <f t="shared" si="32"/>
        <v/>
      </c>
      <c r="CK12" s="37"/>
      <c r="CL12" s="174" t="str">
        <f t="shared" si="33"/>
        <v/>
      </c>
      <c r="CM12" s="37"/>
      <c r="CN12" s="174" t="str">
        <f t="shared" si="34"/>
        <v/>
      </c>
      <c r="CO12" s="37"/>
      <c r="CP12" s="174" t="str">
        <f t="shared" si="35"/>
        <v/>
      </c>
      <c r="CQ12" s="37"/>
      <c r="CR12" s="174" t="str">
        <f t="shared" si="36"/>
        <v/>
      </c>
      <c r="CS12" s="37"/>
      <c r="CT12" s="174" t="str">
        <f t="shared" si="37"/>
        <v/>
      </c>
      <c r="CU12" s="38"/>
      <c r="CV12" s="87"/>
      <c r="CW12" s="90"/>
      <c r="CX12" s="38"/>
      <c r="CY12" s="39"/>
      <c r="CZ12" s="37"/>
      <c r="DA12" s="39"/>
      <c r="DB12" s="24">
        <v>8</v>
      </c>
      <c r="DC12" s="96" t="str">
        <f t="shared" si="38"/>
        <v>木</v>
      </c>
      <c r="DF12" s="125"/>
      <c r="DG12" s="40"/>
      <c r="DH12" s="40"/>
      <c r="DI12" s="40"/>
      <c r="DJ12" s="40"/>
      <c r="DK12" s="40"/>
      <c r="DL12" s="40"/>
      <c r="DM12" s="40"/>
      <c r="DN12" s="40"/>
      <c r="DO12" s="40"/>
      <c r="DP12" s="40">
        <f t="shared" si="39"/>
        <v>0</v>
      </c>
      <c r="DQ12" s="172" t="str">
        <f t="shared" si="40"/>
        <v/>
      </c>
      <c r="DS12" s="189"/>
      <c r="DT12" s="190"/>
      <c r="DU12" s="190"/>
      <c r="DV12" s="191"/>
      <c r="DW12" s="41"/>
      <c r="DX12" s="42"/>
    </row>
    <row r="13" spans="1:132" ht="13.5" customHeight="1" x14ac:dyDescent="0.4">
      <c r="A13" s="104">
        <v>9</v>
      </c>
      <c r="B13" s="23" t="s">
        <v>86</v>
      </c>
      <c r="C13" s="164"/>
      <c r="D13" s="164"/>
      <c r="E13" s="24"/>
      <c r="F13" s="29"/>
      <c r="G13" s="25" t="str">
        <f>IF(SUM($F$5:F13)=0,"",SUM($F$5:F13))</f>
        <v/>
      </c>
      <c r="H13" s="43" t="str">
        <f t="shared" si="0"/>
        <v/>
      </c>
      <c r="I13" s="148" t="e">
        <f t="array" aca="1" ref="I13" ca="1">IF($A14="",$G13/($V13-$U$5+INDIRECT(IF(_xlfn.SHEET()&lt;6,"令和8年"&amp;_xlfn.SHEET()+7&amp;"月","令和9年"&amp;_xlfn.SHEET()-5&amp;"月")&amp;"!$U$5")),$G13/($V14-$U$5))</f>
        <v>#VALUE!</v>
      </c>
      <c r="J13" s="26" t="str">
        <f t="shared" si="1"/>
        <v/>
      </c>
      <c r="K13" s="27"/>
      <c r="L13" s="165">
        <f t="shared" si="2"/>
        <v>0</v>
      </c>
      <c r="M13" s="28" t="str">
        <f t="shared" si="3"/>
        <v/>
      </c>
      <c r="N13" s="166" t="str">
        <f t="shared" si="4"/>
        <v/>
      </c>
      <c r="O13" s="167" t="str">
        <f t="shared" si="5"/>
        <v/>
      </c>
      <c r="P13" s="168"/>
      <c r="Q13" s="169" t="str">
        <f t="shared" si="6"/>
        <v/>
      </c>
      <c r="R13" s="170">
        <v>19</v>
      </c>
      <c r="S13" s="171">
        <v>5</v>
      </c>
      <c r="T13" s="24" t="s">
        <v>92</v>
      </c>
      <c r="U13" s="29">
        <v>115028</v>
      </c>
      <c r="V13" s="30">
        <f t="shared" si="41"/>
        <v>2395265</v>
      </c>
      <c r="W13" s="27">
        <v>94</v>
      </c>
      <c r="X13" s="31">
        <f t="shared" si="7"/>
        <v>1223.7021276595744</v>
      </c>
      <c r="Y13" s="29">
        <v>132636</v>
      </c>
      <c r="Z13" s="32">
        <f t="shared" si="42"/>
        <v>2376855</v>
      </c>
      <c r="AA13" s="33">
        <f t="shared" si="8"/>
        <v>1.0077455292813402</v>
      </c>
      <c r="AB13" s="158">
        <v>210000</v>
      </c>
      <c r="AC13" s="34">
        <f t="shared" si="43"/>
        <v>2730000</v>
      </c>
      <c r="AD13" s="158"/>
      <c r="AE13" s="25"/>
      <c r="AF13" s="25"/>
      <c r="AG13" s="25"/>
      <c r="AH13" s="25"/>
      <c r="AI13" s="25"/>
      <c r="AJ13" s="25"/>
      <c r="AK13" s="25"/>
      <c r="AL13" s="158"/>
      <c r="AM13" s="25"/>
      <c r="AN13" s="158"/>
      <c r="AO13" s="25"/>
      <c r="AP13" s="25"/>
      <c r="AQ13" s="158"/>
      <c r="AR13" s="35">
        <f t="shared" si="9"/>
        <v>0</v>
      </c>
      <c r="AS13" s="172" t="str">
        <f t="shared" si="10"/>
        <v/>
      </c>
      <c r="AT13" s="36">
        <f t="shared" si="11"/>
        <v>0</v>
      </c>
      <c r="AU13" s="173"/>
      <c r="AV13" s="82">
        <f t="shared" si="12"/>
        <v>9</v>
      </c>
      <c r="AW13" s="37"/>
      <c r="AX13" s="174" t="str">
        <f t="shared" si="13"/>
        <v/>
      </c>
      <c r="AY13" s="37"/>
      <c r="AZ13" s="174" t="str">
        <f t="shared" si="14"/>
        <v/>
      </c>
      <c r="BA13" s="37"/>
      <c r="BB13" s="174" t="str">
        <f t="shared" si="15"/>
        <v/>
      </c>
      <c r="BC13" s="37"/>
      <c r="BD13" s="174" t="str">
        <f t="shared" si="16"/>
        <v/>
      </c>
      <c r="BE13" s="37"/>
      <c r="BF13" s="174" t="str">
        <f t="shared" si="17"/>
        <v/>
      </c>
      <c r="BG13" s="37"/>
      <c r="BH13" s="174" t="str">
        <f t="shared" si="18"/>
        <v/>
      </c>
      <c r="BI13" s="37"/>
      <c r="BJ13" s="174" t="str">
        <f t="shared" si="19"/>
        <v/>
      </c>
      <c r="BK13" s="37"/>
      <c r="BL13" s="174" t="str">
        <f t="shared" si="20"/>
        <v/>
      </c>
      <c r="BM13" s="37"/>
      <c r="BN13" s="174" t="str">
        <f t="shared" si="21"/>
        <v/>
      </c>
      <c r="BO13" s="37"/>
      <c r="BP13" s="174" t="str">
        <f t="shared" si="22"/>
        <v/>
      </c>
      <c r="BQ13" s="37"/>
      <c r="BR13" s="174" t="str">
        <f t="shared" si="23"/>
        <v/>
      </c>
      <c r="BS13" s="37"/>
      <c r="BT13" s="174" t="str">
        <f t="shared" si="24"/>
        <v/>
      </c>
      <c r="BU13" s="37"/>
      <c r="BV13" s="174" t="str">
        <f t="shared" si="25"/>
        <v/>
      </c>
      <c r="BW13" s="37"/>
      <c r="BX13" s="174" t="str">
        <f t="shared" si="26"/>
        <v/>
      </c>
      <c r="BY13" s="37"/>
      <c r="BZ13" s="174" t="str">
        <f t="shared" si="27"/>
        <v/>
      </c>
      <c r="CA13" s="37"/>
      <c r="CB13" s="174" t="str">
        <f t="shared" si="28"/>
        <v/>
      </c>
      <c r="CC13" s="37"/>
      <c r="CD13" s="174" t="str">
        <f t="shared" si="29"/>
        <v/>
      </c>
      <c r="CE13" s="37"/>
      <c r="CF13" s="174" t="str">
        <f t="shared" si="30"/>
        <v/>
      </c>
      <c r="CG13" s="37"/>
      <c r="CH13" s="174" t="str">
        <f t="shared" si="31"/>
        <v/>
      </c>
      <c r="CI13" s="37"/>
      <c r="CJ13" s="174" t="str">
        <f t="shared" si="32"/>
        <v/>
      </c>
      <c r="CK13" s="37"/>
      <c r="CL13" s="174" t="str">
        <f t="shared" si="33"/>
        <v/>
      </c>
      <c r="CM13" s="37"/>
      <c r="CN13" s="174" t="str">
        <f t="shared" si="34"/>
        <v/>
      </c>
      <c r="CO13" s="37"/>
      <c r="CP13" s="174" t="str">
        <f t="shared" si="35"/>
        <v/>
      </c>
      <c r="CQ13" s="37"/>
      <c r="CR13" s="174" t="str">
        <f t="shared" si="36"/>
        <v/>
      </c>
      <c r="CS13" s="37"/>
      <c r="CT13" s="174" t="str">
        <f t="shared" si="37"/>
        <v/>
      </c>
      <c r="CU13" s="38"/>
      <c r="CV13" s="87"/>
      <c r="CW13" s="90"/>
      <c r="CX13" s="38"/>
      <c r="CY13" s="39"/>
      <c r="CZ13" s="37"/>
      <c r="DA13" s="39"/>
      <c r="DB13" s="24">
        <v>9</v>
      </c>
      <c r="DC13" s="96" t="str">
        <f t="shared" si="38"/>
        <v>金</v>
      </c>
      <c r="DF13" s="125"/>
      <c r="DG13" s="40"/>
      <c r="DH13" s="40"/>
      <c r="DI13" s="40"/>
      <c r="DJ13" s="40"/>
      <c r="DK13" s="40"/>
      <c r="DL13" s="40"/>
      <c r="DM13" s="40"/>
      <c r="DN13" s="40"/>
      <c r="DO13" s="40"/>
      <c r="DP13" s="40">
        <f t="shared" si="39"/>
        <v>0</v>
      </c>
      <c r="DQ13" s="172" t="str">
        <f t="shared" si="40"/>
        <v/>
      </c>
      <c r="DS13" s="189"/>
      <c r="DT13" s="190"/>
      <c r="DU13" s="190"/>
      <c r="DV13" s="191"/>
      <c r="DW13" s="138"/>
      <c r="DX13" s="42"/>
    </row>
    <row r="14" spans="1:132" ht="13.5" customHeight="1" x14ac:dyDescent="0.4">
      <c r="A14" s="104">
        <v>10</v>
      </c>
      <c r="B14" s="140" t="s">
        <v>88</v>
      </c>
      <c r="C14" s="164"/>
      <c r="D14" s="164"/>
      <c r="E14" s="24"/>
      <c r="F14" s="29"/>
      <c r="G14" s="25" t="str">
        <f>IF(SUM($F$5:F14)=0,"",SUM($F$5:F14))</f>
        <v/>
      </c>
      <c r="H14" s="43" t="str">
        <f t="shared" si="0"/>
        <v/>
      </c>
      <c r="I14" s="148" t="e">
        <f t="array" aca="1" ref="I14" ca="1">IF($A15="",$G14/($V14-$U$5+INDIRECT(IF(_xlfn.SHEET()&lt;6,"令和8年"&amp;_xlfn.SHEET()+7&amp;"月","令和9年"&amp;_xlfn.SHEET()-5&amp;"月")&amp;"!$U$5")),$G14/($V15-$U$5))</f>
        <v>#VALUE!</v>
      </c>
      <c r="J14" s="26" t="str">
        <f t="shared" si="1"/>
        <v/>
      </c>
      <c r="K14" s="27"/>
      <c r="L14" s="165">
        <f t="shared" si="2"/>
        <v>0</v>
      </c>
      <c r="M14" s="28" t="str">
        <f t="shared" si="3"/>
        <v/>
      </c>
      <c r="N14" s="166" t="str">
        <f t="shared" si="4"/>
        <v/>
      </c>
      <c r="O14" s="167" t="str">
        <f t="shared" si="5"/>
        <v/>
      </c>
      <c r="P14" s="168"/>
      <c r="Q14" s="169" t="str">
        <f t="shared" si="6"/>
        <v/>
      </c>
      <c r="R14" s="170">
        <v>22</v>
      </c>
      <c r="S14" s="171">
        <v>13</v>
      </c>
      <c r="T14" s="24" t="s">
        <v>93</v>
      </c>
      <c r="U14" s="29">
        <v>117656</v>
      </c>
      <c r="V14" s="30">
        <f t="shared" si="41"/>
        <v>2512921</v>
      </c>
      <c r="W14" s="27">
        <v>84</v>
      </c>
      <c r="X14" s="31">
        <f t="shared" si="7"/>
        <v>1400.6666666666667</v>
      </c>
      <c r="Y14" s="29">
        <v>135371</v>
      </c>
      <c r="Z14" s="32">
        <f t="shared" si="42"/>
        <v>2512226</v>
      </c>
      <c r="AA14" s="33">
        <f t="shared" si="8"/>
        <v>1.000276647085095</v>
      </c>
      <c r="AB14" s="158">
        <v>630000</v>
      </c>
      <c r="AC14" s="34">
        <f t="shared" si="43"/>
        <v>3360000</v>
      </c>
      <c r="AD14" s="158"/>
      <c r="AE14" s="25"/>
      <c r="AF14" s="25"/>
      <c r="AG14" s="25"/>
      <c r="AH14" s="25"/>
      <c r="AI14" s="25"/>
      <c r="AJ14" s="25"/>
      <c r="AK14" s="25"/>
      <c r="AL14" s="158"/>
      <c r="AM14" s="25"/>
      <c r="AN14" s="158"/>
      <c r="AO14" s="25"/>
      <c r="AP14" s="25"/>
      <c r="AQ14" s="158"/>
      <c r="AR14" s="35">
        <f t="shared" si="9"/>
        <v>0</v>
      </c>
      <c r="AS14" s="172" t="str">
        <f t="shared" si="10"/>
        <v/>
      </c>
      <c r="AT14" s="36">
        <f t="shared" si="11"/>
        <v>0</v>
      </c>
      <c r="AU14" s="173"/>
      <c r="AV14" s="82">
        <f t="shared" si="12"/>
        <v>10</v>
      </c>
      <c r="AW14" s="37"/>
      <c r="AX14" s="174" t="str">
        <f t="shared" si="13"/>
        <v/>
      </c>
      <c r="AY14" s="37"/>
      <c r="AZ14" s="174" t="str">
        <f t="shared" si="14"/>
        <v/>
      </c>
      <c r="BA14" s="37"/>
      <c r="BB14" s="174" t="str">
        <f t="shared" si="15"/>
        <v/>
      </c>
      <c r="BC14" s="37"/>
      <c r="BD14" s="174" t="str">
        <f t="shared" si="16"/>
        <v/>
      </c>
      <c r="BE14" s="37"/>
      <c r="BF14" s="174" t="str">
        <f t="shared" si="17"/>
        <v/>
      </c>
      <c r="BG14" s="37"/>
      <c r="BH14" s="174" t="str">
        <f t="shared" si="18"/>
        <v/>
      </c>
      <c r="BI14" s="37"/>
      <c r="BJ14" s="174" t="str">
        <f t="shared" si="19"/>
        <v/>
      </c>
      <c r="BK14" s="37"/>
      <c r="BL14" s="174" t="str">
        <f t="shared" si="20"/>
        <v/>
      </c>
      <c r="BM14" s="37"/>
      <c r="BN14" s="174" t="str">
        <f t="shared" si="21"/>
        <v/>
      </c>
      <c r="BO14" s="37"/>
      <c r="BP14" s="174" t="str">
        <f t="shared" si="22"/>
        <v/>
      </c>
      <c r="BQ14" s="37"/>
      <c r="BR14" s="174" t="str">
        <f t="shared" si="23"/>
        <v/>
      </c>
      <c r="BS14" s="37"/>
      <c r="BT14" s="174" t="str">
        <f t="shared" si="24"/>
        <v/>
      </c>
      <c r="BU14" s="37"/>
      <c r="BV14" s="174" t="str">
        <f t="shared" si="25"/>
        <v/>
      </c>
      <c r="BW14" s="37"/>
      <c r="BX14" s="174" t="str">
        <f t="shared" si="26"/>
        <v/>
      </c>
      <c r="BY14" s="37"/>
      <c r="BZ14" s="174" t="str">
        <f t="shared" si="27"/>
        <v/>
      </c>
      <c r="CA14" s="37"/>
      <c r="CB14" s="174" t="str">
        <f t="shared" si="28"/>
        <v/>
      </c>
      <c r="CC14" s="37"/>
      <c r="CD14" s="174" t="str">
        <f t="shared" si="29"/>
        <v/>
      </c>
      <c r="CE14" s="37"/>
      <c r="CF14" s="174" t="str">
        <f t="shared" si="30"/>
        <v/>
      </c>
      <c r="CG14" s="37"/>
      <c r="CH14" s="174" t="str">
        <f t="shared" si="31"/>
        <v/>
      </c>
      <c r="CI14" s="37"/>
      <c r="CJ14" s="174" t="str">
        <f t="shared" si="32"/>
        <v/>
      </c>
      <c r="CK14" s="37"/>
      <c r="CL14" s="174" t="str">
        <f t="shared" si="33"/>
        <v/>
      </c>
      <c r="CM14" s="37"/>
      <c r="CN14" s="174" t="str">
        <f t="shared" si="34"/>
        <v/>
      </c>
      <c r="CO14" s="37"/>
      <c r="CP14" s="174" t="str">
        <f t="shared" si="35"/>
        <v/>
      </c>
      <c r="CQ14" s="37"/>
      <c r="CR14" s="174" t="str">
        <f t="shared" si="36"/>
        <v/>
      </c>
      <c r="CS14" s="37"/>
      <c r="CT14" s="174" t="str">
        <f t="shared" si="37"/>
        <v/>
      </c>
      <c r="CU14" s="38"/>
      <c r="CV14" s="87"/>
      <c r="CW14" s="90"/>
      <c r="CX14" s="38"/>
      <c r="CY14" s="39"/>
      <c r="CZ14" s="37"/>
      <c r="DA14" s="39"/>
      <c r="DB14" s="24">
        <v>10</v>
      </c>
      <c r="DC14" s="96" t="str">
        <f t="shared" si="38"/>
        <v>土</v>
      </c>
      <c r="DF14" s="125"/>
      <c r="DG14" s="40"/>
      <c r="DH14" s="40"/>
      <c r="DI14" s="40"/>
      <c r="DJ14" s="40"/>
      <c r="DK14" s="40"/>
      <c r="DL14" s="40"/>
      <c r="DM14" s="40"/>
      <c r="DN14" s="40"/>
      <c r="DO14" s="40"/>
      <c r="DP14" s="40">
        <f t="shared" si="39"/>
        <v>0</v>
      </c>
      <c r="DQ14" s="172" t="str">
        <f t="shared" si="40"/>
        <v/>
      </c>
      <c r="DS14" s="189"/>
      <c r="DT14" s="190"/>
      <c r="DU14" s="190"/>
      <c r="DV14" s="191"/>
      <c r="DW14" s="41"/>
      <c r="DX14" s="42"/>
    </row>
    <row r="15" spans="1:132" ht="13.5" customHeight="1" x14ac:dyDescent="0.4">
      <c r="A15" s="104">
        <v>11</v>
      </c>
      <c r="B15" s="23" t="s">
        <v>89</v>
      </c>
      <c r="C15" s="164"/>
      <c r="D15" s="164"/>
      <c r="E15" s="24"/>
      <c r="F15" s="29"/>
      <c r="G15" s="25" t="str">
        <f>IF(SUM($F$5:F15)=0,"",SUM($F$5:F15))</f>
        <v/>
      </c>
      <c r="H15" s="43" t="str">
        <f t="shared" si="0"/>
        <v/>
      </c>
      <c r="I15" s="148" t="e">
        <f t="array" aca="1" ref="I15" ca="1">IF($A16="",$G15/($V15-$U$5+INDIRECT(IF(_xlfn.SHEET()&lt;6,"令和8年"&amp;_xlfn.SHEET()+7&amp;"月","令和9年"&amp;_xlfn.SHEET()-5&amp;"月")&amp;"!$U$5")),$G15/($V16-$U$5))</f>
        <v>#VALUE!</v>
      </c>
      <c r="J15" s="26" t="str">
        <f t="shared" si="1"/>
        <v/>
      </c>
      <c r="K15" s="27"/>
      <c r="L15" s="165">
        <f t="shared" si="2"/>
        <v>0</v>
      </c>
      <c r="M15" s="28" t="str">
        <f t="shared" si="3"/>
        <v/>
      </c>
      <c r="N15" s="166" t="str">
        <f t="shared" si="4"/>
        <v/>
      </c>
      <c r="O15" s="167" t="str">
        <f t="shared" si="5"/>
        <v/>
      </c>
      <c r="P15" s="168"/>
      <c r="Q15" s="169" t="str">
        <f t="shared" si="6"/>
        <v/>
      </c>
      <c r="R15" s="170">
        <v>23</v>
      </c>
      <c r="S15" s="171">
        <v>17</v>
      </c>
      <c r="T15" s="24" t="s">
        <v>84</v>
      </c>
      <c r="U15" s="29">
        <v>387418</v>
      </c>
      <c r="V15" s="30">
        <f t="shared" si="41"/>
        <v>2900339</v>
      </c>
      <c r="W15" s="27">
        <v>232</v>
      </c>
      <c r="X15" s="31">
        <f t="shared" si="7"/>
        <v>1669.905172413793</v>
      </c>
      <c r="Y15" s="29">
        <v>146883</v>
      </c>
      <c r="Z15" s="32">
        <f t="shared" si="42"/>
        <v>2659109</v>
      </c>
      <c r="AA15" s="33">
        <f t="shared" si="8"/>
        <v>1.0907183571639973</v>
      </c>
      <c r="AB15" s="158">
        <v>630000</v>
      </c>
      <c r="AC15" s="34">
        <f t="shared" si="43"/>
        <v>3990000</v>
      </c>
      <c r="AD15" s="158"/>
      <c r="AE15" s="25"/>
      <c r="AF15" s="25"/>
      <c r="AG15" s="25"/>
      <c r="AH15" s="25"/>
      <c r="AI15" s="25"/>
      <c r="AJ15" s="25"/>
      <c r="AK15" s="25"/>
      <c r="AL15" s="158"/>
      <c r="AM15" s="25"/>
      <c r="AN15" s="158"/>
      <c r="AO15" s="25"/>
      <c r="AP15" s="25"/>
      <c r="AQ15" s="158"/>
      <c r="AR15" s="35">
        <f t="shared" si="9"/>
        <v>0</v>
      </c>
      <c r="AS15" s="172" t="str">
        <f t="shared" si="10"/>
        <v/>
      </c>
      <c r="AT15" s="36">
        <f t="shared" si="11"/>
        <v>0</v>
      </c>
      <c r="AU15" s="173"/>
      <c r="AV15" s="82">
        <f t="shared" si="12"/>
        <v>11</v>
      </c>
      <c r="AW15" s="37"/>
      <c r="AX15" s="174" t="str">
        <f t="shared" si="13"/>
        <v/>
      </c>
      <c r="AY15" s="37"/>
      <c r="AZ15" s="174" t="str">
        <f t="shared" si="14"/>
        <v/>
      </c>
      <c r="BA15" s="37"/>
      <c r="BB15" s="174" t="str">
        <f t="shared" si="15"/>
        <v/>
      </c>
      <c r="BC15" s="37"/>
      <c r="BD15" s="174" t="str">
        <f t="shared" si="16"/>
        <v/>
      </c>
      <c r="BE15" s="37"/>
      <c r="BF15" s="174" t="str">
        <f t="shared" si="17"/>
        <v/>
      </c>
      <c r="BG15" s="37"/>
      <c r="BH15" s="174" t="str">
        <f t="shared" si="18"/>
        <v/>
      </c>
      <c r="BI15" s="37"/>
      <c r="BJ15" s="174" t="str">
        <f t="shared" si="19"/>
        <v/>
      </c>
      <c r="BK15" s="37"/>
      <c r="BL15" s="174" t="str">
        <f t="shared" si="20"/>
        <v/>
      </c>
      <c r="BM15" s="37"/>
      <c r="BN15" s="174" t="str">
        <f t="shared" si="21"/>
        <v/>
      </c>
      <c r="BO15" s="37"/>
      <c r="BP15" s="174" t="str">
        <f t="shared" si="22"/>
        <v/>
      </c>
      <c r="BQ15" s="37"/>
      <c r="BR15" s="174" t="str">
        <f t="shared" si="23"/>
        <v/>
      </c>
      <c r="BS15" s="37"/>
      <c r="BT15" s="174" t="str">
        <f t="shared" si="24"/>
        <v/>
      </c>
      <c r="BU15" s="37"/>
      <c r="BV15" s="174" t="str">
        <f t="shared" si="25"/>
        <v/>
      </c>
      <c r="BW15" s="37"/>
      <c r="BX15" s="174" t="str">
        <f t="shared" si="26"/>
        <v/>
      </c>
      <c r="BY15" s="37"/>
      <c r="BZ15" s="174" t="str">
        <f t="shared" si="27"/>
        <v/>
      </c>
      <c r="CA15" s="37"/>
      <c r="CB15" s="174" t="str">
        <f t="shared" si="28"/>
        <v/>
      </c>
      <c r="CC15" s="37"/>
      <c r="CD15" s="174" t="str">
        <f t="shared" si="29"/>
        <v/>
      </c>
      <c r="CE15" s="37"/>
      <c r="CF15" s="174" t="str">
        <f t="shared" si="30"/>
        <v/>
      </c>
      <c r="CG15" s="37"/>
      <c r="CH15" s="174" t="str">
        <f t="shared" si="31"/>
        <v/>
      </c>
      <c r="CI15" s="37"/>
      <c r="CJ15" s="174" t="str">
        <f t="shared" si="32"/>
        <v/>
      </c>
      <c r="CK15" s="37"/>
      <c r="CL15" s="174" t="str">
        <f t="shared" si="33"/>
        <v/>
      </c>
      <c r="CM15" s="37"/>
      <c r="CN15" s="174" t="str">
        <f t="shared" si="34"/>
        <v/>
      </c>
      <c r="CO15" s="37"/>
      <c r="CP15" s="174" t="str">
        <f t="shared" si="35"/>
        <v/>
      </c>
      <c r="CQ15" s="37"/>
      <c r="CR15" s="174" t="str">
        <f t="shared" si="36"/>
        <v/>
      </c>
      <c r="CS15" s="37"/>
      <c r="CT15" s="174" t="str">
        <f t="shared" si="37"/>
        <v/>
      </c>
      <c r="CU15" s="38"/>
      <c r="CV15" s="87"/>
      <c r="CW15" s="90"/>
      <c r="CX15" s="38"/>
      <c r="CY15" s="39"/>
      <c r="CZ15" s="37"/>
      <c r="DA15" s="39"/>
      <c r="DB15" s="24">
        <v>11</v>
      </c>
      <c r="DC15" s="96" t="str">
        <f t="shared" si="38"/>
        <v>日</v>
      </c>
      <c r="DF15" s="125"/>
      <c r="DG15" s="40"/>
      <c r="DH15" s="40"/>
      <c r="DI15" s="40"/>
      <c r="DJ15" s="40"/>
      <c r="DK15" s="40"/>
      <c r="DL15" s="40"/>
      <c r="DM15" s="40"/>
      <c r="DN15" s="40"/>
      <c r="DO15" s="40"/>
      <c r="DP15" s="40">
        <f t="shared" si="39"/>
        <v>0</v>
      </c>
      <c r="DQ15" s="172" t="str">
        <f t="shared" si="40"/>
        <v/>
      </c>
      <c r="DS15" s="189"/>
      <c r="DT15" s="190"/>
      <c r="DU15" s="190"/>
      <c r="DV15" s="191"/>
      <c r="DW15" s="41"/>
      <c r="DX15" s="42"/>
    </row>
    <row r="16" spans="1:132" ht="13.5" customHeight="1" x14ac:dyDescent="0.4">
      <c r="A16" s="104">
        <v>12</v>
      </c>
      <c r="B16" s="141" t="s">
        <v>90</v>
      </c>
      <c r="C16" s="164"/>
      <c r="D16" s="164"/>
      <c r="E16" s="24"/>
      <c r="F16" s="29"/>
      <c r="G16" s="25" t="str">
        <f>IF(SUM($F$5:F16)=0,"",SUM($F$5:F16))</f>
        <v/>
      </c>
      <c r="H16" s="43" t="str">
        <f t="shared" si="0"/>
        <v/>
      </c>
      <c r="I16" s="148" t="e">
        <f t="array" aca="1" ref="I16" ca="1">IF($A17="",$G16/($V16-$U$5+INDIRECT(IF(_xlfn.SHEET()&lt;6,"令和8年"&amp;_xlfn.SHEET()+7&amp;"月","令和9年"&amp;_xlfn.SHEET()-5&amp;"月")&amp;"!$U$5")),$G16/($V17-$U$5))</f>
        <v>#VALUE!</v>
      </c>
      <c r="J16" s="26" t="str">
        <f t="shared" si="1"/>
        <v/>
      </c>
      <c r="K16" s="27"/>
      <c r="L16" s="165">
        <f t="shared" si="2"/>
        <v>0</v>
      </c>
      <c r="M16" s="28" t="str">
        <f t="shared" si="3"/>
        <v/>
      </c>
      <c r="N16" s="166" t="str">
        <f t="shared" si="4"/>
        <v/>
      </c>
      <c r="O16" s="167" t="str">
        <f t="shared" si="5"/>
        <v/>
      </c>
      <c r="P16" s="168"/>
      <c r="Q16" s="169" t="str">
        <f t="shared" si="6"/>
        <v/>
      </c>
      <c r="R16" s="170">
        <v>23</v>
      </c>
      <c r="S16" s="171">
        <v>12</v>
      </c>
      <c r="T16" s="24" t="s">
        <v>84</v>
      </c>
      <c r="U16" s="29">
        <v>551507</v>
      </c>
      <c r="V16" s="30">
        <f t="shared" si="41"/>
        <v>3451846</v>
      </c>
      <c r="W16" s="27">
        <v>345</v>
      </c>
      <c r="X16" s="31">
        <f t="shared" si="7"/>
        <v>1598.5710144927536</v>
      </c>
      <c r="Y16" s="29">
        <v>480215</v>
      </c>
      <c r="Z16" s="32">
        <f t="shared" si="42"/>
        <v>3139324</v>
      </c>
      <c r="AA16" s="33">
        <f t="shared" si="8"/>
        <v>1.0995507313039368</v>
      </c>
      <c r="AB16" s="158">
        <v>210000</v>
      </c>
      <c r="AC16" s="34">
        <f t="shared" si="43"/>
        <v>4200000</v>
      </c>
      <c r="AD16" s="158"/>
      <c r="AE16" s="25"/>
      <c r="AF16" s="25"/>
      <c r="AG16" s="25"/>
      <c r="AH16" s="25"/>
      <c r="AI16" s="25"/>
      <c r="AJ16" s="25"/>
      <c r="AK16" s="25"/>
      <c r="AL16" s="158"/>
      <c r="AM16" s="25"/>
      <c r="AN16" s="158"/>
      <c r="AO16" s="25"/>
      <c r="AP16" s="25"/>
      <c r="AQ16" s="158"/>
      <c r="AR16" s="35">
        <f t="shared" si="9"/>
        <v>0</v>
      </c>
      <c r="AS16" s="172" t="str">
        <f t="shared" si="10"/>
        <v/>
      </c>
      <c r="AT16" s="36">
        <f t="shared" si="11"/>
        <v>0</v>
      </c>
      <c r="AU16" s="173"/>
      <c r="AV16" s="82">
        <f t="shared" si="12"/>
        <v>12</v>
      </c>
      <c r="AW16" s="37"/>
      <c r="AX16" s="174" t="str">
        <f t="shared" si="13"/>
        <v/>
      </c>
      <c r="AY16" s="37"/>
      <c r="AZ16" s="174" t="str">
        <f t="shared" si="14"/>
        <v/>
      </c>
      <c r="BA16" s="37"/>
      <c r="BB16" s="174" t="str">
        <f t="shared" si="15"/>
        <v/>
      </c>
      <c r="BC16" s="37"/>
      <c r="BD16" s="174" t="str">
        <f t="shared" si="16"/>
        <v/>
      </c>
      <c r="BE16" s="37"/>
      <c r="BF16" s="174" t="str">
        <f t="shared" si="17"/>
        <v/>
      </c>
      <c r="BG16" s="37"/>
      <c r="BH16" s="174" t="str">
        <f t="shared" si="18"/>
        <v/>
      </c>
      <c r="BI16" s="37"/>
      <c r="BJ16" s="174" t="str">
        <f t="shared" si="19"/>
        <v/>
      </c>
      <c r="BK16" s="37"/>
      <c r="BL16" s="174" t="str">
        <f t="shared" si="20"/>
        <v/>
      </c>
      <c r="BM16" s="37"/>
      <c r="BN16" s="174" t="str">
        <f t="shared" si="21"/>
        <v/>
      </c>
      <c r="BO16" s="37"/>
      <c r="BP16" s="174" t="str">
        <f t="shared" si="22"/>
        <v/>
      </c>
      <c r="BQ16" s="37"/>
      <c r="BR16" s="174" t="str">
        <f t="shared" si="23"/>
        <v/>
      </c>
      <c r="BS16" s="37"/>
      <c r="BT16" s="174" t="str">
        <f t="shared" si="24"/>
        <v/>
      </c>
      <c r="BU16" s="37"/>
      <c r="BV16" s="174" t="str">
        <f t="shared" si="25"/>
        <v/>
      </c>
      <c r="BW16" s="37"/>
      <c r="BX16" s="174" t="str">
        <f t="shared" si="26"/>
        <v/>
      </c>
      <c r="BY16" s="37"/>
      <c r="BZ16" s="174" t="str">
        <f t="shared" si="27"/>
        <v/>
      </c>
      <c r="CA16" s="37"/>
      <c r="CB16" s="174" t="str">
        <f t="shared" si="28"/>
        <v/>
      </c>
      <c r="CC16" s="37"/>
      <c r="CD16" s="174" t="str">
        <f t="shared" si="29"/>
        <v/>
      </c>
      <c r="CE16" s="37"/>
      <c r="CF16" s="174" t="str">
        <f t="shared" si="30"/>
        <v/>
      </c>
      <c r="CG16" s="37"/>
      <c r="CH16" s="174" t="str">
        <f t="shared" si="31"/>
        <v/>
      </c>
      <c r="CI16" s="37"/>
      <c r="CJ16" s="174" t="str">
        <f t="shared" si="32"/>
        <v/>
      </c>
      <c r="CK16" s="37"/>
      <c r="CL16" s="174" t="str">
        <f t="shared" si="33"/>
        <v/>
      </c>
      <c r="CM16" s="37"/>
      <c r="CN16" s="174" t="str">
        <f t="shared" si="34"/>
        <v/>
      </c>
      <c r="CO16" s="37"/>
      <c r="CP16" s="174" t="str">
        <f t="shared" si="35"/>
        <v/>
      </c>
      <c r="CQ16" s="37"/>
      <c r="CR16" s="174" t="str">
        <f t="shared" si="36"/>
        <v/>
      </c>
      <c r="CS16" s="37"/>
      <c r="CT16" s="174" t="str">
        <f t="shared" si="37"/>
        <v/>
      </c>
      <c r="CU16" s="38"/>
      <c r="CV16" s="87"/>
      <c r="CW16" s="90"/>
      <c r="CX16" s="38"/>
      <c r="CY16" s="39"/>
      <c r="CZ16" s="37"/>
      <c r="DA16" s="39"/>
      <c r="DB16" s="24">
        <v>12</v>
      </c>
      <c r="DC16" s="96" t="str">
        <f t="shared" si="38"/>
        <v>月</v>
      </c>
      <c r="DF16" s="125"/>
      <c r="DG16" s="40"/>
      <c r="DH16" s="40"/>
      <c r="DI16" s="40"/>
      <c r="DJ16" s="40"/>
      <c r="DK16" s="40"/>
      <c r="DL16" s="40"/>
      <c r="DM16" s="40"/>
      <c r="DN16" s="40"/>
      <c r="DO16" s="40"/>
      <c r="DP16" s="40">
        <f t="shared" si="39"/>
        <v>0</v>
      </c>
      <c r="DQ16" s="172" t="str">
        <f t="shared" si="40"/>
        <v/>
      </c>
      <c r="DS16" s="189"/>
      <c r="DT16" s="190"/>
      <c r="DU16" s="190"/>
      <c r="DV16" s="191"/>
      <c r="DW16" s="138"/>
      <c r="DX16" s="42"/>
    </row>
    <row r="17" spans="1:128" ht="13.5" customHeight="1" x14ac:dyDescent="0.4">
      <c r="A17" s="104">
        <v>13</v>
      </c>
      <c r="B17" s="23" t="s">
        <v>91</v>
      </c>
      <c r="C17" s="164"/>
      <c r="D17" s="164"/>
      <c r="E17" s="24"/>
      <c r="F17" s="29"/>
      <c r="G17" s="25" t="str">
        <f>IF(SUM($F$5:F17)=0,"",SUM($F$5:F17))</f>
        <v/>
      </c>
      <c r="H17" s="43" t="str">
        <f t="shared" si="0"/>
        <v/>
      </c>
      <c r="I17" s="148" t="e">
        <f t="array" aca="1" ref="I17" ca="1">IF($A18="",$G17/($V17-$U$5+INDIRECT(IF(_xlfn.SHEET()&lt;6,"令和8年"&amp;_xlfn.SHEET()+7&amp;"月","令和9年"&amp;_xlfn.SHEET()-5&amp;"月")&amp;"!$U$5")),$G17/($V18-$U$5))</f>
        <v>#VALUE!</v>
      </c>
      <c r="J17" s="26" t="str">
        <f t="shared" si="1"/>
        <v/>
      </c>
      <c r="K17" s="27"/>
      <c r="L17" s="165">
        <f t="shared" si="2"/>
        <v>0</v>
      </c>
      <c r="M17" s="28" t="str">
        <f t="shared" si="3"/>
        <v/>
      </c>
      <c r="N17" s="166" t="str">
        <f t="shared" si="4"/>
        <v/>
      </c>
      <c r="O17" s="167" t="str">
        <f t="shared" si="5"/>
        <v/>
      </c>
      <c r="P17" s="168"/>
      <c r="Q17" s="169" t="str">
        <f t="shared" si="6"/>
        <v/>
      </c>
      <c r="R17" s="170">
        <v>21</v>
      </c>
      <c r="S17" s="171">
        <v>12</v>
      </c>
      <c r="T17" s="24" t="s">
        <v>84</v>
      </c>
      <c r="U17" s="29">
        <v>151393</v>
      </c>
      <c r="V17" s="30">
        <f t="shared" si="41"/>
        <v>3603239</v>
      </c>
      <c r="W17" s="27">
        <v>94</v>
      </c>
      <c r="X17" s="31">
        <f t="shared" si="7"/>
        <v>1610.563829787234</v>
      </c>
      <c r="Y17" s="29">
        <v>580166</v>
      </c>
      <c r="Z17" s="32">
        <f t="shared" si="42"/>
        <v>3719490</v>
      </c>
      <c r="AA17" s="33">
        <f t="shared" si="8"/>
        <v>0.96874544628430237</v>
      </c>
      <c r="AB17" s="158">
        <v>210000</v>
      </c>
      <c r="AC17" s="34">
        <f t="shared" si="43"/>
        <v>4410000</v>
      </c>
      <c r="AD17" s="158"/>
      <c r="AE17" s="25"/>
      <c r="AF17" s="25"/>
      <c r="AG17" s="25"/>
      <c r="AH17" s="25"/>
      <c r="AI17" s="25"/>
      <c r="AJ17" s="25"/>
      <c r="AK17" s="25"/>
      <c r="AL17" s="158"/>
      <c r="AM17" s="25"/>
      <c r="AN17" s="158"/>
      <c r="AO17" s="25"/>
      <c r="AP17" s="25"/>
      <c r="AQ17" s="158"/>
      <c r="AR17" s="35">
        <f t="shared" si="9"/>
        <v>0</v>
      </c>
      <c r="AS17" s="172" t="str">
        <f t="shared" si="10"/>
        <v/>
      </c>
      <c r="AT17" s="36">
        <f t="shared" si="11"/>
        <v>0</v>
      </c>
      <c r="AU17" s="173"/>
      <c r="AV17" s="82">
        <f t="shared" si="12"/>
        <v>13</v>
      </c>
      <c r="AW17" s="37"/>
      <c r="AX17" s="174" t="str">
        <f t="shared" si="13"/>
        <v/>
      </c>
      <c r="AY17" s="37"/>
      <c r="AZ17" s="174" t="str">
        <f t="shared" si="14"/>
        <v/>
      </c>
      <c r="BA17" s="37"/>
      <c r="BB17" s="174" t="str">
        <f t="shared" si="15"/>
        <v/>
      </c>
      <c r="BC17" s="37"/>
      <c r="BD17" s="174" t="str">
        <f t="shared" si="16"/>
        <v/>
      </c>
      <c r="BE17" s="37"/>
      <c r="BF17" s="174" t="str">
        <f t="shared" si="17"/>
        <v/>
      </c>
      <c r="BG17" s="37"/>
      <c r="BH17" s="174" t="str">
        <f t="shared" si="18"/>
        <v/>
      </c>
      <c r="BI17" s="37"/>
      <c r="BJ17" s="174" t="str">
        <f t="shared" si="19"/>
        <v/>
      </c>
      <c r="BK17" s="37"/>
      <c r="BL17" s="174" t="str">
        <f t="shared" si="20"/>
        <v/>
      </c>
      <c r="BM17" s="37"/>
      <c r="BN17" s="174" t="str">
        <f t="shared" si="21"/>
        <v/>
      </c>
      <c r="BO17" s="37"/>
      <c r="BP17" s="174" t="str">
        <f t="shared" si="22"/>
        <v/>
      </c>
      <c r="BQ17" s="37"/>
      <c r="BR17" s="174" t="str">
        <f t="shared" si="23"/>
        <v/>
      </c>
      <c r="BS17" s="37"/>
      <c r="BT17" s="174" t="str">
        <f t="shared" si="24"/>
        <v/>
      </c>
      <c r="BU17" s="37"/>
      <c r="BV17" s="174" t="str">
        <f t="shared" si="25"/>
        <v/>
      </c>
      <c r="BW17" s="37"/>
      <c r="BX17" s="174" t="str">
        <f t="shared" si="26"/>
        <v/>
      </c>
      <c r="BY17" s="37"/>
      <c r="BZ17" s="174" t="str">
        <f t="shared" si="27"/>
        <v/>
      </c>
      <c r="CA17" s="37"/>
      <c r="CB17" s="174" t="str">
        <f t="shared" si="28"/>
        <v/>
      </c>
      <c r="CC17" s="37"/>
      <c r="CD17" s="174" t="str">
        <f t="shared" si="29"/>
        <v/>
      </c>
      <c r="CE17" s="37"/>
      <c r="CF17" s="174" t="str">
        <f t="shared" si="30"/>
        <v/>
      </c>
      <c r="CG17" s="37"/>
      <c r="CH17" s="174" t="str">
        <f t="shared" si="31"/>
        <v/>
      </c>
      <c r="CI17" s="37"/>
      <c r="CJ17" s="174" t="str">
        <f t="shared" si="32"/>
        <v/>
      </c>
      <c r="CK17" s="37"/>
      <c r="CL17" s="174" t="str">
        <f t="shared" si="33"/>
        <v/>
      </c>
      <c r="CM17" s="37"/>
      <c r="CN17" s="174" t="str">
        <f t="shared" si="34"/>
        <v/>
      </c>
      <c r="CO17" s="37"/>
      <c r="CP17" s="174" t="str">
        <f t="shared" si="35"/>
        <v/>
      </c>
      <c r="CQ17" s="37"/>
      <c r="CR17" s="174" t="str">
        <f t="shared" si="36"/>
        <v/>
      </c>
      <c r="CS17" s="37"/>
      <c r="CT17" s="174" t="str">
        <f t="shared" si="37"/>
        <v/>
      </c>
      <c r="CU17" s="38"/>
      <c r="CV17" s="87"/>
      <c r="CW17" s="90"/>
      <c r="CX17" s="38"/>
      <c r="CY17" s="39"/>
      <c r="CZ17" s="37"/>
      <c r="DA17" s="39"/>
      <c r="DB17" s="24">
        <v>13</v>
      </c>
      <c r="DC17" s="96" t="str">
        <f t="shared" si="38"/>
        <v>火</v>
      </c>
      <c r="DF17" s="125"/>
      <c r="DG17" s="40"/>
      <c r="DH17" s="40"/>
      <c r="DI17" s="40"/>
      <c r="DJ17" s="40"/>
      <c r="DK17" s="40"/>
      <c r="DL17" s="40"/>
      <c r="DM17" s="40"/>
      <c r="DN17" s="40"/>
      <c r="DO17" s="40"/>
      <c r="DP17" s="40">
        <f t="shared" si="39"/>
        <v>0</v>
      </c>
      <c r="DQ17" s="172" t="str">
        <f t="shared" si="40"/>
        <v/>
      </c>
      <c r="DS17" s="189"/>
      <c r="DT17" s="190"/>
      <c r="DU17" s="190"/>
      <c r="DV17" s="191"/>
      <c r="DW17" s="41"/>
      <c r="DX17" s="42"/>
    </row>
    <row r="18" spans="1:128" ht="13.5" customHeight="1" x14ac:dyDescent="0.4">
      <c r="A18" s="104">
        <v>14</v>
      </c>
      <c r="B18" s="23" t="s">
        <v>83</v>
      </c>
      <c r="C18" s="164"/>
      <c r="D18" s="164"/>
      <c r="E18" s="24"/>
      <c r="F18" s="29"/>
      <c r="G18" s="25" t="str">
        <f>IF(SUM($F$5:F18)=0,"",SUM($F$5:F18))</f>
        <v/>
      </c>
      <c r="H18" s="43" t="str">
        <f t="shared" si="0"/>
        <v/>
      </c>
      <c r="I18" s="148" t="e">
        <f t="array" aca="1" ref="I18" ca="1">IF($A19="",$G18/($V18-$U$5+INDIRECT(IF(_xlfn.SHEET()&lt;6,"令和8年"&amp;_xlfn.SHEET()+7&amp;"月","令和9年"&amp;_xlfn.SHEET()-5&amp;"月")&amp;"!$U$5")),$G18/($V19-$U$5))</f>
        <v>#VALUE!</v>
      </c>
      <c r="J18" s="26" t="str">
        <f t="shared" si="1"/>
        <v/>
      </c>
      <c r="K18" s="27"/>
      <c r="L18" s="165">
        <f t="shared" si="2"/>
        <v>0</v>
      </c>
      <c r="M18" s="28" t="str">
        <f t="shared" si="3"/>
        <v/>
      </c>
      <c r="N18" s="166" t="str">
        <f t="shared" si="4"/>
        <v/>
      </c>
      <c r="O18" s="167" t="str">
        <f t="shared" si="5"/>
        <v/>
      </c>
      <c r="P18" s="168"/>
      <c r="Q18" s="169" t="str">
        <f t="shared" si="6"/>
        <v/>
      </c>
      <c r="R18" s="170">
        <v>18</v>
      </c>
      <c r="S18" s="171">
        <v>6</v>
      </c>
      <c r="T18" s="24" t="s">
        <v>84</v>
      </c>
      <c r="U18" s="29">
        <v>180614</v>
      </c>
      <c r="V18" s="30">
        <f t="shared" si="41"/>
        <v>3783853</v>
      </c>
      <c r="W18" s="27">
        <v>86</v>
      </c>
      <c r="X18" s="31">
        <f t="shared" si="7"/>
        <v>2100.1627906976746</v>
      </c>
      <c r="Y18" s="29">
        <v>183150</v>
      </c>
      <c r="Z18" s="32">
        <f t="shared" si="42"/>
        <v>3902640</v>
      </c>
      <c r="AA18" s="33">
        <f t="shared" si="8"/>
        <v>0.96956239878646244</v>
      </c>
      <c r="AB18" s="158">
        <v>210000</v>
      </c>
      <c r="AC18" s="34">
        <f t="shared" si="43"/>
        <v>4620000</v>
      </c>
      <c r="AD18" s="158"/>
      <c r="AE18" s="25"/>
      <c r="AF18" s="25"/>
      <c r="AG18" s="25"/>
      <c r="AH18" s="25"/>
      <c r="AI18" s="25"/>
      <c r="AJ18" s="25"/>
      <c r="AK18" s="25"/>
      <c r="AL18" s="158"/>
      <c r="AM18" s="25"/>
      <c r="AN18" s="158"/>
      <c r="AO18" s="25"/>
      <c r="AP18" s="25"/>
      <c r="AQ18" s="158"/>
      <c r="AR18" s="35">
        <f t="shared" si="9"/>
        <v>0</v>
      </c>
      <c r="AS18" s="172" t="str">
        <f t="shared" si="10"/>
        <v/>
      </c>
      <c r="AT18" s="36">
        <f t="shared" si="11"/>
        <v>0</v>
      </c>
      <c r="AU18" s="173"/>
      <c r="AV18" s="82">
        <f t="shared" si="12"/>
        <v>14</v>
      </c>
      <c r="AW18" s="37"/>
      <c r="AX18" s="174" t="str">
        <f t="shared" si="13"/>
        <v/>
      </c>
      <c r="AY18" s="37"/>
      <c r="AZ18" s="174" t="str">
        <f t="shared" si="14"/>
        <v/>
      </c>
      <c r="BA18" s="37"/>
      <c r="BB18" s="174" t="str">
        <f t="shared" si="15"/>
        <v/>
      </c>
      <c r="BC18" s="37"/>
      <c r="BD18" s="174" t="str">
        <f t="shared" si="16"/>
        <v/>
      </c>
      <c r="BE18" s="37"/>
      <c r="BF18" s="174" t="str">
        <f t="shared" si="17"/>
        <v/>
      </c>
      <c r="BG18" s="37"/>
      <c r="BH18" s="174" t="str">
        <f t="shared" si="18"/>
        <v/>
      </c>
      <c r="BI18" s="37"/>
      <c r="BJ18" s="174" t="str">
        <f t="shared" si="19"/>
        <v/>
      </c>
      <c r="BK18" s="37"/>
      <c r="BL18" s="174" t="str">
        <f t="shared" si="20"/>
        <v/>
      </c>
      <c r="BM18" s="37"/>
      <c r="BN18" s="174" t="str">
        <f t="shared" si="21"/>
        <v/>
      </c>
      <c r="BO18" s="37"/>
      <c r="BP18" s="174" t="str">
        <f t="shared" si="22"/>
        <v/>
      </c>
      <c r="BQ18" s="37"/>
      <c r="BR18" s="174" t="str">
        <f t="shared" si="23"/>
        <v/>
      </c>
      <c r="BS18" s="37"/>
      <c r="BT18" s="174" t="str">
        <f t="shared" si="24"/>
        <v/>
      </c>
      <c r="BU18" s="37"/>
      <c r="BV18" s="174" t="str">
        <f t="shared" si="25"/>
        <v/>
      </c>
      <c r="BW18" s="37"/>
      <c r="BX18" s="174" t="str">
        <f t="shared" si="26"/>
        <v/>
      </c>
      <c r="BY18" s="37"/>
      <c r="BZ18" s="174" t="str">
        <f t="shared" si="27"/>
        <v/>
      </c>
      <c r="CA18" s="37"/>
      <c r="CB18" s="174" t="str">
        <f t="shared" si="28"/>
        <v/>
      </c>
      <c r="CC18" s="37"/>
      <c r="CD18" s="174" t="str">
        <f t="shared" si="29"/>
        <v/>
      </c>
      <c r="CE18" s="37"/>
      <c r="CF18" s="174" t="str">
        <f t="shared" si="30"/>
        <v/>
      </c>
      <c r="CG18" s="37"/>
      <c r="CH18" s="174" t="str">
        <f t="shared" si="31"/>
        <v/>
      </c>
      <c r="CI18" s="37"/>
      <c r="CJ18" s="174" t="str">
        <f t="shared" si="32"/>
        <v/>
      </c>
      <c r="CK18" s="37"/>
      <c r="CL18" s="174" t="str">
        <f t="shared" si="33"/>
        <v/>
      </c>
      <c r="CM18" s="37"/>
      <c r="CN18" s="174" t="str">
        <f t="shared" si="34"/>
        <v/>
      </c>
      <c r="CO18" s="37"/>
      <c r="CP18" s="174" t="str">
        <f t="shared" si="35"/>
        <v/>
      </c>
      <c r="CQ18" s="37"/>
      <c r="CR18" s="174" t="str">
        <f t="shared" si="36"/>
        <v/>
      </c>
      <c r="CS18" s="37"/>
      <c r="CT18" s="174" t="str">
        <f t="shared" si="37"/>
        <v/>
      </c>
      <c r="CU18" s="38"/>
      <c r="CV18" s="87"/>
      <c r="CW18" s="90"/>
      <c r="CX18" s="38"/>
      <c r="CY18" s="39"/>
      <c r="CZ18" s="37"/>
      <c r="DA18" s="39"/>
      <c r="DB18" s="24">
        <v>14</v>
      </c>
      <c r="DC18" s="96" t="str">
        <f t="shared" si="38"/>
        <v>水</v>
      </c>
      <c r="DF18" s="125"/>
      <c r="DG18" s="40"/>
      <c r="DH18" s="40"/>
      <c r="DI18" s="40"/>
      <c r="DJ18" s="40"/>
      <c r="DK18" s="40"/>
      <c r="DL18" s="40"/>
      <c r="DM18" s="40"/>
      <c r="DN18" s="40"/>
      <c r="DO18" s="40"/>
      <c r="DP18" s="40">
        <f t="shared" si="39"/>
        <v>0</v>
      </c>
      <c r="DQ18" s="172" t="str">
        <f t="shared" si="40"/>
        <v/>
      </c>
      <c r="DS18" s="189"/>
      <c r="DT18" s="190"/>
      <c r="DU18" s="190"/>
      <c r="DV18" s="191"/>
      <c r="DW18" s="41"/>
      <c r="DX18" s="42"/>
    </row>
    <row r="19" spans="1:128" ht="13.5" customHeight="1" x14ac:dyDescent="0.4">
      <c r="A19" s="104">
        <v>15</v>
      </c>
      <c r="B19" s="23" t="s">
        <v>85</v>
      </c>
      <c r="C19" s="164"/>
      <c r="D19" s="164"/>
      <c r="E19" s="24"/>
      <c r="F19" s="29"/>
      <c r="G19" s="25" t="str">
        <f>IF(SUM($F$5:F19)=0,"",SUM($F$5:F19))</f>
        <v/>
      </c>
      <c r="H19" s="43" t="str">
        <f t="shared" si="0"/>
        <v/>
      </c>
      <c r="I19" s="148" t="e">
        <f t="array" aca="1" ref="I19" ca="1">IF($A20="",$G19/($V19-$U$5+INDIRECT(IF(_xlfn.SHEET()&lt;6,"令和8年"&amp;_xlfn.SHEET()+7&amp;"月","令和9年"&amp;_xlfn.SHEET()-5&amp;"月")&amp;"!$U$5")),$G19/($V20-$U$5))</f>
        <v>#VALUE!</v>
      </c>
      <c r="J19" s="26" t="str">
        <f t="shared" si="1"/>
        <v/>
      </c>
      <c r="K19" s="27"/>
      <c r="L19" s="165">
        <f t="shared" si="2"/>
        <v>0</v>
      </c>
      <c r="M19" s="28" t="str">
        <f t="shared" si="3"/>
        <v/>
      </c>
      <c r="N19" s="166" t="str">
        <f t="shared" si="4"/>
        <v/>
      </c>
      <c r="O19" s="167" t="str">
        <f t="shared" si="5"/>
        <v/>
      </c>
      <c r="P19" s="168"/>
      <c r="Q19" s="169" t="str">
        <f t="shared" si="6"/>
        <v/>
      </c>
      <c r="R19" s="170">
        <v>17</v>
      </c>
      <c r="S19" s="171">
        <v>14</v>
      </c>
      <c r="T19" s="24" t="s">
        <v>134</v>
      </c>
      <c r="U19" s="29">
        <v>232168</v>
      </c>
      <c r="V19" s="30">
        <f t="shared" si="41"/>
        <v>4016021</v>
      </c>
      <c r="W19" s="27">
        <v>106</v>
      </c>
      <c r="X19" s="31">
        <f t="shared" si="7"/>
        <v>2190.2641509433961</v>
      </c>
      <c r="Y19" s="29">
        <v>173222</v>
      </c>
      <c r="Z19" s="32">
        <f t="shared" si="42"/>
        <v>4075862</v>
      </c>
      <c r="AA19" s="33">
        <f t="shared" si="8"/>
        <v>0.98531819772112006</v>
      </c>
      <c r="AB19" s="158">
        <v>210000</v>
      </c>
      <c r="AC19" s="34">
        <f t="shared" si="43"/>
        <v>4830000</v>
      </c>
      <c r="AD19" s="158"/>
      <c r="AE19" s="25"/>
      <c r="AF19" s="25"/>
      <c r="AG19" s="25"/>
      <c r="AH19" s="25"/>
      <c r="AI19" s="25"/>
      <c r="AJ19" s="25"/>
      <c r="AK19" s="25"/>
      <c r="AL19" s="158"/>
      <c r="AM19" s="25"/>
      <c r="AN19" s="158"/>
      <c r="AO19" s="25"/>
      <c r="AP19" s="25"/>
      <c r="AQ19" s="158"/>
      <c r="AR19" s="35">
        <f t="shared" si="9"/>
        <v>0</v>
      </c>
      <c r="AS19" s="172" t="str">
        <f t="shared" si="10"/>
        <v/>
      </c>
      <c r="AT19" s="36">
        <f t="shared" si="11"/>
        <v>0</v>
      </c>
      <c r="AU19" s="173"/>
      <c r="AV19" s="82">
        <f t="shared" si="12"/>
        <v>15</v>
      </c>
      <c r="AW19" s="37"/>
      <c r="AX19" s="174" t="str">
        <f t="shared" si="13"/>
        <v/>
      </c>
      <c r="AY19" s="37"/>
      <c r="AZ19" s="174" t="str">
        <f t="shared" si="14"/>
        <v/>
      </c>
      <c r="BA19" s="37"/>
      <c r="BB19" s="174" t="str">
        <f t="shared" si="15"/>
        <v/>
      </c>
      <c r="BC19" s="37"/>
      <c r="BD19" s="174" t="str">
        <f t="shared" si="16"/>
        <v/>
      </c>
      <c r="BE19" s="37"/>
      <c r="BF19" s="174" t="str">
        <f t="shared" si="17"/>
        <v/>
      </c>
      <c r="BG19" s="37"/>
      <c r="BH19" s="174" t="str">
        <f t="shared" si="18"/>
        <v/>
      </c>
      <c r="BI19" s="37"/>
      <c r="BJ19" s="174" t="str">
        <f t="shared" si="19"/>
        <v/>
      </c>
      <c r="BK19" s="37"/>
      <c r="BL19" s="174" t="str">
        <f t="shared" si="20"/>
        <v/>
      </c>
      <c r="BM19" s="37"/>
      <c r="BN19" s="174" t="str">
        <f t="shared" si="21"/>
        <v/>
      </c>
      <c r="BO19" s="37"/>
      <c r="BP19" s="174" t="str">
        <f t="shared" si="22"/>
        <v/>
      </c>
      <c r="BQ19" s="37"/>
      <c r="BR19" s="174" t="str">
        <f t="shared" si="23"/>
        <v/>
      </c>
      <c r="BS19" s="37"/>
      <c r="BT19" s="174" t="str">
        <f t="shared" si="24"/>
        <v/>
      </c>
      <c r="BU19" s="37"/>
      <c r="BV19" s="174" t="str">
        <f t="shared" si="25"/>
        <v/>
      </c>
      <c r="BW19" s="37"/>
      <c r="BX19" s="174" t="str">
        <f t="shared" si="26"/>
        <v/>
      </c>
      <c r="BY19" s="37"/>
      <c r="BZ19" s="174" t="str">
        <f t="shared" si="27"/>
        <v/>
      </c>
      <c r="CA19" s="37"/>
      <c r="CB19" s="174" t="str">
        <f t="shared" si="28"/>
        <v/>
      </c>
      <c r="CC19" s="37"/>
      <c r="CD19" s="174" t="str">
        <f t="shared" si="29"/>
        <v/>
      </c>
      <c r="CE19" s="37"/>
      <c r="CF19" s="174" t="str">
        <f t="shared" si="30"/>
        <v/>
      </c>
      <c r="CG19" s="37"/>
      <c r="CH19" s="174" t="str">
        <f t="shared" si="31"/>
        <v/>
      </c>
      <c r="CI19" s="37"/>
      <c r="CJ19" s="174" t="str">
        <f t="shared" si="32"/>
        <v/>
      </c>
      <c r="CK19" s="37"/>
      <c r="CL19" s="174" t="str">
        <f t="shared" si="33"/>
        <v/>
      </c>
      <c r="CM19" s="37"/>
      <c r="CN19" s="174" t="str">
        <f t="shared" si="34"/>
        <v/>
      </c>
      <c r="CO19" s="37"/>
      <c r="CP19" s="174" t="str">
        <f t="shared" si="35"/>
        <v/>
      </c>
      <c r="CQ19" s="37"/>
      <c r="CR19" s="174" t="str">
        <f t="shared" si="36"/>
        <v/>
      </c>
      <c r="CS19" s="37"/>
      <c r="CT19" s="174" t="str">
        <f t="shared" si="37"/>
        <v/>
      </c>
      <c r="CU19" s="38"/>
      <c r="CV19" s="87"/>
      <c r="CW19" s="90"/>
      <c r="CX19" s="38"/>
      <c r="CY19" s="39"/>
      <c r="CZ19" s="37"/>
      <c r="DA19" s="39"/>
      <c r="DB19" s="24">
        <v>15</v>
      </c>
      <c r="DC19" s="96" t="str">
        <f t="shared" si="38"/>
        <v>木</v>
      </c>
      <c r="DF19" s="125"/>
      <c r="DG19" s="40"/>
      <c r="DH19" s="40"/>
      <c r="DI19" s="40"/>
      <c r="DJ19" s="40"/>
      <c r="DK19" s="40"/>
      <c r="DL19" s="40"/>
      <c r="DM19" s="40"/>
      <c r="DN19" s="40"/>
      <c r="DO19" s="40"/>
      <c r="DP19" s="40">
        <f t="shared" si="39"/>
        <v>0</v>
      </c>
      <c r="DQ19" s="172" t="str">
        <f t="shared" si="40"/>
        <v/>
      </c>
      <c r="DS19" s="189"/>
      <c r="DT19" s="190"/>
      <c r="DU19" s="190"/>
      <c r="DV19" s="191"/>
      <c r="DW19" s="138"/>
      <c r="DX19" s="42"/>
    </row>
    <row r="20" spans="1:128" ht="13.5" customHeight="1" x14ac:dyDescent="0.4">
      <c r="A20" s="104">
        <v>16</v>
      </c>
      <c r="B20" s="23" t="s">
        <v>86</v>
      </c>
      <c r="C20" s="164"/>
      <c r="D20" s="164"/>
      <c r="E20" s="24"/>
      <c r="F20" s="29"/>
      <c r="G20" s="25" t="str">
        <f>IF(SUM($F$5:F20)=0,"",SUM($F$5:F20))</f>
        <v/>
      </c>
      <c r="H20" s="43" t="str">
        <f t="shared" si="0"/>
        <v/>
      </c>
      <c r="I20" s="148" t="e">
        <f t="array" aca="1" ref="I20" ca="1">IF($A21="",$G20/($V20-$U$5+INDIRECT(IF(_xlfn.SHEET()&lt;6,"令和8年"&amp;_xlfn.SHEET()+7&amp;"月","令和9年"&amp;_xlfn.SHEET()-5&amp;"月")&amp;"!$U$5")),$G20/($V21-$U$5))</f>
        <v>#VALUE!</v>
      </c>
      <c r="J20" s="26" t="str">
        <f t="shared" si="1"/>
        <v/>
      </c>
      <c r="K20" s="27"/>
      <c r="L20" s="165">
        <f t="shared" si="2"/>
        <v>0</v>
      </c>
      <c r="M20" s="28" t="str">
        <f t="shared" si="3"/>
        <v/>
      </c>
      <c r="N20" s="166" t="str">
        <f t="shared" si="4"/>
        <v/>
      </c>
      <c r="O20" s="167" t="str">
        <f t="shared" si="5"/>
        <v/>
      </c>
      <c r="P20" s="168"/>
      <c r="Q20" s="169" t="str">
        <f t="shared" si="6"/>
        <v/>
      </c>
      <c r="R20" s="170">
        <v>22</v>
      </c>
      <c r="S20" s="171">
        <v>11</v>
      </c>
      <c r="T20" s="24" t="s">
        <v>84</v>
      </c>
      <c r="U20" s="29">
        <v>194157</v>
      </c>
      <c r="V20" s="30">
        <f t="shared" si="41"/>
        <v>4210178</v>
      </c>
      <c r="W20" s="27">
        <v>103</v>
      </c>
      <c r="X20" s="31">
        <f t="shared" si="7"/>
        <v>1885.0194174757282</v>
      </c>
      <c r="Y20" s="29">
        <v>203075</v>
      </c>
      <c r="Z20" s="32">
        <f t="shared" si="42"/>
        <v>4278937</v>
      </c>
      <c r="AA20" s="33">
        <f t="shared" si="8"/>
        <v>0.98393082207099569</v>
      </c>
      <c r="AB20" s="158">
        <v>210000</v>
      </c>
      <c r="AC20" s="34">
        <f t="shared" si="43"/>
        <v>5040000</v>
      </c>
      <c r="AD20" s="158"/>
      <c r="AE20" s="25"/>
      <c r="AF20" s="25"/>
      <c r="AG20" s="25"/>
      <c r="AH20" s="25"/>
      <c r="AI20" s="25"/>
      <c r="AJ20" s="25"/>
      <c r="AK20" s="25"/>
      <c r="AL20" s="158"/>
      <c r="AM20" s="25"/>
      <c r="AN20" s="158"/>
      <c r="AO20" s="25"/>
      <c r="AP20" s="25"/>
      <c r="AQ20" s="158"/>
      <c r="AR20" s="35">
        <f t="shared" si="9"/>
        <v>0</v>
      </c>
      <c r="AS20" s="172" t="str">
        <f t="shared" si="10"/>
        <v/>
      </c>
      <c r="AT20" s="36">
        <f t="shared" si="11"/>
        <v>0</v>
      </c>
      <c r="AU20" s="173"/>
      <c r="AV20" s="82">
        <f t="shared" si="12"/>
        <v>16</v>
      </c>
      <c r="AW20" s="37"/>
      <c r="AX20" s="174" t="str">
        <f t="shared" si="13"/>
        <v/>
      </c>
      <c r="AY20" s="37"/>
      <c r="AZ20" s="174" t="str">
        <f t="shared" si="14"/>
        <v/>
      </c>
      <c r="BA20" s="37"/>
      <c r="BB20" s="174" t="str">
        <f t="shared" si="15"/>
        <v/>
      </c>
      <c r="BC20" s="37"/>
      <c r="BD20" s="174" t="str">
        <f t="shared" si="16"/>
        <v/>
      </c>
      <c r="BE20" s="37"/>
      <c r="BF20" s="174" t="str">
        <f t="shared" si="17"/>
        <v/>
      </c>
      <c r="BG20" s="37"/>
      <c r="BH20" s="174" t="str">
        <f t="shared" si="18"/>
        <v/>
      </c>
      <c r="BI20" s="37"/>
      <c r="BJ20" s="174" t="str">
        <f t="shared" si="19"/>
        <v/>
      </c>
      <c r="BK20" s="37"/>
      <c r="BL20" s="174" t="str">
        <f t="shared" si="20"/>
        <v/>
      </c>
      <c r="BM20" s="37"/>
      <c r="BN20" s="174" t="str">
        <f t="shared" si="21"/>
        <v/>
      </c>
      <c r="BO20" s="37"/>
      <c r="BP20" s="174" t="str">
        <f t="shared" si="22"/>
        <v/>
      </c>
      <c r="BQ20" s="37"/>
      <c r="BR20" s="174" t="str">
        <f t="shared" si="23"/>
        <v/>
      </c>
      <c r="BS20" s="37"/>
      <c r="BT20" s="174" t="str">
        <f t="shared" si="24"/>
        <v/>
      </c>
      <c r="BU20" s="37"/>
      <c r="BV20" s="174" t="str">
        <f t="shared" si="25"/>
        <v/>
      </c>
      <c r="BW20" s="37"/>
      <c r="BX20" s="174" t="str">
        <f t="shared" si="26"/>
        <v/>
      </c>
      <c r="BY20" s="37"/>
      <c r="BZ20" s="174" t="str">
        <f t="shared" si="27"/>
        <v/>
      </c>
      <c r="CA20" s="37"/>
      <c r="CB20" s="174" t="str">
        <f t="shared" si="28"/>
        <v/>
      </c>
      <c r="CC20" s="37"/>
      <c r="CD20" s="174" t="str">
        <f t="shared" si="29"/>
        <v/>
      </c>
      <c r="CE20" s="37"/>
      <c r="CF20" s="174" t="str">
        <f t="shared" si="30"/>
        <v/>
      </c>
      <c r="CG20" s="37"/>
      <c r="CH20" s="174" t="str">
        <f t="shared" si="31"/>
        <v/>
      </c>
      <c r="CI20" s="37"/>
      <c r="CJ20" s="174" t="str">
        <f t="shared" si="32"/>
        <v/>
      </c>
      <c r="CK20" s="37"/>
      <c r="CL20" s="174" t="str">
        <f t="shared" si="33"/>
        <v/>
      </c>
      <c r="CM20" s="37"/>
      <c r="CN20" s="174" t="str">
        <f t="shared" si="34"/>
        <v/>
      </c>
      <c r="CO20" s="37"/>
      <c r="CP20" s="174" t="str">
        <f t="shared" si="35"/>
        <v/>
      </c>
      <c r="CQ20" s="37"/>
      <c r="CR20" s="174" t="str">
        <f t="shared" si="36"/>
        <v/>
      </c>
      <c r="CS20" s="37"/>
      <c r="CT20" s="174" t="str">
        <f t="shared" si="37"/>
        <v/>
      </c>
      <c r="CU20" s="38"/>
      <c r="CV20" s="87"/>
      <c r="CW20" s="90"/>
      <c r="CX20" s="38"/>
      <c r="CY20" s="39"/>
      <c r="CZ20" s="37"/>
      <c r="DA20" s="39"/>
      <c r="DB20" s="24">
        <v>16</v>
      </c>
      <c r="DC20" s="96" t="str">
        <f t="shared" si="38"/>
        <v>金</v>
      </c>
      <c r="DF20" s="125"/>
      <c r="DG20" s="40"/>
      <c r="DH20" s="40"/>
      <c r="DI20" s="40"/>
      <c r="DJ20" s="40"/>
      <c r="DK20" s="40"/>
      <c r="DL20" s="40"/>
      <c r="DM20" s="40"/>
      <c r="DN20" s="40"/>
      <c r="DO20" s="40"/>
      <c r="DP20" s="40">
        <f t="shared" si="39"/>
        <v>0</v>
      </c>
      <c r="DQ20" s="172" t="str">
        <f t="shared" si="40"/>
        <v/>
      </c>
      <c r="DS20" s="189"/>
      <c r="DT20" s="190"/>
      <c r="DU20" s="190"/>
      <c r="DV20" s="191"/>
      <c r="DW20" s="41"/>
      <c r="DX20" s="42"/>
    </row>
    <row r="21" spans="1:128" ht="13.5" customHeight="1" x14ac:dyDescent="0.4">
      <c r="A21" s="104">
        <v>17</v>
      </c>
      <c r="B21" s="164" t="s">
        <v>88</v>
      </c>
      <c r="C21" s="164"/>
      <c r="D21" s="164"/>
      <c r="E21" s="24"/>
      <c r="F21" s="29"/>
      <c r="G21" s="25" t="str">
        <f>IF(SUM($F$5:F21)=0,"",SUM($F$5:F21))</f>
        <v/>
      </c>
      <c r="H21" s="43" t="str">
        <f t="shared" si="0"/>
        <v/>
      </c>
      <c r="I21" s="148" t="e">
        <f t="array" aca="1" ref="I21" ca="1">IF($A22="",$G21/($V21-$U$5+INDIRECT(IF(_xlfn.SHEET()&lt;6,"令和8年"&amp;_xlfn.SHEET()+7&amp;"月","令和9年"&amp;_xlfn.SHEET()-5&amp;"月")&amp;"!$U$5")),$G21/($V22-$U$5))</f>
        <v>#VALUE!</v>
      </c>
      <c r="J21" s="26" t="str">
        <f t="shared" si="1"/>
        <v/>
      </c>
      <c r="K21" s="27"/>
      <c r="L21" s="165">
        <f t="shared" si="2"/>
        <v>0</v>
      </c>
      <c r="M21" s="28" t="str">
        <f t="shared" si="3"/>
        <v/>
      </c>
      <c r="N21" s="166" t="str">
        <f t="shared" si="4"/>
        <v/>
      </c>
      <c r="O21" s="167" t="str">
        <f t="shared" si="5"/>
        <v/>
      </c>
      <c r="P21" s="168"/>
      <c r="Q21" s="169" t="str">
        <f t="shared" si="6"/>
        <v/>
      </c>
      <c r="R21" s="170">
        <v>25</v>
      </c>
      <c r="S21" s="171">
        <v>10</v>
      </c>
      <c r="T21" s="24" t="s">
        <v>84</v>
      </c>
      <c r="U21" s="29">
        <v>219666</v>
      </c>
      <c r="V21" s="30">
        <f t="shared" si="41"/>
        <v>4429844</v>
      </c>
      <c r="W21" s="27">
        <v>117</v>
      </c>
      <c r="X21" s="31">
        <f t="shared" si="7"/>
        <v>1877.4871794871794</v>
      </c>
      <c r="Y21" s="29">
        <v>106762</v>
      </c>
      <c r="Z21" s="32">
        <f t="shared" si="42"/>
        <v>4385699</v>
      </c>
      <c r="AA21" s="33">
        <f t="shared" si="8"/>
        <v>1.0100656702614565</v>
      </c>
      <c r="AB21" s="158">
        <v>630000</v>
      </c>
      <c r="AC21" s="34">
        <f t="shared" si="43"/>
        <v>5670000</v>
      </c>
      <c r="AD21" s="158"/>
      <c r="AE21" s="25"/>
      <c r="AF21" s="25"/>
      <c r="AG21" s="25"/>
      <c r="AH21" s="25"/>
      <c r="AI21" s="25"/>
      <c r="AJ21" s="25"/>
      <c r="AK21" s="25"/>
      <c r="AL21" s="158"/>
      <c r="AM21" s="25"/>
      <c r="AN21" s="158"/>
      <c r="AO21" s="25"/>
      <c r="AP21" s="25"/>
      <c r="AQ21" s="158"/>
      <c r="AR21" s="35">
        <f t="shared" si="9"/>
        <v>0</v>
      </c>
      <c r="AS21" s="172" t="str">
        <f t="shared" si="10"/>
        <v/>
      </c>
      <c r="AT21" s="36">
        <f t="shared" si="11"/>
        <v>0</v>
      </c>
      <c r="AU21" s="173"/>
      <c r="AV21" s="82">
        <f t="shared" si="12"/>
        <v>17</v>
      </c>
      <c r="AW21" s="37"/>
      <c r="AX21" s="174" t="str">
        <f t="shared" si="13"/>
        <v/>
      </c>
      <c r="AY21" s="37"/>
      <c r="AZ21" s="174" t="str">
        <f t="shared" si="14"/>
        <v/>
      </c>
      <c r="BA21" s="37"/>
      <c r="BB21" s="174" t="str">
        <f t="shared" si="15"/>
        <v/>
      </c>
      <c r="BC21" s="37"/>
      <c r="BD21" s="174" t="str">
        <f t="shared" si="16"/>
        <v/>
      </c>
      <c r="BE21" s="37"/>
      <c r="BF21" s="174" t="str">
        <f t="shared" si="17"/>
        <v/>
      </c>
      <c r="BG21" s="37"/>
      <c r="BH21" s="174" t="str">
        <f t="shared" si="18"/>
        <v/>
      </c>
      <c r="BI21" s="37"/>
      <c r="BJ21" s="174" t="str">
        <f t="shared" si="19"/>
        <v/>
      </c>
      <c r="BK21" s="37"/>
      <c r="BL21" s="174" t="str">
        <f t="shared" si="20"/>
        <v/>
      </c>
      <c r="BM21" s="37"/>
      <c r="BN21" s="174" t="str">
        <f t="shared" si="21"/>
        <v/>
      </c>
      <c r="BO21" s="37"/>
      <c r="BP21" s="174" t="str">
        <f t="shared" si="22"/>
        <v/>
      </c>
      <c r="BQ21" s="37"/>
      <c r="BR21" s="174" t="str">
        <f t="shared" si="23"/>
        <v/>
      </c>
      <c r="BS21" s="37"/>
      <c r="BT21" s="174" t="str">
        <f t="shared" si="24"/>
        <v/>
      </c>
      <c r="BU21" s="37"/>
      <c r="BV21" s="174" t="str">
        <f t="shared" si="25"/>
        <v/>
      </c>
      <c r="BW21" s="37"/>
      <c r="BX21" s="174" t="str">
        <f t="shared" si="26"/>
        <v/>
      </c>
      <c r="BY21" s="37"/>
      <c r="BZ21" s="174" t="str">
        <f t="shared" si="27"/>
        <v/>
      </c>
      <c r="CA21" s="37"/>
      <c r="CB21" s="174" t="str">
        <f t="shared" si="28"/>
        <v/>
      </c>
      <c r="CC21" s="37"/>
      <c r="CD21" s="174" t="str">
        <f t="shared" si="29"/>
        <v/>
      </c>
      <c r="CE21" s="37"/>
      <c r="CF21" s="174" t="str">
        <f t="shared" si="30"/>
        <v/>
      </c>
      <c r="CG21" s="37"/>
      <c r="CH21" s="174" t="str">
        <f t="shared" si="31"/>
        <v/>
      </c>
      <c r="CI21" s="37"/>
      <c r="CJ21" s="174" t="str">
        <f t="shared" si="32"/>
        <v/>
      </c>
      <c r="CK21" s="37"/>
      <c r="CL21" s="174" t="str">
        <f t="shared" si="33"/>
        <v/>
      </c>
      <c r="CM21" s="37"/>
      <c r="CN21" s="174" t="str">
        <f t="shared" si="34"/>
        <v/>
      </c>
      <c r="CO21" s="37"/>
      <c r="CP21" s="174" t="str">
        <f t="shared" si="35"/>
        <v/>
      </c>
      <c r="CQ21" s="37"/>
      <c r="CR21" s="174" t="str">
        <f t="shared" si="36"/>
        <v/>
      </c>
      <c r="CS21" s="37"/>
      <c r="CT21" s="174" t="str">
        <f t="shared" si="37"/>
        <v/>
      </c>
      <c r="CU21" s="38"/>
      <c r="CV21" s="87"/>
      <c r="CW21" s="90"/>
      <c r="CX21" s="38"/>
      <c r="CY21" s="39"/>
      <c r="CZ21" s="37"/>
      <c r="DA21" s="39"/>
      <c r="DB21" s="24">
        <v>17</v>
      </c>
      <c r="DC21" s="96" t="str">
        <f t="shared" si="38"/>
        <v>土</v>
      </c>
      <c r="DF21" s="125"/>
      <c r="DG21" s="40"/>
      <c r="DH21" s="40"/>
      <c r="DI21" s="40"/>
      <c r="DJ21" s="40"/>
      <c r="DK21" s="40"/>
      <c r="DL21" s="40"/>
      <c r="DM21" s="40"/>
      <c r="DN21" s="40"/>
      <c r="DO21" s="40"/>
      <c r="DP21" s="40">
        <f t="shared" si="39"/>
        <v>0</v>
      </c>
      <c r="DQ21" s="172" t="str">
        <f t="shared" si="40"/>
        <v/>
      </c>
      <c r="DS21" s="189"/>
      <c r="DT21" s="190"/>
      <c r="DU21" s="190"/>
      <c r="DV21" s="191"/>
      <c r="DW21" s="41"/>
      <c r="DX21" s="42"/>
    </row>
    <row r="22" spans="1:128" ht="13.5" customHeight="1" x14ac:dyDescent="0.4">
      <c r="A22" s="104">
        <v>18</v>
      </c>
      <c r="B22" s="23" t="s">
        <v>89</v>
      </c>
      <c r="C22" s="164"/>
      <c r="D22" s="164"/>
      <c r="E22" s="24"/>
      <c r="F22" s="29"/>
      <c r="G22" s="25" t="str">
        <f>IF(SUM($F$5:F22)=0,"",SUM($F$5:F22))</f>
        <v/>
      </c>
      <c r="H22" s="43" t="str">
        <f t="shared" si="0"/>
        <v/>
      </c>
      <c r="I22" s="148" t="e">
        <f t="array" aca="1" ref="I22" ca="1">IF($A23="",$G22/($V22-$U$5+INDIRECT(IF(_xlfn.SHEET()&lt;6,"令和8年"&amp;_xlfn.SHEET()+7&amp;"月","令和9年"&amp;_xlfn.SHEET()-5&amp;"月")&amp;"!$U$5")),$G22/($V23-$U$5))</f>
        <v>#VALUE!</v>
      </c>
      <c r="J22" s="26" t="str">
        <f t="shared" si="1"/>
        <v/>
      </c>
      <c r="K22" s="27"/>
      <c r="L22" s="165">
        <f t="shared" si="2"/>
        <v>0</v>
      </c>
      <c r="M22" s="28" t="str">
        <f t="shared" si="3"/>
        <v/>
      </c>
      <c r="N22" s="166" t="str">
        <f t="shared" si="4"/>
        <v/>
      </c>
      <c r="O22" s="167" t="str">
        <f t="shared" si="5"/>
        <v/>
      </c>
      <c r="P22" s="168"/>
      <c r="Q22" s="169" t="str">
        <f t="shared" si="6"/>
        <v/>
      </c>
      <c r="R22" s="170">
        <v>24</v>
      </c>
      <c r="S22" s="171">
        <v>17</v>
      </c>
      <c r="T22" s="24" t="s">
        <v>84</v>
      </c>
      <c r="U22" s="29">
        <v>513528</v>
      </c>
      <c r="V22" s="30">
        <f t="shared" si="41"/>
        <v>4943372</v>
      </c>
      <c r="W22" s="27">
        <v>343</v>
      </c>
      <c r="X22" s="31">
        <f t="shared" si="7"/>
        <v>1497.1661807580174</v>
      </c>
      <c r="Y22" s="29">
        <v>155515</v>
      </c>
      <c r="Z22" s="32">
        <f t="shared" si="42"/>
        <v>4541214</v>
      </c>
      <c r="AA22" s="33">
        <f t="shared" si="8"/>
        <v>1.0885573769481025</v>
      </c>
      <c r="AB22" s="158">
        <v>630000</v>
      </c>
      <c r="AC22" s="34">
        <f t="shared" si="43"/>
        <v>6300000</v>
      </c>
      <c r="AD22" s="158"/>
      <c r="AE22" s="25"/>
      <c r="AF22" s="25"/>
      <c r="AG22" s="25"/>
      <c r="AH22" s="25"/>
      <c r="AI22" s="25"/>
      <c r="AJ22" s="25"/>
      <c r="AK22" s="25"/>
      <c r="AL22" s="158"/>
      <c r="AM22" s="25"/>
      <c r="AN22" s="158"/>
      <c r="AO22" s="25"/>
      <c r="AP22" s="25"/>
      <c r="AQ22" s="158"/>
      <c r="AR22" s="35">
        <f t="shared" si="9"/>
        <v>0</v>
      </c>
      <c r="AS22" s="172" t="str">
        <f t="shared" si="10"/>
        <v/>
      </c>
      <c r="AT22" s="36">
        <f t="shared" si="11"/>
        <v>0</v>
      </c>
      <c r="AU22" s="173"/>
      <c r="AV22" s="82">
        <f t="shared" si="12"/>
        <v>18</v>
      </c>
      <c r="AW22" s="37"/>
      <c r="AX22" s="174" t="str">
        <f t="shared" si="13"/>
        <v/>
      </c>
      <c r="AY22" s="37"/>
      <c r="AZ22" s="174" t="str">
        <f t="shared" si="14"/>
        <v/>
      </c>
      <c r="BA22" s="37"/>
      <c r="BB22" s="174" t="str">
        <f t="shared" si="15"/>
        <v/>
      </c>
      <c r="BC22" s="37"/>
      <c r="BD22" s="174" t="str">
        <f t="shared" si="16"/>
        <v/>
      </c>
      <c r="BE22" s="37"/>
      <c r="BF22" s="174" t="str">
        <f t="shared" si="17"/>
        <v/>
      </c>
      <c r="BG22" s="37"/>
      <c r="BH22" s="174" t="str">
        <f t="shared" si="18"/>
        <v/>
      </c>
      <c r="BI22" s="37"/>
      <c r="BJ22" s="174" t="str">
        <f t="shared" si="19"/>
        <v/>
      </c>
      <c r="BK22" s="37"/>
      <c r="BL22" s="174" t="str">
        <f t="shared" si="20"/>
        <v/>
      </c>
      <c r="BM22" s="37"/>
      <c r="BN22" s="174" t="str">
        <f t="shared" si="21"/>
        <v/>
      </c>
      <c r="BO22" s="37"/>
      <c r="BP22" s="174" t="str">
        <f t="shared" si="22"/>
        <v/>
      </c>
      <c r="BQ22" s="37"/>
      <c r="BR22" s="174" t="str">
        <f t="shared" si="23"/>
        <v/>
      </c>
      <c r="BS22" s="37"/>
      <c r="BT22" s="174" t="str">
        <f t="shared" si="24"/>
        <v/>
      </c>
      <c r="BU22" s="37"/>
      <c r="BV22" s="174" t="str">
        <f t="shared" si="25"/>
        <v/>
      </c>
      <c r="BW22" s="37"/>
      <c r="BX22" s="174" t="str">
        <f t="shared" si="26"/>
        <v/>
      </c>
      <c r="BY22" s="37"/>
      <c r="BZ22" s="174" t="str">
        <f t="shared" si="27"/>
        <v/>
      </c>
      <c r="CA22" s="37"/>
      <c r="CB22" s="174" t="str">
        <f t="shared" si="28"/>
        <v/>
      </c>
      <c r="CC22" s="37"/>
      <c r="CD22" s="174" t="str">
        <f t="shared" si="29"/>
        <v/>
      </c>
      <c r="CE22" s="37"/>
      <c r="CF22" s="174" t="str">
        <f t="shared" si="30"/>
        <v/>
      </c>
      <c r="CG22" s="37"/>
      <c r="CH22" s="174" t="str">
        <f t="shared" si="31"/>
        <v/>
      </c>
      <c r="CI22" s="37"/>
      <c r="CJ22" s="174" t="str">
        <f t="shared" si="32"/>
        <v/>
      </c>
      <c r="CK22" s="37"/>
      <c r="CL22" s="174" t="str">
        <f t="shared" si="33"/>
        <v/>
      </c>
      <c r="CM22" s="37"/>
      <c r="CN22" s="174" t="str">
        <f t="shared" si="34"/>
        <v/>
      </c>
      <c r="CO22" s="37"/>
      <c r="CP22" s="174" t="str">
        <f t="shared" si="35"/>
        <v/>
      </c>
      <c r="CQ22" s="37"/>
      <c r="CR22" s="174" t="str">
        <f t="shared" si="36"/>
        <v/>
      </c>
      <c r="CS22" s="37"/>
      <c r="CT22" s="174" t="str">
        <f t="shared" si="37"/>
        <v/>
      </c>
      <c r="CU22" s="38"/>
      <c r="CV22" s="87"/>
      <c r="CW22" s="90"/>
      <c r="CX22" s="38"/>
      <c r="CY22" s="39"/>
      <c r="CZ22" s="37"/>
      <c r="DA22" s="39"/>
      <c r="DB22" s="24">
        <v>18</v>
      </c>
      <c r="DC22" s="96" t="str">
        <f t="shared" si="38"/>
        <v>日</v>
      </c>
      <c r="DF22" s="125"/>
      <c r="DG22" s="40"/>
      <c r="DH22" s="40"/>
      <c r="DI22" s="40"/>
      <c r="DJ22" s="40"/>
      <c r="DK22" s="40"/>
      <c r="DL22" s="40"/>
      <c r="DM22" s="40"/>
      <c r="DN22" s="40"/>
      <c r="DO22" s="40"/>
      <c r="DP22" s="40">
        <f t="shared" si="39"/>
        <v>0</v>
      </c>
      <c r="DQ22" s="172" t="str">
        <f t="shared" si="40"/>
        <v/>
      </c>
      <c r="DS22" s="189"/>
      <c r="DT22" s="190"/>
      <c r="DU22" s="190"/>
      <c r="DV22" s="191"/>
      <c r="DW22" s="138"/>
      <c r="DX22" s="42"/>
    </row>
    <row r="23" spans="1:128" ht="13.5" customHeight="1" x14ac:dyDescent="0.4">
      <c r="A23" s="104">
        <v>19</v>
      </c>
      <c r="B23" s="141" t="s">
        <v>90</v>
      </c>
      <c r="C23" s="164"/>
      <c r="D23" s="164"/>
      <c r="E23" s="24"/>
      <c r="F23" s="29"/>
      <c r="G23" s="25" t="str">
        <f>IF(SUM($F$5:F23)=0,"",SUM($F$5:F23))</f>
        <v/>
      </c>
      <c r="H23" s="43" t="str">
        <f t="shared" si="0"/>
        <v/>
      </c>
      <c r="I23" s="148" t="e">
        <f t="array" aca="1" ref="I23" ca="1">IF($A24="",$G23/($V23-$U$5+INDIRECT(IF(_xlfn.SHEET()&lt;6,"令和8年"&amp;_xlfn.SHEET()+7&amp;"月","令和9年"&amp;_xlfn.SHEET()-5&amp;"月")&amp;"!$U$5")),$G23/($V24-$U$5))</f>
        <v>#VALUE!</v>
      </c>
      <c r="J23" s="26" t="str">
        <f t="shared" si="1"/>
        <v/>
      </c>
      <c r="K23" s="27"/>
      <c r="L23" s="165">
        <f t="shared" si="2"/>
        <v>0</v>
      </c>
      <c r="M23" s="28" t="str">
        <f t="shared" si="3"/>
        <v/>
      </c>
      <c r="N23" s="166" t="str">
        <f t="shared" si="4"/>
        <v/>
      </c>
      <c r="O23" s="167" t="str">
        <f t="shared" si="5"/>
        <v/>
      </c>
      <c r="P23" s="168"/>
      <c r="Q23" s="169" t="str">
        <f t="shared" si="6"/>
        <v/>
      </c>
      <c r="R23" s="170">
        <v>23</v>
      </c>
      <c r="S23" s="171">
        <v>9</v>
      </c>
      <c r="T23" s="24" t="s">
        <v>114</v>
      </c>
      <c r="U23" s="29">
        <v>630915</v>
      </c>
      <c r="V23" s="30">
        <f t="shared" si="41"/>
        <v>5574287</v>
      </c>
      <c r="W23" s="27">
        <v>427</v>
      </c>
      <c r="X23" s="31">
        <f t="shared" si="7"/>
        <v>1477.5526932084308</v>
      </c>
      <c r="Y23" s="29">
        <v>402342</v>
      </c>
      <c r="Z23" s="32">
        <f t="shared" si="42"/>
        <v>4943556</v>
      </c>
      <c r="AA23" s="33">
        <f t="shared" si="8"/>
        <v>1.1275864984638588</v>
      </c>
      <c r="AB23" s="158">
        <v>210000</v>
      </c>
      <c r="AC23" s="34">
        <f t="shared" si="43"/>
        <v>6510000</v>
      </c>
      <c r="AD23" s="158"/>
      <c r="AE23" s="25"/>
      <c r="AF23" s="25"/>
      <c r="AG23" s="25"/>
      <c r="AH23" s="25"/>
      <c r="AI23" s="25"/>
      <c r="AJ23" s="25"/>
      <c r="AK23" s="25"/>
      <c r="AL23" s="158"/>
      <c r="AM23" s="25"/>
      <c r="AN23" s="158"/>
      <c r="AO23" s="25"/>
      <c r="AP23" s="25"/>
      <c r="AQ23" s="158"/>
      <c r="AR23" s="35">
        <f t="shared" si="9"/>
        <v>0</v>
      </c>
      <c r="AS23" s="172" t="str">
        <f t="shared" si="10"/>
        <v/>
      </c>
      <c r="AT23" s="36">
        <f t="shared" si="11"/>
        <v>0</v>
      </c>
      <c r="AU23" s="173"/>
      <c r="AV23" s="82">
        <f t="shared" si="12"/>
        <v>19</v>
      </c>
      <c r="AW23" s="37"/>
      <c r="AX23" s="174" t="str">
        <f t="shared" si="13"/>
        <v/>
      </c>
      <c r="AY23" s="37"/>
      <c r="AZ23" s="174" t="str">
        <f t="shared" si="14"/>
        <v/>
      </c>
      <c r="BA23" s="37"/>
      <c r="BB23" s="174" t="str">
        <f t="shared" si="15"/>
        <v/>
      </c>
      <c r="BC23" s="37"/>
      <c r="BD23" s="174" t="str">
        <f t="shared" si="16"/>
        <v/>
      </c>
      <c r="BE23" s="37"/>
      <c r="BF23" s="174" t="str">
        <f t="shared" si="17"/>
        <v/>
      </c>
      <c r="BG23" s="37"/>
      <c r="BH23" s="174" t="str">
        <f t="shared" si="18"/>
        <v/>
      </c>
      <c r="BI23" s="37"/>
      <c r="BJ23" s="174" t="str">
        <f t="shared" si="19"/>
        <v/>
      </c>
      <c r="BK23" s="37"/>
      <c r="BL23" s="174" t="str">
        <f t="shared" si="20"/>
        <v/>
      </c>
      <c r="BM23" s="37"/>
      <c r="BN23" s="174" t="str">
        <f t="shared" si="21"/>
        <v/>
      </c>
      <c r="BO23" s="37"/>
      <c r="BP23" s="174" t="str">
        <f t="shared" si="22"/>
        <v/>
      </c>
      <c r="BQ23" s="37"/>
      <c r="BR23" s="174" t="str">
        <f t="shared" si="23"/>
        <v/>
      </c>
      <c r="BS23" s="37"/>
      <c r="BT23" s="174" t="str">
        <f t="shared" si="24"/>
        <v/>
      </c>
      <c r="BU23" s="37"/>
      <c r="BV23" s="174" t="str">
        <f t="shared" si="25"/>
        <v/>
      </c>
      <c r="BW23" s="37"/>
      <c r="BX23" s="174" t="str">
        <f t="shared" si="26"/>
        <v/>
      </c>
      <c r="BY23" s="37"/>
      <c r="BZ23" s="174" t="str">
        <f t="shared" si="27"/>
        <v/>
      </c>
      <c r="CA23" s="37"/>
      <c r="CB23" s="174" t="str">
        <f t="shared" si="28"/>
        <v/>
      </c>
      <c r="CC23" s="37"/>
      <c r="CD23" s="174" t="str">
        <f t="shared" si="29"/>
        <v/>
      </c>
      <c r="CE23" s="37"/>
      <c r="CF23" s="174" t="str">
        <f t="shared" si="30"/>
        <v/>
      </c>
      <c r="CG23" s="37"/>
      <c r="CH23" s="174" t="str">
        <f t="shared" si="31"/>
        <v/>
      </c>
      <c r="CI23" s="37"/>
      <c r="CJ23" s="174" t="str">
        <f t="shared" si="32"/>
        <v/>
      </c>
      <c r="CK23" s="37"/>
      <c r="CL23" s="174" t="str">
        <f t="shared" si="33"/>
        <v/>
      </c>
      <c r="CM23" s="37"/>
      <c r="CN23" s="174" t="str">
        <f t="shared" si="34"/>
        <v/>
      </c>
      <c r="CO23" s="37"/>
      <c r="CP23" s="174" t="str">
        <f t="shared" si="35"/>
        <v/>
      </c>
      <c r="CQ23" s="37"/>
      <c r="CR23" s="174" t="str">
        <f t="shared" si="36"/>
        <v/>
      </c>
      <c r="CS23" s="37"/>
      <c r="CT23" s="174" t="str">
        <f t="shared" si="37"/>
        <v/>
      </c>
      <c r="CU23" s="38"/>
      <c r="CV23" s="87"/>
      <c r="CW23" s="90"/>
      <c r="CX23" s="38"/>
      <c r="CY23" s="39"/>
      <c r="CZ23" s="37"/>
      <c r="DA23" s="39"/>
      <c r="DB23" s="24">
        <v>19</v>
      </c>
      <c r="DC23" s="96" t="str">
        <f t="shared" si="38"/>
        <v>月</v>
      </c>
      <c r="DF23" s="125"/>
      <c r="DG23" s="40"/>
      <c r="DH23" s="40"/>
      <c r="DI23" s="40"/>
      <c r="DJ23" s="40"/>
      <c r="DK23" s="40"/>
      <c r="DL23" s="40"/>
      <c r="DM23" s="40"/>
      <c r="DN23" s="40"/>
      <c r="DO23" s="40"/>
      <c r="DP23" s="40">
        <f t="shared" si="39"/>
        <v>0</v>
      </c>
      <c r="DQ23" s="172" t="str">
        <f t="shared" si="40"/>
        <v/>
      </c>
      <c r="DS23" s="189"/>
      <c r="DT23" s="190"/>
      <c r="DU23" s="190"/>
      <c r="DV23" s="191"/>
      <c r="DW23" s="41"/>
      <c r="DX23" s="42"/>
    </row>
    <row r="24" spans="1:128" ht="13.5" customHeight="1" x14ac:dyDescent="0.4">
      <c r="A24" s="104">
        <v>20</v>
      </c>
      <c r="B24" s="23" t="s">
        <v>91</v>
      </c>
      <c r="C24" s="164"/>
      <c r="D24" s="164"/>
      <c r="E24" s="24"/>
      <c r="F24" s="29"/>
      <c r="G24" s="25" t="str">
        <f>IF(SUM($F$5:F24)=0,"",SUM($F$5:F24))</f>
        <v/>
      </c>
      <c r="H24" s="43" t="str">
        <f t="shared" si="0"/>
        <v/>
      </c>
      <c r="I24" s="148" t="e">
        <f t="array" aca="1" ref="I24" ca="1">IF($A25="",$G24/($V24-$U$5+INDIRECT(IF(_xlfn.SHEET()&lt;6,"令和8年"&amp;_xlfn.SHEET()+7&amp;"月","令和9年"&amp;_xlfn.SHEET()-5&amp;"月")&amp;"!$U$5")),$G24/($V25-$U$5))</f>
        <v>#VALUE!</v>
      </c>
      <c r="J24" s="26" t="str">
        <f t="shared" si="1"/>
        <v/>
      </c>
      <c r="K24" s="27"/>
      <c r="L24" s="165">
        <f t="shared" si="2"/>
        <v>0</v>
      </c>
      <c r="M24" s="28" t="str">
        <f t="shared" si="3"/>
        <v/>
      </c>
      <c r="N24" s="166" t="str">
        <f t="shared" si="4"/>
        <v/>
      </c>
      <c r="O24" s="167" t="str">
        <f t="shared" si="5"/>
        <v/>
      </c>
      <c r="P24" s="168"/>
      <c r="Q24" s="169" t="str">
        <f t="shared" si="6"/>
        <v/>
      </c>
      <c r="R24" s="170">
        <v>24</v>
      </c>
      <c r="S24" s="171">
        <v>14</v>
      </c>
      <c r="T24" s="24" t="s">
        <v>84</v>
      </c>
      <c r="U24" s="29">
        <v>151283</v>
      </c>
      <c r="V24" s="30">
        <f t="shared" si="41"/>
        <v>5725570</v>
      </c>
      <c r="W24" s="27">
        <v>171</v>
      </c>
      <c r="X24" s="31">
        <f t="shared" si="7"/>
        <v>884.69590643274853</v>
      </c>
      <c r="Y24" s="29">
        <v>635272</v>
      </c>
      <c r="Z24" s="32">
        <f t="shared" si="42"/>
        <v>5578828</v>
      </c>
      <c r="AA24" s="33">
        <f t="shared" si="8"/>
        <v>1.0263033741137026</v>
      </c>
      <c r="AB24" s="158">
        <v>210000</v>
      </c>
      <c r="AC24" s="34">
        <f t="shared" si="43"/>
        <v>6720000</v>
      </c>
      <c r="AD24" s="158"/>
      <c r="AE24" s="25"/>
      <c r="AF24" s="25"/>
      <c r="AG24" s="25"/>
      <c r="AH24" s="25"/>
      <c r="AI24" s="25"/>
      <c r="AJ24" s="25"/>
      <c r="AK24" s="25"/>
      <c r="AL24" s="158"/>
      <c r="AM24" s="25"/>
      <c r="AN24" s="158"/>
      <c r="AO24" s="25"/>
      <c r="AP24" s="25"/>
      <c r="AQ24" s="158"/>
      <c r="AR24" s="35">
        <f t="shared" si="9"/>
        <v>0</v>
      </c>
      <c r="AS24" s="172" t="str">
        <f t="shared" si="10"/>
        <v/>
      </c>
      <c r="AT24" s="36">
        <f t="shared" si="11"/>
        <v>0</v>
      </c>
      <c r="AU24" s="173"/>
      <c r="AV24" s="82">
        <f t="shared" si="12"/>
        <v>20</v>
      </c>
      <c r="AW24" s="37"/>
      <c r="AX24" s="174" t="str">
        <f t="shared" si="13"/>
        <v/>
      </c>
      <c r="AY24" s="37"/>
      <c r="AZ24" s="174" t="str">
        <f t="shared" si="14"/>
        <v/>
      </c>
      <c r="BA24" s="37"/>
      <c r="BB24" s="174" t="str">
        <f t="shared" si="15"/>
        <v/>
      </c>
      <c r="BC24" s="37"/>
      <c r="BD24" s="174" t="str">
        <f t="shared" si="16"/>
        <v/>
      </c>
      <c r="BE24" s="37"/>
      <c r="BF24" s="174" t="str">
        <f t="shared" si="17"/>
        <v/>
      </c>
      <c r="BG24" s="37"/>
      <c r="BH24" s="174" t="str">
        <f t="shared" si="18"/>
        <v/>
      </c>
      <c r="BI24" s="37"/>
      <c r="BJ24" s="174" t="str">
        <f t="shared" si="19"/>
        <v/>
      </c>
      <c r="BK24" s="37"/>
      <c r="BL24" s="174" t="str">
        <f t="shared" si="20"/>
        <v/>
      </c>
      <c r="BM24" s="37"/>
      <c r="BN24" s="174" t="str">
        <f t="shared" si="21"/>
        <v/>
      </c>
      <c r="BO24" s="37"/>
      <c r="BP24" s="174" t="str">
        <f t="shared" si="22"/>
        <v/>
      </c>
      <c r="BQ24" s="37"/>
      <c r="BR24" s="174" t="str">
        <f t="shared" si="23"/>
        <v/>
      </c>
      <c r="BS24" s="37"/>
      <c r="BT24" s="174" t="str">
        <f t="shared" si="24"/>
        <v/>
      </c>
      <c r="BU24" s="37"/>
      <c r="BV24" s="174" t="str">
        <f t="shared" si="25"/>
        <v/>
      </c>
      <c r="BW24" s="37"/>
      <c r="BX24" s="174" t="str">
        <f t="shared" si="26"/>
        <v/>
      </c>
      <c r="BY24" s="37"/>
      <c r="BZ24" s="174" t="str">
        <f t="shared" si="27"/>
        <v/>
      </c>
      <c r="CA24" s="37"/>
      <c r="CB24" s="174" t="str">
        <f t="shared" si="28"/>
        <v/>
      </c>
      <c r="CC24" s="37"/>
      <c r="CD24" s="174" t="str">
        <f t="shared" si="29"/>
        <v/>
      </c>
      <c r="CE24" s="37"/>
      <c r="CF24" s="174" t="str">
        <f t="shared" si="30"/>
        <v/>
      </c>
      <c r="CG24" s="37"/>
      <c r="CH24" s="174" t="str">
        <f t="shared" si="31"/>
        <v/>
      </c>
      <c r="CI24" s="37"/>
      <c r="CJ24" s="174" t="str">
        <f t="shared" si="32"/>
        <v/>
      </c>
      <c r="CK24" s="37"/>
      <c r="CL24" s="174" t="str">
        <f t="shared" si="33"/>
        <v/>
      </c>
      <c r="CM24" s="37"/>
      <c r="CN24" s="174" t="str">
        <f t="shared" si="34"/>
        <v/>
      </c>
      <c r="CO24" s="37"/>
      <c r="CP24" s="174" t="str">
        <f t="shared" si="35"/>
        <v/>
      </c>
      <c r="CQ24" s="37"/>
      <c r="CR24" s="174" t="str">
        <f t="shared" si="36"/>
        <v/>
      </c>
      <c r="CS24" s="37"/>
      <c r="CT24" s="174" t="str">
        <f t="shared" si="37"/>
        <v/>
      </c>
      <c r="CU24" s="38"/>
      <c r="CV24" s="87"/>
      <c r="CW24" s="90"/>
      <c r="CX24" s="38"/>
      <c r="CY24" s="39"/>
      <c r="CZ24" s="37"/>
      <c r="DA24" s="39"/>
      <c r="DB24" s="24">
        <v>20</v>
      </c>
      <c r="DC24" s="96" t="str">
        <f t="shared" si="38"/>
        <v>火</v>
      </c>
      <c r="DF24" s="125"/>
      <c r="DG24" s="40"/>
      <c r="DH24" s="40"/>
      <c r="DI24" s="40"/>
      <c r="DJ24" s="40"/>
      <c r="DK24" s="40"/>
      <c r="DL24" s="40"/>
      <c r="DM24" s="40"/>
      <c r="DN24" s="40"/>
      <c r="DO24" s="40"/>
      <c r="DP24" s="40">
        <f t="shared" si="39"/>
        <v>0</v>
      </c>
      <c r="DQ24" s="172" t="str">
        <f t="shared" si="40"/>
        <v/>
      </c>
      <c r="DS24" s="189"/>
      <c r="DT24" s="190"/>
      <c r="DU24" s="190"/>
      <c r="DV24" s="191"/>
      <c r="DW24" s="41"/>
      <c r="DX24" s="42"/>
    </row>
    <row r="25" spans="1:128" ht="13.5" customHeight="1" x14ac:dyDescent="0.4">
      <c r="A25" s="104">
        <v>21</v>
      </c>
      <c r="B25" s="23" t="s">
        <v>83</v>
      </c>
      <c r="C25" s="164"/>
      <c r="D25" s="164"/>
      <c r="E25" s="24"/>
      <c r="F25" s="29"/>
      <c r="G25" s="25" t="str">
        <f>IF(SUM($F$5:F25)=0,"",SUM($F$5:F25))</f>
        <v/>
      </c>
      <c r="H25" s="43" t="str">
        <f t="shared" si="0"/>
        <v/>
      </c>
      <c r="I25" s="148" t="e">
        <f t="array" aca="1" ref="I25" ca="1">IF($A26="",$G25/($V25-$U$5+INDIRECT(IF(_xlfn.SHEET()&lt;6,"令和8年"&amp;_xlfn.SHEET()+7&amp;"月","令和9年"&amp;_xlfn.SHEET()-5&amp;"月")&amp;"!$U$5")),$G25/($V26-$U$5))</f>
        <v>#VALUE!</v>
      </c>
      <c r="J25" s="26" t="str">
        <f t="shared" si="1"/>
        <v/>
      </c>
      <c r="K25" s="27"/>
      <c r="L25" s="165">
        <f t="shared" si="2"/>
        <v>0</v>
      </c>
      <c r="M25" s="28" t="str">
        <f t="shared" si="3"/>
        <v/>
      </c>
      <c r="N25" s="166" t="str">
        <f t="shared" si="4"/>
        <v/>
      </c>
      <c r="O25" s="167" t="str">
        <f t="shared" si="5"/>
        <v/>
      </c>
      <c r="P25" s="168"/>
      <c r="Q25" s="169" t="str">
        <f t="shared" si="6"/>
        <v/>
      </c>
      <c r="R25" s="170">
        <v>22</v>
      </c>
      <c r="S25" s="171">
        <v>10</v>
      </c>
      <c r="T25" s="24" t="s">
        <v>84</v>
      </c>
      <c r="U25" s="29">
        <v>189686</v>
      </c>
      <c r="V25" s="30">
        <f t="shared" si="41"/>
        <v>5915256</v>
      </c>
      <c r="W25" s="27">
        <v>93</v>
      </c>
      <c r="X25" s="31">
        <f t="shared" si="7"/>
        <v>2039.6344086021506</v>
      </c>
      <c r="Y25" s="29">
        <v>112581</v>
      </c>
      <c r="Z25" s="32">
        <f t="shared" si="42"/>
        <v>5691409</v>
      </c>
      <c r="AA25" s="33">
        <f t="shared" si="8"/>
        <v>1.0393306824373367</v>
      </c>
      <c r="AB25" s="158">
        <v>210000</v>
      </c>
      <c r="AC25" s="34">
        <f t="shared" si="43"/>
        <v>6930000</v>
      </c>
      <c r="AD25" s="158"/>
      <c r="AE25" s="25"/>
      <c r="AF25" s="25"/>
      <c r="AG25" s="25"/>
      <c r="AH25" s="25"/>
      <c r="AI25" s="25"/>
      <c r="AJ25" s="25"/>
      <c r="AK25" s="25"/>
      <c r="AL25" s="158"/>
      <c r="AM25" s="25"/>
      <c r="AN25" s="158"/>
      <c r="AO25" s="25"/>
      <c r="AP25" s="25"/>
      <c r="AQ25" s="158"/>
      <c r="AR25" s="35">
        <f t="shared" si="9"/>
        <v>0</v>
      </c>
      <c r="AS25" s="172" t="str">
        <f t="shared" si="10"/>
        <v/>
      </c>
      <c r="AT25" s="36">
        <f t="shared" si="11"/>
        <v>0</v>
      </c>
      <c r="AU25" s="173"/>
      <c r="AV25" s="82">
        <f t="shared" si="12"/>
        <v>21</v>
      </c>
      <c r="AW25" s="37"/>
      <c r="AX25" s="174" t="str">
        <f t="shared" si="13"/>
        <v/>
      </c>
      <c r="AY25" s="37"/>
      <c r="AZ25" s="174" t="str">
        <f t="shared" si="14"/>
        <v/>
      </c>
      <c r="BA25" s="37"/>
      <c r="BB25" s="174" t="str">
        <f t="shared" si="15"/>
        <v/>
      </c>
      <c r="BC25" s="37"/>
      <c r="BD25" s="174" t="str">
        <f t="shared" si="16"/>
        <v/>
      </c>
      <c r="BE25" s="37"/>
      <c r="BF25" s="174" t="str">
        <f t="shared" si="17"/>
        <v/>
      </c>
      <c r="BG25" s="37"/>
      <c r="BH25" s="174" t="str">
        <f t="shared" si="18"/>
        <v/>
      </c>
      <c r="BI25" s="37"/>
      <c r="BJ25" s="174" t="str">
        <f t="shared" si="19"/>
        <v/>
      </c>
      <c r="BK25" s="37"/>
      <c r="BL25" s="174" t="str">
        <f t="shared" si="20"/>
        <v/>
      </c>
      <c r="BM25" s="37"/>
      <c r="BN25" s="174" t="str">
        <f t="shared" si="21"/>
        <v/>
      </c>
      <c r="BO25" s="37"/>
      <c r="BP25" s="174" t="str">
        <f t="shared" si="22"/>
        <v/>
      </c>
      <c r="BQ25" s="37"/>
      <c r="BR25" s="174" t="str">
        <f t="shared" si="23"/>
        <v/>
      </c>
      <c r="BS25" s="37"/>
      <c r="BT25" s="174" t="str">
        <f t="shared" si="24"/>
        <v/>
      </c>
      <c r="BU25" s="37"/>
      <c r="BV25" s="174" t="str">
        <f t="shared" si="25"/>
        <v/>
      </c>
      <c r="BW25" s="37"/>
      <c r="BX25" s="174" t="str">
        <f t="shared" si="26"/>
        <v/>
      </c>
      <c r="BY25" s="37"/>
      <c r="BZ25" s="174" t="str">
        <f t="shared" si="27"/>
        <v/>
      </c>
      <c r="CA25" s="37"/>
      <c r="CB25" s="174" t="str">
        <f t="shared" si="28"/>
        <v/>
      </c>
      <c r="CC25" s="37"/>
      <c r="CD25" s="174" t="str">
        <f t="shared" si="29"/>
        <v/>
      </c>
      <c r="CE25" s="37"/>
      <c r="CF25" s="174" t="str">
        <f t="shared" si="30"/>
        <v/>
      </c>
      <c r="CG25" s="37"/>
      <c r="CH25" s="174" t="str">
        <f t="shared" si="31"/>
        <v/>
      </c>
      <c r="CI25" s="37"/>
      <c r="CJ25" s="174" t="str">
        <f t="shared" si="32"/>
        <v/>
      </c>
      <c r="CK25" s="37"/>
      <c r="CL25" s="174" t="str">
        <f t="shared" si="33"/>
        <v/>
      </c>
      <c r="CM25" s="37"/>
      <c r="CN25" s="174" t="str">
        <f t="shared" si="34"/>
        <v/>
      </c>
      <c r="CO25" s="37"/>
      <c r="CP25" s="174" t="str">
        <f t="shared" si="35"/>
        <v/>
      </c>
      <c r="CQ25" s="37"/>
      <c r="CR25" s="174" t="str">
        <f t="shared" si="36"/>
        <v/>
      </c>
      <c r="CS25" s="37"/>
      <c r="CT25" s="174" t="str">
        <f t="shared" si="37"/>
        <v/>
      </c>
      <c r="CU25" s="38"/>
      <c r="CV25" s="87"/>
      <c r="CW25" s="90"/>
      <c r="CX25" s="38"/>
      <c r="CY25" s="39"/>
      <c r="CZ25" s="37"/>
      <c r="DA25" s="39"/>
      <c r="DB25" s="24">
        <v>21</v>
      </c>
      <c r="DC25" s="96" t="str">
        <f t="shared" si="38"/>
        <v>水</v>
      </c>
      <c r="DF25" s="125"/>
      <c r="DG25" s="40"/>
      <c r="DH25" s="40"/>
      <c r="DI25" s="40"/>
      <c r="DJ25" s="40"/>
      <c r="DK25" s="40"/>
      <c r="DL25" s="40"/>
      <c r="DM25" s="40"/>
      <c r="DN25" s="40"/>
      <c r="DO25" s="40"/>
      <c r="DP25" s="40">
        <f t="shared" si="39"/>
        <v>0</v>
      </c>
      <c r="DQ25" s="172" t="str">
        <f t="shared" si="40"/>
        <v/>
      </c>
      <c r="DS25" s="189"/>
      <c r="DT25" s="190"/>
      <c r="DU25" s="190"/>
      <c r="DV25" s="191"/>
      <c r="DW25" s="138"/>
      <c r="DX25" s="42"/>
    </row>
    <row r="26" spans="1:128" ht="13.5" customHeight="1" x14ac:dyDescent="0.4">
      <c r="A26" s="104">
        <v>22</v>
      </c>
      <c r="B26" s="23" t="s">
        <v>85</v>
      </c>
      <c r="C26" s="164"/>
      <c r="D26" s="164"/>
      <c r="E26" s="24"/>
      <c r="F26" s="29"/>
      <c r="G26" s="25" t="str">
        <f>IF(SUM($F$5:F26)=0,"",SUM($F$5:F26))</f>
        <v/>
      </c>
      <c r="H26" s="43" t="str">
        <f t="shared" si="0"/>
        <v/>
      </c>
      <c r="I26" s="148" t="e">
        <f t="array" aca="1" ref="I26" ca="1">IF($A27="",$G26/($V26-$U$5+INDIRECT(IF(_xlfn.SHEET()&lt;6,"令和8年"&amp;_xlfn.SHEET()+7&amp;"月","令和9年"&amp;_xlfn.SHEET()-5&amp;"月")&amp;"!$U$5")),$G26/($V27-$U$5))</f>
        <v>#VALUE!</v>
      </c>
      <c r="J26" s="26" t="str">
        <f t="shared" si="1"/>
        <v/>
      </c>
      <c r="K26" s="27"/>
      <c r="L26" s="165">
        <f t="shared" si="2"/>
        <v>0</v>
      </c>
      <c r="M26" s="28" t="str">
        <f t="shared" si="3"/>
        <v/>
      </c>
      <c r="N26" s="166" t="str">
        <f t="shared" si="4"/>
        <v/>
      </c>
      <c r="O26" s="167" t="str">
        <f t="shared" si="5"/>
        <v/>
      </c>
      <c r="P26" s="168"/>
      <c r="Q26" s="169" t="str">
        <f t="shared" si="6"/>
        <v/>
      </c>
      <c r="R26" s="170">
        <v>23</v>
      </c>
      <c r="S26" s="171">
        <v>18</v>
      </c>
      <c r="T26" s="24" t="s">
        <v>84</v>
      </c>
      <c r="U26" s="29">
        <v>186805</v>
      </c>
      <c r="V26" s="30">
        <f t="shared" si="41"/>
        <v>6102061</v>
      </c>
      <c r="W26" s="27">
        <v>139</v>
      </c>
      <c r="X26" s="31">
        <f t="shared" si="7"/>
        <v>1343.9208633093526</v>
      </c>
      <c r="Y26" s="29">
        <v>146808</v>
      </c>
      <c r="Z26" s="32">
        <f t="shared" si="42"/>
        <v>5838217</v>
      </c>
      <c r="AA26" s="33">
        <f t="shared" si="8"/>
        <v>1.0451925647847622</v>
      </c>
      <c r="AB26" s="158">
        <v>210000</v>
      </c>
      <c r="AC26" s="34">
        <f t="shared" si="43"/>
        <v>7140000</v>
      </c>
      <c r="AD26" s="158"/>
      <c r="AE26" s="25"/>
      <c r="AF26" s="25"/>
      <c r="AG26" s="25"/>
      <c r="AH26" s="25"/>
      <c r="AI26" s="25"/>
      <c r="AJ26" s="25"/>
      <c r="AK26" s="25"/>
      <c r="AL26" s="158"/>
      <c r="AM26" s="25"/>
      <c r="AN26" s="158"/>
      <c r="AO26" s="25"/>
      <c r="AP26" s="25"/>
      <c r="AQ26" s="158"/>
      <c r="AR26" s="35">
        <f t="shared" si="9"/>
        <v>0</v>
      </c>
      <c r="AS26" s="172" t="str">
        <f t="shared" si="10"/>
        <v/>
      </c>
      <c r="AT26" s="36">
        <f t="shared" si="11"/>
        <v>0</v>
      </c>
      <c r="AU26" s="173"/>
      <c r="AV26" s="82">
        <f t="shared" si="12"/>
        <v>22</v>
      </c>
      <c r="AW26" s="37"/>
      <c r="AX26" s="174" t="str">
        <f t="shared" si="13"/>
        <v/>
      </c>
      <c r="AY26" s="37"/>
      <c r="AZ26" s="174" t="str">
        <f t="shared" si="14"/>
        <v/>
      </c>
      <c r="BA26" s="37"/>
      <c r="BB26" s="174" t="str">
        <f t="shared" si="15"/>
        <v/>
      </c>
      <c r="BC26" s="37"/>
      <c r="BD26" s="174" t="str">
        <f t="shared" si="16"/>
        <v/>
      </c>
      <c r="BE26" s="37"/>
      <c r="BF26" s="174" t="str">
        <f t="shared" si="17"/>
        <v/>
      </c>
      <c r="BG26" s="37"/>
      <c r="BH26" s="174" t="str">
        <f t="shared" si="18"/>
        <v/>
      </c>
      <c r="BI26" s="37"/>
      <c r="BJ26" s="174" t="str">
        <f t="shared" si="19"/>
        <v/>
      </c>
      <c r="BK26" s="37"/>
      <c r="BL26" s="174" t="str">
        <f t="shared" si="20"/>
        <v/>
      </c>
      <c r="BM26" s="37"/>
      <c r="BN26" s="174" t="str">
        <f t="shared" si="21"/>
        <v/>
      </c>
      <c r="BO26" s="37"/>
      <c r="BP26" s="174" t="str">
        <f t="shared" si="22"/>
        <v/>
      </c>
      <c r="BQ26" s="37"/>
      <c r="BR26" s="174" t="str">
        <f t="shared" si="23"/>
        <v/>
      </c>
      <c r="BS26" s="37"/>
      <c r="BT26" s="174" t="str">
        <f t="shared" si="24"/>
        <v/>
      </c>
      <c r="BU26" s="37"/>
      <c r="BV26" s="174" t="str">
        <f t="shared" si="25"/>
        <v/>
      </c>
      <c r="BW26" s="37"/>
      <c r="BX26" s="174" t="str">
        <f t="shared" si="26"/>
        <v/>
      </c>
      <c r="BY26" s="37"/>
      <c r="BZ26" s="174" t="str">
        <f t="shared" si="27"/>
        <v/>
      </c>
      <c r="CA26" s="37"/>
      <c r="CB26" s="174" t="str">
        <f t="shared" si="28"/>
        <v/>
      </c>
      <c r="CC26" s="37"/>
      <c r="CD26" s="174" t="str">
        <f t="shared" si="29"/>
        <v/>
      </c>
      <c r="CE26" s="37"/>
      <c r="CF26" s="174" t="str">
        <f t="shared" si="30"/>
        <v/>
      </c>
      <c r="CG26" s="37"/>
      <c r="CH26" s="174" t="str">
        <f t="shared" si="31"/>
        <v/>
      </c>
      <c r="CI26" s="37"/>
      <c r="CJ26" s="174" t="str">
        <f t="shared" si="32"/>
        <v/>
      </c>
      <c r="CK26" s="37"/>
      <c r="CL26" s="174" t="str">
        <f t="shared" si="33"/>
        <v/>
      </c>
      <c r="CM26" s="37"/>
      <c r="CN26" s="174" t="str">
        <f t="shared" si="34"/>
        <v/>
      </c>
      <c r="CO26" s="37"/>
      <c r="CP26" s="174" t="str">
        <f t="shared" si="35"/>
        <v/>
      </c>
      <c r="CQ26" s="37"/>
      <c r="CR26" s="174" t="str">
        <f t="shared" si="36"/>
        <v/>
      </c>
      <c r="CS26" s="37"/>
      <c r="CT26" s="174" t="str">
        <f t="shared" si="37"/>
        <v/>
      </c>
      <c r="CU26" s="38"/>
      <c r="CV26" s="87"/>
      <c r="CW26" s="90"/>
      <c r="CX26" s="38"/>
      <c r="CY26" s="39"/>
      <c r="CZ26" s="37"/>
      <c r="DA26" s="39"/>
      <c r="DB26" s="24">
        <v>22</v>
      </c>
      <c r="DC26" s="96" t="str">
        <f t="shared" si="38"/>
        <v>木</v>
      </c>
      <c r="DF26" s="125"/>
      <c r="DG26" s="40"/>
      <c r="DH26" s="40"/>
      <c r="DI26" s="40"/>
      <c r="DJ26" s="40"/>
      <c r="DK26" s="40"/>
      <c r="DL26" s="40"/>
      <c r="DM26" s="40"/>
      <c r="DN26" s="40"/>
      <c r="DO26" s="40"/>
      <c r="DP26" s="40">
        <f t="shared" si="39"/>
        <v>0</v>
      </c>
      <c r="DQ26" s="172" t="str">
        <f t="shared" si="40"/>
        <v/>
      </c>
      <c r="DS26" s="189"/>
      <c r="DT26" s="190"/>
      <c r="DU26" s="190"/>
      <c r="DV26" s="191"/>
      <c r="DW26" s="41"/>
      <c r="DX26" s="42"/>
    </row>
    <row r="27" spans="1:128" ht="13.5" customHeight="1" x14ac:dyDescent="0.4">
      <c r="A27" s="104">
        <v>23</v>
      </c>
      <c r="B27" s="23" t="s">
        <v>86</v>
      </c>
      <c r="C27" s="164"/>
      <c r="D27" s="164"/>
      <c r="E27" s="24"/>
      <c r="F27" s="29"/>
      <c r="G27" s="25" t="str">
        <f>IF(SUM($F$5:F27)=0,"",SUM($F$5:F27))</f>
        <v/>
      </c>
      <c r="H27" s="43" t="str">
        <f t="shared" si="0"/>
        <v/>
      </c>
      <c r="I27" s="148" t="e">
        <f t="array" aca="1" ref="I27" ca="1">IF($A28="",$G27/($V27-$U$5+INDIRECT(IF(_xlfn.SHEET()&lt;6,"令和8年"&amp;_xlfn.SHEET()+7&amp;"月","令和9年"&amp;_xlfn.SHEET()-5&amp;"月")&amp;"!$U$5")),$G27/($V28-$U$5))</f>
        <v>#VALUE!</v>
      </c>
      <c r="J27" s="26" t="str">
        <f t="shared" si="1"/>
        <v/>
      </c>
      <c r="K27" s="27"/>
      <c r="L27" s="165">
        <f t="shared" si="2"/>
        <v>0</v>
      </c>
      <c r="M27" s="28" t="str">
        <f t="shared" si="3"/>
        <v/>
      </c>
      <c r="N27" s="166" t="str">
        <f t="shared" si="4"/>
        <v/>
      </c>
      <c r="O27" s="167" t="str">
        <f t="shared" si="5"/>
        <v/>
      </c>
      <c r="P27" s="168"/>
      <c r="Q27" s="169" t="str">
        <f t="shared" si="6"/>
        <v/>
      </c>
      <c r="R27" s="170">
        <v>19</v>
      </c>
      <c r="S27" s="171">
        <v>5</v>
      </c>
      <c r="T27" s="24" t="s">
        <v>93</v>
      </c>
      <c r="U27" s="29">
        <v>127946</v>
      </c>
      <c r="V27" s="30">
        <f t="shared" si="41"/>
        <v>6230007</v>
      </c>
      <c r="W27" s="27">
        <v>91</v>
      </c>
      <c r="X27" s="31">
        <f t="shared" si="7"/>
        <v>1406</v>
      </c>
      <c r="Y27" s="29">
        <v>158951</v>
      </c>
      <c r="Z27" s="32">
        <f t="shared" si="42"/>
        <v>5997168</v>
      </c>
      <c r="AA27" s="33">
        <f t="shared" si="8"/>
        <v>1.0388248253175498</v>
      </c>
      <c r="AB27" s="158">
        <v>210000</v>
      </c>
      <c r="AC27" s="34">
        <f t="shared" si="43"/>
        <v>7350000</v>
      </c>
      <c r="AD27" s="158"/>
      <c r="AE27" s="25"/>
      <c r="AF27" s="25"/>
      <c r="AG27" s="25"/>
      <c r="AH27" s="25"/>
      <c r="AI27" s="25"/>
      <c r="AJ27" s="25"/>
      <c r="AK27" s="25"/>
      <c r="AL27" s="158"/>
      <c r="AM27" s="25"/>
      <c r="AN27" s="158"/>
      <c r="AO27" s="25"/>
      <c r="AP27" s="25"/>
      <c r="AQ27" s="158"/>
      <c r="AR27" s="35">
        <f t="shared" si="9"/>
        <v>0</v>
      </c>
      <c r="AS27" s="172" t="str">
        <f t="shared" si="10"/>
        <v/>
      </c>
      <c r="AT27" s="36">
        <f t="shared" si="11"/>
        <v>0</v>
      </c>
      <c r="AU27" s="173"/>
      <c r="AV27" s="82">
        <f t="shared" si="12"/>
        <v>23</v>
      </c>
      <c r="AW27" s="37"/>
      <c r="AX27" s="174" t="str">
        <f t="shared" si="13"/>
        <v/>
      </c>
      <c r="AY27" s="37"/>
      <c r="AZ27" s="174" t="str">
        <f t="shared" si="14"/>
        <v/>
      </c>
      <c r="BA27" s="37"/>
      <c r="BB27" s="174" t="str">
        <f t="shared" si="15"/>
        <v/>
      </c>
      <c r="BC27" s="37"/>
      <c r="BD27" s="174" t="str">
        <f t="shared" si="16"/>
        <v/>
      </c>
      <c r="BE27" s="37"/>
      <c r="BF27" s="174" t="str">
        <f t="shared" si="17"/>
        <v/>
      </c>
      <c r="BG27" s="37"/>
      <c r="BH27" s="174" t="str">
        <f t="shared" si="18"/>
        <v/>
      </c>
      <c r="BI27" s="37"/>
      <c r="BJ27" s="174" t="str">
        <f t="shared" si="19"/>
        <v/>
      </c>
      <c r="BK27" s="37"/>
      <c r="BL27" s="174" t="str">
        <f t="shared" si="20"/>
        <v/>
      </c>
      <c r="BM27" s="37"/>
      <c r="BN27" s="174" t="str">
        <f t="shared" si="21"/>
        <v/>
      </c>
      <c r="BO27" s="37"/>
      <c r="BP27" s="174" t="str">
        <f t="shared" si="22"/>
        <v/>
      </c>
      <c r="BQ27" s="37"/>
      <c r="BR27" s="174" t="str">
        <f t="shared" si="23"/>
        <v/>
      </c>
      <c r="BS27" s="37"/>
      <c r="BT27" s="174" t="str">
        <f t="shared" si="24"/>
        <v/>
      </c>
      <c r="BU27" s="37"/>
      <c r="BV27" s="174" t="str">
        <f t="shared" si="25"/>
        <v/>
      </c>
      <c r="BW27" s="37"/>
      <c r="BX27" s="174" t="str">
        <f t="shared" si="26"/>
        <v/>
      </c>
      <c r="BY27" s="37"/>
      <c r="BZ27" s="174" t="str">
        <f t="shared" si="27"/>
        <v/>
      </c>
      <c r="CA27" s="37"/>
      <c r="CB27" s="174" t="str">
        <f t="shared" si="28"/>
        <v/>
      </c>
      <c r="CC27" s="37"/>
      <c r="CD27" s="174" t="str">
        <f t="shared" si="29"/>
        <v/>
      </c>
      <c r="CE27" s="37"/>
      <c r="CF27" s="174" t="str">
        <f t="shared" si="30"/>
        <v/>
      </c>
      <c r="CG27" s="37"/>
      <c r="CH27" s="174" t="str">
        <f t="shared" si="31"/>
        <v/>
      </c>
      <c r="CI27" s="37"/>
      <c r="CJ27" s="174" t="str">
        <f t="shared" si="32"/>
        <v/>
      </c>
      <c r="CK27" s="37"/>
      <c r="CL27" s="174" t="str">
        <f t="shared" si="33"/>
        <v/>
      </c>
      <c r="CM27" s="37"/>
      <c r="CN27" s="174" t="str">
        <f t="shared" si="34"/>
        <v/>
      </c>
      <c r="CO27" s="37"/>
      <c r="CP27" s="174" t="str">
        <f t="shared" si="35"/>
        <v/>
      </c>
      <c r="CQ27" s="37"/>
      <c r="CR27" s="174" t="str">
        <f t="shared" si="36"/>
        <v/>
      </c>
      <c r="CS27" s="37"/>
      <c r="CT27" s="174" t="str">
        <f t="shared" si="37"/>
        <v/>
      </c>
      <c r="CU27" s="38"/>
      <c r="CV27" s="87"/>
      <c r="CW27" s="90"/>
      <c r="CX27" s="38"/>
      <c r="CY27" s="39"/>
      <c r="CZ27" s="37"/>
      <c r="DA27" s="39"/>
      <c r="DB27" s="24">
        <v>23</v>
      </c>
      <c r="DC27" s="96" t="str">
        <f t="shared" si="38"/>
        <v>金</v>
      </c>
      <c r="DF27" s="125"/>
      <c r="DG27" s="40"/>
      <c r="DH27" s="40"/>
      <c r="DI27" s="40"/>
      <c r="DJ27" s="40"/>
      <c r="DK27" s="40"/>
      <c r="DL27" s="40"/>
      <c r="DM27" s="40"/>
      <c r="DN27" s="40"/>
      <c r="DO27" s="40"/>
      <c r="DP27" s="40">
        <f t="shared" si="39"/>
        <v>0</v>
      </c>
      <c r="DQ27" s="172" t="str">
        <f t="shared" si="40"/>
        <v/>
      </c>
      <c r="DS27" s="189"/>
      <c r="DT27" s="190"/>
      <c r="DU27" s="190"/>
      <c r="DV27" s="191"/>
      <c r="DW27" s="41"/>
      <c r="DX27" s="42"/>
    </row>
    <row r="28" spans="1:128" ht="13.5" customHeight="1" x14ac:dyDescent="0.4">
      <c r="A28" s="104">
        <v>24</v>
      </c>
      <c r="B28" s="23" t="s">
        <v>88</v>
      </c>
      <c r="C28" s="164"/>
      <c r="D28" s="164"/>
      <c r="E28" s="24"/>
      <c r="F28" s="29"/>
      <c r="G28" s="25" t="str">
        <f>IF(SUM($F$5:F28)=0,"",SUM($F$5:F28))</f>
        <v/>
      </c>
      <c r="H28" s="43" t="str">
        <f t="shared" si="0"/>
        <v/>
      </c>
      <c r="I28" s="148" t="e">
        <f t="array" aca="1" ref="I28" ca="1">IF($A29="",$G28/($V28-$U$5+INDIRECT(IF(_xlfn.SHEET()&lt;6,"令和8年"&amp;_xlfn.SHEET()+7&amp;"月","令和9年"&amp;_xlfn.SHEET()-5&amp;"月")&amp;"!$U$5")),$G28/($V29-$U$5))</f>
        <v>#VALUE!</v>
      </c>
      <c r="J28" s="26" t="str">
        <f t="shared" si="1"/>
        <v/>
      </c>
      <c r="K28" s="27"/>
      <c r="L28" s="165">
        <f t="shared" si="2"/>
        <v>0</v>
      </c>
      <c r="M28" s="28" t="str">
        <f t="shared" si="3"/>
        <v/>
      </c>
      <c r="N28" s="166" t="str">
        <f t="shared" si="4"/>
        <v/>
      </c>
      <c r="O28" s="167" t="str">
        <f t="shared" si="5"/>
        <v/>
      </c>
      <c r="P28" s="168"/>
      <c r="Q28" s="169" t="str">
        <f t="shared" si="6"/>
        <v/>
      </c>
      <c r="R28" s="170">
        <v>21</v>
      </c>
      <c r="S28" s="171">
        <v>5</v>
      </c>
      <c r="T28" s="24" t="s">
        <v>93</v>
      </c>
      <c r="U28" s="29">
        <v>213394</v>
      </c>
      <c r="V28" s="30">
        <f t="shared" si="41"/>
        <v>6443401</v>
      </c>
      <c r="W28" s="27">
        <v>146</v>
      </c>
      <c r="X28" s="31">
        <f t="shared" si="7"/>
        <v>1461.6027397260275</v>
      </c>
      <c r="Y28" s="29">
        <v>169319</v>
      </c>
      <c r="Z28" s="32">
        <f t="shared" si="42"/>
        <v>6166487</v>
      </c>
      <c r="AA28" s="33">
        <f t="shared" si="8"/>
        <v>1.0449062813235477</v>
      </c>
      <c r="AB28" s="158">
        <v>630000</v>
      </c>
      <c r="AC28" s="34">
        <f t="shared" si="43"/>
        <v>7980000</v>
      </c>
      <c r="AD28" s="158"/>
      <c r="AE28" s="25"/>
      <c r="AF28" s="25"/>
      <c r="AG28" s="25"/>
      <c r="AH28" s="25"/>
      <c r="AI28" s="25"/>
      <c r="AJ28" s="25"/>
      <c r="AK28" s="25"/>
      <c r="AL28" s="158"/>
      <c r="AM28" s="25"/>
      <c r="AN28" s="158"/>
      <c r="AO28" s="25"/>
      <c r="AP28" s="25"/>
      <c r="AQ28" s="158"/>
      <c r="AR28" s="35">
        <f t="shared" si="9"/>
        <v>0</v>
      </c>
      <c r="AS28" s="172" t="str">
        <f t="shared" si="10"/>
        <v/>
      </c>
      <c r="AT28" s="36">
        <f t="shared" si="11"/>
        <v>0</v>
      </c>
      <c r="AU28" s="173"/>
      <c r="AV28" s="82">
        <f t="shared" si="12"/>
        <v>24</v>
      </c>
      <c r="AW28" s="37"/>
      <c r="AX28" s="174" t="str">
        <f t="shared" si="13"/>
        <v/>
      </c>
      <c r="AY28" s="37"/>
      <c r="AZ28" s="174" t="str">
        <f t="shared" si="14"/>
        <v/>
      </c>
      <c r="BA28" s="37"/>
      <c r="BB28" s="174" t="str">
        <f t="shared" si="15"/>
        <v/>
      </c>
      <c r="BC28" s="37"/>
      <c r="BD28" s="174" t="str">
        <f t="shared" si="16"/>
        <v/>
      </c>
      <c r="BE28" s="37"/>
      <c r="BF28" s="174" t="str">
        <f t="shared" si="17"/>
        <v/>
      </c>
      <c r="BG28" s="37"/>
      <c r="BH28" s="174" t="str">
        <f t="shared" si="18"/>
        <v/>
      </c>
      <c r="BI28" s="37"/>
      <c r="BJ28" s="174" t="str">
        <f t="shared" si="19"/>
        <v/>
      </c>
      <c r="BK28" s="37"/>
      <c r="BL28" s="174" t="str">
        <f t="shared" si="20"/>
        <v/>
      </c>
      <c r="BM28" s="37"/>
      <c r="BN28" s="174" t="str">
        <f t="shared" si="21"/>
        <v/>
      </c>
      <c r="BO28" s="37"/>
      <c r="BP28" s="174" t="str">
        <f t="shared" si="22"/>
        <v/>
      </c>
      <c r="BQ28" s="37"/>
      <c r="BR28" s="174" t="str">
        <f t="shared" si="23"/>
        <v/>
      </c>
      <c r="BS28" s="37"/>
      <c r="BT28" s="174" t="str">
        <f t="shared" si="24"/>
        <v/>
      </c>
      <c r="BU28" s="37"/>
      <c r="BV28" s="174" t="str">
        <f t="shared" si="25"/>
        <v/>
      </c>
      <c r="BW28" s="37"/>
      <c r="BX28" s="174" t="str">
        <f t="shared" si="26"/>
        <v/>
      </c>
      <c r="BY28" s="37"/>
      <c r="BZ28" s="174" t="str">
        <f t="shared" si="27"/>
        <v/>
      </c>
      <c r="CA28" s="37"/>
      <c r="CB28" s="174" t="str">
        <f t="shared" si="28"/>
        <v/>
      </c>
      <c r="CC28" s="37"/>
      <c r="CD28" s="174" t="str">
        <f t="shared" si="29"/>
        <v/>
      </c>
      <c r="CE28" s="37"/>
      <c r="CF28" s="174" t="str">
        <f t="shared" si="30"/>
        <v/>
      </c>
      <c r="CG28" s="37"/>
      <c r="CH28" s="174" t="str">
        <f t="shared" si="31"/>
        <v/>
      </c>
      <c r="CI28" s="37"/>
      <c r="CJ28" s="174" t="str">
        <f t="shared" si="32"/>
        <v/>
      </c>
      <c r="CK28" s="37"/>
      <c r="CL28" s="174" t="str">
        <f t="shared" si="33"/>
        <v/>
      </c>
      <c r="CM28" s="37"/>
      <c r="CN28" s="174" t="str">
        <f t="shared" si="34"/>
        <v/>
      </c>
      <c r="CO28" s="37"/>
      <c r="CP28" s="174" t="str">
        <f t="shared" si="35"/>
        <v/>
      </c>
      <c r="CQ28" s="37"/>
      <c r="CR28" s="174" t="str">
        <f t="shared" si="36"/>
        <v/>
      </c>
      <c r="CS28" s="37"/>
      <c r="CT28" s="174" t="str">
        <f t="shared" si="37"/>
        <v/>
      </c>
      <c r="CU28" s="38"/>
      <c r="CV28" s="87"/>
      <c r="CW28" s="90"/>
      <c r="CX28" s="38"/>
      <c r="CY28" s="39"/>
      <c r="CZ28" s="37"/>
      <c r="DA28" s="39"/>
      <c r="DB28" s="24">
        <v>24</v>
      </c>
      <c r="DC28" s="96" t="str">
        <f t="shared" si="38"/>
        <v>土</v>
      </c>
      <c r="DF28" s="125"/>
      <c r="DG28" s="40"/>
      <c r="DH28" s="40"/>
      <c r="DI28" s="40"/>
      <c r="DJ28" s="40"/>
      <c r="DK28" s="40"/>
      <c r="DL28" s="40"/>
      <c r="DM28" s="40"/>
      <c r="DN28" s="40"/>
      <c r="DO28" s="40"/>
      <c r="DP28" s="40">
        <f t="shared" si="39"/>
        <v>0</v>
      </c>
      <c r="DQ28" s="172" t="str">
        <f t="shared" si="40"/>
        <v/>
      </c>
      <c r="DS28" s="189"/>
      <c r="DT28" s="190"/>
      <c r="DU28" s="190"/>
      <c r="DV28" s="191"/>
      <c r="DW28" s="138"/>
      <c r="DX28" s="42"/>
    </row>
    <row r="29" spans="1:128" ht="13.5" customHeight="1" x14ac:dyDescent="0.4">
      <c r="A29" s="104">
        <v>25</v>
      </c>
      <c r="B29" s="23" t="s">
        <v>89</v>
      </c>
      <c r="C29" s="164"/>
      <c r="D29" s="164"/>
      <c r="E29" s="24"/>
      <c r="F29" s="29"/>
      <c r="G29" s="25" t="str">
        <f>IF(SUM($F$5:F29)=0,"",SUM($F$5:F29))</f>
        <v/>
      </c>
      <c r="H29" s="43" t="str">
        <f t="shared" si="0"/>
        <v/>
      </c>
      <c r="I29" s="148" t="e">
        <f t="array" aca="1" ref="I29" ca="1">IF($A30="",$G29/($V29-$U$5+INDIRECT(IF(_xlfn.SHEET()&lt;6,"令和8年"&amp;_xlfn.SHEET()+7&amp;"月","令和9年"&amp;_xlfn.SHEET()-5&amp;"月")&amp;"!$U$5")),$G29/($V30-$U$5))</f>
        <v>#VALUE!</v>
      </c>
      <c r="J29" s="26" t="str">
        <f t="shared" si="1"/>
        <v/>
      </c>
      <c r="K29" s="27"/>
      <c r="L29" s="165">
        <f t="shared" si="2"/>
        <v>0</v>
      </c>
      <c r="M29" s="28" t="str">
        <f t="shared" si="3"/>
        <v/>
      </c>
      <c r="N29" s="166" t="str">
        <f t="shared" si="4"/>
        <v/>
      </c>
      <c r="O29" s="167" t="str">
        <f t="shared" si="5"/>
        <v/>
      </c>
      <c r="P29" s="168"/>
      <c r="Q29" s="169" t="str">
        <f t="shared" si="6"/>
        <v/>
      </c>
      <c r="R29" s="170">
        <v>24</v>
      </c>
      <c r="S29" s="171">
        <v>18</v>
      </c>
      <c r="T29" s="24" t="s">
        <v>84</v>
      </c>
      <c r="U29" s="29">
        <v>709862</v>
      </c>
      <c r="V29" s="30">
        <f t="shared" si="41"/>
        <v>7153263</v>
      </c>
      <c r="W29" s="27">
        <v>374</v>
      </c>
      <c r="X29" s="31">
        <f t="shared" si="7"/>
        <v>1898.0267379679144</v>
      </c>
      <c r="Y29" s="29">
        <v>159368</v>
      </c>
      <c r="Z29" s="32">
        <f t="shared" si="42"/>
        <v>6325855</v>
      </c>
      <c r="AA29" s="33">
        <f t="shared" si="8"/>
        <v>1.1307978131019443</v>
      </c>
      <c r="AB29" s="158">
        <v>630000</v>
      </c>
      <c r="AC29" s="34">
        <f t="shared" si="43"/>
        <v>8610000</v>
      </c>
      <c r="AD29" s="158"/>
      <c r="AE29" s="25"/>
      <c r="AF29" s="25"/>
      <c r="AG29" s="25"/>
      <c r="AH29" s="25"/>
      <c r="AI29" s="25"/>
      <c r="AJ29" s="25"/>
      <c r="AK29" s="25"/>
      <c r="AL29" s="158"/>
      <c r="AM29" s="25"/>
      <c r="AN29" s="158"/>
      <c r="AO29" s="25"/>
      <c r="AP29" s="25"/>
      <c r="AQ29" s="158"/>
      <c r="AR29" s="35">
        <f t="shared" si="9"/>
        <v>0</v>
      </c>
      <c r="AS29" s="172" t="str">
        <f t="shared" si="10"/>
        <v/>
      </c>
      <c r="AT29" s="36">
        <f t="shared" si="11"/>
        <v>0</v>
      </c>
      <c r="AU29" s="173"/>
      <c r="AV29" s="82">
        <f t="shared" si="12"/>
        <v>25</v>
      </c>
      <c r="AW29" s="37"/>
      <c r="AX29" s="174" t="str">
        <f t="shared" si="13"/>
        <v/>
      </c>
      <c r="AY29" s="37"/>
      <c r="AZ29" s="174" t="str">
        <f t="shared" si="14"/>
        <v/>
      </c>
      <c r="BA29" s="37"/>
      <c r="BB29" s="174" t="str">
        <f t="shared" si="15"/>
        <v/>
      </c>
      <c r="BC29" s="37"/>
      <c r="BD29" s="174" t="str">
        <f t="shared" si="16"/>
        <v/>
      </c>
      <c r="BE29" s="37"/>
      <c r="BF29" s="174" t="str">
        <f t="shared" si="17"/>
        <v/>
      </c>
      <c r="BG29" s="37"/>
      <c r="BH29" s="174" t="str">
        <f t="shared" si="18"/>
        <v/>
      </c>
      <c r="BI29" s="37"/>
      <c r="BJ29" s="174" t="str">
        <f t="shared" si="19"/>
        <v/>
      </c>
      <c r="BK29" s="37"/>
      <c r="BL29" s="174" t="str">
        <f t="shared" si="20"/>
        <v/>
      </c>
      <c r="BM29" s="37"/>
      <c r="BN29" s="174" t="str">
        <f t="shared" si="21"/>
        <v/>
      </c>
      <c r="BO29" s="37"/>
      <c r="BP29" s="174" t="str">
        <f t="shared" si="22"/>
        <v/>
      </c>
      <c r="BQ29" s="37"/>
      <c r="BR29" s="174" t="str">
        <f t="shared" si="23"/>
        <v/>
      </c>
      <c r="BS29" s="37"/>
      <c r="BT29" s="174" t="str">
        <f t="shared" si="24"/>
        <v/>
      </c>
      <c r="BU29" s="37"/>
      <c r="BV29" s="174" t="str">
        <f t="shared" si="25"/>
        <v/>
      </c>
      <c r="BW29" s="37"/>
      <c r="BX29" s="174" t="str">
        <f t="shared" si="26"/>
        <v/>
      </c>
      <c r="BY29" s="37"/>
      <c r="BZ29" s="174" t="str">
        <f t="shared" si="27"/>
        <v/>
      </c>
      <c r="CA29" s="37"/>
      <c r="CB29" s="174" t="str">
        <f t="shared" si="28"/>
        <v/>
      </c>
      <c r="CC29" s="37"/>
      <c r="CD29" s="174" t="str">
        <f t="shared" si="29"/>
        <v/>
      </c>
      <c r="CE29" s="37"/>
      <c r="CF29" s="174" t="str">
        <f t="shared" si="30"/>
        <v/>
      </c>
      <c r="CG29" s="37"/>
      <c r="CH29" s="174" t="str">
        <f t="shared" si="31"/>
        <v/>
      </c>
      <c r="CI29" s="37"/>
      <c r="CJ29" s="174" t="str">
        <f t="shared" si="32"/>
        <v/>
      </c>
      <c r="CK29" s="37"/>
      <c r="CL29" s="174" t="str">
        <f t="shared" si="33"/>
        <v/>
      </c>
      <c r="CM29" s="37"/>
      <c r="CN29" s="174" t="str">
        <f t="shared" si="34"/>
        <v/>
      </c>
      <c r="CO29" s="37"/>
      <c r="CP29" s="174" t="str">
        <f t="shared" si="35"/>
        <v/>
      </c>
      <c r="CQ29" s="37"/>
      <c r="CR29" s="174" t="str">
        <f t="shared" si="36"/>
        <v/>
      </c>
      <c r="CS29" s="37"/>
      <c r="CT29" s="174" t="str">
        <f t="shared" si="37"/>
        <v/>
      </c>
      <c r="CU29" s="38"/>
      <c r="CV29" s="87"/>
      <c r="CW29" s="90"/>
      <c r="CX29" s="38"/>
      <c r="CY29" s="39"/>
      <c r="CZ29" s="37"/>
      <c r="DA29" s="39"/>
      <c r="DB29" s="24">
        <v>25</v>
      </c>
      <c r="DC29" s="96" t="str">
        <f t="shared" si="38"/>
        <v>日</v>
      </c>
      <c r="DF29" s="125"/>
      <c r="DG29" s="40"/>
      <c r="DH29" s="40"/>
      <c r="DI29" s="40"/>
      <c r="DJ29" s="40"/>
      <c r="DK29" s="40"/>
      <c r="DL29" s="40"/>
      <c r="DM29" s="40"/>
      <c r="DN29" s="40"/>
      <c r="DO29" s="40"/>
      <c r="DP29" s="40">
        <f t="shared" si="39"/>
        <v>0</v>
      </c>
      <c r="DQ29" s="172" t="str">
        <f t="shared" si="40"/>
        <v/>
      </c>
      <c r="DS29" s="189"/>
      <c r="DT29" s="190"/>
      <c r="DU29" s="190"/>
      <c r="DV29" s="191"/>
      <c r="DW29" s="41"/>
      <c r="DX29" s="42"/>
    </row>
    <row r="30" spans="1:128" ht="13.5" customHeight="1" x14ac:dyDescent="0.4">
      <c r="A30" s="104">
        <v>26</v>
      </c>
      <c r="B30" s="141" t="s">
        <v>90</v>
      </c>
      <c r="C30" s="164"/>
      <c r="D30" s="164"/>
      <c r="E30" s="24"/>
      <c r="F30" s="29"/>
      <c r="G30" s="25" t="str">
        <f>IF(SUM($F$5:F30)=0,"",SUM($F$5:F30))</f>
        <v/>
      </c>
      <c r="H30" s="43" t="str">
        <f t="shared" si="0"/>
        <v/>
      </c>
      <c r="I30" s="148" t="e">
        <f t="array" aca="1" ref="I30" ca="1">IF($A31="",$G30/($V30-$U$5+INDIRECT(IF(_xlfn.SHEET()&lt;6,"令和8年"&amp;_xlfn.SHEET()+7&amp;"月","令和9年"&amp;_xlfn.SHEET()-5&amp;"月")&amp;"!$U$5")),$G30/($V31-$U$5))</f>
        <v>#VALUE!</v>
      </c>
      <c r="J30" s="26" t="str">
        <f t="shared" si="1"/>
        <v/>
      </c>
      <c r="K30" s="27"/>
      <c r="L30" s="165">
        <f t="shared" si="2"/>
        <v>0</v>
      </c>
      <c r="M30" s="28" t="str">
        <f t="shared" si="3"/>
        <v/>
      </c>
      <c r="N30" s="166" t="str">
        <f t="shared" si="4"/>
        <v/>
      </c>
      <c r="O30" s="167" t="str">
        <f t="shared" si="5"/>
        <v/>
      </c>
      <c r="P30" s="168"/>
      <c r="Q30" s="169" t="str">
        <f t="shared" si="6"/>
        <v/>
      </c>
      <c r="R30" s="170">
        <v>23</v>
      </c>
      <c r="S30" s="171">
        <v>11</v>
      </c>
      <c r="T30" s="24" t="s">
        <v>84</v>
      </c>
      <c r="U30" s="29">
        <v>816159</v>
      </c>
      <c r="V30" s="30">
        <f t="shared" si="41"/>
        <v>7969422</v>
      </c>
      <c r="W30" s="27">
        <v>488</v>
      </c>
      <c r="X30" s="31">
        <f t="shared" si="7"/>
        <v>1672.4569672131147</v>
      </c>
      <c r="Y30" s="29">
        <v>731830</v>
      </c>
      <c r="Z30" s="32">
        <f t="shared" si="42"/>
        <v>7057685</v>
      </c>
      <c r="AA30" s="33">
        <f t="shared" si="8"/>
        <v>1.1291835779012522</v>
      </c>
      <c r="AB30" s="158">
        <v>210000</v>
      </c>
      <c r="AC30" s="34">
        <f t="shared" si="43"/>
        <v>8820000</v>
      </c>
      <c r="AD30" s="158"/>
      <c r="AE30" s="25"/>
      <c r="AF30" s="25"/>
      <c r="AG30" s="25"/>
      <c r="AH30" s="25"/>
      <c r="AI30" s="25"/>
      <c r="AJ30" s="25"/>
      <c r="AK30" s="25"/>
      <c r="AL30" s="158"/>
      <c r="AM30" s="25"/>
      <c r="AN30" s="158"/>
      <c r="AO30" s="25"/>
      <c r="AP30" s="25"/>
      <c r="AQ30" s="158"/>
      <c r="AR30" s="35">
        <f t="shared" si="9"/>
        <v>0</v>
      </c>
      <c r="AS30" s="172" t="str">
        <f t="shared" si="10"/>
        <v/>
      </c>
      <c r="AT30" s="36">
        <f t="shared" si="11"/>
        <v>0</v>
      </c>
      <c r="AU30" s="173"/>
      <c r="AV30" s="82">
        <f t="shared" si="12"/>
        <v>26</v>
      </c>
      <c r="AW30" s="37"/>
      <c r="AX30" s="174" t="str">
        <f t="shared" si="13"/>
        <v/>
      </c>
      <c r="AY30" s="37"/>
      <c r="AZ30" s="174" t="str">
        <f t="shared" si="14"/>
        <v/>
      </c>
      <c r="BA30" s="37"/>
      <c r="BB30" s="174" t="str">
        <f t="shared" si="15"/>
        <v/>
      </c>
      <c r="BC30" s="37"/>
      <c r="BD30" s="174" t="str">
        <f t="shared" si="16"/>
        <v/>
      </c>
      <c r="BE30" s="37"/>
      <c r="BF30" s="174" t="str">
        <f t="shared" si="17"/>
        <v/>
      </c>
      <c r="BG30" s="37"/>
      <c r="BH30" s="174" t="str">
        <f t="shared" si="18"/>
        <v/>
      </c>
      <c r="BI30" s="37"/>
      <c r="BJ30" s="174" t="str">
        <f t="shared" si="19"/>
        <v/>
      </c>
      <c r="BK30" s="37"/>
      <c r="BL30" s="174" t="str">
        <f t="shared" si="20"/>
        <v/>
      </c>
      <c r="BM30" s="37"/>
      <c r="BN30" s="174" t="str">
        <f t="shared" si="21"/>
        <v/>
      </c>
      <c r="BO30" s="37"/>
      <c r="BP30" s="174" t="str">
        <f t="shared" si="22"/>
        <v/>
      </c>
      <c r="BQ30" s="37"/>
      <c r="BR30" s="174" t="str">
        <f t="shared" si="23"/>
        <v/>
      </c>
      <c r="BS30" s="37"/>
      <c r="BT30" s="174" t="str">
        <f t="shared" si="24"/>
        <v/>
      </c>
      <c r="BU30" s="37"/>
      <c r="BV30" s="174" t="str">
        <f t="shared" si="25"/>
        <v/>
      </c>
      <c r="BW30" s="37"/>
      <c r="BX30" s="174" t="str">
        <f t="shared" si="26"/>
        <v/>
      </c>
      <c r="BY30" s="37"/>
      <c r="BZ30" s="174" t="str">
        <f t="shared" si="27"/>
        <v/>
      </c>
      <c r="CA30" s="37"/>
      <c r="CB30" s="174" t="str">
        <f t="shared" si="28"/>
        <v/>
      </c>
      <c r="CC30" s="37"/>
      <c r="CD30" s="174" t="str">
        <f t="shared" si="29"/>
        <v/>
      </c>
      <c r="CE30" s="37"/>
      <c r="CF30" s="174" t="str">
        <f t="shared" si="30"/>
        <v/>
      </c>
      <c r="CG30" s="37"/>
      <c r="CH30" s="174" t="str">
        <f t="shared" si="31"/>
        <v/>
      </c>
      <c r="CI30" s="37"/>
      <c r="CJ30" s="174" t="str">
        <f t="shared" si="32"/>
        <v/>
      </c>
      <c r="CK30" s="37"/>
      <c r="CL30" s="174" t="str">
        <f t="shared" si="33"/>
        <v/>
      </c>
      <c r="CM30" s="37"/>
      <c r="CN30" s="174" t="str">
        <f t="shared" si="34"/>
        <v/>
      </c>
      <c r="CO30" s="37"/>
      <c r="CP30" s="174" t="str">
        <f t="shared" si="35"/>
        <v/>
      </c>
      <c r="CQ30" s="37"/>
      <c r="CR30" s="174" t="str">
        <f t="shared" si="36"/>
        <v/>
      </c>
      <c r="CS30" s="37"/>
      <c r="CT30" s="174" t="str">
        <f t="shared" si="37"/>
        <v/>
      </c>
      <c r="CU30" s="38"/>
      <c r="CV30" s="87"/>
      <c r="CW30" s="90"/>
      <c r="CX30" s="38"/>
      <c r="CY30" s="39"/>
      <c r="CZ30" s="37"/>
      <c r="DA30" s="39"/>
      <c r="DB30" s="24">
        <v>26</v>
      </c>
      <c r="DC30" s="96" t="str">
        <f t="shared" si="38"/>
        <v>月</v>
      </c>
      <c r="DF30" s="125"/>
      <c r="DG30" s="40"/>
      <c r="DH30" s="40"/>
      <c r="DI30" s="40"/>
      <c r="DJ30" s="40"/>
      <c r="DK30" s="40"/>
      <c r="DL30" s="40"/>
      <c r="DM30" s="40"/>
      <c r="DN30" s="40"/>
      <c r="DO30" s="40"/>
      <c r="DP30" s="40">
        <f t="shared" si="39"/>
        <v>0</v>
      </c>
      <c r="DQ30" s="172" t="str">
        <f t="shared" si="40"/>
        <v/>
      </c>
      <c r="DS30" s="189"/>
      <c r="DT30" s="190"/>
      <c r="DU30" s="190"/>
      <c r="DV30" s="191"/>
      <c r="DW30" s="41"/>
      <c r="DX30" s="42"/>
    </row>
    <row r="31" spans="1:128" ht="13.5" customHeight="1" x14ac:dyDescent="0.4">
      <c r="A31" s="104">
        <v>27</v>
      </c>
      <c r="B31" s="23" t="s">
        <v>91</v>
      </c>
      <c r="C31" s="164"/>
      <c r="D31" s="164"/>
      <c r="E31" s="24"/>
      <c r="F31" s="29"/>
      <c r="G31" s="25" t="str">
        <f>IF(SUM($F$5:F31)=0,"",SUM($F$5:F31))</f>
        <v/>
      </c>
      <c r="H31" s="43" t="str">
        <f t="shared" si="0"/>
        <v/>
      </c>
      <c r="I31" s="148" t="e">
        <f t="array" aca="1" ref="I31" ca="1">IF($A32="",$G31/($V31-$U$5+INDIRECT(IF(_xlfn.SHEET()&lt;6,"令和8年"&amp;_xlfn.SHEET()+7&amp;"月","令和9年"&amp;_xlfn.SHEET()-5&amp;"月")&amp;"!$U$5")),$G31/($V32-$U$5))</f>
        <v>#VALUE!</v>
      </c>
      <c r="J31" s="26" t="str">
        <f t="shared" si="1"/>
        <v/>
      </c>
      <c r="K31" s="27"/>
      <c r="L31" s="165">
        <f t="shared" si="2"/>
        <v>0</v>
      </c>
      <c r="M31" s="28" t="str">
        <f t="shared" si="3"/>
        <v/>
      </c>
      <c r="N31" s="166" t="str">
        <f t="shared" si="4"/>
        <v/>
      </c>
      <c r="O31" s="167" t="str">
        <f t="shared" si="5"/>
        <v/>
      </c>
      <c r="P31" s="168"/>
      <c r="Q31" s="169" t="str">
        <f t="shared" si="6"/>
        <v/>
      </c>
      <c r="R31" s="170">
        <v>21</v>
      </c>
      <c r="S31" s="171">
        <v>9</v>
      </c>
      <c r="T31" s="24" t="s">
        <v>137</v>
      </c>
      <c r="U31" s="29">
        <v>188929</v>
      </c>
      <c r="V31" s="30">
        <f t="shared" si="41"/>
        <v>8158351</v>
      </c>
      <c r="W31" s="27">
        <v>133</v>
      </c>
      <c r="X31" s="31">
        <f t="shared" si="7"/>
        <v>1420.5187969924812</v>
      </c>
      <c r="Y31" s="29">
        <v>719404</v>
      </c>
      <c r="Z31" s="32">
        <f t="shared" si="42"/>
        <v>7777089</v>
      </c>
      <c r="AA31" s="33">
        <f t="shared" si="8"/>
        <v>1.0490237414024708</v>
      </c>
      <c r="AB31" s="158">
        <v>210000</v>
      </c>
      <c r="AC31" s="34">
        <f t="shared" si="43"/>
        <v>9030000</v>
      </c>
      <c r="AD31" s="158"/>
      <c r="AE31" s="25"/>
      <c r="AF31" s="25"/>
      <c r="AG31" s="25"/>
      <c r="AH31" s="25"/>
      <c r="AI31" s="25"/>
      <c r="AJ31" s="25"/>
      <c r="AK31" s="25"/>
      <c r="AL31" s="158"/>
      <c r="AM31" s="25"/>
      <c r="AN31" s="158"/>
      <c r="AO31" s="25"/>
      <c r="AP31" s="25"/>
      <c r="AQ31" s="158"/>
      <c r="AR31" s="35">
        <f t="shared" si="9"/>
        <v>0</v>
      </c>
      <c r="AS31" s="172" t="str">
        <f t="shared" si="10"/>
        <v/>
      </c>
      <c r="AT31" s="36">
        <f t="shared" si="11"/>
        <v>0</v>
      </c>
      <c r="AU31" s="173"/>
      <c r="AV31" s="82">
        <f t="shared" si="12"/>
        <v>27</v>
      </c>
      <c r="AW31" s="37"/>
      <c r="AX31" s="174" t="str">
        <f t="shared" si="13"/>
        <v/>
      </c>
      <c r="AY31" s="37"/>
      <c r="AZ31" s="174" t="str">
        <f t="shared" si="14"/>
        <v/>
      </c>
      <c r="BA31" s="37"/>
      <c r="BB31" s="174" t="str">
        <f t="shared" si="15"/>
        <v/>
      </c>
      <c r="BC31" s="37"/>
      <c r="BD31" s="174" t="str">
        <f t="shared" si="16"/>
        <v/>
      </c>
      <c r="BE31" s="37"/>
      <c r="BF31" s="174" t="str">
        <f t="shared" si="17"/>
        <v/>
      </c>
      <c r="BG31" s="37"/>
      <c r="BH31" s="174" t="str">
        <f t="shared" si="18"/>
        <v/>
      </c>
      <c r="BI31" s="37"/>
      <c r="BJ31" s="174" t="str">
        <f t="shared" si="19"/>
        <v/>
      </c>
      <c r="BK31" s="37"/>
      <c r="BL31" s="174" t="str">
        <f t="shared" si="20"/>
        <v/>
      </c>
      <c r="BM31" s="37"/>
      <c r="BN31" s="174" t="str">
        <f t="shared" si="21"/>
        <v/>
      </c>
      <c r="BO31" s="37"/>
      <c r="BP31" s="174" t="str">
        <f t="shared" si="22"/>
        <v/>
      </c>
      <c r="BQ31" s="37"/>
      <c r="BR31" s="174" t="str">
        <f t="shared" si="23"/>
        <v/>
      </c>
      <c r="BS31" s="37"/>
      <c r="BT31" s="174" t="str">
        <f t="shared" si="24"/>
        <v/>
      </c>
      <c r="BU31" s="37"/>
      <c r="BV31" s="174" t="str">
        <f t="shared" si="25"/>
        <v/>
      </c>
      <c r="BW31" s="37"/>
      <c r="BX31" s="174" t="str">
        <f t="shared" si="26"/>
        <v/>
      </c>
      <c r="BY31" s="37"/>
      <c r="BZ31" s="174" t="str">
        <f t="shared" si="27"/>
        <v/>
      </c>
      <c r="CA31" s="37"/>
      <c r="CB31" s="174" t="str">
        <f t="shared" si="28"/>
        <v/>
      </c>
      <c r="CC31" s="37"/>
      <c r="CD31" s="174" t="str">
        <f t="shared" si="29"/>
        <v/>
      </c>
      <c r="CE31" s="37"/>
      <c r="CF31" s="174" t="str">
        <f t="shared" si="30"/>
        <v/>
      </c>
      <c r="CG31" s="37"/>
      <c r="CH31" s="174" t="str">
        <f t="shared" si="31"/>
        <v/>
      </c>
      <c r="CI31" s="37"/>
      <c r="CJ31" s="174" t="str">
        <f t="shared" si="32"/>
        <v/>
      </c>
      <c r="CK31" s="37"/>
      <c r="CL31" s="174" t="str">
        <f t="shared" si="33"/>
        <v/>
      </c>
      <c r="CM31" s="37"/>
      <c r="CN31" s="174" t="str">
        <f t="shared" si="34"/>
        <v/>
      </c>
      <c r="CO31" s="37"/>
      <c r="CP31" s="174" t="str">
        <f t="shared" si="35"/>
        <v/>
      </c>
      <c r="CQ31" s="37"/>
      <c r="CR31" s="174" t="str">
        <f t="shared" si="36"/>
        <v/>
      </c>
      <c r="CS31" s="37"/>
      <c r="CT31" s="174" t="str">
        <f t="shared" si="37"/>
        <v/>
      </c>
      <c r="CU31" s="38"/>
      <c r="CV31" s="87"/>
      <c r="CW31" s="90"/>
      <c r="CX31" s="38"/>
      <c r="CY31" s="39"/>
      <c r="CZ31" s="37"/>
      <c r="DA31" s="39"/>
      <c r="DB31" s="24">
        <v>27</v>
      </c>
      <c r="DC31" s="96" t="str">
        <f t="shared" si="38"/>
        <v>火</v>
      </c>
      <c r="DF31" s="125"/>
      <c r="DG31" s="40"/>
      <c r="DH31" s="40"/>
      <c r="DI31" s="40"/>
      <c r="DJ31" s="40"/>
      <c r="DK31" s="40"/>
      <c r="DL31" s="40"/>
      <c r="DM31" s="40"/>
      <c r="DN31" s="40"/>
      <c r="DO31" s="40"/>
      <c r="DP31" s="40">
        <f t="shared" si="39"/>
        <v>0</v>
      </c>
      <c r="DQ31" s="172" t="str">
        <f t="shared" si="40"/>
        <v/>
      </c>
      <c r="DS31" s="189"/>
      <c r="DT31" s="190"/>
      <c r="DU31" s="190"/>
      <c r="DV31" s="191"/>
      <c r="DW31" s="138"/>
      <c r="DX31" s="42"/>
    </row>
    <row r="32" spans="1:128" ht="13.5" customHeight="1" x14ac:dyDescent="0.4">
      <c r="A32" s="104">
        <v>28</v>
      </c>
      <c r="B32" s="23" t="s">
        <v>83</v>
      </c>
      <c r="C32" s="164"/>
      <c r="D32" s="164"/>
      <c r="E32" s="24"/>
      <c r="F32" s="29"/>
      <c r="G32" s="25" t="str">
        <f>IF(SUM($F$5:F32)=0,"",SUM($F$5:F32))</f>
        <v/>
      </c>
      <c r="H32" s="43" t="str">
        <f t="shared" si="0"/>
        <v/>
      </c>
      <c r="I32" s="148" t="e">
        <f t="array" aca="1" ref="I32" ca="1">IF($A33="",$G32/($V32-$U$5+INDIRECT(IF(_xlfn.SHEET()&lt;6,"令和8年"&amp;_xlfn.SHEET()+7&amp;"月","令和9年"&amp;_xlfn.SHEET()-5&amp;"月")&amp;"!$U$5")),$G32/($V33-$U$5))</f>
        <v>#VALUE!</v>
      </c>
      <c r="J32" s="26" t="str">
        <f t="shared" si="1"/>
        <v/>
      </c>
      <c r="K32" s="27"/>
      <c r="L32" s="165">
        <f t="shared" si="2"/>
        <v>0</v>
      </c>
      <c r="M32" s="28" t="str">
        <f t="shared" si="3"/>
        <v/>
      </c>
      <c r="N32" s="166" t="str">
        <f t="shared" si="4"/>
        <v/>
      </c>
      <c r="O32" s="167" t="str">
        <f t="shared" si="5"/>
        <v/>
      </c>
      <c r="P32" s="168"/>
      <c r="Q32" s="169" t="str">
        <f t="shared" si="6"/>
        <v/>
      </c>
      <c r="R32" s="170">
        <v>28</v>
      </c>
      <c r="S32" s="171">
        <v>12</v>
      </c>
      <c r="T32" s="24" t="s">
        <v>84</v>
      </c>
      <c r="U32" s="29">
        <v>137767</v>
      </c>
      <c r="V32" s="30">
        <f t="shared" si="41"/>
        <v>8296118</v>
      </c>
      <c r="W32" s="27">
        <v>112</v>
      </c>
      <c r="X32" s="31">
        <f t="shared" si="7"/>
        <v>1230.0625</v>
      </c>
      <c r="Y32" s="29">
        <v>166266</v>
      </c>
      <c r="Z32" s="32">
        <f t="shared" si="42"/>
        <v>7943355</v>
      </c>
      <c r="AA32" s="33">
        <f t="shared" si="8"/>
        <v>1.044409824312271</v>
      </c>
      <c r="AB32" s="158">
        <v>210000</v>
      </c>
      <c r="AC32" s="34">
        <f t="shared" si="43"/>
        <v>9240000</v>
      </c>
      <c r="AD32" s="158"/>
      <c r="AE32" s="25"/>
      <c r="AF32" s="25"/>
      <c r="AG32" s="25"/>
      <c r="AH32" s="25"/>
      <c r="AI32" s="25"/>
      <c r="AJ32" s="25"/>
      <c r="AK32" s="25"/>
      <c r="AL32" s="158"/>
      <c r="AM32" s="25"/>
      <c r="AN32" s="158"/>
      <c r="AO32" s="25"/>
      <c r="AP32" s="25"/>
      <c r="AQ32" s="158"/>
      <c r="AR32" s="35">
        <f t="shared" si="9"/>
        <v>0</v>
      </c>
      <c r="AS32" s="172" t="str">
        <f t="shared" si="10"/>
        <v/>
      </c>
      <c r="AT32" s="36">
        <f t="shared" si="11"/>
        <v>0</v>
      </c>
      <c r="AU32" s="173"/>
      <c r="AV32" s="82">
        <f t="shared" si="12"/>
        <v>28</v>
      </c>
      <c r="AW32" s="37"/>
      <c r="AX32" s="174" t="str">
        <f t="shared" si="13"/>
        <v/>
      </c>
      <c r="AY32" s="37"/>
      <c r="AZ32" s="174" t="str">
        <f t="shared" si="14"/>
        <v/>
      </c>
      <c r="BA32" s="37"/>
      <c r="BB32" s="174" t="str">
        <f t="shared" si="15"/>
        <v/>
      </c>
      <c r="BC32" s="37"/>
      <c r="BD32" s="174" t="str">
        <f t="shared" si="16"/>
        <v/>
      </c>
      <c r="BE32" s="37"/>
      <c r="BF32" s="174" t="str">
        <f t="shared" si="17"/>
        <v/>
      </c>
      <c r="BG32" s="37"/>
      <c r="BH32" s="174" t="str">
        <f t="shared" si="18"/>
        <v/>
      </c>
      <c r="BI32" s="37"/>
      <c r="BJ32" s="174" t="str">
        <f t="shared" si="19"/>
        <v/>
      </c>
      <c r="BK32" s="37"/>
      <c r="BL32" s="174" t="str">
        <f t="shared" si="20"/>
        <v/>
      </c>
      <c r="BM32" s="37"/>
      <c r="BN32" s="174" t="str">
        <f t="shared" si="21"/>
        <v/>
      </c>
      <c r="BO32" s="37"/>
      <c r="BP32" s="174" t="str">
        <f t="shared" si="22"/>
        <v/>
      </c>
      <c r="BQ32" s="37"/>
      <c r="BR32" s="174" t="str">
        <f t="shared" si="23"/>
        <v/>
      </c>
      <c r="BS32" s="37"/>
      <c r="BT32" s="174" t="str">
        <f t="shared" si="24"/>
        <v/>
      </c>
      <c r="BU32" s="37"/>
      <c r="BV32" s="174" t="str">
        <f t="shared" si="25"/>
        <v/>
      </c>
      <c r="BW32" s="37"/>
      <c r="BX32" s="174" t="str">
        <f t="shared" si="26"/>
        <v/>
      </c>
      <c r="BY32" s="37"/>
      <c r="BZ32" s="174" t="str">
        <f t="shared" si="27"/>
        <v/>
      </c>
      <c r="CA32" s="37"/>
      <c r="CB32" s="174" t="str">
        <f t="shared" si="28"/>
        <v/>
      </c>
      <c r="CC32" s="37"/>
      <c r="CD32" s="174" t="str">
        <f t="shared" si="29"/>
        <v/>
      </c>
      <c r="CE32" s="37"/>
      <c r="CF32" s="174" t="str">
        <f t="shared" si="30"/>
        <v/>
      </c>
      <c r="CG32" s="37"/>
      <c r="CH32" s="174" t="str">
        <f t="shared" si="31"/>
        <v/>
      </c>
      <c r="CI32" s="37"/>
      <c r="CJ32" s="174" t="str">
        <f t="shared" si="32"/>
        <v/>
      </c>
      <c r="CK32" s="37"/>
      <c r="CL32" s="174" t="str">
        <f t="shared" si="33"/>
        <v/>
      </c>
      <c r="CM32" s="37"/>
      <c r="CN32" s="174" t="str">
        <f t="shared" si="34"/>
        <v/>
      </c>
      <c r="CO32" s="37"/>
      <c r="CP32" s="174" t="str">
        <f t="shared" si="35"/>
        <v/>
      </c>
      <c r="CQ32" s="37"/>
      <c r="CR32" s="174" t="str">
        <f t="shared" si="36"/>
        <v/>
      </c>
      <c r="CS32" s="37"/>
      <c r="CT32" s="174" t="str">
        <f t="shared" si="37"/>
        <v/>
      </c>
      <c r="CU32" s="38"/>
      <c r="CV32" s="87"/>
      <c r="CW32" s="90"/>
      <c r="CX32" s="38"/>
      <c r="CY32" s="39"/>
      <c r="CZ32" s="37"/>
      <c r="DA32" s="39"/>
      <c r="DB32" s="24">
        <v>28</v>
      </c>
      <c r="DC32" s="96" t="str">
        <f t="shared" si="38"/>
        <v>水</v>
      </c>
      <c r="DF32" s="125"/>
      <c r="DG32" s="40"/>
      <c r="DH32" s="40"/>
      <c r="DI32" s="40"/>
      <c r="DJ32" s="40"/>
      <c r="DK32" s="40"/>
      <c r="DL32" s="40"/>
      <c r="DM32" s="40"/>
      <c r="DN32" s="40"/>
      <c r="DO32" s="40"/>
      <c r="DP32" s="40">
        <f t="shared" si="39"/>
        <v>0</v>
      </c>
      <c r="DQ32" s="172" t="str">
        <f t="shared" si="40"/>
        <v/>
      </c>
      <c r="DS32" s="189"/>
      <c r="DT32" s="190"/>
      <c r="DU32" s="190"/>
      <c r="DV32" s="191"/>
      <c r="DW32" s="41"/>
      <c r="DX32" s="42"/>
    </row>
    <row r="33" spans="1:128" ht="13.5" customHeight="1" x14ac:dyDescent="0.4">
      <c r="A33" s="104">
        <v>29</v>
      </c>
      <c r="B33" s="140" t="s">
        <v>85</v>
      </c>
      <c r="C33" s="164"/>
      <c r="D33" s="164"/>
      <c r="E33" s="24"/>
      <c r="F33" s="29"/>
      <c r="G33" s="25" t="str">
        <f>IF(SUM($F$5:F33)=0,"",SUM($F$5:F33))</f>
        <v/>
      </c>
      <c r="H33" s="43" t="str">
        <f t="shared" si="0"/>
        <v/>
      </c>
      <c r="I33" s="148" t="e">
        <f t="array" aca="1" ref="I33" ca="1">IF($A34="",$G33/($V33-$U$5+INDIRECT(IF(_xlfn.SHEET()&lt;6,"令和8年"&amp;_xlfn.SHEET()+7&amp;"月","令和9年"&amp;_xlfn.SHEET()-5&amp;"月")&amp;"!$U$5")),$G33/($V34-$U$5))</f>
        <v>#VALUE!</v>
      </c>
      <c r="J33" s="26" t="str">
        <f t="shared" si="1"/>
        <v/>
      </c>
      <c r="K33" s="27"/>
      <c r="L33" s="165">
        <f t="shared" si="2"/>
        <v>0</v>
      </c>
      <c r="M33" s="28" t="str">
        <f t="shared" si="3"/>
        <v/>
      </c>
      <c r="N33" s="166" t="str">
        <f t="shared" si="4"/>
        <v/>
      </c>
      <c r="O33" s="167" t="str">
        <f t="shared" si="5"/>
        <v/>
      </c>
      <c r="P33" s="168"/>
      <c r="Q33" s="169" t="str">
        <f t="shared" si="6"/>
        <v/>
      </c>
      <c r="R33" s="170">
        <v>20</v>
      </c>
      <c r="S33" s="171">
        <v>14</v>
      </c>
      <c r="T33" s="24" t="s">
        <v>93</v>
      </c>
      <c r="U33" s="29">
        <v>695395</v>
      </c>
      <c r="V33" s="30">
        <f t="shared" si="41"/>
        <v>8991513</v>
      </c>
      <c r="W33" s="27">
        <v>459</v>
      </c>
      <c r="X33" s="31">
        <f t="shared" si="7"/>
        <v>1515.0217864923748</v>
      </c>
      <c r="Y33" s="29">
        <v>743827</v>
      </c>
      <c r="Z33" s="32">
        <f t="shared" si="42"/>
        <v>8687182</v>
      </c>
      <c r="AA33" s="33">
        <f t="shared" si="8"/>
        <v>1.0350321888041485</v>
      </c>
      <c r="AB33" s="158">
        <v>210000</v>
      </c>
      <c r="AC33" s="34">
        <f t="shared" si="43"/>
        <v>9450000</v>
      </c>
      <c r="AD33" s="158"/>
      <c r="AE33" s="25"/>
      <c r="AF33" s="25"/>
      <c r="AG33" s="25"/>
      <c r="AH33" s="25"/>
      <c r="AI33" s="25"/>
      <c r="AJ33" s="25"/>
      <c r="AK33" s="25"/>
      <c r="AL33" s="158"/>
      <c r="AM33" s="25"/>
      <c r="AN33" s="158"/>
      <c r="AO33" s="25"/>
      <c r="AP33" s="25"/>
      <c r="AQ33" s="158"/>
      <c r="AR33" s="35">
        <f t="shared" si="9"/>
        <v>0</v>
      </c>
      <c r="AS33" s="172" t="str">
        <f t="shared" si="10"/>
        <v/>
      </c>
      <c r="AT33" s="36">
        <f t="shared" si="11"/>
        <v>0</v>
      </c>
      <c r="AU33" s="173"/>
      <c r="AV33" s="82">
        <f t="shared" si="12"/>
        <v>29</v>
      </c>
      <c r="AW33" s="37"/>
      <c r="AX33" s="174" t="str">
        <f t="shared" si="13"/>
        <v/>
      </c>
      <c r="AY33" s="37"/>
      <c r="AZ33" s="174" t="str">
        <f t="shared" si="14"/>
        <v/>
      </c>
      <c r="BA33" s="37"/>
      <c r="BB33" s="174" t="str">
        <f t="shared" si="15"/>
        <v/>
      </c>
      <c r="BC33" s="37"/>
      <c r="BD33" s="174" t="str">
        <f t="shared" si="16"/>
        <v/>
      </c>
      <c r="BE33" s="37"/>
      <c r="BF33" s="174" t="str">
        <f t="shared" si="17"/>
        <v/>
      </c>
      <c r="BG33" s="37"/>
      <c r="BH33" s="174" t="str">
        <f t="shared" si="18"/>
        <v/>
      </c>
      <c r="BI33" s="37"/>
      <c r="BJ33" s="174" t="str">
        <f t="shared" si="19"/>
        <v/>
      </c>
      <c r="BK33" s="37"/>
      <c r="BL33" s="174" t="str">
        <f t="shared" si="20"/>
        <v/>
      </c>
      <c r="BM33" s="37"/>
      <c r="BN33" s="174" t="str">
        <f t="shared" si="21"/>
        <v/>
      </c>
      <c r="BO33" s="37"/>
      <c r="BP33" s="174" t="str">
        <f t="shared" si="22"/>
        <v/>
      </c>
      <c r="BQ33" s="37"/>
      <c r="BR33" s="174" t="str">
        <f t="shared" si="23"/>
        <v/>
      </c>
      <c r="BS33" s="37"/>
      <c r="BT33" s="174" t="str">
        <f t="shared" si="24"/>
        <v/>
      </c>
      <c r="BU33" s="37"/>
      <c r="BV33" s="174" t="str">
        <f t="shared" si="25"/>
        <v/>
      </c>
      <c r="BW33" s="37"/>
      <c r="BX33" s="174" t="str">
        <f t="shared" si="26"/>
        <v/>
      </c>
      <c r="BY33" s="37"/>
      <c r="BZ33" s="174" t="str">
        <f t="shared" si="27"/>
        <v/>
      </c>
      <c r="CA33" s="37"/>
      <c r="CB33" s="174" t="str">
        <f t="shared" si="28"/>
        <v/>
      </c>
      <c r="CC33" s="37"/>
      <c r="CD33" s="174" t="str">
        <f t="shared" si="29"/>
        <v/>
      </c>
      <c r="CE33" s="37"/>
      <c r="CF33" s="174" t="str">
        <f t="shared" si="30"/>
        <v/>
      </c>
      <c r="CG33" s="37"/>
      <c r="CH33" s="174" t="str">
        <f t="shared" si="31"/>
        <v/>
      </c>
      <c r="CI33" s="37"/>
      <c r="CJ33" s="174" t="str">
        <f t="shared" si="32"/>
        <v/>
      </c>
      <c r="CK33" s="37"/>
      <c r="CL33" s="174" t="str">
        <f t="shared" si="33"/>
        <v/>
      </c>
      <c r="CM33" s="37"/>
      <c r="CN33" s="174" t="str">
        <f t="shared" si="34"/>
        <v/>
      </c>
      <c r="CO33" s="37"/>
      <c r="CP33" s="174" t="str">
        <f t="shared" si="35"/>
        <v/>
      </c>
      <c r="CQ33" s="37"/>
      <c r="CR33" s="174" t="str">
        <f t="shared" si="36"/>
        <v/>
      </c>
      <c r="CS33" s="37"/>
      <c r="CT33" s="174" t="str">
        <f t="shared" si="37"/>
        <v/>
      </c>
      <c r="CU33" s="38"/>
      <c r="CV33" s="87"/>
      <c r="CW33" s="90"/>
      <c r="CX33" s="38"/>
      <c r="CY33" s="39"/>
      <c r="CZ33" s="37"/>
      <c r="DA33" s="39"/>
      <c r="DB33" s="24">
        <v>29</v>
      </c>
      <c r="DC33" s="96" t="str">
        <f t="shared" si="38"/>
        <v>木</v>
      </c>
      <c r="DF33" s="125"/>
      <c r="DG33" s="40"/>
      <c r="DH33" s="40"/>
      <c r="DI33" s="40"/>
      <c r="DJ33" s="40"/>
      <c r="DK33" s="40"/>
      <c r="DL33" s="40"/>
      <c r="DM33" s="40"/>
      <c r="DN33" s="40"/>
      <c r="DO33" s="40"/>
      <c r="DP33" s="40">
        <f t="shared" si="39"/>
        <v>0</v>
      </c>
      <c r="DQ33" s="172" t="str">
        <f t="shared" si="40"/>
        <v/>
      </c>
      <c r="DS33" s="189"/>
      <c r="DT33" s="190"/>
      <c r="DU33" s="190"/>
      <c r="DV33" s="191"/>
      <c r="DW33" s="41"/>
      <c r="DX33" s="42"/>
    </row>
    <row r="34" spans="1:128" ht="13.5" customHeight="1" thickBot="1" x14ac:dyDescent="0.45">
      <c r="A34" s="104">
        <v>30</v>
      </c>
      <c r="B34" s="23" t="s">
        <v>86</v>
      </c>
      <c r="C34" s="164"/>
      <c r="D34" s="164"/>
      <c r="E34" s="24"/>
      <c r="F34" s="29"/>
      <c r="G34" s="25" t="str">
        <f>IF(SUM($F$5:F34)=0,"",SUM($F$5:F34))</f>
        <v/>
      </c>
      <c r="H34" s="43" t="str">
        <f t="shared" si="0"/>
        <v/>
      </c>
      <c r="I34" s="148" t="e">
        <f t="array" aca="1" ref="I34" ca="1">IF($A35="",$G34/($V34-$U$5+INDIRECT(IF(_xlfn.SHEET()&lt;6,"令和8年"&amp;_xlfn.SHEET()+7&amp;"月","令和9年"&amp;_xlfn.SHEET()-5&amp;"月")&amp;"!$U$5")),$G34/($V35-$U$5))</f>
        <v>#VALUE!</v>
      </c>
      <c r="J34" s="26" t="str">
        <f t="shared" si="1"/>
        <v/>
      </c>
      <c r="K34" s="27"/>
      <c r="L34" s="165">
        <f t="shared" si="2"/>
        <v>0</v>
      </c>
      <c r="M34" s="28" t="str">
        <f t="shared" si="3"/>
        <v/>
      </c>
      <c r="N34" s="166" t="str">
        <f t="shared" si="4"/>
        <v/>
      </c>
      <c r="O34" s="167" t="str">
        <f t="shared" si="5"/>
        <v/>
      </c>
      <c r="P34" s="168"/>
      <c r="Q34" s="169" t="str">
        <f t="shared" si="6"/>
        <v/>
      </c>
      <c r="R34" s="170">
        <v>20</v>
      </c>
      <c r="S34" s="171">
        <v>14</v>
      </c>
      <c r="T34" s="24" t="s">
        <v>93</v>
      </c>
      <c r="U34" s="29">
        <v>239242</v>
      </c>
      <c r="V34" s="30">
        <f t="shared" si="41"/>
        <v>9230755</v>
      </c>
      <c r="W34" s="27">
        <v>136</v>
      </c>
      <c r="X34" s="31">
        <f t="shared" si="7"/>
        <v>1759.1323529411766</v>
      </c>
      <c r="Y34" s="29">
        <v>199347</v>
      </c>
      <c r="Z34" s="32">
        <f t="shared" si="42"/>
        <v>8886529</v>
      </c>
      <c r="AA34" s="33">
        <f t="shared" si="8"/>
        <v>1.0387357088465023</v>
      </c>
      <c r="AB34" s="158">
        <v>210000</v>
      </c>
      <c r="AC34" s="34">
        <f t="shared" si="43"/>
        <v>9660000</v>
      </c>
      <c r="AD34" s="158"/>
      <c r="AE34" s="25"/>
      <c r="AF34" s="25"/>
      <c r="AG34" s="25"/>
      <c r="AH34" s="25"/>
      <c r="AI34" s="25"/>
      <c r="AJ34" s="25"/>
      <c r="AK34" s="25"/>
      <c r="AL34" s="158"/>
      <c r="AM34" s="25"/>
      <c r="AN34" s="158"/>
      <c r="AO34" s="25"/>
      <c r="AP34" s="25"/>
      <c r="AQ34" s="158"/>
      <c r="AR34" s="35">
        <f t="shared" si="9"/>
        <v>0</v>
      </c>
      <c r="AS34" s="172" t="str">
        <f t="shared" si="10"/>
        <v/>
      </c>
      <c r="AT34" s="36">
        <f t="shared" si="11"/>
        <v>0</v>
      </c>
      <c r="AU34" s="173"/>
      <c r="AV34" s="82">
        <f t="shared" si="12"/>
        <v>30</v>
      </c>
      <c r="AW34" s="37"/>
      <c r="AX34" s="174" t="str">
        <f t="shared" si="13"/>
        <v/>
      </c>
      <c r="AY34" s="37"/>
      <c r="AZ34" s="174" t="str">
        <f t="shared" si="14"/>
        <v/>
      </c>
      <c r="BA34" s="37"/>
      <c r="BB34" s="174" t="str">
        <f t="shared" si="15"/>
        <v/>
      </c>
      <c r="BC34" s="37"/>
      <c r="BD34" s="174" t="str">
        <f t="shared" si="16"/>
        <v/>
      </c>
      <c r="BE34" s="37"/>
      <c r="BF34" s="174" t="str">
        <f t="shared" si="17"/>
        <v/>
      </c>
      <c r="BG34" s="37"/>
      <c r="BH34" s="174" t="str">
        <f t="shared" si="18"/>
        <v/>
      </c>
      <c r="BI34" s="37"/>
      <c r="BJ34" s="174" t="str">
        <f t="shared" si="19"/>
        <v/>
      </c>
      <c r="BK34" s="37"/>
      <c r="BL34" s="174" t="str">
        <f t="shared" si="20"/>
        <v/>
      </c>
      <c r="BM34" s="37"/>
      <c r="BN34" s="174" t="str">
        <f t="shared" si="21"/>
        <v/>
      </c>
      <c r="BO34" s="37"/>
      <c r="BP34" s="174" t="str">
        <f t="shared" si="22"/>
        <v/>
      </c>
      <c r="BQ34" s="37"/>
      <c r="BR34" s="174" t="str">
        <f t="shared" si="23"/>
        <v/>
      </c>
      <c r="BS34" s="37"/>
      <c r="BT34" s="174" t="str">
        <f t="shared" si="24"/>
        <v/>
      </c>
      <c r="BU34" s="37"/>
      <c r="BV34" s="174" t="str">
        <f t="shared" si="25"/>
        <v/>
      </c>
      <c r="BW34" s="37"/>
      <c r="BX34" s="174" t="str">
        <f t="shared" si="26"/>
        <v/>
      </c>
      <c r="BY34" s="37"/>
      <c r="BZ34" s="174" t="str">
        <f t="shared" si="27"/>
        <v/>
      </c>
      <c r="CA34" s="37"/>
      <c r="CB34" s="174" t="str">
        <f t="shared" si="28"/>
        <v/>
      </c>
      <c r="CC34" s="37"/>
      <c r="CD34" s="174" t="str">
        <f t="shared" si="29"/>
        <v/>
      </c>
      <c r="CE34" s="37"/>
      <c r="CF34" s="174" t="str">
        <f t="shared" si="30"/>
        <v/>
      </c>
      <c r="CG34" s="37"/>
      <c r="CH34" s="174" t="str">
        <f t="shared" si="31"/>
        <v/>
      </c>
      <c r="CI34" s="37"/>
      <c r="CJ34" s="174" t="str">
        <f t="shared" si="32"/>
        <v/>
      </c>
      <c r="CK34" s="37"/>
      <c r="CL34" s="174" t="str">
        <f t="shared" si="33"/>
        <v/>
      </c>
      <c r="CM34" s="37"/>
      <c r="CN34" s="174" t="str">
        <f t="shared" si="34"/>
        <v/>
      </c>
      <c r="CO34" s="37"/>
      <c r="CP34" s="174" t="str">
        <f t="shared" si="35"/>
        <v/>
      </c>
      <c r="CQ34" s="37"/>
      <c r="CR34" s="174" t="str">
        <f t="shared" si="36"/>
        <v/>
      </c>
      <c r="CS34" s="37"/>
      <c r="CT34" s="174" t="str">
        <f t="shared" si="37"/>
        <v/>
      </c>
      <c r="CU34" s="38"/>
      <c r="CV34" s="87"/>
      <c r="CW34" s="90"/>
      <c r="CX34" s="38"/>
      <c r="CY34" s="39"/>
      <c r="CZ34" s="37"/>
      <c r="DA34" s="39"/>
      <c r="DB34" s="24">
        <v>30</v>
      </c>
      <c r="DC34" s="96" t="str">
        <f t="shared" si="38"/>
        <v>金</v>
      </c>
      <c r="DF34" s="125"/>
      <c r="DG34" s="40"/>
      <c r="DH34" s="40"/>
      <c r="DI34" s="40"/>
      <c r="DJ34" s="40"/>
      <c r="DK34" s="40"/>
      <c r="DL34" s="40"/>
      <c r="DM34" s="40"/>
      <c r="DN34" s="40"/>
      <c r="DO34" s="40"/>
      <c r="DP34" s="40">
        <f t="shared" si="39"/>
        <v>0</v>
      </c>
      <c r="DQ34" s="172" t="str">
        <f t="shared" si="40"/>
        <v/>
      </c>
      <c r="DS34" s="189"/>
      <c r="DT34" s="190"/>
      <c r="DU34" s="190"/>
      <c r="DV34" s="191"/>
      <c r="DW34" s="41"/>
      <c r="DX34" s="42"/>
    </row>
    <row r="35" spans="1:128" ht="13.5" hidden="1" customHeight="1" thickBot="1" x14ac:dyDescent="0.45">
      <c r="A35" s="105">
        <v>31</v>
      </c>
      <c r="B35" s="23" t="s">
        <v>88</v>
      </c>
      <c r="C35" s="175"/>
      <c r="D35" s="175"/>
      <c r="E35" s="24"/>
      <c r="F35" s="29"/>
      <c r="G35" s="25" t="str">
        <f>IF(SUM($F$5:F35)=0,"",SUM($F$5:F35))</f>
        <v/>
      </c>
      <c r="H35" s="43" t="str">
        <f t="shared" si="0"/>
        <v/>
      </c>
      <c r="I35" s="148" t="e">
        <f t="array" aca="1" ref="I35" ca="1">IF($A36="",$G35/($V35-$U$5+INDIRECT(IF(_xlfn.SHEET()&lt;6,"令和8年"&amp;_xlfn.SHEET()+7&amp;"月","令和9年"&amp;_xlfn.SHEET()-5&amp;"月")&amp;"!$U$5")),$G35/($V36-$U$5))</f>
        <v>#VALUE!</v>
      </c>
      <c r="J35" s="26" t="str">
        <f t="shared" si="1"/>
        <v/>
      </c>
      <c r="K35" s="27"/>
      <c r="L35" s="165" t="str">
        <f t="shared" si="2"/>
        <v/>
      </c>
      <c r="M35" s="28" t="str">
        <f t="shared" si="3"/>
        <v/>
      </c>
      <c r="N35" s="166" t="str">
        <f t="shared" si="4"/>
        <v/>
      </c>
      <c r="O35" s="167" t="str">
        <f t="shared" si="5"/>
        <v/>
      </c>
      <c r="P35" s="168"/>
      <c r="Q35" s="169" t="str">
        <f t="shared" si="6"/>
        <v/>
      </c>
      <c r="R35" s="170"/>
      <c r="S35" s="176"/>
      <c r="T35" s="24"/>
      <c r="U35" s="29"/>
      <c r="V35" s="30">
        <f t="shared" si="41"/>
        <v>9230755</v>
      </c>
      <c r="W35" s="27"/>
      <c r="X35" s="31" t="str">
        <f t="shared" si="7"/>
        <v/>
      </c>
      <c r="Y35" s="29"/>
      <c r="Z35" s="32">
        <f t="shared" si="42"/>
        <v>8886529</v>
      </c>
      <c r="AA35" s="33">
        <f t="shared" si="8"/>
        <v>1.0387357088465023</v>
      </c>
      <c r="AB35" s="158">
        <v>210000</v>
      </c>
      <c r="AC35" s="34">
        <f t="shared" si="43"/>
        <v>9870000</v>
      </c>
      <c r="AD35" s="158"/>
      <c r="AE35" s="25"/>
      <c r="AF35" s="25"/>
      <c r="AG35" s="25"/>
      <c r="AH35" s="25"/>
      <c r="AI35" s="25"/>
      <c r="AJ35" s="25"/>
      <c r="AK35" s="25"/>
      <c r="AL35" s="158"/>
      <c r="AM35" s="25"/>
      <c r="AN35" s="158"/>
      <c r="AO35" s="25"/>
      <c r="AP35" s="25"/>
      <c r="AQ35" s="158"/>
      <c r="AR35" s="35">
        <f t="shared" si="9"/>
        <v>0</v>
      </c>
      <c r="AS35" s="172" t="str">
        <f t="shared" si="10"/>
        <v/>
      </c>
      <c r="AT35" s="36">
        <f t="shared" si="11"/>
        <v>0</v>
      </c>
      <c r="AU35" s="173"/>
      <c r="AV35" s="82">
        <f t="shared" si="12"/>
        <v>31</v>
      </c>
      <c r="AW35" s="37"/>
      <c r="AX35" s="174" t="str">
        <f t="shared" si="13"/>
        <v/>
      </c>
      <c r="AY35" s="37"/>
      <c r="AZ35" s="174" t="str">
        <f t="shared" si="14"/>
        <v/>
      </c>
      <c r="BA35" s="37"/>
      <c r="BB35" s="174" t="str">
        <f t="shared" si="15"/>
        <v/>
      </c>
      <c r="BC35" s="37"/>
      <c r="BD35" s="174" t="str">
        <f t="shared" si="16"/>
        <v/>
      </c>
      <c r="BE35" s="37"/>
      <c r="BF35" s="174" t="str">
        <f t="shared" si="17"/>
        <v/>
      </c>
      <c r="BG35" s="37"/>
      <c r="BH35" s="174" t="str">
        <f t="shared" si="18"/>
        <v/>
      </c>
      <c r="BI35" s="37"/>
      <c r="BJ35" s="174" t="str">
        <f t="shared" si="19"/>
        <v/>
      </c>
      <c r="BK35" s="37"/>
      <c r="BL35" s="174" t="str">
        <f t="shared" si="20"/>
        <v/>
      </c>
      <c r="BM35" s="37"/>
      <c r="BN35" s="174" t="str">
        <f t="shared" si="21"/>
        <v/>
      </c>
      <c r="BO35" s="37"/>
      <c r="BP35" s="174" t="str">
        <f t="shared" si="22"/>
        <v/>
      </c>
      <c r="BQ35" s="37"/>
      <c r="BR35" s="174" t="str">
        <f t="shared" si="23"/>
        <v/>
      </c>
      <c r="BS35" s="37"/>
      <c r="BT35" s="174" t="str">
        <f t="shared" si="24"/>
        <v/>
      </c>
      <c r="BU35" s="37"/>
      <c r="BV35" s="174" t="str">
        <f t="shared" si="25"/>
        <v/>
      </c>
      <c r="BW35" s="37"/>
      <c r="BX35" s="174" t="str">
        <f t="shared" si="26"/>
        <v/>
      </c>
      <c r="BY35" s="37"/>
      <c r="BZ35" s="174" t="str">
        <f t="shared" si="27"/>
        <v/>
      </c>
      <c r="CA35" s="37"/>
      <c r="CB35" s="174" t="str">
        <f t="shared" si="28"/>
        <v/>
      </c>
      <c r="CC35" s="37"/>
      <c r="CD35" s="174" t="str">
        <f t="shared" si="29"/>
        <v/>
      </c>
      <c r="CE35" s="37"/>
      <c r="CF35" s="174" t="str">
        <f t="shared" si="30"/>
        <v/>
      </c>
      <c r="CG35" s="37"/>
      <c r="CH35" s="174" t="str">
        <f t="shared" si="31"/>
        <v/>
      </c>
      <c r="CI35" s="37"/>
      <c r="CJ35" s="174" t="str">
        <f t="shared" si="32"/>
        <v/>
      </c>
      <c r="CK35" s="37"/>
      <c r="CL35" s="174" t="str">
        <f t="shared" si="33"/>
        <v/>
      </c>
      <c r="CM35" s="37"/>
      <c r="CN35" s="174" t="str">
        <f t="shared" si="34"/>
        <v/>
      </c>
      <c r="CO35" s="37"/>
      <c r="CP35" s="174" t="str">
        <f t="shared" si="35"/>
        <v/>
      </c>
      <c r="CQ35" s="37"/>
      <c r="CR35" s="174" t="str">
        <f t="shared" si="36"/>
        <v/>
      </c>
      <c r="CS35" s="37"/>
      <c r="CT35" s="174" t="str">
        <f t="shared" si="37"/>
        <v/>
      </c>
      <c r="CU35" s="38"/>
      <c r="CV35" s="87"/>
      <c r="CW35" s="90"/>
      <c r="CX35" s="38"/>
      <c r="CY35" s="39"/>
      <c r="CZ35" s="37"/>
      <c r="DA35" s="39"/>
      <c r="DB35" s="24">
        <v>31</v>
      </c>
      <c r="DC35" s="96" t="str">
        <f t="shared" si="38"/>
        <v>土</v>
      </c>
      <c r="DF35" s="125"/>
      <c r="DG35" s="40"/>
      <c r="DH35" s="40"/>
      <c r="DI35" s="40"/>
      <c r="DJ35" s="40"/>
      <c r="DK35" s="40"/>
      <c r="DL35" s="40"/>
      <c r="DM35" s="40"/>
      <c r="DN35" s="40"/>
      <c r="DO35" s="40"/>
      <c r="DP35" s="40">
        <f t="shared" si="39"/>
        <v>0</v>
      </c>
      <c r="DQ35" s="172" t="str">
        <f t="shared" si="40"/>
        <v/>
      </c>
      <c r="DS35" s="189"/>
      <c r="DT35" s="190"/>
      <c r="DU35" s="190"/>
      <c r="DV35" s="191"/>
      <c r="DW35" s="41"/>
      <c r="DX35" s="42"/>
    </row>
    <row r="36" spans="1:128" ht="18.75" customHeight="1" thickTop="1" thickBot="1" x14ac:dyDescent="0.45">
      <c r="A36" s="62"/>
      <c r="B36" s="103"/>
      <c r="C36" s="103"/>
      <c r="D36" s="103"/>
      <c r="E36" s="44" t="s">
        <v>95</v>
      </c>
      <c r="F36" s="25">
        <f>SUM(F5:F35)</f>
        <v>0</v>
      </c>
      <c r="G36" s="25"/>
      <c r="H36" s="43"/>
      <c r="I36" s="148"/>
      <c r="J36" s="26"/>
      <c r="K36" s="45">
        <f>SUM(K4:K35)</f>
        <v>0</v>
      </c>
      <c r="L36" s="165">
        <f t="shared" si="2"/>
        <v>0</v>
      </c>
      <c r="M36" s="46"/>
      <c r="N36" s="47" t="str">
        <f t="shared" si="4"/>
        <v/>
      </c>
      <c r="O36" s="48"/>
      <c r="P36" s="177"/>
      <c r="Q36" s="178"/>
      <c r="R36" s="49"/>
      <c r="S36" s="156"/>
      <c r="T36" s="50" t="s">
        <v>95</v>
      </c>
      <c r="U36" s="51">
        <f>SUM(U5:U35)</f>
        <v>9230755</v>
      </c>
      <c r="V36" s="30"/>
      <c r="W36" s="52">
        <f>SUM(W5:W35)</f>
        <v>5869</v>
      </c>
      <c r="X36" s="53"/>
      <c r="Y36" s="25">
        <f>SUM(Y5:Y35)</f>
        <v>8886529</v>
      </c>
      <c r="Z36" s="32"/>
      <c r="AA36" s="54"/>
      <c r="AB36" s="55"/>
      <c r="AC36" s="54"/>
      <c r="AD36" s="158">
        <f t="shared" ref="AD36:AR36" si="44">SUM(AD5:AD35)</f>
        <v>0</v>
      </c>
      <c r="AE36" s="25">
        <f t="shared" si="44"/>
        <v>0</v>
      </c>
      <c r="AF36" s="25">
        <f t="shared" si="44"/>
        <v>0</v>
      </c>
      <c r="AG36" s="25">
        <f t="shared" si="44"/>
        <v>0</v>
      </c>
      <c r="AH36" s="25">
        <f t="shared" si="44"/>
        <v>0</v>
      </c>
      <c r="AI36" s="25">
        <f t="shared" si="44"/>
        <v>0</v>
      </c>
      <c r="AJ36" s="25">
        <f t="shared" si="44"/>
        <v>0</v>
      </c>
      <c r="AK36" s="25">
        <f t="shared" si="44"/>
        <v>0</v>
      </c>
      <c r="AL36" s="25">
        <f t="shared" si="44"/>
        <v>0</v>
      </c>
      <c r="AM36" s="25">
        <f t="shared" si="44"/>
        <v>0</v>
      </c>
      <c r="AN36" s="25">
        <f t="shared" si="44"/>
        <v>0</v>
      </c>
      <c r="AO36" s="25">
        <f t="shared" si="44"/>
        <v>0</v>
      </c>
      <c r="AP36" s="25">
        <f t="shared" si="44"/>
        <v>0</v>
      </c>
      <c r="AQ36" s="158">
        <f t="shared" si="44"/>
        <v>0</v>
      </c>
      <c r="AR36" s="56">
        <f t="shared" si="44"/>
        <v>0</v>
      </c>
      <c r="AS36" s="179" t="str">
        <f>IF(ISERROR((AR36/$F36)),"",AR36/$F36)</f>
        <v/>
      </c>
      <c r="AT36" s="77">
        <f>SUM(AT5:AT35)</f>
        <v>0</v>
      </c>
      <c r="AU36" s="173"/>
      <c r="AV36" s="83" t="s">
        <v>95</v>
      </c>
      <c r="AW36" s="57">
        <f>SUM(AW5:AW35)</f>
        <v>0</v>
      </c>
      <c r="AX36" s="57"/>
      <c r="AY36" s="57">
        <f>SUM(AY5:AY35)</f>
        <v>0</v>
      </c>
      <c r="AZ36" s="57"/>
      <c r="BA36" s="57">
        <f>SUM(BA5:BA35)</f>
        <v>0</v>
      </c>
      <c r="BB36" s="57"/>
      <c r="BC36" s="57">
        <f>SUM(BC5:BC35)</f>
        <v>0</v>
      </c>
      <c r="BD36" s="57"/>
      <c r="BE36" s="57">
        <f>SUM(BE5:BE35)</f>
        <v>0</v>
      </c>
      <c r="BF36" s="57"/>
      <c r="BG36" s="57">
        <f>SUM(BG5:BG35)</f>
        <v>0</v>
      </c>
      <c r="BH36" s="57"/>
      <c r="BI36" s="57">
        <f>SUM(BI5:BI35)</f>
        <v>0</v>
      </c>
      <c r="BJ36" s="57"/>
      <c r="BK36" s="57">
        <f>SUM(BK5:BK35)</f>
        <v>0</v>
      </c>
      <c r="BL36" s="57"/>
      <c r="BM36" s="57">
        <f>SUM(BM5:BM35)</f>
        <v>0</v>
      </c>
      <c r="BN36" s="57"/>
      <c r="BO36" s="57">
        <f>SUM(BO5:BO35)</f>
        <v>0</v>
      </c>
      <c r="BP36" s="57"/>
      <c r="BQ36" s="57">
        <f>SUM(BQ5:BQ35)</f>
        <v>0</v>
      </c>
      <c r="BR36" s="57"/>
      <c r="BS36" s="57">
        <f>SUM(BS5:BS35)</f>
        <v>0</v>
      </c>
      <c r="BT36" s="57"/>
      <c r="BU36" s="57">
        <f>SUM(BU5:BU35)</f>
        <v>0</v>
      </c>
      <c r="BV36" s="57"/>
      <c r="BW36" s="57">
        <f>SUM(BW5:BW35)</f>
        <v>0</v>
      </c>
      <c r="BX36" s="57"/>
      <c r="BY36" s="57">
        <f>SUM(BY5:BY35)</f>
        <v>0</v>
      </c>
      <c r="BZ36" s="57"/>
      <c r="CA36" s="57">
        <f>SUM(CA5:CA35)</f>
        <v>0</v>
      </c>
      <c r="CB36" s="57"/>
      <c r="CC36" s="57">
        <f>SUM(CC5:CC35)</f>
        <v>0</v>
      </c>
      <c r="CD36" s="58"/>
      <c r="CE36" s="57">
        <f>SUM(CE5:CE35)</f>
        <v>0</v>
      </c>
      <c r="CF36" s="58"/>
      <c r="CG36" s="57">
        <f>SUM(CG5:CG35)</f>
        <v>0</v>
      </c>
      <c r="CH36" s="57"/>
      <c r="CI36" s="57">
        <f>SUM(CI5:CI35)</f>
        <v>0</v>
      </c>
      <c r="CJ36" s="58"/>
      <c r="CK36" s="57">
        <f>SUM(CK5:CK35)</f>
        <v>0</v>
      </c>
      <c r="CL36" s="58"/>
      <c r="CM36" s="57">
        <f>SUM(CM5:CM35)</f>
        <v>0</v>
      </c>
      <c r="CN36" s="57"/>
      <c r="CO36" s="57">
        <f>SUM(CO5:CO35)</f>
        <v>0</v>
      </c>
      <c r="CP36" s="58"/>
      <c r="CQ36" s="57">
        <f>SUM(CQ5:CQ35)</f>
        <v>0</v>
      </c>
      <c r="CR36" s="58"/>
      <c r="CS36" s="57">
        <f>SUM(CS5:CS35)</f>
        <v>0</v>
      </c>
      <c r="CT36" s="60"/>
      <c r="CU36" s="59">
        <f>SUM(CU5:CU35)</f>
        <v>0</v>
      </c>
      <c r="CV36" s="60">
        <f>SUM(CV5:CV35)</f>
        <v>0</v>
      </c>
      <c r="CW36" s="91"/>
      <c r="CX36" s="59">
        <f>SUM(CX5:CX35)</f>
        <v>0</v>
      </c>
      <c r="CY36" s="39">
        <f>SUM(CY5:CY35)</f>
        <v>0</v>
      </c>
      <c r="CZ36" s="57">
        <f>SUM(CZ5:CZ35)</f>
        <v>0</v>
      </c>
      <c r="DA36" s="61">
        <f>SUM(DA5:DA35)</f>
        <v>0</v>
      </c>
      <c r="DB36" s="44"/>
      <c r="DC36" s="96"/>
      <c r="DF36" s="125">
        <f t="shared" ref="DF36:DP36" si="45">SUM(DF5:DF35)</f>
        <v>0</v>
      </c>
      <c r="DG36" s="40">
        <f t="shared" si="45"/>
        <v>0</v>
      </c>
      <c r="DH36" s="40">
        <f t="shared" si="45"/>
        <v>0</v>
      </c>
      <c r="DI36" s="40">
        <f t="shared" si="45"/>
        <v>0</v>
      </c>
      <c r="DJ36" s="40">
        <f t="shared" si="45"/>
        <v>0</v>
      </c>
      <c r="DK36" s="40">
        <f t="shared" si="45"/>
        <v>0</v>
      </c>
      <c r="DL36" s="40">
        <f t="shared" si="45"/>
        <v>0</v>
      </c>
      <c r="DM36" s="40">
        <f t="shared" si="45"/>
        <v>0</v>
      </c>
      <c r="DN36" s="40">
        <f t="shared" si="45"/>
        <v>0</v>
      </c>
      <c r="DO36" s="40">
        <f t="shared" si="45"/>
        <v>0</v>
      </c>
      <c r="DP36" s="40">
        <f t="shared" si="45"/>
        <v>0</v>
      </c>
      <c r="DQ36" s="179" t="str">
        <f>IF(ISERROR((DP36/$F36)),"",DP36/$F36)</f>
        <v/>
      </c>
      <c r="DS36" s="198" t="s">
        <v>96</v>
      </c>
      <c r="DT36" s="199"/>
      <c r="DU36" s="199"/>
      <c r="DV36" s="199"/>
      <c r="DW36" s="199"/>
      <c r="DX36" s="199"/>
    </row>
    <row r="37" spans="1:128" ht="19.149999999999999" customHeight="1" thickTop="1" thickBot="1" x14ac:dyDescent="0.45">
      <c r="E37" s="62" t="s">
        <v>97</v>
      </c>
      <c r="F37" s="66" t="str">
        <f>IF(ISERROR(AVERAGE(F5:F35)),"",AVERAGE(F5:F35))</f>
        <v/>
      </c>
      <c r="G37" s="66"/>
      <c r="H37" s="100" t="str">
        <f>IF(ISERROR(F37/U37),"",(F37/U37))</f>
        <v/>
      </c>
      <c r="I37" s="149"/>
      <c r="J37" s="101" t="str">
        <f>IF(ISERROR(F37/AC5),"",(F37/AC5))</f>
        <v/>
      </c>
      <c r="K37" s="102" t="str">
        <f>IF(ISERROR(AVERAGE(K4:K35)),"",AVERAGE(K4:K35))</f>
        <v/>
      </c>
      <c r="L37" s="180" t="str">
        <f t="shared" si="2"/>
        <v/>
      </c>
      <c r="M37" s="102" t="str">
        <f>IF(ISERROR(AVERAGE(M4:M35)),"",AVERAGE(M4:M35))</f>
        <v/>
      </c>
      <c r="N37" s="181" t="str">
        <f t="shared" si="4"/>
        <v/>
      </c>
      <c r="O37" s="182" t="e">
        <f>AVERAGE(O4:O35)</f>
        <v>#DIV/0!</v>
      </c>
      <c r="P37" s="183"/>
      <c r="Q37" s="184" t="e">
        <f>AVERAGE(Q4:Q35)</f>
        <v>#DIV/0!</v>
      </c>
      <c r="T37" s="62" t="s">
        <v>97</v>
      </c>
      <c r="U37" s="63">
        <f>IF(ISERROR(AVERAGE(U5:U35)),"",AVERAGE(U5:U35))</f>
        <v>307691.83333333331</v>
      </c>
      <c r="V37" s="64"/>
      <c r="W37" s="65">
        <f>IF(ISERROR(AVERAGE(W5:W35)),"",AVERAGE(W5:W35))</f>
        <v>195.63333333333333</v>
      </c>
      <c r="X37" s="65">
        <f>IF(ISERROR(AVERAGE(X5:X35)),"",AVERAGE(X5:X35))</f>
        <v>1565.1848509678348</v>
      </c>
      <c r="Y37" s="66">
        <f>IF(ISERROR(AVERAGE(Y5:Y35)),"",AVERAGE(Y5:Y35))</f>
        <v>296217.63333333336</v>
      </c>
      <c r="Z37" s="66"/>
      <c r="AA37" s="67"/>
      <c r="AB37" s="201" t="s">
        <v>98</v>
      </c>
      <c r="AC37" s="202"/>
      <c r="AD37" s="68" t="str">
        <f t="shared" ref="AD37:AQ37" si="46">IF(ISERROR(AVERAGE(AD5:AD35)),"",AVERAGE(AD5:AD35))</f>
        <v/>
      </c>
      <c r="AE37" s="66" t="str">
        <f t="shared" si="46"/>
        <v/>
      </c>
      <c r="AF37" s="66" t="str">
        <f t="shared" si="46"/>
        <v/>
      </c>
      <c r="AG37" s="66" t="str">
        <f t="shared" si="46"/>
        <v/>
      </c>
      <c r="AH37" s="66" t="str">
        <f t="shared" si="46"/>
        <v/>
      </c>
      <c r="AI37" s="66" t="str">
        <f t="shared" si="46"/>
        <v/>
      </c>
      <c r="AJ37" s="66" t="str">
        <f t="shared" si="46"/>
        <v/>
      </c>
      <c r="AK37" s="66" t="str">
        <f t="shared" si="46"/>
        <v/>
      </c>
      <c r="AL37" s="66" t="str">
        <f t="shared" si="46"/>
        <v/>
      </c>
      <c r="AM37" s="66" t="str">
        <f t="shared" si="46"/>
        <v/>
      </c>
      <c r="AN37" s="66" t="str">
        <f t="shared" si="46"/>
        <v/>
      </c>
      <c r="AO37" s="66" t="str">
        <f t="shared" si="46"/>
        <v/>
      </c>
      <c r="AP37" s="66" t="str">
        <f t="shared" si="46"/>
        <v/>
      </c>
      <c r="AQ37" s="69" t="str">
        <f t="shared" si="46"/>
        <v/>
      </c>
      <c r="AR37" s="70"/>
      <c r="AS37" s="185"/>
      <c r="AT37" s="185"/>
      <c r="AU37" s="186"/>
      <c r="AV37" s="84" t="s">
        <v>97</v>
      </c>
      <c r="AW37" s="72" t="str">
        <f>IF(ISERROR(AVERAGE(AW5:AW35)),"",AVERAGE(AW5:AW35))</f>
        <v/>
      </c>
      <c r="AX37" s="187" t="e">
        <f>AVERAGE(AX5:AX35)</f>
        <v>#DIV/0!</v>
      </c>
      <c r="AY37" s="72" t="str">
        <f>IF(ISERROR(AVERAGE(AY5:AY35)),"",AVERAGE(AY5:AY35))</f>
        <v/>
      </c>
      <c r="AZ37" s="187" t="e">
        <f>AVERAGE(AZ5:AZ35)</f>
        <v>#DIV/0!</v>
      </c>
      <c r="BA37" s="72" t="str">
        <f>IF(ISERROR(AVERAGE(BA5:BA35)),"",AVERAGE(BA5:BA35))</f>
        <v/>
      </c>
      <c r="BB37" s="187" t="e">
        <f>AVERAGE(BB5:BB35)</f>
        <v>#DIV/0!</v>
      </c>
      <c r="BC37" s="72" t="str">
        <f>IF(ISERROR(AVERAGE(BC5:BC35)),"",AVERAGE(BC5:BC35))</f>
        <v/>
      </c>
      <c r="BD37" s="187" t="e">
        <f>AVERAGE(BD5:BD35)</f>
        <v>#DIV/0!</v>
      </c>
      <c r="BE37" s="72" t="str">
        <f>IF(ISERROR(AVERAGE(BE5:BE35)),"",AVERAGE(BE5:BE35))</f>
        <v/>
      </c>
      <c r="BF37" s="187" t="e">
        <f>AVERAGE(BF5:BF35)</f>
        <v>#DIV/0!</v>
      </c>
      <c r="BG37" s="72" t="str">
        <f>IF(ISERROR(AVERAGE(BG5:BG35)),"",AVERAGE(BG5:BG35))</f>
        <v/>
      </c>
      <c r="BH37" s="187" t="e">
        <f>AVERAGE(BH5:BH35)</f>
        <v>#DIV/0!</v>
      </c>
      <c r="BI37" s="72" t="str">
        <f>IF(ISERROR(AVERAGE(BI5:BI35)),"",AVERAGE(BI5:BI35))</f>
        <v/>
      </c>
      <c r="BJ37" s="187" t="e">
        <f>AVERAGE(BJ5:BJ35)</f>
        <v>#DIV/0!</v>
      </c>
      <c r="BK37" s="72" t="str">
        <f>IF(ISERROR(AVERAGE(BK5:BK35)),"",AVERAGE(BK5:BK35))</f>
        <v/>
      </c>
      <c r="BL37" s="187" t="e">
        <f>AVERAGE(BL5:BL35)</f>
        <v>#DIV/0!</v>
      </c>
      <c r="BM37" s="72" t="str">
        <f>IF(ISERROR(AVERAGE(BM5:BM35)),"",AVERAGE(BM5:BM35))</f>
        <v/>
      </c>
      <c r="BN37" s="187" t="e">
        <f>AVERAGE(BN5:BN35)</f>
        <v>#DIV/0!</v>
      </c>
      <c r="BO37" s="72" t="str">
        <f>IF(ISERROR(AVERAGE(BO5:BO35)),"",AVERAGE(BO5:BO35))</f>
        <v/>
      </c>
      <c r="BP37" s="187" t="e">
        <f>AVERAGE(BP5:BP35)</f>
        <v>#DIV/0!</v>
      </c>
      <c r="BQ37" s="72" t="str">
        <f>IF(ISERROR(AVERAGE(BQ5:BQ35)),"",AVERAGE(BQ5:BQ35))</f>
        <v/>
      </c>
      <c r="BR37" s="187" t="e">
        <f>AVERAGE(BR5:BR35)</f>
        <v>#DIV/0!</v>
      </c>
      <c r="BS37" s="72" t="str">
        <f>IF(ISERROR(AVERAGE(BS5:BS35)),"",AVERAGE(BS5:BS35))</f>
        <v/>
      </c>
      <c r="BT37" s="187" t="e">
        <f>AVERAGE(BT5:BT35)</f>
        <v>#DIV/0!</v>
      </c>
      <c r="BU37" s="72" t="str">
        <f>IF(ISERROR(AVERAGE(BU5:BU35)),"",AVERAGE(BU5:BU35))</f>
        <v/>
      </c>
      <c r="BV37" s="187" t="e">
        <f>AVERAGE(BV5:BV35)</f>
        <v>#DIV/0!</v>
      </c>
      <c r="BW37" s="72" t="str">
        <f>IF(ISERROR(AVERAGE(BW5:BW35)),"",AVERAGE(BW5:BW35))</f>
        <v/>
      </c>
      <c r="BX37" s="187" t="e">
        <f>AVERAGE(BX5:BX35)</f>
        <v>#DIV/0!</v>
      </c>
      <c r="BY37" s="72" t="str">
        <f>IF(ISERROR(AVERAGE(BY5:BY35)),"",AVERAGE(BY5:BY35))</f>
        <v/>
      </c>
      <c r="BZ37" s="187" t="e">
        <f>AVERAGE(BZ5:BZ35)</f>
        <v>#DIV/0!</v>
      </c>
      <c r="CA37" s="72" t="str">
        <f>IF(ISERROR(AVERAGE(CA5:CA35)),"",AVERAGE(CA5:CA35))</f>
        <v/>
      </c>
      <c r="CB37" s="187" t="e">
        <f>AVERAGE(CB5:CB35)</f>
        <v>#DIV/0!</v>
      </c>
      <c r="CC37" s="72" t="str">
        <f>IF(ISERROR(AVERAGE(CC5:CC35)),"",AVERAGE(CC5:CC35))</f>
        <v/>
      </c>
      <c r="CD37" s="187" t="e">
        <f>AVERAGE(CD5:CD35)</f>
        <v>#DIV/0!</v>
      </c>
      <c r="CE37" s="72" t="str">
        <f>IF(ISERROR(AVERAGE(CE5:CE35)),"",AVERAGE(CE5:CE35))</f>
        <v/>
      </c>
      <c r="CF37" s="187" t="e">
        <f>AVERAGE(CF5:CF35)</f>
        <v>#DIV/0!</v>
      </c>
      <c r="CG37" s="72" t="str">
        <f>IF(ISERROR(AVERAGE(CG5:CG35)),"",AVERAGE(CG5:CG35))</f>
        <v/>
      </c>
      <c r="CH37" s="187" t="e">
        <f>AVERAGE(CH5:CH35)</f>
        <v>#DIV/0!</v>
      </c>
      <c r="CI37" s="72" t="str">
        <f>IF(ISERROR(AVERAGE(CI5:CI35)),"",AVERAGE(CI5:CI35))</f>
        <v/>
      </c>
      <c r="CJ37" s="187" t="e">
        <f>AVERAGE(CJ5:CJ35)</f>
        <v>#DIV/0!</v>
      </c>
      <c r="CK37" s="72" t="str">
        <f>IF(ISERROR(AVERAGE(CK5:CK35)),"",AVERAGE(CK5:CK35))</f>
        <v/>
      </c>
      <c r="CL37" s="187" t="e">
        <f>AVERAGE(CL5:CL35)</f>
        <v>#DIV/0!</v>
      </c>
      <c r="CM37" s="72" t="str">
        <f>IF(ISERROR(AVERAGE(CM5:CM35)),"",AVERAGE(CM5:CM35))</f>
        <v/>
      </c>
      <c r="CN37" s="187" t="e">
        <f>AVERAGE(CN5:CN35)</f>
        <v>#DIV/0!</v>
      </c>
      <c r="CO37" s="72" t="str">
        <f>IF(ISERROR(AVERAGE(CO5:CO35)),"",AVERAGE(CO5:CO35))</f>
        <v/>
      </c>
      <c r="CP37" s="187" t="e">
        <f>AVERAGE(CP5:CP35)</f>
        <v>#DIV/0!</v>
      </c>
      <c r="CQ37" s="72" t="str">
        <f>IF(ISERROR(AVERAGE(CQ5:CQ35)),"",AVERAGE(CQ5:CQ35))</f>
        <v/>
      </c>
      <c r="CR37" s="187" t="e">
        <f>AVERAGE(CR5:CR35)</f>
        <v>#DIV/0!</v>
      </c>
      <c r="CS37" s="72" t="str">
        <f>IF(ISERROR(AVERAGE(CS5:CS35)),"",AVERAGE(CS5:CS35))</f>
        <v/>
      </c>
      <c r="CT37" s="188" t="e">
        <f>AVERAGE(CT5:CT35)</f>
        <v>#DIV/0!</v>
      </c>
      <c r="CU37" s="71" t="str">
        <f>IF(ISERROR(AVERAGE(CU5:CU35)),"",AVERAGE(CU5:CU35))</f>
        <v/>
      </c>
      <c r="CV37" s="88" t="str">
        <f>IF(ISERROR(AVERAGE(CV5:CV35)),"",AVERAGE(CV5:CV35))</f>
        <v/>
      </c>
      <c r="CW37" s="92"/>
      <c r="CX37" s="71" t="str">
        <f>IF(ISERROR(AVERAGE(CX5:CX35)),"",AVERAGE(CX5:CX35))</f>
        <v/>
      </c>
      <c r="CY37" s="154" t="str">
        <f>IF(ISERROR(AVERAGE(CY5:CY35)),"",AVERAGE(CY5:CY35))</f>
        <v/>
      </c>
      <c r="CZ37" s="72" t="str">
        <f>IF(ISERROR(AVERAGE(CZ5:CZ35)),"",AVERAGE(CZ5:CZ35))</f>
        <v/>
      </c>
      <c r="DA37" s="72" t="str">
        <f>IF(ISERROR(AVERAGE(DA5:DA35)),"",AVERAGE(DA5:DA35))</f>
        <v/>
      </c>
      <c r="DB37" s="98"/>
      <c r="DC37" s="99"/>
      <c r="DF37" s="126" t="e">
        <f t="shared" ref="DF37:DP37" si="47">AVERAGE(DF5:DF35)</f>
        <v>#DIV/0!</v>
      </c>
      <c r="DG37" s="127" t="e">
        <f t="shared" si="47"/>
        <v>#DIV/0!</v>
      </c>
      <c r="DH37" s="127" t="e">
        <f t="shared" si="47"/>
        <v>#DIV/0!</v>
      </c>
      <c r="DI37" s="127" t="e">
        <f t="shared" si="47"/>
        <v>#DIV/0!</v>
      </c>
      <c r="DJ37" s="127" t="e">
        <f t="shared" si="47"/>
        <v>#DIV/0!</v>
      </c>
      <c r="DK37" s="127" t="e">
        <f t="shared" si="47"/>
        <v>#DIV/0!</v>
      </c>
      <c r="DL37" s="127" t="e">
        <f t="shared" si="47"/>
        <v>#DIV/0!</v>
      </c>
      <c r="DM37" s="127" t="e">
        <f t="shared" si="47"/>
        <v>#DIV/0!</v>
      </c>
      <c r="DN37" s="127" t="e">
        <f t="shared" si="47"/>
        <v>#DIV/0!</v>
      </c>
      <c r="DO37" s="127" t="e">
        <f t="shared" si="47"/>
        <v>#DIV/0!</v>
      </c>
      <c r="DP37" s="127">
        <f t="shared" si="47"/>
        <v>0</v>
      </c>
      <c r="DQ37" s="188"/>
      <c r="DS37" s="198" t="s">
        <v>99</v>
      </c>
      <c r="DT37" s="199"/>
      <c r="DU37" s="199"/>
      <c r="DV37" s="199"/>
      <c r="DW37" s="199"/>
      <c r="DX37" s="199"/>
    </row>
    <row r="38" spans="1:128" ht="19.149999999999999" customHeight="1" thickTop="1" thickBot="1" x14ac:dyDescent="0.45">
      <c r="DS38" s="198" t="s">
        <v>100</v>
      </c>
      <c r="DT38" s="199"/>
      <c r="DU38" s="199"/>
      <c r="DV38" s="199"/>
      <c r="DW38" s="199"/>
      <c r="DX38" s="199"/>
    </row>
    <row r="39" spans="1:128" ht="18.75" customHeight="1" thickTop="1" x14ac:dyDescent="0.4">
      <c r="E39" s="196" t="s">
        <v>101</v>
      </c>
      <c r="F39" s="197"/>
      <c r="H39" s="137" t="s">
        <v>12</v>
      </c>
      <c r="T39" s="200" t="s">
        <v>102</v>
      </c>
      <c r="U39" s="197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 spans="1:128" ht="18.75" customHeight="1" thickBot="1" x14ac:dyDescent="0.45">
      <c r="E40" s="133" t="s">
        <v>95</v>
      </c>
      <c r="F40" s="135" t="e">
        <f>('令和9年3月 '!G35-'令和9年3月 '!G19)+令和9年4月!G19</f>
        <v>#VALUE!</v>
      </c>
      <c r="H40" s="142" t="str">
        <f>IF(ISERROR(F40/U40),"",(F40/U40))</f>
        <v/>
      </c>
      <c r="I40" s="146"/>
      <c r="T40" s="133" t="s">
        <v>95</v>
      </c>
      <c r="U40" s="135">
        <f>('令和9年3月 '!V35-'令和9年3月 '!V19)+令和9年4月!V19</f>
        <v>9441926</v>
      </c>
    </row>
    <row r="41" spans="1:128" ht="18.75" customHeight="1" thickTop="1" thickBot="1" x14ac:dyDescent="0.45">
      <c r="E41" s="134" t="s">
        <v>97</v>
      </c>
      <c r="F41" s="136" t="e">
        <f>F40/31</f>
        <v>#VALUE!</v>
      </c>
      <c r="T41" s="134" t="s">
        <v>97</v>
      </c>
      <c r="U41" s="136">
        <f>U40/31</f>
        <v>304578.25806451612</v>
      </c>
    </row>
    <row r="42" spans="1:128" ht="13.9" customHeight="1" thickTop="1" x14ac:dyDescent="0.4"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</row>
  </sheetData>
  <mergeCells count="44">
    <mergeCell ref="DS21:DV21"/>
    <mergeCell ref="DS31:DV31"/>
    <mergeCell ref="DS38:DX38"/>
    <mergeCell ref="DS35:DV35"/>
    <mergeCell ref="AB37:AC37"/>
    <mergeCell ref="DS37:DX37"/>
    <mergeCell ref="DS5:DV5"/>
    <mergeCell ref="G1:G2"/>
    <mergeCell ref="DS11:DV11"/>
    <mergeCell ref="AX1:BC2"/>
    <mergeCell ref="DS14:DV14"/>
    <mergeCell ref="DS12:DV12"/>
    <mergeCell ref="E39:F39"/>
    <mergeCell ref="DS8:DV8"/>
    <mergeCell ref="DS27:DV27"/>
    <mergeCell ref="DS29:DV29"/>
    <mergeCell ref="DS19:DV19"/>
    <mergeCell ref="DS10:DV10"/>
    <mergeCell ref="DS13:DV13"/>
    <mergeCell ref="DS9:DV9"/>
    <mergeCell ref="DS34:DV34"/>
    <mergeCell ref="DS28:DV28"/>
    <mergeCell ref="DS24:DV24"/>
    <mergeCell ref="DS15:DV15"/>
    <mergeCell ref="DS23:DV23"/>
    <mergeCell ref="DS17:DV17"/>
    <mergeCell ref="DS36:DX36"/>
    <mergeCell ref="T39:U39"/>
    <mergeCell ref="A1:E2"/>
    <mergeCell ref="DS30:DV30"/>
    <mergeCell ref="DS33:DV33"/>
    <mergeCell ref="DS4:DV4"/>
    <mergeCell ref="DS20:DV20"/>
    <mergeCell ref="DS16:DV16"/>
    <mergeCell ref="DS7:DV7"/>
    <mergeCell ref="DS25:DV25"/>
    <mergeCell ref="DS32:DV32"/>
    <mergeCell ref="DS26:DV26"/>
    <mergeCell ref="DS22:DV22"/>
    <mergeCell ref="F1:F2"/>
    <mergeCell ref="DS18:DV18"/>
    <mergeCell ref="H1:K2"/>
    <mergeCell ref="M1:M2"/>
    <mergeCell ref="DS6:DV6"/>
  </mergeCells>
  <phoneticPr fontId="3"/>
  <conditionalFormatting sqref="B5:D35">
    <cfRule type="expression" dxfId="98" priority="42" stopIfTrue="1">
      <formula>(B5)="土"</formula>
    </cfRule>
    <cfRule type="expression" dxfId="97" priority="43" stopIfTrue="1">
      <formula>(B5)="日"</formula>
    </cfRule>
  </conditionalFormatting>
  <conditionalFormatting sqref="R5:S35">
    <cfRule type="expression" dxfId="96" priority="1" stopIfTrue="1">
      <formula>(R5)="土"</formula>
    </cfRule>
    <cfRule type="expression" dxfId="95" priority="2" stopIfTrue="1">
      <formula>(R5)="日"</formula>
    </cfRule>
  </conditionalFormatting>
  <conditionalFormatting sqref="AX5:AX34">
    <cfRule type="cellIs" dxfId="94" priority="31" operator="equal">
      <formula>0</formula>
    </cfRule>
  </conditionalFormatting>
  <conditionalFormatting sqref="AZ5:AZ34">
    <cfRule type="cellIs" dxfId="93" priority="30" operator="equal">
      <formula>0</formula>
    </cfRule>
  </conditionalFormatting>
  <conditionalFormatting sqref="BB5:BB34">
    <cfRule type="cellIs" dxfId="92" priority="29" operator="equal">
      <formula>0</formula>
    </cfRule>
  </conditionalFormatting>
  <conditionalFormatting sqref="BD5:BD34">
    <cfRule type="cellIs" dxfId="91" priority="28" operator="equal">
      <formula>0</formula>
    </cfRule>
  </conditionalFormatting>
  <conditionalFormatting sqref="BF5:BF34">
    <cfRule type="cellIs" dxfId="90" priority="27" operator="equal">
      <formula>0</formula>
    </cfRule>
  </conditionalFormatting>
  <conditionalFormatting sqref="BH5:BH34">
    <cfRule type="cellIs" dxfId="89" priority="26" operator="equal">
      <formula>0</formula>
    </cfRule>
  </conditionalFormatting>
  <conditionalFormatting sqref="BJ5:BJ34">
    <cfRule type="cellIs" dxfId="88" priority="25" operator="equal">
      <formula>0</formula>
    </cfRule>
  </conditionalFormatting>
  <conditionalFormatting sqref="BL5:BL34">
    <cfRule type="cellIs" dxfId="87" priority="24" operator="equal">
      <formula>0</formula>
    </cfRule>
  </conditionalFormatting>
  <conditionalFormatting sqref="BN5:BN34">
    <cfRule type="cellIs" dxfId="86" priority="23" operator="equal">
      <formula>0</formula>
    </cfRule>
  </conditionalFormatting>
  <conditionalFormatting sqref="BP5:BP34">
    <cfRule type="cellIs" dxfId="85" priority="22" operator="equal">
      <formula>0</formula>
    </cfRule>
  </conditionalFormatting>
  <conditionalFormatting sqref="BR5:BR34">
    <cfRule type="cellIs" dxfId="84" priority="21" operator="equal">
      <formula>0</formula>
    </cfRule>
  </conditionalFormatting>
  <conditionalFormatting sqref="BT5:BT34">
    <cfRule type="cellIs" dxfId="83" priority="20" operator="equal">
      <formula>0</formula>
    </cfRule>
  </conditionalFormatting>
  <conditionalFormatting sqref="BV5:BV34">
    <cfRule type="cellIs" dxfId="82" priority="19" operator="equal">
      <formula>0</formula>
    </cfRule>
  </conditionalFormatting>
  <conditionalFormatting sqref="BX5:BX34">
    <cfRule type="cellIs" dxfId="81" priority="18" operator="equal">
      <formula>0</formula>
    </cfRule>
  </conditionalFormatting>
  <conditionalFormatting sqref="BZ5:BZ34">
    <cfRule type="cellIs" dxfId="80" priority="17" operator="equal">
      <formula>0</formula>
    </cfRule>
  </conditionalFormatting>
  <conditionalFormatting sqref="CB5:CB34">
    <cfRule type="cellIs" dxfId="79" priority="16" operator="equal">
      <formula>0</formula>
    </cfRule>
  </conditionalFormatting>
  <conditionalFormatting sqref="CD5:CD34">
    <cfRule type="cellIs" dxfId="78" priority="15" operator="equal">
      <formula>0</formula>
    </cfRule>
  </conditionalFormatting>
  <conditionalFormatting sqref="CF5:CF34">
    <cfRule type="cellIs" dxfId="77" priority="14" operator="equal">
      <formula>0</formula>
    </cfRule>
  </conditionalFormatting>
  <conditionalFormatting sqref="CH5:CH34">
    <cfRule type="cellIs" dxfId="76" priority="13" operator="equal">
      <formula>0</formula>
    </cfRule>
  </conditionalFormatting>
  <conditionalFormatting sqref="CJ5:CJ34">
    <cfRule type="cellIs" dxfId="75" priority="12" operator="equal">
      <formula>0</formula>
    </cfRule>
  </conditionalFormatting>
  <conditionalFormatting sqref="CL5:CL34">
    <cfRule type="cellIs" dxfId="74" priority="11" operator="equal">
      <formula>0</formula>
    </cfRule>
  </conditionalFormatting>
  <conditionalFormatting sqref="CN5:CN34">
    <cfRule type="cellIs" dxfId="73" priority="10" operator="equal">
      <formula>0</formula>
    </cfRule>
  </conditionalFormatting>
  <conditionalFormatting sqref="CP5:CP34">
    <cfRule type="cellIs" dxfId="72" priority="9" operator="equal">
      <formula>0</formula>
    </cfRule>
  </conditionalFormatting>
  <conditionalFormatting sqref="CR5:CR34">
    <cfRule type="cellIs" dxfId="71" priority="8" operator="equal">
      <formula>0</formula>
    </cfRule>
  </conditionalFormatting>
  <conditionalFormatting sqref="CT5:CT34">
    <cfRule type="cellIs" dxfId="70" priority="7" operator="equal">
      <formula>0</formula>
    </cfRule>
  </conditionalFormatting>
  <conditionalFormatting sqref="DC5:DC36">
    <cfRule type="expression" dxfId="69" priority="3" stopIfTrue="1">
      <formula>(DC5)="土"</formula>
    </cfRule>
    <cfRule type="expression" dxfId="68" priority="4" stopIfTrue="1">
      <formula>(DC5)="日"</formula>
    </cfRule>
  </conditionalFormatting>
  <pageMargins left="0.12" right="0.18" top="0.75" bottom="0.75" header="0.3" footer="0.3"/>
  <pageSetup paperSize="9" orientation="landscape" horizontalDpi="429496729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B42"/>
  <sheetViews>
    <sheetView topLeftCell="CQ1" zoomScale="96" zoomScaleNormal="96" workbookViewId="0">
      <pane ySplit="4" topLeftCell="A5" activePane="bottomLeft" state="frozen"/>
      <selection pane="bottomLeft" activeCell="DD4" sqref="DD4"/>
    </sheetView>
  </sheetViews>
  <sheetFormatPr defaultRowHeight="13.5" x14ac:dyDescent="0.4"/>
  <cols>
    <col min="1" max="4" width="3.125" style="5" customWidth="1"/>
    <col min="5" max="5" width="5.625" style="5" customWidth="1"/>
    <col min="6" max="6" width="10.625" style="73" customWidth="1"/>
    <col min="7" max="7" width="12.5" style="73" customWidth="1"/>
    <col min="8" max="10" width="8.625" style="2" customWidth="1"/>
    <col min="11" max="11" width="5.625" style="2" customWidth="1"/>
    <col min="12" max="12" width="4.625" style="2" customWidth="1"/>
    <col min="13" max="13" width="5.625" style="2" customWidth="1"/>
    <col min="14" max="17" width="4.625" style="2" customWidth="1"/>
    <col min="18" max="19" width="3.125" style="5" customWidth="1"/>
    <col min="20" max="20" width="5.625" style="5" customWidth="1"/>
    <col min="21" max="21" width="7.625" style="73" customWidth="1"/>
    <col min="22" max="22" width="8.625" style="73" customWidth="1"/>
    <col min="23" max="24" width="5.625" style="2" customWidth="1"/>
    <col min="25" max="25" width="6.625" style="2" customWidth="1"/>
    <col min="26" max="26" width="9.875" style="2" customWidth="1"/>
    <col min="27" max="38" width="8.625" style="73" customWidth="1"/>
    <col min="39" max="43" width="8.625" style="73" hidden="1" customWidth="1"/>
    <col min="44" max="44" width="12.5" style="2" customWidth="1"/>
    <col min="45" max="45" width="6.75" style="2" customWidth="1"/>
    <col min="46" max="46" width="12.625" style="2" customWidth="1"/>
    <col min="47" max="47" width="8.625" style="161" customWidth="1"/>
    <col min="48" max="48" width="5.5" style="2" bestFit="1" customWidth="1"/>
    <col min="49" max="98" width="6.75" style="2" customWidth="1"/>
    <col min="99" max="100" width="8.625" style="2" customWidth="1"/>
    <col min="101" max="101" width="2.875" style="2" customWidth="1"/>
    <col min="102" max="102" width="10.625" style="2" customWidth="1"/>
    <col min="103" max="103" width="6.625" style="2" customWidth="1"/>
    <col min="104" max="104" width="10.625" style="2" customWidth="1"/>
    <col min="105" max="105" width="6.625" style="2" customWidth="1"/>
    <col min="106" max="107" width="3.125" style="5" customWidth="1"/>
    <col min="108" max="108" width="1.125" style="2" customWidth="1"/>
    <col min="109" max="109" width="2.375" style="2" customWidth="1"/>
    <col min="110" max="120" width="7.625" style="6" hidden="1" customWidth="1"/>
    <col min="121" max="121" width="6.75" style="2" hidden="1" customWidth="1"/>
    <col min="122" max="122" width="8.75" style="2" customWidth="1"/>
    <col min="123" max="126" width="8.625" style="2" customWidth="1"/>
    <col min="127" max="127" width="12.625" style="2" customWidth="1"/>
    <col min="128" max="128" width="8.625" style="2" customWidth="1"/>
    <col min="129" max="303" width="9" style="2" customWidth="1"/>
    <col min="304" max="305" width="3.125" style="2" customWidth="1"/>
    <col min="306" max="306" width="5.875" style="2" bestFit="1" customWidth="1"/>
    <col min="307" max="307" width="5.625" style="2" customWidth="1"/>
    <col min="308" max="308" width="10.625" style="2" customWidth="1"/>
    <col min="309" max="309" width="12.625" style="2" customWidth="1"/>
    <col min="310" max="310" width="8.625" style="2" customWidth="1"/>
    <col min="311" max="311" width="5.625" style="2" customWidth="1"/>
    <col min="312" max="312" width="4.625" style="2" customWidth="1"/>
    <col min="313" max="313" width="5.625" style="2" customWidth="1"/>
    <col min="314" max="317" width="4.625" style="2" customWidth="1"/>
    <col min="318" max="318" width="7.625" style="2" customWidth="1"/>
    <col min="319" max="319" width="8.625" style="2" customWidth="1"/>
    <col min="320" max="321" width="5.625" style="2" customWidth="1"/>
    <col min="322" max="322" width="6.625" style="2" customWidth="1"/>
    <col min="323" max="323" width="9.875" style="2" customWidth="1"/>
    <col min="324" max="325" width="8.625" style="2" customWidth="1"/>
    <col min="326" max="326" width="5.5" style="2" bestFit="1" customWidth="1"/>
    <col min="327" max="368" width="6.75" style="2" customWidth="1"/>
    <col min="369" max="369" width="9" style="2" customWidth="1"/>
    <col min="370" max="370" width="9.875" style="2" customWidth="1"/>
    <col min="371" max="371" width="2.875" style="2" customWidth="1"/>
    <col min="372" max="372" width="12.25" style="2" customWidth="1"/>
    <col min="373" max="373" width="6.375" style="2" customWidth="1"/>
    <col min="374" max="375" width="3.125" style="2" customWidth="1"/>
    <col min="376" max="376" width="1.125" style="2" customWidth="1"/>
    <col min="377" max="377" width="9" style="2" customWidth="1"/>
    <col min="378" max="378" width="2.375" style="2" customWidth="1"/>
    <col min="379" max="396" width="7.625" style="2" customWidth="1"/>
    <col min="397" max="559" width="9" style="2" customWidth="1"/>
    <col min="560" max="561" width="3.125" style="2" customWidth="1"/>
    <col min="562" max="562" width="5.875" style="2" bestFit="1" customWidth="1"/>
    <col min="563" max="563" width="5.625" style="2" customWidth="1"/>
    <col min="564" max="564" width="10.625" style="2" customWidth="1"/>
    <col min="565" max="565" width="12.625" style="2" customWidth="1"/>
    <col min="566" max="566" width="8.625" style="2" customWidth="1"/>
    <col min="567" max="567" width="5.625" style="2" customWidth="1"/>
    <col min="568" max="568" width="4.625" style="2" customWidth="1"/>
    <col min="569" max="569" width="5.625" style="2" customWidth="1"/>
    <col min="570" max="573" width="4.625" style="2" customWidth="1"/>
    <col min="574" max="574" width="7.625" style="2" customWidth="1"/>
    <col min="575" max="575" width="8.625" style="2" customWidth="1"/>
    <col min="576" max="577" width="5.625" style="2" customWidth="1"/>
    <col min="578" max="578" width="6.625" style="2" customWidth="1"/>
    <col min="579" max="579" width="9.875" style="2" customWidth="1"/>
    <col min="580" max="581" width="8.625" style="2" customWidth="1"/>
    <col min="582" max="582" width="5.5" style="2" bestFit="1" customWidth="1"/>
    <col min="583" max="624" width="6.75" style="2" customWidth="1"/>
    <col min="625" max="625" width="9" style="2" customWidth="1"/>
    <col min="626" max="626" width="9.875" style="2" customWidth="1"/>
    <col min="627" max="627" width="2.875" style="2" customWidth="1"/>
    <col min="628" max="628" width="12.25" style="2" customWidth="1"/>
    <col min="629" max="629" width="6.375" style="2" customWidth="1"/>
    <col min="630" max="631" width="3.125" style="2" customWidth="1"/>
    <col min="632" max="632" width="1.125" style="2" customWidth="1"/>
    <col min="633" max="633" width="9" style="2" customWidth="1"/>
    <col min="634" max="634" width="2.375" style="2" customWidth="1"/>
    <col min="635" max="652" width="7.625" style="2" customWidth="1"/>
    <col min="653" max="815" width="9" style="2" customWidth="1"/>
    <col min="816" max="817" width="3.125" style="2" customWidth="1"/>
    <col min="818" max="818" width="5.875" style="2" bestFit="1" customWidth="1"/>
    <col min="819" max="819" width="5.625" style="2" customWidth="1"/>
    <col min="820" max="820" width="10.625" style="2" customWidth="1"/>
    <col min="821" max="821" width="12.625" style="2" customWidth="1"/>
    <col min="822" max="822" width="8.625" style="2" customWidth="1"/>
    <col min="823" max="823" width="5.625" style="2" customWidth="1"/>
    <col min="824" max="824" width="4.625" style="2" customWidth="1"/>
    <col min="825" max="825" width="5.625" style="2" customWidth="1"/>
    <col min="826" max="829" width="4.625" style="2" customWidth="1"/>
    <col min="830" max="830" width="7.625" style="2" customWidth="1"/>
    <col min="831" max="831" width="8.625" style="2" customWidth="1"/>
    <col min="832" max="833" width="5.625" style="2" customWidth="1"/>
    <col min="834" max="834" width="6.625" style="2" customWidth="1"/>
    <col min="835" max="835" width="9.875" style="2" customWidth="1"/>
    <col min="836" max="837" width="8.625" style="2" customWidth="1"/>
    <col min="838" max="838" width="5.5" style="2" bestFit="1" customWidth="1"/>
    <col min="839" max="880" width="6.75" style="2" customWidth="1"/>
    <col min="881" max="881" width="9" style="2" customWidth="1"/>
    <col min="882" max="882" width="9.875" style="2" customWidth="1"/>
    <col min="883" max="883" width="2.875" style="2" customWidth="1"/>
    <col min="884" max="884" width="12.25" style="2" customWidth="1"/>
    <col min="885" max="885" width="6.375" style="2" customWidth="1"/>
    <col min="886" max="887" width="3.125" style="2" customWidth="1"/>
    <col min="888" max="888" width="1.125" style="2" customWidth="1"/>
    <col min="889" max="889" width="9" style="2" customWidth="1"/>
    <col min="890" max="890" width="2.375" style="2" customWidth="1"/>
    <col min="891" max="908" width="7.625" style="2" customWidth="1"/>
    <col min="909" max="1071" width="9" style="2" customWidth="1"/>
    <col min="1072" max="1073" width="3.125" style="2" customWidth="1"/>
    <col min="1074" max="1074" width="5.875" style="2" bestFit="1" customWidth="1"/>
    <col min="1075" max="1075" width="5.625" style="2" customWidth="1"/>
    <col min="1076" max="1076" width="10.625" style="2" customWidth="1"/>
    <col min="1077" max="1077" width="12.625" style="2" customWidth="1"/>
    <col min="1078" max="1078" width="8.625" style="2" customWidth="1"/>
    <col min="1079" max="1079" width="5.625" style="2" customWidth="1"/>
    <col min="1080" max="1080" width="4.625" style="2" customWidth="1"/>
    <col min="1081" max="1081" width="5.625" style="2" customWidth="1"/>
    <col min="1082" max="1085" width="4.625" style="2" customWidth="1"/>
    <col min="1086" max="1086" width="7.625" style="2" customWidth="1"/>
    <col min="1087" max="1087" width="8.625" style="2" customWidth="1"/>
    <col min="1088" max="1089" width="5.625" style="2" customWidth="1"/>
    <col min="1090" max="1090" width="6.625" style="2" customWidth="1"/>
    <col min="1091" max="1091" width="9.875" style="2" customWidth="1"/>
    <col min="1092" max="1093" width="8.625" style="2" customWidth="1"/>
    <col min="1094" max="1094" width="5.5" style="2" bestFit="1" customWidth="1"/>
    <col min="1095" max="1136" width="6.75" style="2" customWidth="1"/>
    <col min="1137" max="1137" width="9" style="2" customWidth="1"/>
    <col min="1138" max="1138" width="9.875" style="2" customWidth="1"/>
    <col min="1139" max="1139" width="2.875" style="2" customWidth="1"/>
    <col min="1140" max="1140" width="12.25" style="2" customWidth="1"/>
    <col min="1141" max="1141" width="6.375" style="2" customWidth="1"/>
    <col min="1142" max="1143" width="3.125" style="2" customWidth="1"/>
    <col min="1144" max="1144" width="1.125" style="2" customWidth="1"/>
    <col min="1145" max="1145" width="9" style="2" customWidth="1"/>
    <col min="1146" max="1146" width="2.375" style="2" customWidth="1"/>
    <col min="1147" max="1164" width="7.625" style="2" customWidth="1"/>
    <col min="1165" max="1327" width="9" style="2" customWidth="1"/>
    <col min="1328" max="1329" width="3.125" style="2" customWidth="1"/>
    <col min="1330" max="1330" width="5.875" style="2" bestFit="1" customWidth="1"/>
    <col min="1331" max="1331" width="5.625" style="2" customWidth="1"/>
    <col min="1332" max="1332" width="10.625" style="2" customWidth="1"/>
    <col min="1333" max="1333" width="12.625" style="2" customWidth="1"/>
    <col min="1334" max="1334" width="8.625" style="2" customWidth="1"/>
    <col min="1335" max="1335" width="5.625" style="2" customWidth="1"/>
    <col min="1336" max="1336" width="4.625" style="2" customWidth="1"/>
    <col min="1337" max="1337" width="5.625" style="2" customWidth="1"/>
    <col min="1338" max="1341" width="4.625" style="2" customWidth="1"/>
    <col min="1342" max="1342" width="7.625" style="2" customWidth="1"/>
    <col min="1343" max="1343" width="8.625" style="2" customWidth="1"/>
    <col min="1344" max="1345" width="5.625" style="2" customWidth="1"/>
    <col min="1346" max="1346" width="6.625" style="2" customWidth="1"/>
    <col min="1347" max="1347" width="9.875" style="2" customWidth="1"/>
    <col min="1348" max="1349" width="8.625" style="2" customWidth="1"/>
    <col min="1350" max="1350" width="5.5" style="2" bestFit="1" customWidth="1"/>
    <col min="1351" max="1392" width="6.75" style="2" customWidth="1"/>
    <col min="1393" max="1393" width="9" style="2" customWidth="1"/>
    <col min="1394" max="1394" width="9.875" style="2" customWidth="1"/>
    <col min="1395" max="1395" width="2.875" style="2" customWidth="1"/>
    <col min="1396" max="1396" width="12.25" style="2" customWidth="1"/>
    <col min="1397" max="1397" width="6.375" style="2" customWidth="1"/>
    <col min="1398" max="1399" width="3.125" style="2" customWidth="1"/>
    <col min="1400" max="1400" width="1.125" style="2" customWidth="1"/>
    <col min="1401" max="1401" width="9" style="2" customWidth="1"/>
    <col min="1402" max="1402" width="2.375" style="2" customWidth="1"/>
    <col min="1403" max="1420" width="7.625" style="2" customWidth="1"/>
    <col min="1421" max="1583" width="9" style="2" customWidth="1"/>
    <col min="1584" max="1585" width="3.125" style="2" customWidth="1"/>
    <col min="1586" max="1586" width="5.875" style="2" bestFit="1" customWidth="1"/>
    <col min="1587" max="1587" width="5.625" style="2" customWidth="1"/>
    <col min="1588" max="1588" width="10.625" style="2" customWidth="1"/>
    <col min="1589" max="1589" width="12.625" style="2" customWidth="1"/>
    <col min="1590" max="1590" width="8.625" style="2" customWidth="1"/>
    <col min="1591" max="1591" width="5.625" style="2" customWidth="1"/>
    <col min="1592" max="1592" width="4.625" style="2" customWidth="1"/>
    <col min="1593" max="1593" width="5.625" style="2" customWidth="1"/>
    <col min="1594" max="1597" width="4.625" style="2" customWidth="1"/>
    <col min="1598" max="1598" width="7.625" style="2" customWidth="1"/>
    <col min="1599" max="1599" width="8.625" style="2" customWidth="1"/>
    <col min="1600" max="1601" width="5.625" style="2" customWidth="1"/>
    <col min="1602" max="1602" width="6.625" style="2" customWidth="1"/>
    <col min="1603" max="1603" width="9.875" style="2" customWidth="1"/>
    <col min="1604" max="1605" width="8.625" style="2" customWidth="1"/>
    <col min="1606" max="1606" width="5.5" style="2" bestFit="1" customWidth="1"/>
    <col min="1607" max="1648" width="6.75" style="2" customWidth="1"/>
    <col min="1649" max="1649" width="9" style="2" customWidth="1"/>
    <col min="1650" max="1650" width="9.875" style="2" customWidth="1"/>
    <col min="1651" max="1651" width="2.875" style="2" customWidth="1"/>
    <col min="1652" max="1652" width="12.25" style="2" customWidth="1"/>
    <col min="1653" max="1653" width="6.375" style="2" customWidth="1"/>
    <col min="1654" max="1655" width="3.125" style="2" customWidth="1"/>
    <col min="1656" max="1656" width="1.125" style="2" customWidth="1"/>
    <col min="1657" max="1657" width="9" style="2" customWidth="1"/>
    <col min="1658" max="1658" width="2.375" style="2" customWidth="1"/>
    <col min="1659" max="1676" width="7.625" style="2" customWidth="1"/>
    <col min="1677" max="1839" width="9" style="2" customWidth="1"/>
    <col min="1840" max="1841" width="3.125" style="2" customWidth="1"/>
    <col min="1842" max="1842" width="5.875" style="2" bestFit="1" customWidth="1"/>
    <col min="1843" max="1843" width="5.625" style="2" customWidth="1"/>
    <col min="1844" max="1844" width="10.625" style="2" customWidth="1"/>
    <col min="1845" max="1845" width="12.625" style="2" customWidth="1"/>
    <col min="1846" max="1846" width="8.625" style="2" customWidth="1"/>
    <col min="1847" max="1847" width="5.625" style="2" customWidth="1"/>
    <col min="1848" max="1848" width="4.625" style="2" customWidth="1"/>
    <col min="1849" max="1849" width="5.625" style="2" customWidth="1"/>
    <col min="1850" max="1853" width="4.625" style="2" customWidth="1"/>
    <col min="1854" max="1854" width="7.625" style="2" customWidth="1"/>
    <col min="1855" max="1855" width="8.625" style="2" customWidth="1"/>
    <col min="1856" max="1857" width="5.625" style="2" customWidth="1"/>
    <col min="1858" max="1858" width="6.625" style="2" customWidth="1"/>
    <col min="1859" max="1859" width="9.875" style="2" customWidth="1"/>
    <col min="1860" max="1861" width="8.625" style="2" customWidth="1"/>
    <col min="1862" max="1862" width="5.5" style="2" bestFit="1" customWidth="1"/>
    <col min="1863" max="1904" width="6.75" style="2" customWidth="1"/>
    <col min="1905" max="1905" width="9" style="2" customWidth="1"/>
    <col min="1906" max="1906" width="9.875" style="2" customWidth="1"/>
    <col min="1907" max="1907" width="2.875" style="2" customWidth="1"/>
    <col min="1908" max="1908" width="12.25" style="2" customWidth="1"/>
    <col min="1909" max="1909" width="6.375" style="2" customWidth="1"/>
    <col min="1910" max="1911" width="3.125" style="2" customWidth="1"/>
    <col min="1912" max="1912" width="1.125" style="2" customWidth="1"/>
    <col min="1913" max="1913" width="9" style="2" customWidth="1"/>
    <col min="1914" max="1914" width="2.375" style="2" customWidth="1"/>
    <col min="1915" max="1932" width="7.625" style="2" customWidth="1"/>
    <col min="1933" max="2095" width="9" style="2" customWidth="1"/>
    <col min="2096" max="2097" width="3.125" style="2" customWidth="1"/>
    <col min="2098" max="2098" width="5.875" style="2" bestFit="1" customWidth="1"/>
    <col min="2099" max="2099" width="5.625" style="2" customWidth="1"/>
    <col min="2100" max="2100" width="10.625" style="2" customWidth="1"/>
    <col min="2101" max="2101" width="12.625" style="2" customWidth="1"/>
    <col min="2102" max="2102" width="8.625" style="2" customWidth="1"/>
    <col min="2103" max="2103" width="5.625" style="2" customWidth="1"/>
    <col min="2104" max="2104" width="4.625" style="2" customWidth="1"/>
    <col min="2105" max="2105" width="5.625" style="2" customWidth="1"/>
    <col min="2106" max="2109" width="4.625" style="2" customWidth="1"/>
    <col min="2110" max="2110" width="7.625" style="2" customWidth="1"/>
    <col min="2111" max="2111" width="8.625" style="2" customWidth="1"/>
    <col min="2112" max="2113" width="5.625" style="2" customWidth="1"/>
    <col min="2114" max="2114" width="6.625" style="2" customWidth="1"/>
    <col min="2115" max="2115" width="9.875" style="2" customWidth="1"/>
    <col min="2116" max="2117" width="8.625" style="2" customWidth="1"/>
    <col min="2118" max="2118" width="5.5" style="2" bestFit="1" customWidth="1"/>
    <col min="2119" max="2160" width="6.75" style="2" customWidth="1"/>
    <col min="2161" max="2161" width="9" style="2" customWidth="1"/>
    <col min="2162" max="2162" width="9.875" style="2" customWidth="1"/>
    <col min="2163" max="2163" width="2.875" style="2" customWidth="1"/>
    <col min="2164" max="2164" width="12.25" style="2" customWidth="1"/>
    <col min="2165" max="2165" width="6.375" style="2" customWidth="1"/>
    <col min="2166" max="2167" width="3.125" style="2" customWidth="1"/>
    <col min="2168" max="2168" width="1.125" style="2" customWidth="1"/>
    <col min="2169" max="2169" width="9" style="2" customWidth="1"/>
    <col min="2170" max="2170" width="2.375" style="2" customWidth="1"/>
    <col min="2171" max="2188" width="7.625" style="2" customWidth="1"/>
    <col min="2189" max="2351" width="9" style="2" customWidth="1"/>
    <col min="2352" max="2353" width="3.125" style="2" customWidth="1"/>
    <col min="2354" max="2354" width="5.875" style="2" bestFit="1" customWidth="1"/>
    <col min="2355" max="2355" width="5.625" style="2" customWidth="1"/>
    <col min="2356" max="2356" width="10.625" style="2" customWidth="1"/>
    <col min="2357" max="2357" width="12.625" style="2" customWidth="1"/>
    <col min="2358" max="2358" width="8.625" style="2" customWidth="1"/>
    <col min="2359" max="2359" width="5.625" style="2" customWidth="1"/>
    <col min="2360" max="2360" width="4.625" style="2" customWidth="1"/>
    <col min="2361" max="2361" width="5.625" style="2" customWidth="1"/>
    <col min="2362" max="2365" width="4.625" style="2" customWidth="1"/>
    <col min="2366" max="2366" width="7.625" style="2" customWidth="1"/>
    <col min="2367" max="2367" width="8.625" style="2" customWidth="1"/>
    <col min="2368" max="2369" width="5.625" style="2" customWidth="1"/>
    <col min="2370" max="2370" width="6.625" style="2" customWidth="1"/>
    <col min="2371" max="2371" width="9.875" style="2" customWidth="1"/>
    <col min="2372" max="2373" width="8.625" style="2" customWidth="1"/>
    <col min="2374" max="2374" width="5.5" style="2" bestFit="1" customWidth="1"/>
    <col min="2375" max="2416" width="6.75" style="2" customWidth="1"/>
    <col min="2417" max="2417" width="9" style="2" customWidth="1"/>
    <col min="2418" max="2418" width="9.875" style="2" customWidth="1"/>
    <col min="2419" max="2419" width="2.875" style="2" customWidth="1"/>
    <col min="2420" max="2420" width="12.25" style="2" customWidth="1"/>
    <col min="2421" max="2421" width="6.375" style="2" customWidth="1"/>
    <col min="2422" max="2423" width="3.125" style="2" customWidth="1"/>
    <col min="2424" max="2424" width="1.125" style="2" customWidth="1"/>
    <col min="2425" max="2425" width="9" style="2" customWidth="1"/>
    <col min="2426" max="2426" width="2.375" style="2" customWidth="1"/>
    <col min="2427" max="2444" width="7.625" style="2" customWidth="1"/>
    <col min="2445" max="2607" width="9" style="2" customWidth="1"/>
    <col min="2608" max="2609" width="3.125" style="2" customWidth="1"/>
    <col min="2610" max="2610" width="5.875" style="2" bestFit="1" customWidth="1"/>
    <col min="2611" max="2611" width="5.625" style="2" customWidth="1"/>
    <col min="2612" max="2612" width="10.625" style="2" customWidth="1"/>
    <col min="2613" max="2613" width="12.625" style="2" customWidth="1"/>
    <col min="2614" max="2614" width="8.625" style="2" customWidth="1"/>
    <col min="2615" max="2615" width="5.625" style="2" customWidth="1"/>
    <col min="2616" max="2616" width="4.625" style="2" customWidth="1"/>
    <col min="2617" max="2617" width="5.625" style="2" customWidth="1"/>
    <col min="2618" max="2621" width="4.625" style="2" customWidth="1"/>
    <col min="2622" max="2622" width="7.625" style="2" customWidth="1"/>
    <col min="2623" max="2623" width="8.625" style="2" customWidth="1"/>
    <col min="2624" max="2625" width="5.625" style="2" customWidth="1"/>
    <col min="2626" max="2626" width="6.625" style="2" customWidth="1"/>
    <col min="2627" max="2627" width="9.875" style="2" customWidth="1"/>
    <col min="2628" max="2629" width="8.625" style="2" customWidth="1"/>
    <col min="2630" max="2630" width="5.5" style="2" bestFit="1" customWidth="1"/>
    <col min="2631" max="2672" width="6.75" style="2" customWidth="1"/>
    <col min="2673" max="2673" width="9" style="2" customWidth="1"/>
    <col min="2674" max="2674" width="9.875" style="2" customWidth="1"/>
    <col min="2675" max="2675" width="2.875" style="2" customWidth="1"/>
    <col min="2676" max="2676" width="12.25" style="2" customWidth="1"/>
    <col min="2677" max="2677" width="6.375" style="2" customWidth="1"/>
    <col min="2678" max="2679" width="3.125" style="2" customWidth="1"/>
    <col min="2680" max="2680" width="1.125" style="2" customWidth="1"/>
    <col min="2681" max="2681" width="9" style="2" customWidth="1"/>
    <col min="2682" max="2682" width="2.375" style="2" customWidth="1"/>
    <col min="2683" max="2700" width="7.625" style="2" customWidth="1"/>
    <col min="2701" max="2863" width="9" style="2" customWidth="1"/>
    <col min="2864" max="2865" width="3.125" style="2" customWidth="1"/>
    <col min="2866" max="2866" width="5.875" style="2" bestFit="1" customWidth="1"/>
    <col min="2867" max="2867" width="5.625" style="2" customWidth="1"/>
    <col min="2868" max="2868" width="10.625" style="2" customWidth="1"/>
    <col min="2869" max="2869" width="12.625" style="2" customWidth="1"/>
    <col min="2870" max="2870" width="8.625" style="2" customWidth="1"/>
    <col min="2871" max="2871" width="5.625" style="2" customWidth="1"/>
    <col min="2872" max="2872" width="4.625" style="2" customWidth="1"/>
    <col min="2873" max="2873" width="5.625" style="2" customWidth="1"/>
    <col min="2874" max="2877" width="4.625" style="2" customWidth="1"/>
    <col min="2878" max="2878" width="7.625" style="2" customWidth="1"/>
    <col min="2879" max="2879" width="8.625" style="2" customWidth="1"/>
    <col min="2880" max="2881" width="5.625" style="2" customWidth="1"/>
    <col min="2882" max="2882" width="6.625" style="2" customWidth="1"/>
    <col min="2883" max="2883" width="9.875" style="2" customWidth="1"/>
    <col min="2884" max="2885" width="8.625" style="2" customWidth="1"/>
    <col min="2886" max="2886" width="5.5" style="2" bestFit="1" customWidth="1"/>
    <col min="2887" max="2928" width="6.75" style="2" customWidth="1"/>
    <col min="2929" max="2929" width="9" style="2" customWidth="1"/>
    <col min="2930" max="2930" width="9.875" style="2" customWidth="1"/>
    <col min="2931" max="2931" width="2.875" style="2" customWidth="1"/>
    <col min="2932" max="2932" width="12.25" style="2" customWidth="1"/>
    <col min="2933" max="2933" width="6.375" style="2" customWidth="1"/>
    <col min="2934" max="2935" width="3.125" style="2" customWidth="1"/>
    <col min="2936" max="2936" width="1.125" style="2" customWidth="1"/>
    <col min="2937" max="2937" width="9" style="2" customWidth="1"/>
    <col min="2938" max="2938" width="2.375" style="2" customWidth="1"/>
    <col min="2939" max="2956" width="7.625" style="2" customWidth="1"/>
    <col min="2957" max="3119" width="9" style="2" customWidth="1"/>
    <col min="3120" max="3121" width="3.125" style="2" customWidth="1"/>
    <col min="3122" max="3122" width="5.875" style="2" bestFit="1" customWidth="1"/>
    <col min="3123" max="3123" width="5.625" style="2" customWidth="1"/>
    <col min="3124" max="3124" width="10.625" style="2" customWidth="1"/>
    <col min="3125" max="3125" width="12.625" style="2" customWidth="1"/>
    <col min="3126" max="3126" width="8.625" style="2" customWidth="1"/>
    <col min="3127" max="3127" width="5.625" style="2" customWidth="1"/>
    <col min="3128" max="3128" width="4.625" style="2" customWidth="1"/>
    <col min="3129" max="3129" width="5.625" style="2" customWidth="1"/>
    <col min="3130" max="3133" width="4.625" style="2" customWidth="1"/>
    <col min="3134" max="3134" width="7.625" style="2" customWidth="1"/>
    <col min="3135" max="3135" width="8.625" style="2" customWidth="1"/>
    <col min="3136" max="3137" width="5.625" style="2" customWidth="1"/>
    <col min="3138" max="3138" width="6.625" style="2" customWidth="1"/>
    <col min="3139" max="3139" width="9.875" style="2" customWidth="1"/>
    <col min="3140" max="3141" width="8.625" style="2" customWidth="1"/>
    <col min="3142" max="3142" width="5.5" style="2" bestFit="1" customWidth="1"/>
    <col min="3143" max="3184" width="6.75" style="2" customWidth="1"/>
    <col min="3185" max="3185" width="9" style="2" customWidth="1"/>
    <col min="3186" max="3186" width="9.875" style="2" customWidth="1"/>
    <col min="3187" max="3187" width="2.875" style="2" customWidth="1"/>
    <col min="3188" max="3188" width="12.25" style="2" customWidth="1"/>
    <col min="3189" max="3189" width="6.375" style="2" customWidth="1"/>
    <col min="3190" max="3191" width="3.125" style="2" customWidth="1"/>
    <col min="3192" max="3192" width="1.125" style="2" customWidth="1"/>
    <col min="3193" max="3193" width="9" style="2" customWidth="1"/>
    <col min="3194" max="3194" width="2.375" style="2" customWidth="1"/>
    <col min="3195" max="3212" width="7.625" style="2" customWidth="1"/>
    <col min="3213" max="3375" width="9" style="2" customWidth="1"/>
    <col min="3376" max="3377" width="3.125" style="2" customWidth="1"/>
    <col min="3378" max="3378" width="5.875" style="2" bestFit="1" customWidth="1"/>
    <col min="3379" max="3379" width="5.625" style="2" customWidth="1"/>
    <col min="3380" max="3380" width="10.625" style="2" customWidth="1"/>
    <col min="3381" max="3381" width="12.625" style="2" customWidth="1"/>
    <col min="3382" max="3382" width="8.625" style="2" customWidth="1"/>
    <col min="3383" max="3383" width="5.625" style="2" customWidth="1"/>
    <col min="3384" max="3384" width="4.625" style="2" customWidth="1"/>
    <col min="3385" max="3385" width="5.625" style="2" customWidth="1"/>
    <col min="3386" max="3389" width="4.625" style="2" customWidth="1"/>
    <col min="3390" max="3390" width="7.625" style="2" customWidth="1"/>
    <col min="3391" max="3391" width="8.625" style="2" customWidth="1"/>
    <col min="3392" max="3393" width="5.625" style="2" customWidth="1"/>
    <col min="3394" max="3394" width="6.625" style="2" customWidth="1"/>
    <col min="3395" max="3395" width="9.875" style="2" customWidth="1"/>
    <col min="3396" max="3397" width="8.625" style="2" customWidth="1"/>
    <col min="3398" max="3398" width="5.5" style="2" bestFit="1" customWidth="1"/>
    <col min="3399" max="3440" width="6.75" style="2" customWidth="1"/>
    <col min="3441" max="3441" width="9" style="2" customWidth="1"/>
    <col min="3442" max="3442" width="9.875" style="2" customWidth="1"/>
    <col min="3443" max="3443" width="2.875" style="2" customWidth="1"/>
    <col min="3444" max="3444" width="12.25" style="2" customWidth="1"/>
    <col min="3445" max="3445" width="6.375" style="2" customWidth="1"/>
    <col min="3446" max="3447" width="3.125" style="2" customWidth="1"/>
    <col min="3448" max="3448" width="1.125" style="2" customWidth="1"/>
    <col min="3449" max="3449" width="9" style="2" customWidth="1"/>
    <col min="3450" max="3450" width="2.375" style="2" customWidth="1"/>
    <col min="3451" max="3468" width="7.625" style="2" customWidth="1"/>
    <col min="3469" max="3631" width="9" style="2" customWidth="1"/>
    <col min="3632" max="3633" width="3.125" style="2" customWidth="1"/>
    <col min="3634" max="3634" width="5.875" style="2" bestFit="1" customWidth="1"/>
    <col min="3635" max="3635" width="5.625" style="2" customWidth="1"/>
    <col min="3636" max="3636" width="10.625" style="2" customWidth="1"/>
    <col min="3637" max="3637" width="12.625" style="2" customWidth="1"/>
    <col min="3638" max="3638" width="8.625" style="2" customWidth="1"/>
    <col min="3639" max="3639" width="5.625" style="2" customWidth="1"/>
    <col min="3640" max="3640" width="4.625" style="2" customWidth="1"/>
    <col min="3641" max="3641" width="5.625" style="2" customWidth="1"/>
    <col min="3642" max="3645" width="4.625" style="2" customWidth="1"/>
    <col min="3646" max="3646" width="7.625" style="2" customWidth="1"/>
    <col min="3647" max="3647" width="8.625" style="2" customWidth="1"/>
    <col min="3648" max="3649" width="5.625" style="2" customWidth="1"/>
    <col min="3650" max="3650" width="6.625" style="2" customWidth="1"/>
    <col min="3651" max="3651" width="9.875" style="2" customWidth="1"/>
    <col min="3652" max="3653" width="8.625" style="2" customWidth="1"/>
    <col min="3654" max="3654" width="5.5" style="2" bestFit="1" customWidth="1"/>
    <col min="3655" max="3696" width="6.75" style="2" customWidth="1"/>
    <col min="3697" max="3697" width="9" style="2" customWidth="1"/>
    <col min="3698" max="3698" width="9.875" style="2" customWidth="1"/>
    <col min="3699" max="3699" width="2.875" style="2" customWidth="1"/>
    <col min="3700" max="3700" width="12.25" style="2" customWidth="1"/>
    <col min="3701" max="3701" width="6.375" style="2" customWidth="1"/>
    <col min="3702" max="3703" width="3.125" style="2" customWidth="1"/>
    <col min="3704" max="3704" width="1.125" style="2" customWidth="1"/>
    <col min="3705" max="3705" width="9" style="2" customWidth="1"/>
    <col min="3706" max="3706" width="2.375" style="2" customWidth="1"/>
    <col min="3707" max="3724" width="7.625" style="2" customWidth="1"/>
    <col min="3725" max="3887" width="9" style="2" customWidth="1"/>
    <col min="3888" max="3889" width="3.125" style="2" customWidth="1"/>
    <col min="3890" max="3890" width="5.875" style="2" bestFit="1" customWidth="1"/>
    <col min="3891" max="3891" width="5.625" style="2" customWidth="1"/>
    <col min="3892" max="3892" width="10.625" style="2" customWidth="1"/>
    <col min="3893" max="3893" width="12.625" style="2" customWidth="1"/>
    <col min="3894" max="3894" width="8.625" style="2" customWidth="1"/>
    <col min="3895" max="3895" width="5.625" style="2" customWidth="1"/>
    <col min="3896" max="3896" width="4.625" style="2" customWidth="1"/>
    <col min="3897" max="3897" width="5.625" style="2" customWidth="1"/>
    <col min="3898" max="3901" width="4.625" style="2" customWidth="1"/>
    <col min="3902" max="3902" width="7.625" style="2" customWidth="1"/>
    <col min="3903" max="3903" width="8.625" style="2" customWidth="1"/>
    <col min="3904" max="3905" width="5.625" style="2" customWidth="1"/>
    <col min="3906" max="3906" width="6.625" style="2" customWidth="1"/>
    <col min="3907" max="3907" width="9.875" style="2" customWidth="1"/>
    <col min="3908" max="3909" width="8.625" style="2" customWidth="1"/>
    <col min="3910" max="3910" width="5.5" style="2" bestFit="1" customWidth="1"/>
    <col min="3911" max="3952" width="6.75" style="2" customWidth="1"/>
    <col min="3953" max="3953" width="9" style="2" customWidth="1"/>
    <col min="3954" max="3954" width="9.875" style="2" customWidth="1"/>
    <col min="3955" max="3955" width="2.875" style="2" customWidth="1"/>
    <col min="3956" max="3956" width="12.25" style="2" customWidth="1"/>
    <col min="3957" max="3957" width="6.375" style="2" customWidth="1"/>
    <col min="3958" max="3959" width="3.125" style="2" customWidth="1"/>
    <col min="3960" max="3960" width="1.125" style="2" customWidth="1"/>
    <col min="3961" max="3961" width="9" style="2" customWidth="1"/>
    <col min="3962" max="3962" width="2.375" style="2" customWidth="1"/>
    <col min="3963" max="3980" width="7.625" style="2" customWidth="1"/>
    <col min="3981" max="4143" width="9" style="2" customWidth="1"/>
    <col min="4144" max="4145" width="3.125" style="2" customWidth="1"/>
    <col min="4146" max="4146" width="5.875" style="2" bestFit="1" customWidth="1"/>
    <col min="4147" max="4147" width="5.625" style="2" customWidth="1"/>
    <col min="4148" max="4148" width="10.625" style="2" customWidth="1"/>
    <col min="4149" max="4149" width="12.625" style="2" customWidth="1"/>
    <col min="4150" max="4150" width="8.625" style="2" customWidth="1"/>
    <col min="4151" max="4151" width="5.625" style="2" customWidth="1"/>
    <col min="4152" max="4152" width="4.625" style="2" customWidth="1"/>
    <col min="4153" max="4153" width="5.625" style="2" customWidth="1"/>
    <col min="4154" max="4157" width="4.625" style="2" customWidth="1"/>
    <col min="4158" max="4158" width="7.625" style="2" customWidth="1"/>
    <col min="4159" max="4159" width="8.625" style="2" customWidth="1"/>
    <col min="4160" max="4161" width="5.625" style="2" customWidth="1"/>
    <col min="4162" max="4162" width="6.625" style="2" customWidth="1"/>
    <col min="4163" max="4163" width="9.875" style="2" customWidth="1"/>
    <col min="4164" max="4165" width="8.625" style="2" customWidth="1"/>
    <col min="4166" max="4166" width="5.5" style="2" bestFit="1" customWidth="1"/>
    <col min="4167" max="4208" width="6.75" style="2" customWidth="1"/>
    <col min="4209" max="4209" width="9" style="2" customWidth="1"/>
    <col min="4210" max="4210" width="9.875" style="2" customWidth="1"/>
    <col min="4211" max="4211" width="2.875" style="2" customWidth="1"/>
    <col min="4212" max="4212" width="12.25" style="2" customWidth="1"/>
    <col min="4213" max="4213" width="6.375" style="2" customWidth="1"/>
    <col min="4214" max="4215" width="3.125" style="2" customWidth="1"/>
    <col min="4216" max="4216" width="1.125" style="2" customWidth="1"/>
    <col min="4217" max="4217" width="9" style="2" customWidth="1"/>
    <col min="4218" max="4218" width="2.375" style="2" customWidth="1"/>
    <col min="4219" max="4236" width="7.625" style="2" customWidth="1"/>
    <col min="4237" max="4399" width="9" style="2" customWidth="1"/>
    <col min="4400" max="4401" width="3.125" style="2" customWidth="1"/>
    <col min="4402" max="4402" width="5.875" style="2" bestFit="1" customWidth="1"/>
    <col min="4403" max="4403" width="5.625" style="2" customWidth="1"/>
    <col min="4404" max="4404" width="10.625" style="2" customWidth="1"/>
    <col min="4405" max="4405" width="12.625" style="2" customWidth="1"/>
    <col min="4406" max="4406" width="8.625" style="2" customWidth="1"/>
    <col min="4407" max="4407" width="5.625" style="2" customWidth="1"/>
    <col min="4408" max="4408" width="4.625" style="2" customWidth="1"/>
    <col min="4409" max="4409" width="5.625" style="2" customWidth="1"/>
    <col min="4410" max="4413" width="4.625" style="2" customWidth="1"/>
    <col min="4414" max="4414" width="7.625" style="2" customWidth="1"/>
    <col min="4415" max="4415" width="8.625" style="2" customWidth="1"/>
    <col min="4416" max="4417" width="5.625" style="2" customWidth="1"/>
    <col min="4418" max="4418" width="6.625" style="2" customWidth="1"/>
    <col min="4419" max="4419" width="9.875" style="2" customWidth="1"/>
    <col min="4420" max="4421" width="8.625" style="2" customWidth="1"/>
    <col min="4422" max="4422" width="5.5" style="2" bestFit="1" customWidth="1"/>
    <col min="4423" max="4464" width="6.75" style="2" customWidth="1"/>
    <col min="4465" max="4465" width="9" style="2" customWidth="1"/>
    <col min="4466" max="4466" width="9.875" style="2" customWidth="1"/>
    <col min="4467" max="4467" width="2.875" style="2" customWidth="1"/>
    <col min="4468" max="4468" width="12.25" style="2" customWidth="1"/>
    <col min="4469" max="4469" width="6.375" style="2" customWidth="1"/>
    <col min="4470" max="4471" width="3.125" style="2" customWidth="1"/>
    <col min="4472" max="4472" width="1.125" style="2" customWidth="1"/>
    <col min="4473" max="4473" width="9" style="2" customWidth="1"/>
    <col min="4474" max="4474" width="2.375" style="2" customWidth="1"/>
    <col min="4475" max="4492" width="7.625" style="2" customWidth="1"/>
    <col min="4493" max="4655" width="9" style="2" customWidth="1"/>
    <col min="4656" max="4657" width="3.125" style="2" customWidth="1"/>
    <col min="4658" max="4658" width="5.875" style="2" bestFit="1" customWidth="1"/>
    <col min="4659" max="4659" width="5.625" style="2" customWidth="1"/>
    <col min="4660" max="4660" width="10.625" style="2" customWidth="1"/>
    <col min="4661" max="4661" width="12.625" style="2" customWidth="1"/>
    <col min="4662" max="4662" width="8.625" style="2" customWidth="1"/>
    <col min="4663" max="4663" width="5.625" style="2" customWidth="1"/>
    <col min="4664" max="4664" width="4.625" style="2" customWidth="1"/>
    <col min="4665" max="4665" width="5.625" style="2" customWidth="1"/>
    <col min="4666" max="4669" width="4.625" style="2" customWidth="1"/>
    <col min="4670" max="4670" width="7.625" style="2" customWidth="1"/>
    <col min="4671" max="4671" width="8.625" style="2" customWidth="1"/>
    <col min="4672" max="4673" width="5.625" style="2" customWidth="1"/>
    <col min="4674" max="4674" width="6.625" style="2" customWidth="1"/>
    <col min="4675" max="4675" width="9.875" style="2" customWidth="1"/>
    <col min="4676" max="4677" width="8.625" style="2" customWidth="1"/>
    <col min="4678" max="4678" width="5.5" style="2" bestFit="1" customWidth="1"/>
    <col min="4679" max="4720" width="6.75" style="2" customWidth="1"/>
    <col min="4721" max="4721" width="9" style="2" customWidth="1"/>
    <col min="4722" max="4722" width="9.875" style="2" customWidth="1"/>
    <col min="4723" max="4723" width="2.875" style="2" customWidth="1"/>
    <col min="4724" max="4724" width="12.25" style="2" customWidth="1"/>
    <col min="4725" max="4725" width="6.375" style="2" customWidth="1"/>
    <col min="4726" max="4727" width="3.125" style="2" customWidth="1"/>
    <col min="4728" max="4728" width="1.125" style="2" customWidth="1"/>
    <col min="4729" max="4729" width="9" style="2" customWidth="1"/>
    <col min="4730" max="4730" width="2.375" style="2" customWidth="1"/>
    <col min="4731" max="4748" width="7.625" style="2" customWidth="1"/>
    <col min="4749" max="4911" width="9" style="2" customWidth="1"/>
    <col min="4912" max="4913" width="3.125" style="2" customWidth="1"/>
    <col min="4914" max="4914" width="5.875" style="2" bestFit="1" customWidth="1"/>
    <col min="4915" max="4915" width="5.625" style="2" customWidth="1"/>
    <col min="4916" max="4916" width="10.625" style="2" customWidth="1"/>
    <col min="4917" max="4917" width="12.625" style="2" customWidth="1"/>
    <col min="4918" max="4918" width="8.625" style="2" customWidth="1"/>
    <col min="4919" max="4919" width="5.625" style="2" customWidth="1"/>
    <col min="4920" max="4920" width="4.625" style="2" customWidth="1"/>
    <col min="4921" max="4921" width="5.625" style="2" customWidth="1"/>
    <col min="4922" max="4925" width="4.625" style="2" customWidth="1"/>
    <col min="4926" max="4926" width="7.625" style="2" customWidth="1"/>
    <col min="4927" max="4927" width="8.625" style="2" customWidth="1"/>
    <col min="4928" max="4929" width="5.625" style="2" customWidth="1"/>
    <col min="4930" max="4930" width="6.625" style="2" customWidth="1"/>
    <col min="4931" max="4931" width="9.875" style="2" customWidth="1"/>
    <col min="4932" max="4933" width="8.625" style="2" customWidth="1"/>
    <col min="4934" max="4934" width="5.5" style="2" bestFit="1" customWidth="1"/>
    <col min="4935" max="4976" width="6.75" style="2" customWidth="1"/>
    <col min="4977" max="4977" width="9" style="2" customWidth="1"/>
    <col min="4978" max="4978" width="9.875" style="2" customWidth="1"/>
    <col min="4979" max="4979" width="2.875" style="2" customWidth="1"/>
    <col min="4980" max="4980" width="12.25" style="2" customWidth="1"/>
    <col min="4981" max="4981" width="6.375" style="2" customWidth="1"/>
    <col min="4982" max="4983" width="3.125" style="2" customWidth="1"/>
    <col min="4984" max="4984" width="1.125" style="2" customWidth="1"/>
    <col min="4985" max="4985" width="9" style="2" customWidth="1"/>
    <col min="4986" max="4986" width="2.375" style="2" customWidth="1"/>
    <col min="4987" max="5004" width="7.625" style="2" customWidth="1"/>
    <col min="5005" max="5167" width="9" style="2" customWidth="1"/>
    <col min="5168" max="5169" width="3.125" style="2" customWidth="1"/>
    <col min="5170" max="5170" width="5.875" style="2" bestFit="1" customWidth="1"/>
    <col min="5171" max="5171" width="5.625" style="2" customWidth="1"/>
    <col min="5172" max="5172" width="10.625" style="2" customWidth="1"/>
    <col min="5173" max="5173" width="12.625" style="2" customWidth="1"/>
    <col min="5174" max="5174" width="8.625" style="2" customWidth="1"/>
    <col min="5175" max="5175" width="5.625" style="2" customWidth="1"/>
    <col min="5176" max="5176" width="4.625" style="2" customWidth="1"/>
    <col min="5177" max="5177" width="5.625" style="2" customWidth="1"/>
    <col min="5178" max="5181" width="4.625" style="2" customWidth="1"/>
    <col min="5182" max="5182" width="7.625" style="2" customWidth="1"/>
    <col min="5183" max="5183" width="8.625" style="2" customWidth="1"/>
    <col min="5184" max="5185" width="5.625" style="2" customWidth="1"/>
    <col min="5186" max="5186" width="6.625" style="2" customWidth="1"/>
    <col min="5187" max="5187" width="9.875" style="2" customWidth="1"/>
    <col min="5188" max="5189" width="8.625" style="2" customWidth="1"/>
    <col min="5190" max="5190" width="5.5" style="2" bestFit="1" customWidth="1"/>
    <col min="5191" max="5232" width="6.75" style="2" customWidth="1"/>
    <col min="5233" max="5233" width="9" style="2" customWidth="1"/>
    <col min="5234" max="5234" width="9.875" style="2" customWidth="1"/>
    <col min="5235" max="5235" width="2.875" style="2" customWidth="1"/>
    <col min="5236" max="5236" width="12.25" style="2" customWidth="1"/>
    <col min="5237" max="5237" width="6.375" style="2" customWidth="1"/>
    <col min="5238" max="5239" width="3.125" style="2" customWidth="1"/>
    <col min="5240" max="5240" width="1.125" style="2" customWidth="1"/>
    <col min="5241" max="5241" width="9" style="2" customWidth="1"/>
    <col min="5242" max="5242" width="2.375" style="2" customWidth="1"/>
    <col min="5243" max="5260" width="7.625" style="2" customWidth="1"/>
    <col min="5261" max="5423" width="9" style="2" customWidth="1"/>
    <col min="5424" max="5425" width="3.125" style="2" customWidth="1"/>
    <col min="5426" max="5426" width="5.875" style="2" bestFit="1" customWidth="1"/>
    <col min="5427" max="5427" width="5.625" style="2" customWidth="1"/>
    <col min="5428" max="5428" width="10.625" style="2" customWidth="1"/>
    <col min="5429" max="5429" width="12.625" style="2" customWidth="1"/>
    <col min="5430" max="5430" width="8.625" style="2" customWidth="1"/>
    <col min="5431" max="5431" width="5.625" style="2" customWidth="1"/>
    <col min="5432" max="5432" width="4.625" style="2" customWidth="1"/>
    <col min="5433" max="5433" width="5.625" style="2" customWidth="1"/>
    <col min="5434" max="5437" width="4.625" style="2" customWidth="1"/>
    <col min="5438" max="5438" width="7.625" style="2" customWidth="1"/>
    <col min="5439" max="5439" width="8.625" style="2" customWidth="1"/>
    <col min="5440" max="5441" width="5.625" style="2" customWidth="1"/>
    <col min="5442" max="5442" width="6.625" style="2" customWidth="1"/>
    <col min="5443" max="5443" width="9.875" style="2" customWidth="1"/>
    <col min="5444" max="5445" width="8.625" style="2" customWidth="1"/>
    <col min="5446" max="5446" width="5.5" style="2" bestFit="1" customWidth="1"/>
    <col min="5447" max="5488" width="6.75" style="2" customWidth="1"/>
    <col min="5489" max="5489" width="9" style="2" customWidth="1"/>
    <col min="5490" max="5490" width="9.875" style="2" customWidth="1"/>
    <col min="5491" max="5491" width="2.875" style="2" customWidth="1"/>
    <col min="5492" max="5492" width="12.25" style="2" customWidth="1"/>
    <col min="5493" max="5493" width="6.375" style="2" customWidth="1"/>
    <col min="5494" max="5495" width="3.125" style="2" customWidth="1"/>
    <col min="5496" max="5496" width="1.125" style="2" customWidth="1"/>
    <col min="5497" max="5497" width="9" style="2" customWidth="1"/>
    <col min="5498" max="5498" width="2.375" style="2" customWidth="1"/>
    <col min="5499" max="5516" width="7.625" style="2" customWidth="1"/>
    <col min="5517" max="5679" width="9" style="2" customWidth="1"/>
    <col min="5680" max="5681" width="3.125" style="2" customWidth="1"/>
    <col min="5682" max="5682" width="5.875" style="2" bestFit="1" customWidth="1"/>
    <col min="5683" max="5683" width="5.625" style="2" customWidth="1"/>
    <col min="5684" max="5684" width="10.625" style="2" customWidth="1"/>
    <col min="5685" max="5685" width="12.625" style="2" customWidth="1"/>
    <col min="5686" max="5686" width="8.625" style="2" customWidth="1"/>
    <col min="5687" max="5687" width="5.625" style="2" customWidth="1"/>
    <col min="5688" max="5688" width="4.625" style="2" customWidth="1"/>
    <col min="5689" max="5689" width="5.625" style="2" customWidth="1"/>
    <col min="5690" max="5693" width="4.625" style="2" customWidth="1"/>
    <col min="5694" max="5694" width="7.625" style="2" customWidth="1"/>
    <col min="5695" max="5695" width="8.625" style="2" customWidth="1"/>
    <col min="5696" max="5697" width="5.625" style="2" customWidth="1"/>
    <col min="5698" max="5698" width="6.625" style="2" customWidth="1"/>
    <col min="5699" max="5699" width="9.875" style="2" customWidth="1"/>
    <col min="5700" max="5701" width="8.625" style="2" customWidth="1"/>
    <col min="5702" max="5702" width="5.5" style="2" bestFit="1" customWidth="1"/>
    <col min="5703" max="5744" width="6.75" style="2" customWidth="1"/>
    <col min="5745" max="5745" width="9" style="2" customWidth="1"/>
    <col min="5746" max="5746" width="9.875" style="2" customWidth="1"/>
    <col min="5747" max="5747" width="2.875" style="2" customWidth="1"/>
    <col min="5748" max="5748" width="12.25" style="2" customWidth="1"/>
    <col min="5749" max="5749" width="6.375" style="2" customWidth="1"/>
    <col min="5750" max="5751" width="3.125" style="2" customWidth="1"/>
    <col min="5752" max="5752" width="1.125" style="2" customWidth="1"/>
    <col min="5753" max="5753" width="9" style="2" customWidth="1"/>
    <col min="5754" max="5754" width="2.375" style="2" customWidth="1"/>
    <col min="5755" max="5772" width="7.625" style="2" customWidth="1"/>
    <col min="5773" max="5935" width="9" style="2" customWidth="1"/>
    <col min="5936" max="5937" width="3.125" style="2" customWidth="1"/>
    <col min="5938" max="5938" width="5.875" style="2" bestFit="1" customWidth="1"/>
    <col min="5939" max="5939" width="5.625" style="2" customWidth="1"/>
    <col min="5940" max="5940" width="10.625" style="2" customWidth="1"/>
    <col min="5941" max="5941" width="12.625" style="2" customWidth="1"/>
    <col min="5942" max="5942" width="8.625" style="2" customWidth="1"/>
    <col min="5943" max="5943" width="5.625" style="2" customWidth="1"/>
    <col min="5944" max="5944" width="4.625" style="2" customWidth="1"/>
    <col min="5945" max="5945" width="5.625" style="2" customWidth="1"/>
    <col min="5946" max="5949" width="4.625" style="2" customWidth="1"/>
    <col min="5950" max="5950" width="7.625" style="2" customWidth="1"/>
    <col min="5951" max="5951" width="8.625" style="2" customWidth="1"/>
    <col min="5952" max="5953" width="5.625" style="2" customWidth="1"/>
    <col min="5954" max="5954" width="6.625" style="2" customWidth="1"/>
    <col min="5955" max="5955" width="9.875" style="2" customWidth="1"/>
    <col min="5956" max="5957" width="8.625" style="2" customWidth="1"/>
    <col min="5958" max="5958" width="5.5" style="2" bestFit="1" customWidth="1"/>
    <col min="5959" max="6000" width="6.75" style="2" customWidth="1"/>
    <col min="6001" max="6001" width="9" style="2" customWidth="1"/>
    <col min="6002" max="6002" width="9.875" style="2" customWidth="1"/>
    <col min="6003" max="6003" width="2.875" style="2" customWidth="1"/>
    <col min="6004" max="6004" width="12.25" style="2" customWidth="1"/>
    <col min="6005" max="6005" width="6.375" style="2" customWidth="1"/>
    <col min="6006" max="6007" width="3.125" style="2" customWidth="1"/>
    <col min="6008" max="6008" width="1.125" style="2" customWidth="1"/>
    <col min="6009" max="6009" width="9" style="2" customWidth="1"/>
    <col min="6010" max="6010" width="2.375" style="2" customWidth="1"/>
    <col min="6011" max="6028" width="7.625" style="2" customWidth="1"/>
    <col min="6029" max="6191" width="9" style="2" customWidth="1"/>
    <col min="6192" max="6193" width="3.125" style="2" customWidth="1"/>
    <col min="6194" max="6194" width="5.875" style="2" bestFit="1" customWidth="1"/>
    <col min="6195" max="6195" width="5.625" style="2" customWidth="1"/>
    <col min="6196" max="6196" width="10.625" style="2" customWidth="1"/>
    <col min="6197" max="6197" width="12.625" style="2" customWidth="1"/>
    <col min="6198" max="6198" width="8.625" style="2" customWidth="1"/>
    <col min="6199" max="6199" width="5.625" style="2" customWidth="1"/>
    <col min="6200" max="6200" width="4.625" style="2" customWidth="1"/>
    <col min="6201" max="6201" width="5.625" style="2" customWidth="1"/>
    <col min="6202" max="6205" width="4.625" style="2" customWidth="1"/>
    <col min="6206" max="6206" width="7.625" style="2" customWidth="1"/>
    <col min="6207" max="6207" width="8.625" style="2" customWidth="1"/>
    <col min="6208" max="6209" width="5.625" style="2" customWidth="1"/>
    <col min="6210" max="6210" width="6.625" style="2" customWidth="1"/>
    <col min="6211" max="6211" width="9.875" style="2" customWidth="1"/>
    <col min="6212" max="6213" width="8.625" style="2" customWidth="1"/>
    <col min="6214" max="6214" width="5.5" style="2" bestFit="1" customWidth="1"/>
    <col min="6215" max="6256" width="6.75" style="2" customWidth="1"/>
    <col min="6257" max="6257" width="9" style="2" customWidth="1"/>
    <col min="6258" max="6258" width="9.875" style="2" customWidth="1"/>
    <col min="6259" max="6259" width="2.875" style="2" customWidth="1"/>
    <col min="6260" max="6260" width="12.25" style="2" customWidth="1"/>
    <col min="6261" max="6261" width="6.375" style="2" customWidth="1"/>
    <col min="6262" max="6263" width="3.125" style="2" customWidth="1"/>
    <col min="6264" max="6264" width="1.125" style="2" customWidth="1"/>
    <col min="6265" max="6265" width="9" style="2" customWidth="1"/>
    <col min="6266" max="6266" width="2.375" style="2" customWidth="1"/>
    <col min="6267" max="6284" width="7.625" style="2" customWidth="1"/>
    <col min="6285" max="6447" width="9" style="2" customWidth="1"/>
    <col min="6448" max="6449" width="3.125" style="2" customWidth="1"/>
    <col min="6450" max="6450" width="5.875" style="2" bestFit="1" customWidth="1"/>
    <col min="6451" max="6451" width="5.625" style="2" customWidth="1"/>
    <col min="6452" max="6452" width="10.625" style="2" customWidth="1"/>
    <col min="6453" max="6453" width="12.625" style="2" customWidth="1"/>
    <col min="6454" max="6454" width="8.625" style="2" customWidth="1"/>
    <col min="6455" max="6455" width="5.625" style="2" customWidth="1"/>
    <col min="6456" max="6456" width="4.625" style="2" customWidth="1"/>
    <col min="6457" max="6457" width="5.625" style="2" customWidth="1"/>
    <col min="6458" max="6461" width="4.625" style="2" customWidth="1"/>
    <col min="6462" max="6462" width="7.625" style="2" customWidth="1"/>
    <col min="6463" max="6463" width="8.625" style="2" customWidth="1"/>
    <col min="6464" max="6465" width="5.625" style="2" customWidth="1"/>
    <col min="6466" max="6466" width="6.625" style="2" customWidth="1"/>
    <col min="6467" max="6467" width="9.875" style="2" customWidth="1"/>
    <col min="6468" max="6469" width="8.625" style="2" customWidth="1"/>
    <col min="6470" max="6470" width="5.5" style="2" bestFit="1" customWidth="1"/>
    <col min="6471" max="6512" width="6.75" style="2" customWidth="1"/>
    <col min="6513" max="6513" width="9" style="2" customWidth="1"/>
    <col min="6514" max="6514" width="9.875" style="2" customWidth="1"/>
    <col min="6515" max="6515" width="2.875" style="2" customWidth="1"/>
    <col min="6516" max="6516" width="12.25" style="2" customWidth="1"/>
    <col min="6517" max="6517" width="6.375" style="2" customWidth="1"/>
    <col min="6518" max="6519" width="3.125" style="2" customWidth="1"/>
    <col min="6520" max="6520" width="1.125" style="2" customWidth="1"/>
    <col min="6521" max="6521" width="9" style="2" customWidth="1"/>
    <col min="6522" max="6522" width="2.375" style="2" customWidth="1"/>
    <col min="6523" max="6540" width="7.625" style="2" customWidth="1"/>
    <col min="6541" max="6703" width="9" style="2" customWidth="1"/>
    <col min="6704" max="6705" width="3.125" style="2" customWidth="1"/>
    <col min="6706" max="6706" width="5.875" style="2" bestFit="1" customWidth="1"/>
    <col min="6707" max="6707" width="5.625" style="2" customWidth="1"/>
    <col min="6708" max="6708" width="10.625" style="2" customWidth="1"/>
    <col min="6709" max="6709" width="12.625" style="2" customWidth="1"/>
    <col min="6710" max="6710" width="8.625" style="2" customWidth="1"/>
    <col min="6711" max="6711" width="5.625" style="2" customWidth="1"/>
    <col min="6712" max="6712" width="4.625" style="2" customWidth="1"/>
    <col min="6713" max="6713" width="5.625" style="2" customWidth="1"/>
    <col min="6714" max="6717" width="4.625" style="2" customWidth="1"/>
    <col min="6718" max="6718" width="7.625" style="2" customWidth="1"/>
    <col min="6719" max="6719" width="8.625" style="2" customWidth="1"/>
    <col min="6720" max="6721" width="5.625" style="2" customWidth="1"/>
    <col min="6722" max="6722" width="6.625" style="2" customWidth="1"/>
    <col min="6723" max="6723" width="9.875" style="2" customWidth="1"/>
    <col min="6724" max="6725" width="8.625" style="2" customWidth="1"/>
    <col min="6726" max="6726" width="5.5" style="2" bestFit="1" customWidth="1"/>
    <col min="6727" max="6768" width="6.75" style="2" customWidth="1"/>
    <col min="6769" max="6769" width="9" style="2" customWidth="1"/>
    <col min="6770" max="6770" width="9.875" style="2" customWidth="1"/>
    <col min="6771" max="6771" width="2.875" style="2" customWidth="1"/>
    <col min="6772" max="6772" width="12.25" style="2" customWidth="1"/>
    <col min="6773" max="6773" width="6.375" style="2" customWidth="1"/>
    <col min="6774" max="6775" width="3.125" style="2" customWidth="1"/>
    <col min="6776" max="6776" width="1.125" style="2" customWidth="1"/>
    <col min="6777" max="6777" width="9" style="2" customWidth="1"/>
    <col min="6778" max="6778" width="2.375" style="2" customWidth="1"/>
    <col min="6779" max="6796" width="7.625" style="2" customWidth="1"/>
    <col min="6797" max="6959" width="9" style="2" customWidth="1"/>
    <col min="6960" max="6961" width="3.125" style="2" customWidth="1"/>
    <col min="6962" max="6962" width="5.875" style="2" bestFit="1" customWidth="1"/>
    <col min="6963" max="6963" width="5.625" style="2" customWidth="1"/>
    <col min="6964" max="6964" width="10.625" style="2" customWidth="1"/>
    <col min="6965" max="6965" width="12.625" style="2" customWidth="1"/>
    <col min="6966" max="6966" width="8.625" style="2" customWidth="1"/>
    <col min="6967" max="6967" width="5.625" style="2" customWidth="1"/>
    <col min="6968" max="6968" width="4.625" style="2" customWidth="1"/>
    <col min="6969" max="6969" width="5.625" style="2" customWidth="1"/>
    <col min="6970" max="6973" width="4.625" style="2" customWidth="1"/>
    <col min="6974" max="6974" width="7.625" style="2" customWidth="1"/>
    <col min="6975" max="6975" width="8.625" style="2" customWidth="1"/>
    <col min="6976" max="6977" width="5.625" style="2" customWidth="1"/>
    <col min="6978" max="6978" width="6.625" style="2" customWidth="1"/>
    <col min="6979" max="6979" width="9.875" style="2" customWidth="1"/>
    <col min="6980" max="6981" width="8.625" style="2" customWidth="1"/>
    <col min="6982" max="6982" width="5.5" style="2" bestFit="1" customWidth="1"/>
    <col min="6983" max="7024" width="6.75" style="2" customWidth="1"/>
    <col min="7025" max="7025" width="9" style="2" customWidth="1"/>
    <col min="7026" max="7026" width="9.875" style="2" customWidth="1"/>
    <col min="7027" max="7027" width="2.875" style="2" customWidth="1"/>
    <col min="7028" max="7028" width="12.25" style="2" customWidth="1"/>
    <col min="7029" max="7029" width="6.375" style="2" customWidth="1"/>
    <col min="7030" max="7031" width="3.125" style="2" customWidth="1"/>
    <col min="7032" max="7032" width="1.125" style="2" customWidth="1"/>
    <col min="7033" max="7033" width="9" style="2" customWidth="1"/>
    <col min="7034" max="7034" width="2.375" style="2" customWidth="1"/>
    <col min="7035" max="7052" width="7.625" style="2" customWidth="1"/>
    <col min="7053" max="7215" width="9" style="2" customWidth="1"/>
    <col min="7216" max="7217" width="3.125" style="2" customWidth="1"/>
    <col min="7218" max="7218" width="5.875" style="2" bestFit="1" customWidth="1"/>
    <col min="7219" max="7219" width="5.625" style="2" customWidth="1"/>
    <col min="7220" max="7220" width="10.625" style="2" customWidth="1"/>
    <col min="7221" max="7221" width="12.625" style="2" customWidth="1"/>
    <col min="7222" max="7222" width="8.625" style="2" customWidth="1"/>
    <col min="7223" max="7223" width="5.625" style="2" customWidth="1"/>
    <col min="7224" max="7224" width="4.625" style="2" customWidth="1"/>
    <col min="7225" max="7225" width="5.625" style="2" customWidth="1"/>
    <col min="7226" max="7229" width="4.625" style="2" customWidth="1"/>
    <col min="7230" max="7230" width="7.625" style="2" customWidth="1"/>
    <col min="7231" max="7231" width="8.625" style="2" customWidth="1"/>
    <col min="7232" max="7233" width="5.625" style="2" customWidth="1"/>
    <col min="7234" max="7234" width="6.625" style="2" customWidth="1"/>
    <col min="7235" max="7235" width="9.875" style="2" customWidth="1"/>
    <col min="7236" max="7237" width="8.625" style="2" customWidth="1"/>
    <col min="7238" max="7238" width="5.5" style="2" bestFit="1" customWidth="1"/>
    <col min="7239" max="7280" width="6.75" style="2" customWidth="1"/>
    <col min="7281" max="7281" width="9" style="2" customWidth="1"/>
    <col min="7282" max="7282" width="9.875" style="2" customWidth="1"/>
    <col min="7283" max="7283" width="2.875" style="2" customWidth="1"/>
    <col min="7284" max="7284" width="12.25" style="2" customWidth="1"/>
    <col min="7285" max="7285" width="6.375" style="2" customWidth="1"/>
    <col min="7286" max="7287" width="3.125" style="2" customWidth="1"/>
    <col min="7288" max="7288" width="1.125" style="2" customWidth="1"/>
    <col min="7289" max="7289" width="9" style="2" customWidth="1"/>
    <col min="7290" max="7290" width="2.375" style="2" customWidth="1"/>
    <col min="7291" max="7308" width="7.625" style="2" customWidth="1"/>
    <col min="7309" max="7471" width="9" style="2" customWidth="1"/>
    <col min="7472" max="7473" width="3.125" style="2" customWidth="1"/>
    <col min="7474" max="7474" width="5.875" style="2" bestFit="1" customWidth="1"/>
    <col min="7475" max="7475" width="5.625" style="2" customWidth="1"/>
    <col min="7476" max="7476" width="10.625" style="2" customWidth="1"/>
    <col min="7477" max="7477" width="12.625" style="2" customWidth="1"/>
    <col min="7478" max="7478" width="8.625" style="2" customWidth="1"/>
    <col min="7479" max="7479" width="5.625" style="2" customWidth="1"/>
    <col min="7480" max="7480" width="4.625" style="2" customWidth="1"/>
    <col min="7481" max="7481" width="5.625" style="2" customWidth="1"/>
    <col min="7482" max="7485" width="4.625" style="2" customWidth="1"/>
    <col min="7486" max="7486" width="7.625" style="2" customWidth="1"/>
    <col min="7487" max="7487" width="8.625" style="2" customWidth="1"/>
    <col min="7488" max="7489" width="5.625" style="2" customWidth="1"/>
    <col min="7490" max="7490" width="6.625" style="2" customWidth="1"/>
    <col min="7491" max="7491" width="9.875" style="2" customWidth="1"/>
    <col min="7492" max="7493" width="8.625" style="2" customWidth="1"/>
    <col min="7494" max="7494" width="5.5" style="2" bestFit="1" customWidth="1"/>
    <col min="7495" max="7536" width="6.75" style="2" customWidth="1"/>
    <col min="7537" max="7537" width="9" style="2" customWidth="1"/>
    <col min="7538" max="7538" width="9.875" style="2" customWidth="1"/>
    <col min="7539" max="7539" width="2.875" style="2" customWidth="1"/>
    <col min="7540" max="7540" width="12.25" style="2" customWidth="1"/>
    <col min="7541" max="7541" width="6.375" style="2" customWidth="1"/>
    <col min="7542" max="7543" width="3.125" style="2" customWidth="1"/>
    <col min="7544" max="7544" width="1.125" style="2" customWidth="1"/>
    <col min="7545" max="7545" width="9" style="2" customWidth="1"/>
    <col min="7546" max="7546" width="2.375" style="2" customWidth="1"/>
    <col min="7547" max="7564" width="7.625" style="2" customWidth="1"/>
    <col min="7565" max="7727" width="9" style="2" customWidth="1"/>
    <col min="7728" max="7729" width="3.125" style="2" customWidth="1"/>
    <col min="7730" max="7730" width="5.875" style="2" bestFit="1" customWidth="1"/>
    <col min="7731" max="7731" width="5.625" style="2" customWidth="1"/>
    <col min="7732" max="7732" width="10.625" style="2" customWidth="1"/>
    <col min="7733" max="7733" width="12.625" style="2" customWidth="1"/>
    <col min="7734" max="7734" width="8.625" style="2" customWidth="1"/>
    <col min="7735" max="7735" width="5.625" style="2" customWidth="1"/>
    <col min="7736" max="7736" width="4.625" style="2" customWidth="1"/>
    <col min="7737" max="7737" width="5.625" style="2" customWidth="1"/>
    <col min="7738" max="7741" width="4.625" style="2" customWidth="1"/>
    <col min="7742" max="7742" width="7.625" style="2" customWidth="1"/>
    <col min="7743" max="7743" width="8.625" style="2" customWidth="1"/>
    <col min="7744" max="7745" width="5.625" style="2" customWidth="1"/>
    <col min="7746" max="7746" width="6.625" style="2" customWidth="1"/>
    <col min="7747" max="7747" width="9.875" style="2" customWidth="1"/>
    <col min="7748" max="7749" width="8.625" style="2" customWidth="1"/>
    <col min="7750" max="7750" width="5.5" style="2" bestFit="1" customWidth="1"/>
    <col min="7751" max="7792" width="6.75" style="2" customWidth="1"/>
    <col min="7793" max="7793" width="9" style="2" customWidth="1"/>
    <col min="7794" max="7794" width="9.875" style="2" customWidth="1"/>
    <col min="7795" max="7795" width="2.875" style="2" customWidth="1"/>
    <col min="7796" max="7796" width="12.25" style="2" customWidth="1"/>
    <col min="7797" max="7797" width="6.375" style="2" customWidth="1"/>
    <col min="7798" max="7799" width="3.125" style="2" customWidth="1"/>
    <col min="7800" max="7800" width="1.125" style="2" customWidth="1"/>
    <col min="7801" max="7801" width="9" style="2" customWidth="1"/>
    <col min="7802" max="7802" width="2.375" style="2" customWidth="1"/>
    <col min="7803" max="7820" width="7.625" style="2" customWidth="1"/>
    <col min="7821" max="7983" width="9" style="2" customWidth="1"/>
    <col min="7984" max="7985" width="3.125" style="2" customWidth="1"/>
    <col min="7986" max="7986" width="5.875" style="2" bestFit="1" customWidth="1"/>
    <col min="7987" max="7987" width="5.625" style="2" customWidth="1"/>
    <col min="7988" max="7988" width="10.625" style="2" customWidth="1"/>
    <col min="7989" max="7989" width="12.625" style="2" customWidth="1"/>
    <col min="7990" max="7990" width="8.625" style="2" customWidth="1"/>
    <col min="7991" max="7991" width="5.625" style="2" customWidth="1"/>
    <col min="7992" max="7992" width="4.625" style="2" customWidth="1"/>
    <col min="7993" max="7993" width="5.625" style="2" customWidth="1"/>
    <col min="7994" max="7997" width="4.625" style="2" customWidth="1"/>
    <col min="7998" max="7998" width="7.625" style="2" customWidth="1"/>
    <col min="7999" max="7999" width="8.625" style="2" customWidth="1"/>
    <col min="8000" max="8001" width="5.625" style="2" customWidth="1"/>
    <col min="8002" max="8002" width="6.625" style="2" customWidth="1"/>
    <col min="8003" max="8003" width="9.875" style="2" customWidth="1"/>
    <col min="8004" max="8005" width="8.625" style="2" customWidth="1"/>
    <col min="8006" max="8006" width="5.5" style="2" bestFit="1" customWidth="1"/>
    <col min="8007" max="8048" width="6.75" style="2" customWidth="1"/>
    <col min="8049" max="8049" width="9" style="2" customWidth="1"/>
    <col min="8050" max="8050" width="9.875" style="2" customWidth="1"/>
    <col min="8051" max="8051" width="2.875" style="2" customWidth="1"/>
    <col min="8052" max="8052" width="12.25" style="2" customWidth="1"/>
    <col min="8053" max="8053" width="6.375" style="2" customWidth="1"/>
    <col min="8054" max="8055" width="3.125" style="2" customWidth="1"/>
    <col min="8056" max="8056" width="1.125" style="2" customWidth="1"/>
    <col min="8057" max="8057" width="9" style="2" customWidth="1"/>
    <col min="8058" max="8058" width="2.375" style="2" customWidth="1"/>
    <col min="8059" max="8076" width="7.625" style="2" customWidth="1"/>
    <col min="8077" max="8239" width="9" style="2" customWidth="1"/>
    <col min="8240" max="8241" width="3.125" style="2" customWidth="1"/>
    <col min="8242" max="8242" width="5.875" style="2" bestFit="1" customWidth="1"/>
    <col min="8243" max="8243" width="5.625" style="2" customWidth="1"/>
    <col min="8244" max="8244" width="10.625" style="2" customWidth="1"/>
    <col min="8245" max="8245" width="12.625" style="2" customWidth="1"/>
    <col min="8246" max="8246" width="8.625" style="2" customWidth="1"/>
    <col min="8247" max="8247" width="5.625" style="2" customWidth="1"/>
    <col min="8248" max="8248" width="4.625" style="2" customWidth="1"/>
    <col min="8249" max="8249" width="5.625" style="2" customWidth="1"/>
    <col min="8250" max="8253" width="4.625" style="2" customWidth="1"/>
    <col min="8254" max="8254" width="7.625" style="2" customWidth="1"/>
    <col min="8255" max="8255" width="8.625" style="2" customWidth="1"/>
    <col min="8256" max="8257" width="5.625" style="2" customWidth="1"/>
    <col min="8258" max="8258" width="6.625" style="2" customWidth="1"/>
    <col min="8259" max="8259" width="9.875" style="2" customWidth="1"/>
    <col min="8260" max="8261" width="8.625" style="2" customWidth="1"/>
    <col min="8262" max="8262" width="5.5" style="2" bestFit="1" customWidth="1"/>
    <col min="8263" max="8304" width="6.75" style="2" customWidth="1"/>
    <col min="8305" max="8305" width="9" style="2" customWidth="1"/>
    <col min="8306" max="8306" width="9.875" style="2" customWidth="1"/>
    <col min="8307" max="8307" width="2.875" style="2" customWidth="1"/>
    <col min="8308" max="8308" width="12.25" style="2" customWidth="1"/>
    <col min="8309" max="8309" width="6.375" style="2" customWidth="1"/>
    <col min="8310" max="8311" width="3.125" style="2" customWidth="1"/>
    <col min="8312" max="8312" width="1.125" style="2" customWidth="1"/>
    <col min="8313" max="8313" width="9" style="2" customWidth="1"/>
    <col min="8314" max="8314" width="2.375" style="2" customWidth="1"/>
    <col min="8315" max="8332" width="7.625" style="2" customWidth="1"/>
    <col min="8333" max="8495" width="9" style="2" customWidth="1"/>
    <col min="8496" max="8497" width="3.125" style="2" customWidth="1"/>
    <col min="8498" max="8498" width="5.875" style="2" bestFit="1" customWidth="1"/>
    <col min="8499" max="8499" width="5.625" style="2" customWidth="1"/>
    <col min="8500" max="8500" width="10.625" style="2" customWidth="1"/>
    <col min="8501" max="8501" width="12.625" style="2" customWidth="1"/>
    <col min="8502" max="8502" width="8.625" style="2" customWidth="1"/>
    <col min="8503" max="8503" width="5.625" style="2" customWidth="1"/>
    <col min="8504" max="8504" width="4.625" style="2" customWidth="1"/>
    <col min="8505" max="8505" width="5.625" style="2" customWidth="1"/>
    <col min="8506" max="8509" width="4.625" style="2" customWidth="1"/>
    <col min="8510" max="8510" width="7.625" style="2" customWidth="1"/>
    <col min="8511" max="8511" width="8.625" style="2" customWidth="1"/>
    <col min="8512" max="8513" width="5.625" style="2" customWidth="1"/>
    <col min="8514" max="8514" width="6.625" style="2" customWidth="1"/>
    <col min="8515" max="8515" width="9.875" style="2" customWidth="1"/>
    <col min="8516" max="8517" width="8.625" style="2" customWidth="1"/>
    <col min="8518" max="8518" width="5.5" style="2" bestFit="1" customWidth="1"/>
    <col min="8519" max="8560" width="6.75" style="2" customWidth="1"/>
    <col min="8561" max="8561" width="9" style="2" customWidth="1"/>
    <col min="8562" max="8562" width="9.875" style="2" customWidth="1"/>
    <col min="8563" max="8563" width="2.875" style="2" customWidth="1"/>
    <col min="8564" max="8564" width="12.25" style="2" customWidth="1"/>
    <col min="8565" max="8565" width="6.375" style="2" customWidth="1"/>
    <col min="8566" max="8567" width="3.125" style="2" customWidth="1"/>
    <col min="8568" max="8568" width="1.125" style="2" customWidth="1"/>
    <col min="8569" max="8569" width="9" style="2" customWidth="1"/>
    <col min="8570" max="8570" width="2.375" style="2" customWidth="1"/>
    <col min="8571" max="8588" width="7.625" style="2" customWidth="1"/>
    <col min="8589" max="8751" width="9" style="2" customWidth="1"/>
    <col min="8752" max="8753" width="3.125" style="2" customWidth="1"/>
    <col min="8754" max="8754" width="5.875" style="2" bestFit="1" customWidth="1"/>
    <col min="8755" max="8755" width="5.625" style="2" customWidth="1"/>
    <col min="8756" max="8756" width="10.625" style="2" customWidth="1"/>
    <col min="8757" max="8757" width="12.625" style="2" customWidth="1"/>
    <col min="8758" max="8758" width="8.625" style="2" customWidth="1"/>
    <col min="8759" max="8759" width="5.625" style="2" customWidth="1"/>
    <col min="8760" max="8760" width="4.625" style="2" customWidth="1"/>
    <col min="8761" max="8761" width="5.625" style="2" customWidth="1"/>
    <col min="8762" max="8765" width="4.625" style="2" customWidth="1"/>
    <col min="8766" max="8766" width="7.625" style="2" customWidth="1"/>
    <col min="8767" max="8767" width="8.625" style="2" customWidth="1"/>
    <col min="8768" max="8769" width="5.625" style="2" customWidth="1"/>
    <col min="8770" max="8770" width="6.625" style="2" customWidth="1"/>
    <col min="8771" max="8771" width="9.875" style="2" customWidth="1"/>
    <col min="8772" max="8773" width="8.625" style="2" customWidth="1"/>
    <col min="8774" max="8774" width="5.5" style="2" bestFit="1" customWidth="1"/>
    <col min="8775" max="8816" width="6.75" style="2" customWidth="1"/>
    <col min="8817" max="8817" width="9" style="2" customWidth="1"/>
    <col min="8818" max="8818" width="9.875" style="2" customWidth="1"/>
    <col min="8819" max="8819" width="2.875" style="2" customWidth="1"/>
    <col min="8820" max="8820" width="12.25" style="2" customWidth="1"/>
    <col min="8821" max="8821" width="6.375" style="2" customWidth="1"/>
    <col min="8822" max="8823" width="3.125" style="2" customWidth="1"/>
    <col min="8824" max="8824" width="1.125" style="2" customWidth="1"/>
    <col min="8825" max="8825" width="9" style="2" customWidth="1"/>
    <col min="8826" max="8826" width="2.375" style="2" customWidth="1"/>
    <col min="8827" max="8844" width="7.625" style="2" customWidth="1"/>
    <col min="8845" max="9007" width="9" style="2" customWidth="1"/>
    <col min="9008" max="9009" width="3.125" style="2" customWidth="1"/>
    <col min="9010" max="9010" width="5.875" style="2" bestFit="1" customWidth="1"/>
    <col min="9011" max="9011" width="5.625" style="2" customWidth="1"/>
    <col min="9012" max="9012" width="10.625" style="2" customWidth="1"/>
    <col min="9013" max="9013" width="12.625" style="2" customWidth="1"/>
    <col min="9014" max="9014" width="8.625" style="2" customWidth="1"/>
    <col min="9015" max="9015" width="5.625" style="2" customWidth="1"/>
    <col min="9016" max="9016" width="4.625" style="2" customWidth="1"/>
    <col min="9017" max="9017" width="5.625" style="2" customWidth="1"/>
    <col min="9018" max="9021" width="4.625" style="2" customWidth="1"/>
    <col min="9022" max="9022" width="7.625" style="2" customWidth="1"/>
    <col min="9023" max="9023" width="8.625" style="2" customWidth="1"/>
    <col min="9024" max="9025" width="5.625" style="2" customWidth="1"/>
    <col min="9026" max="9026" width="6.625" style="2" customWidth="1"/>
    <col min="9027" max="9027" width="9.875" style="2" customWidth="1"/>
    <col min="9028" max="9029" width="8.625" style="2" customWidth="1"/>
    <col min="9030" max="9030" width="5.5" style="2" bestFit="1" customWidth="1"/>
    <col min="9031" max="9072" width="6.75" style="2" customWidth="1"/>
    <col min="9073" max="9073" width="9" style="2" customWidth="1"/>
    <col min="9074" max="9074" width="9.875" style="2" customWidth="1"/>
    <col min="9075" max="9075" width="2.875" style="2" customWidth="1"/>
    <col min="9076" max="9076" width="12.25" style="2" customWidth="1"/>
    <col min="9077" max="9077" width="6.375" style="2" customWidth="1"/>
    <col min="9078" max="9079" width="3.125" style="2" customWidth="1"/>
    <col min="9080" max="9080" width="1.125" style="2" customWidth="1"/>
    <col min="9081" max="9081" width="9" style="2" customWidth="1"/>
    <col min="9082" max="9082" width="2.375" style="2" customWidth="1"/>
    <col min="9083" max="9100" width="7.625" style="2" customWidth="1"/>
    <col min="9101" max="9263" width="9" style="2" customWidth="1"/>
    <col min="9264" max="9265" width="3.125" style="2" customWidth="1"/>
    <col min="9266" max="9266" width="5.875" style="2" bestFit="1" customWidth="1"/>
    <col min="9267" max="9267" width="5.625" style="2" customWidth="1"/>
    <col min="9268" max="9268" width="10.625" style="2" customWidth="1"/>
    <col min="9269" max="9269" width="12.625" style="2" customWidth="1"/>
    <col min="9270" max="9270" width="8.625" style="2" customWidth="1"/>
    <col min="9271" max="9271" width="5.625" style="2" customWidth="1"/>
    <col min="9272" max="9272" width="4.625" style="2" customWidth="1"/>
    <col min="9273" max="9273" width="5.625" style="2" customWidth="1"/>
    <col min="9274" max="9277" width="4.625" style="2" customWidth="1"/>
    <col min="9278" max="9278" width="7.625" style="2" customWidth="1"/>
    <col min="9279" max="9279" width="8.625" style="2" customWidth="1"/>
    <col min="9280" max="9281" width="5.625" style="2" customWidth="1"/>
    <col min="9282" max="9282" width="6.625" style="2" customWidth="1"/>
    <col min="9283" max="9283" width="9.875" style="2" customWidth="1"/>
    <col min="9284" max="9285" width="8.625" style="2" customWidth="1"/>
    <col min="9286" max="9286" width="5.5" style="2" bestFit="1" customWidth="1"/>
    <col min="9287" max="9328" width="6.75" style="2" customWidth="1"/>
    <col min="9329" max="9329" width="9" style="2" customWidth="1"/>
    <col min="9330" max="9330" width="9.875" style="2" customWidth="1"/>
    <col min="9331" max="9331" width="2.875" style="2" customWidth="1"/>
    <col min="9332" max="9332" width="12.25" style="2" customWidth="1"/>
    <col min="9333" max="9333" width="6.375" style="2" customWidth="1"/>
    <col min="9334" max="9335" width="3.125" style="2" customWidth="1"/>
    <col min="9336" max="9336" width="1.125" style="2" customWidth="1"/>
    <col min="9337" max="9337" width="9" style="2" customWidth="1"/>
    <col min="9338" max="9338" width="2.375" style="2" customWidth="1"/>
    <col min="9339" max="9356" width="7.625" style="2" customWidth="1"/>
    <col min="9357" max="9519" width="9" style="2" customWidth="1"/>
    <col min="9520" max="9521" width="3.125" style="2" customWidth="1"/>
    <col min="9522" max="9522" width="5.875" style="2" bestFit="1" customWidth="1"/>
    <col min="9523" max="9523" width="5.625" style="2" customWidth="1"/>
    <col min="9524" max="9524" width="10.625" style="2" customWidth="1"/>
    <col min="9525" max="9525" width="12.625" style="2" customWidth="1"/>
    <col min="9526" max="9526" width="8.625" style="2" customWidth="1"/>
    <col min="9527" max="9527" width="5.625" style="2" customWidth="1"/>
    <col min="9528" max="9528" width="4.625" style="2" customWidth="1"/>
    <col min="9529" max="9529" width="5.625" style="2" customWidth="1"/>
    <col min="9530" max="9533" width="4.625" style="2" customWidth="1"/>
    <col min="9534" max="9534" width="7.625" style="2" customWidth="1"/>
    <col min="9535" max="9535" width="8.625" style="2" customWidth="1"/>
    <col min="9536" max="9537" width="5.625" style="2" customWidth="1"/>
    <col min="9538" max="9538" width="6.625" style="2" customWidth="1"/>
    <col min="9539" max="9539" width="9.875" style="2" customWidth="1"/>
    <col min="9540" max="9541" width="8.625" style="2" customWidth="1"/>
    <col min="9542" max="9542" width="5.5" style="2" bestFit="1" customWidth="1"/>
    <col min="9543" max="9584" width="6.75" style="2" customWidth="1"/>
    <col min="9585" max="9585" width="9" style="2" customWidth="1"/>
    <col min="9586" max="9586" width="9.875" style="2" customWidth="1"/>
    <col min="9587" max="9587" width="2.875" style="2" customWidth="1"/>
    <col min="9588" max="9588" width="12.25" style="2" customWidth="1"/>
    <col min="9589" max="9589" width="6.375" style="2" customWidth="1"/>
    <col min="9590" max="9591" width="3.125" style="2" customWidth="1"/>
    <col min="9592" max="9592" width="1.125" style="2" customWidth="1"/>
    <col min="9593" max="9593" width="9" style="2" customWidth="1"/>
    <col min="9594" max="9594" width="2.375" style="2" customWidth="1"/>
    <col min="9595" max="9612" width="7.625" style="2" customWidth="1"/>
    <col min="9613" max="9775" width="9" style="2" customWidth="1"/>
    <col min="9776" max="9777" width="3.125" style="2" customWidth="1"/>
    <col min="9778" max="9778" width="5.875" style="2" bestFit="1" customWidth="1"/>
    <col min="9779" max="9779" width="5.625" style="2" customWidth="1"/>
    <col min="9780" max="9780" width="10.625" style="2" customWidth="1"/>
    <col min="9781" max="9781" width="12.625" style="2" customWidth="1"/>
    <col min="9782" max="9782" width="8.625" style="2" customWidth="1"/>
    <col min="9783" max="9783" width="5.625" style="2" customWidth="1"/>
    <col min="9784" max="9784" width="4.625" style="2" customWidth="1"/>
    <col min="9785" max="9785" width="5.625" style="2" customWidth="1"/>
    <col min="9786" max="9789" width="4.625" style="2" customWidth="1"/>
    <col min="9790" max="9790" width="7.625" style="2" customWidth="1"/>
    <col min="9791" max="9791" width="8.625" style="2" customWidth="1"/>
    <col min="9792" max="9793" width="5.625" style="2" customWidth="1"/>
    <col min="9794" max="9794" width="6.625" style="2" customWidth="1"/>
    <col min="9795" max="9795" width="9.875" style="2" customWidth="1"/>
    <col min="9796" max="9797" width="8.625" style="2" customWidth="1"/>
    <col min="9798" max="9798" width="5.5" style="2" bestFit="1" customWidth="1"/>
    <col min="9799" max="9840" width="6.75" style="2" customWidth="1"/>
    <col min="9841" max="9841" width="9" style="2" customWidth="1"/>
    <col min="9842" max="9842" width="9.875" style="2" customWidth="1"/>
    <col min="9843" max="9843" width="2.875" style="2" customWidth="1"/>
    <col min="9844" max="9844" width="12.25" style="2" customWidth="1"/>
    <col min="9845" max="9845" width="6.375" style="2" customWidth="1"/>
    <col min="9846" max="9847" width="3.125" style="2" customWidth="1"/>
    <col min="9848" max="9848" width="1.125" style="2" customWidth="1"/>
    <col min="9849" max="9849" width="9" style="2" customWidth="1"/>
    <col min="9850" max="9850" width="2.375" style="2" customWidth="1"/>
    <col min="9851" max="9868" width="7.625" style="2" customWidth="1"/>
    <col min="9869" max="10031" width="9" style="2" customWidth="1"/>
    <col min="10032" max="10033" width="3.125" style="2" customWidth="1"/>
    <col min="10034" max="10034" width="5.875" style="2" bestFit="1" customWidth="1"/>
    <col min="10035" max="10035" width="5.625" style="2" customWidth="1"/>
    <col min="10036" max="10036" width="10.625" style="2" customWidth="1"/>
    <col min="10037" max="10037" width="12.625" style="2" customWidth="1"/>
    <col min="10038" max="10038" width="8.625" style="2" customWidth="1"/>
    <col min="10039" max="10039" width="5.625" style="2" customWidth="1"/>
    <col min="10040" max="10040" width="4.625" style="2" customWidth="1"/>
    <col min="10041" max="10041" width="5.625" style="2" customWidth="1"/>
    <col min="10042" max="10045" width="4.625" style="2" customWidth="1"/>
    <col min="10046" max="10046" width="7.625" style="2" customWidth="1"/>
    <col min="10047" max="10047" width="8.625" style="2" customWidth="1"/>
    <col min="10048" max="10049" width="5.625" style="2" customWidth="1"/>
    <col min="10050" max="10050" width="6.625" style="2" customWidth="1"/>
    <col min="10051" max="10051" width="9.875" style="2" customWidth="1"/>
    <col min="10052" max="10053" width="8.625" style="2" customWidth="1"/>
    <col min="10054" max="10054" width="5.5" style="2" bestFit="1" customWidth="1"/>
    <col min="10055" max="10096" width="6.75" style="2" customWidth="1"/>
    <col min="10097" max="10097" width="9" style="2" customWidth="1"/>
    <col min="10098" max="10098" width="9.875" style="2" customWidth="1"/>
    <col min="10099" max="10099" width="2.875" style="2" customWidth="1"/>
    <col min="10100" max="10100" width="12.25" style="2" customWidth="1"/>
    <col min="10101" max="10101" width="6.375" style="2" customWidth="1"/>
    <col min="10102" max="10103" width="3.125" style="2" customWidth="1"/>
    <col min="10104" max="10104" width="1.125" style="2" customWidth="1"/>
    <col min="10105" max="10105" width="9" style="2" customWidth="1"/>
    <col min="10106" max="10106" width="2.375" style="2" customWidth="1"/>
    <col min="10107" max="10124" width="7.625" style="2" customWidth="1"/>
    <col min="10125" max="10287" width="9" style="2" customWidth="1"/>
    <col min="10288" max="10289" width="3.125" style="2" customWidth="1"/>
    <col min="10290" max="10290" width="5.875" style="2" bestFit="1" customWidth="1"/>
    <col min="10291" max="10291" width="5.625" style="2" customWidth="1"/>
    <col min="10292" max="10292" width="10.625" style="2" customWidth="1"/>
    <col min="10293" max="10293" width="12.625" style="2" customWidth="1"/>
    <col min="10294" max="10294" width="8.625" style="2" customWidth="1"/>
    <col min="10295" max="10295" width="5.625" style="2" customWidth="1"/>
    <col min="10296" max="10296" width="4.625" style="2" customWidth="1"/>
    <col min="10297" max="10297" width="5.625" style="2" customWidth="1"/>
    <col min="10298" max="10301" width="4.625" style="2" customWidth="1"/>
    <col min="10302" max="10302" width="7.625" style="2" customWidth="1"/>
    <col min="10303" max="10303" width="8.625" style="2" customWidth="1"/>
    <col min="10304" max="10305" width="5.625" style="2" customWidth="1"/>
    <col min="10306" max="10306" width="6.625" style="2" customWidth="1"/>
    <col min="10307" max="10307" width="9.875" style="2" customWidth="1"/>
    <col min="10308" max="10309" width="8.625" style="2" customWidth="1"/>
    <col min="10310" max="10310" width="5.5" style="2" bestFit="1" customWidth="1"/>
    <col min="10311" max="10352" width="6.75" style="2" customWidth="1"/>
    <col min="10353" max="10353" width="9" style="2" customWidth="1"/>
    <col min="10354" max="10354" width="9.875" style="2" customWidth="1"/>
    <col min="10355" max="10355" width="2.875" style="2" customWidth="1"/>
    <col min="10356" max="10356" width="12.25" style="2" customWidth="1"/>
    <col min="10357" max="10357" width="6.375" style="2" customWidth="1"/>
    <col min="10358" max="10359" width="3.125" style="2" customWidth="1"/>
    <col min="10360" max="10360" width="1.125" style="2" customWidth="1"/>
    <col min="10361" max="10361" width="9" style="2" customWidth="1"/>
    <col min="10362" max="10362" width="2.375" style="2" customWidth="1"/>
    <col min="10363" max="10380" width="7.625" style="2" customWidth="1"/>
    <col min="10381" max="10543" width="9" style="2" customWidth="1"/>
    <col min="10544" max="10545" width="3.125" style="2" customWidth="1"/>
    <col min="10546" max="10546" width="5.875" style="2" bestFit="1" customWidth="1"/>
    <col min="10547" max="10547" width="5.625" style="2" customWidth="1"/>
    <col min="10548" max="10548" width="10.625" style="2" customWidth="1"/>
    <col min="10549" max="10549" width="12.625" style="2" customWidth="1"/>
    <col min="10550" max="10550" width="8.625" style="2" customWidth="1"/>
    <col min="10551" max="10551" width="5.625" style="2" customWidth="1"/>
    <col min="10552" max="10552" width="4.625" style="2" customWidth="1"/>
    <col min="10553" max="10553" width="5.625" style="2" customWidth="1"/>
    <col min="10554" max="10557" width="4.625" style="2" customWidth="1"/>
    <col min="10558" max="10558" width="7.625" style="2" customWidth="1"/>
    <col min="10559" max="10559" width="8.625" style="2" customWidth="1"/>
    <col min="10560" max="10561" width="5.625" style="2" customWidth="1"/>
    <col min="10562" max="10562" width="6.625" style="2" customWidth="1"/>
    <col min="10563" max="10563" width="9.875" style="2" customWidth="1"/>
    <col min="10564" max="10565" width="8.625" style="2" customWidth="1"/>
    <col min="10566" max="10566" width="5.5" style="2" bestFit="1" customWidth="1"/>
    <col min="10567" max="10608" width="6.75" style="2" customWidth="1"/>
    <col min="10609" max="10609" width="9" style="2" customWidth="1"/>
    <col min="10610" max="10610" width="9.875" style="2" customWidth="1"/>
    <col min="10611" max="10611" width="2.875" style="2" customWidth="1"/>
    <col min="10612" max="10612" width="12.25" style="2" customWidth="1"/>
    <col min="10613" max="10613" width="6.375" style="2" customWidth="1"/>
    <col min="10614" max="10615" width="3.125" style="2" customWidth="1"/>
    <col min="10616" max="10616" width="1.125" style="2" customWidth="1"/>
    <col min="10617" max="10617" width="9" style="2" customWidth="1"/>
    <col min="10618" max="10618" width="2.375" style="2" customWidth="1"/>
    <col min="10619" max="10636" width="7.625" style="2" customWidth="1"/>
    <col min="10637" max="10799" width="9" style="2" customWidth="1"/>
    <col min="10800" max="10801" width="3.125" style="2" customWidth="1"/>
    <col min="10802" max="10802" width="5.875" style="2" bestFit="1" customWidth="1"/>
    <col min="10803" max="10803" width="5.625" style="2" customWidth="1"/>
    <col min="10804" max="10804" width="10.625" style="2" customWidth="1"/>
    <col min="10805" max="10805" width="12.625" style="2" customWidth="1"/>
    <col min="10806" max="10806" width="8.625" style="2" customWidth="1"/>
    <col min="10807" max="10807" width="5.625" style="2" customWidth="1"/>
    <col min="10808" max="10808" width="4.625" style="2" customWidth="1"/>
    <col min="10809" max="10809" width="5.625" style="2" customWidth="1"/>
    <col min="10810" max="10813" width="4.625" style="2" customWidth="1"/>
    <col min="10814" max="10814" width="7.625" style="2" customWidth="1"/>
    <col min="10815" max="10815" width="8.625" style="2" customWidth="1"/>
    <col min="10816" max="10817" width="5.625" style="2" customWidth="1"/>
    <col min="10818" max="10818" width="6.625" style="2" customWidth="1"/>
    <col min="10819" max="10819" width="9.875" style="2" customWidth="1"/>
    <col min="10820" max="10821" width="8.625" style="2" customWidth="1"/>
    <col min="10822" max="10822" width="5.5" style="2" bestFit="1" customWidth="1"/>
    <col min="10823" max="10864" width="6.75" style="2" customWidth="1"/>
    <col min="10865" max="10865" width="9" style="2" customWidth="1"/>
    <col min="10866" max="10866" width="9.875" style="2" customWidth="1"/>
    <col min="10867" max="10867" width="2.875" style="2" customWidth="1"/>
    <col min="10868" max="10868" width="12.25" style="2" customWidth="1"/>
    <col min="10869" max="10869" width="6.375" style="2" customWidth="1"/>
    <col min="10870" max="10871" width="3.125" style="2" customWidth="1"/>
    <col min="10872" max="10872" width="1.125" style="2" customWidth="1"/>
    <col min="10873" max="10873" width="9" style="2" customWidth="1"/>
    <col min="10874" max="10874" width="2.375" style="2" customWidth="1"/>
    <col min="10875" max="10892" width="7.625" style="2" customWidth="1"/>
    <col min="10893" max="11055" width="9" style="2" customWidth="1"/>
    <col min="11056" max="11057" width="3.125" style="2" customWidth="1"/>
    <col min="11058" max="11058" width="5.875" style="2" bestFit="1" customWidth="1"/>
    <col min="11059" max="11059" width="5.625" style="2" customWidth="1"/>
    <col min="11060" max="11060" width="10.625" style="2" customWidth="1"/>
    <col min="11061" max="11061" width="12.625" style="2" customWidth="1"/>
    <col min="11062" max="11062" width="8.625" style="2" customWidth="1"/>
    <col min="11063" max="11063" width="5.625" style="2" customWidth="1"/>
    <col min="11064" max="11064" width="4.625" style="2" customWidth="1"/>
    <col min="11065" max="11065" width="5.625" style="2" customWidth="1"/>
    <col min="11066" max="11069" width="4.625" style="2" customWidth="1"/>
    <col min="11070" max="11070" width="7.625" style="2" customWidth="1"/>
    <col min="11071" max="11071" width="8.625" style="2" customWidth="1"/>
    <col min="11072" max="11073" width="5.625" style="2" customWidth="1"/>
    <col min="11074" max="11074" width="6.625" style="2" customWidth="1"/>
    <col min="11075" max="11075" width="9.875" style="2" customWidth="1"/>
    <col min="11076" max="11077" width="8.625" style="2" customWidth="1"/>
    <col min="11078" max="11078" width="5.5" style="2" bestFit="1" customWidth="1"/>
    <col min="11079" max="11120" width="6.75" style="2" customWidth="1"/>
    <col min="11121" max="11121" width="9" style="2" customWidth="1"/>
    <col min="11122" max="11122" width="9.875" style="2" customWidth="1"/>
    <col min="11123" max="11123" width="2.875" style="2" customWidth="1"/>
    <col min="11124" max="11124" width="12.25" style="2" customWidth="1"/>
    <col min="11125" max="11125" width="6.375" style="2" customWidth="1"/>
    <col min="11126" max="11127" width="3.125" style="2" customWidth="1"/>
    <col min="11128" max="11128" width="1.125" style="2" customWidth="1"/>
    <col min="11129" max="11129" width="9" style="2" customWidth="1"/>
    <col min="11130" max="11130" width="2.375" style="2" customWidth="1"/>
    <col min="11131" max="11148" width="7.625" style="2" customWidth="1"/>
    <col min="11149" max="11311" width="9" style="2" customWidth="1"/>
    <col min="11312" max="11313" width="3.125" style="2" customWidth="1"/>
    <col min="11314" max="11314" width="5.875" style="2" bestFit="1" customWidth="1"/>
    <col min="11315" max="11315" width="5.625" style="2" customWidth="1"/>
    <col min="11316" max="11316" width="10.625" style="2" customWidth="1"/>
    <col min="11317" max="11317" width="12.625" style="2" customWidth="1"/>
    <col min="11318" max="11318" width="8.625" style="2" customWidth="1"/>
    <col min="11319" max="11319" width="5.625" style="2" customWidth="1"/>
    <col min="11320" max="11320" width="4.625" style="2" customWidth="1"/>
    <col min="11321" max="11321" width="5.625" style="2" customWidth="1"/>
    <col min="11322" max="11325" width="4.625" style="2" customWidth="1"/>
    <col min="11326" max="11326" width="7.625" style="2" customWidth="1"/>
    <col min="11327" max="11327" width="8.625" style="2" customWidth="1"/>
    <col min="11328" max="11329" width="5.625" style="2" customWidth="1"/>
    <col min="11330" max="11330" width="6.625" style="2" customWidth="1"/>
    <col min="11331" max="11331" width="9.875" style="2" customWidth="1"/>
    <col min="11332" max="11333" width="8.625" style="2" customWidth="1"/>
    <col min="11334" max="11334" width="5.5" style="2" bestFit="1" customWidth="1"/>
    <col min="11335" max="11376" width="6.75" style="2" customWidth="1"/>
    <col min="11377" max="11377" width="9" style="2" customWidth="1"/>
    <col min="11378" max="11378" width="9.875" style="2" customWidth="1"/>
    <col min="11379" max="11379" width="2.875" style="2" customWidth="1"/>
    <col min="11380" max="11380" width="12.25" style="2" customWidth="1"/>
    <col min="11381" max="11381" width="6.375" style="2" customWidth="1"/>
    <col min="11382" max="11383" width="3.125" style="2" customWidth="1"/>
    <col min="11384" max="11384" width="1.125" style="2" customWidth="1"/>
    <col min="11385" max="11385" width="9" style="2" customWidth="1"/>
    <col min="11386" max="11386" width="2.375" style="2" customWidth="1"/>
    <col min="11387" max="11404" width="7.625" style="2" customWidth="1"/>
    <col min="11405" max="11567" width="9" style="2" customWidth="1"/>
    <col min="11568" max="11569" width="3.125" style="2" customWidth="1"/>
    <col min="11570" max="11570" width="5.875" style="2" bestFit="1" customWidth="1"/>
    <col min="11571" max="11571" width="5.625" style="2" customWidth="1"/>
    <col min="11572" max="11572" width="10.625" style="2" customWidth="1"/>
    <col min="11573" max="11573" width="12.625" style="2" customWidth="1"/>
    <col min="11574" max="11574" width="8.625" style="2" customWidth="1"/>
    <col min="11575" max="11575" width="5.625" style="2" customWidth="1"/>
    <col min="11576" max="11576" width="4.625" style="2" customWidth="1"/>
    <col min="11577" max="11577" width="5.625" style="2" customWidth="1"/>
    <col min="11578" max="11581" width="4.625" style="2" customWidth="1"/>
    <col min="11582" max="11582" width="7.625" style="2" customWidth="1"/>
    <col min="11583" max="11583" width="8.625" style="2" customWidth="1"/>
    <col min="11584" max="11585" width="5.625" style="2" customWidth="1"/>
    <col min="11586" max="11586" width="6.625" style="2" customWidth="1"/>
    <col min="11587" max="11587" width="9.875" style="2" customWidth="1"/>
    <col min="11588" max="11589" width="8.625" style="2" customWidth="1"/>
    <col min="11590" max="11590" width="5.5" style="2" bestFit="1" customWidth="1"/>
    <col min="11591" max="11632" width="6.75" style="2" customWidth="1"/>
    <col min="11633" max="11633" width="9" style="2" customWidth="1"/>
    <col min="11634" max="11634" width="9.875" style="2" customWidth="1"/>
    <col min="11635" max="11635" width="2.875" style="2" customWidth="1"/>
    <col min="11636" max="11636" width="12.25" style="2" customWidth="1"/>
    <col min="11637" max="11637" width="6.375" style="2" customWidth="1"/>
    <col min="11638" max="11639" width="3.125" style="2" customWidth="1"/>
    <col min="11640" max="11640" width="1.125" style="2" customWidth="1"/>
    <col min="11641" max="11641" width="9" style="2" customWidth="1"/>
    <col min="11642" max="11642" width="2.375" style="2" customWidth="1"/>
    <col min="11643" max="11660" width="7.625" style="2" customWidth="1"/>
    <col min="11661" max="11823" width="9" style="2" customWidth="1"/>
    <col min="11824" max="11825" width="3.125" style="2" customWidth="1"/>
    <col min="11826" max="11826" width="5.875" style="2" bestFit="1" customWidth="1"/>
    <col min="11827" max="11827" width="5.625" style="2" customWidth="1"/>
    <col min="11828" max="11828" width="10.625" style="2" customWidth="1"/>
    <col min="11829" max="11829" width="12.625" style="2" customWidth="1"/>
    <col min="11830" max="11830" width="8.625" style="2" customWidth="1"/>
    <col min="11831" max="11831" width="5.625" style="2" customWidth="1"/>
    <col min="11832" max="11832" width="4.625" style="2" customWidth="1"/>
    <col min="11833" max="11833" width="5.625" style="2" customWidth="1"/>
    <col min="11834" max="11837" width="4.625" style="2" customWidth="1"/>
    <col min="11838" max="11838" width="7.625" style="2" customWidth="1"/>
    <col min="11839" max="11839" width="8.625" style="2" customWidth="1"/>
    <col min="11840" max="11841" width="5.625" style="2" customWidth="1"/>
    <col min="11842" max="11842" width="6.625" style="2" customWidth="1"/>
    <col min="11843" max="11843" width="9.875" style="2" customWidth="1"/>
    <col min="11844" max="11845" width="8.625" style="2" customWidth="1"/>
    <col min="11846" max="11846" width="5.5" style="2" bestFit="1" customWidth="1"/>
    <col min="11847" max="11888" width="6.75" style="2" customWidth="1"/>
    <col min="11889" max="11889" width="9" style="2" customWidth="1"/>
    <col min="11890" max="11890" width="9.875" style="2" customWidth="1"/>
    <col min="11891" max="11891" width="2.875" style="2" customWidth="1"/>
    <col min="11892" max="11892" width="12.25" style="2" customWidth="1"/>
    <col min="11893" max="11893" width="6.375" style="2" customWidth="1"/>
    <col min="11894" max="11895" width="3.125" style="2" customWidth="1"/>
    <col min="11896" max="11896" width="1.125" style="2" customWidth="1"/>
    <col min="11897" max="11897" width="9" style="2" customWidth="1"/>
    <col min="11898" max="11898" width="2.375" style="2" customWidth="1"/>
    <col min="11899" max="11916" width="7.625" style="2" customWidth="1"/>
    <col min="11917" max="12079" width="9" style="2" customWidth="1"/>
    <col min="12080" max="12081" width="3.125" style="2" customWidth="1"/>
    <col min="12082" max="12082" width="5.875" style="2" bestFit="1" customWidth="1"/>
    <col min="12083" max="12083" width="5.625" style="2" customWidth="1"/>
    <col min="12084" max="12084" width="10.625" style="2" customWidth="1"/>
    <col min="12085" max="12085" width="12.625" style="2" customWidth="1"/>
    <col min="12086" max="12086" width="8.625" style="2" customWidth="1"/>
    <col min="12087" max="12087" width="5.625" style="2" customWidth="1"/>
    <col min="12088" max="12088" width="4.625" style="2" customWidth="1"/>
    <col min="12089" max="12089" width="5.625" style="2" customWidth="1"/>
    <col min="12090" max="12093" width="4.625" style="2" customWidth="1"/>
    <col min="12094" max="12094" width="7.625" style="2" customWidth="1"/>
    <col min="12095" max="12095" width="8.625" style="2" customWidth="1"/>
    <col min="12096" max="12097" width="5.625" style="2" customWidth="1"/>
    <col min="12098" max="12098" width="6.625" style="2" customWidth="1"/>
    <col min="12099" max="12099" width="9.875" style="2" customWidth="1"/>
    <col min="12100" max="12101" width="8.625" style="2" customWidth="1"/>
    <col min="12102" max="12102" width="5.5" style="2" bestFit="1" customWidth="1"/>
    <col min="12103" max="12144" width="6.75" style="2" customWidth="1"/>
    <col min="12145" max="12145" width="9" style="2" customWidth="1"/>
    <col min="12146" max="12146" width="9.875" style="2" customWidth="1"/>
    <col min="12147" max="12147" width="2.875" style="2" customWidth="1"/>
    <col min="12148" max="12148" width="12.25" style="2" customWidth="1"/>
    <col min="12149" max="12149" width="6.375" style="2" customWidth="1"/>
    <col min="12150" max="12151" width="3.125" style="2" customWidth="1"/>
    <col min="12152" max="12152" width="1.125" style="2" customWidth="1"/>
    <col min="12153" max="12153" width="9" style="2" customWidth="1"/>
    <col min="12154" max="12154" width="2.375" style="2" customWidth="1"/>
    <col min="12155" max="12172" width="7.625" style="2" customWidth="1"/>
    <col min="12173" max="12335" width="9" style="2" customWidth="1"/>
    <col min="12336" max="12337" width="3.125" style="2" customWidth="1"/>
    <col min="12338" max="12338" width="5.875" style="2" bestFit="1" customWidth="1"/>
    <col min="12339" max="12339" width="5.625" style="2" customWidth="1"/>
    <col min="12340" max="12340" width="10.625" style="2" customWidth="1"/>
    <col min="12341" max="12341" width="12.625" style="2" customWidth="1"/>
    <col min="12342" max="12342" width="8.625" style="2" customWidth="1"/>
    <col min="12343" max="12343" width="5.625" style="2" customWidth="1"/>
    <col min="12344" max="12344" width="4.625" style="2" customWidth="1"/>
    <col min="12345" max="12345" width="5.625" style="2" customWidth="1"/>
    <col min="12346" max="12349" width="4.625" style="2" customWidth="1"/>
    <col min="12350" max="12350" width="7.625" style="2" customWidth="1"/>
    <col min="12351" max="12351" width="8.625" style="2" customWidth="1"/>
    <col min="12352" max="12353" width="5.625" style="2" customWidth="1"/>
    <col min="12354" max="12354" width="6.625" style="2" customWidth="1"/>
    <col min="12355" max="12355" width="9.875" style="2" customWidth="1"/>
    <col min="12356" max="12357" width="8.625" style="2" customWidth="1"/>
    <col min="12358" max="12358" width="5.5" style="2" bestFit="1" customWidth="1"/>
    <col min="12359" max="12400" width="6.75" style="2" customWidth="1"/>
    <col min="12401" max="12401" width="9" style="2" customWidth="1"/>
    <col min="12402" max="12402" width="9.875" style="2" customWidth="1"/>
    <col min="12403" max="12403" width="2.875" style="2" customWidth="1"/>
    <col min="12404" max="12404" width="12.25" style="2" customWidth="1"/>
    <col min="12405" max="12405" width="6.375" style="2" customWidth="1"/>
    <col min="12406" max="12407" width="3.125" style="2" customWidth="1"/>
    <col min="12408" max="12408" width="1.125" style="2" customWidth="1"/>
    <col min="12409" max="12409" width="9" style="2" customWidth="1"/>
    <col min="12410" max="12410" width="2.375" style="2" customWidth="1"/>
    <col min="12411" max="12428" width="7.625" style="2" customWidth="1"/>
    <col min="12429" max="12591" width="9" style="2" customWidth="1"/>
    <col min="12592" max="12593" width="3.125" style="2" customWidth="1"/>
    <col min="12594" max="12594" width="5.875" style="2" bestFit="1" customWidth="1"/>
    <col min="12595" max="12595" width="5.625" style="2" customWidth="1"/>
    <col min="12596" max="12596" width="10.625" style="2" customWidth="1"/>
    <col min="12597" max="12597" width="12.625" style="2" customWidth="1"/>
    <col min="12598" max="12598" width="8.625" style="2" customWidth="1"/>
    <col min="12599" max="12599" width="5.625" style="2" customWidth="1"/>
    <col min="12600" max="12600" width="4.625" style="2" customWidth="1"/>
    <col min="12601" max="12601" width="5.625" style="2" customWidth="1"/>
    <col min="12602" max="12605" width="4.625" style="2" customWidth="1"/>
    <col min="12606" max="12606" width="7.625" style="2" customWidth="1"/>
    <col min="12607" max="12607" width="8.625" style="2" customWidth="1"/>
    <col min="12608" max="12609" width="5.625" style="2" customWidth="1"/>
    <col min="12610" max="12610" width="6.625" style="2" customWidth="1"/>
    <col min="12611" max="12611" width="9.875" style="2" customWidth="1"/>
    <col min="12612" max="12613" width="8.625" style="2" customWidth="1"/>
    <col min="12614" max="12614" width="5.5" style="2" bestFit="1" customWidth="1"/>
    <col min="12615" max="12656" width="6.75" style="2" customWidth="1"/>
    <col min="12657" max="12657" width="9" style="2" customWidth="1"/>
    <col min="12658" max="12658" width="9.875" style="2" customWidth="1"/>
    <col min="12659" max="12659" width="2.875" style="2" customWidth="1"/>
    <col min="12660" max="12660" width="12.25" style="2" customWidth="1"/>
    <col min="12661" max="12661" width="6.375" style="2" customWidth="1"/>
    <col min="12662" max="12663" width="3.125" style="2" customWidth="1"/>
    <col min="12664" max="12664" width="1.125" style="2" customWidth="1"/>
    <col min="12665" max="12665" width="9" style="2" customWidth="1"/>
    <col min="12666" max="12666" width="2.375" style="2" customWidth="1"/>
    <col min="12667" max="12684" width="7.625" style="2" customWidth="1"/>
    <col min="12685" max="12847" width="9" style="2" customWidth="1"/>
    <col min="12848" max="12849" width="3.125" style="2" customWidth="1"/>
    <col min="12850" max="12850" width="5.875" style="2" bestFit="1" customWidth="1"/>
    <col min="12851" max="12851" width="5.625" style="2" customWidth="1"/>
    <col min="12852" max="12852" width="10.625" style="2" customWidth="1"/>
    <col min="12853" max="12853" width="12.625" style="2" customWidth="1"/>
    <col min="12854" max="12854" width="8.625" style="2" customWidth="1"/>
    <col min="12855" max="12855" width="5.625" style="2" customWidth="1"/>
    <col min="12856" max="12856" width="4.625" style="2" customWidth="1"/>
    <col min="12857" max="12857" width="5.625" style="2" customWidth="1"/>
    <col min="12858" max="12861" width="4.625" style="2" customWidth="1"/>
    <col min="12862" max="12862" width="7.625" style="2" customWidth="1"/>
    <col min="12863" max="12863" width="8.625" style="2" customWidth="1"/>
    <col min="12864" max="12865" width="5.625" style="2" customWidth="1"/>
    <col min="12866" max="12866" width="6.625" style="2" customWidth="1"/>
    <col min="12867" max="12867" width="9.875" style="2" customWidth="1"/>
    <col min="12868" max="12869" width="8.625" style="2" customWidth="1"/>
    <col min="12870" max="12870" width="5.5" style="2" bestFit="1" customWidth="1"/>
    <col min="12871" max="12912" width="6.75" style="2" customWidth="1"/>
    <col min="12913" max="12913" width="9" style="2" customWidth="1"/>
    <col min="12914" max="12914" width="9.875" style="2" customWidth="1"/>
    <col min="12915" max="12915" width="2.875" style="2" customWidth="1"/>
    <col min="12916" max="12916" width="12.25" style="2" customWidth="1"/>
    <col min="12917" max="12917" width="6.375" style="2" customWidth="1"/>
    <col min="12918" max="12919" width="3.125" style="2" customWidth="1"/>
    <col min="12920" max="12920" width="1.125" style="2" customWidth="1"/>
    <col min="12921" max="12921" width="9" style="2" customWidth="1"/>
    <col min="12922" max="12922" width="2.375" style="2" customWidth="1"/>
    <col min="12923" max="12940" width="7.625" style="2" customWidth="1"/>
    <col min="12941" max="13103" width="9" style="2" customWidth="1"/>
    <col min="13104" max="13105" width="3.125" style="2" customWidth="1"/>
    <col min="13106" max="13106" width="5.875" style="2" bestFit="1" customWidth="1"/>
    <col min="13107" max="13107" width="5.625" style="2" customWidth="1"/>
    <col min="13108" max="13108" width="10.625" style="2" customWidth="1"/>
    <col min="13109" max="13109" width="12.625" style="2" customWidth="1"/>
    <col min="13110" max="13110" width="8.625" style="2" customWidth="1"/>
    <col min="13111" max="13111" width="5.625" style="2" customWidth="1"/>
    <col min="13112" max="13112" width="4.625" style="2" customWidth="1"/>
    <col min="13113" max="13113" width="5.625" style="2" customWidth="1"/>
    <col min="13114" max="13117" width="4.625" style="2" customWidth="1"/>
    <col min="13118" max="13118" width="7.625" style="2" customWidth="1"/>
    <col min="13119" max="13119" width="8.625" style="2" customWidth="1"/>
    <col min="13120" max="13121" width="5.625" style="2" customWidth="1"/>
    <col min="13122" max="13122" width="6.625" style="2" customWidth="1"/>
    <col min="13123" max="13123" width="9.875" style="2" customWidth="1"/>
    <col min="13124" max="13125" width="8.625" style="2" customWidth="1"/>
    <col min="13126" max="13126" width="5.5" style="2" bestFit="1" customWidth="1"/>
    <col min="13127" max="13168" width="6.75" style="2" customWidth="1"/>
    <col min="13169" max="13169" width="9" style="2" customWidth="1"/>
    <col min="13170" max="13170" width="9.875" style="2" customWidth="1"/>
    <col min="13171" max="13171" width="2.875" style="2" customWidth="1"/>
    <col min="13172" max="13172" width="12.25" style="2" customWidth="1"/>
    <col min="13173" max="13173" width="6.375" style="2" customWidth="1"/>
    <col min="13174" max="13175" width="3.125" style="2" customWidth="1"/>
    <col min="13176" max="13176" width="1.125" style="2" customWidth="1"/>
    <col min="13177" max="13177" width="9" style="2" customWidth="1"/>
    <col min="13178" max="13178" width="2.375" style="2" customWidth="1"/>
    <col min="13179" max="13196" width="7.625" style="2" customWidth="1"/>
    <col min="13197" max="13359" width="9" style="2" customWidth="1"/>
    <col min="13360" max="13361" width="3.125" style="2" customWidth="1"/>
    <col min="13362" max="13362" width="5.875" style="2" bestFit="1" customWidth="1"/>
    <col min="13363" max="13363" width="5.625" style="2" customWidth="1"/>
    <col min="13364" max="13364" width="10.625" style="2" customWidth="1"/>
    <col min="13365" max="13365" width="12.625" style="2" customWidth="1"/>
    <col min="13366" max="13366" width="8.625" style="2" customWidth="1"/>
    <col min="13367" max="13367" width="5.625" style="2" customWidth="1"/>
    <col min="13368" max="13368" width="4.625" style="2" customWidth="1"/>
    <col min="13369" max="13369" width="5.625" style="2" customWidth="1"/>
    <col min="13370" max="13373" width="4.625" style="2" customWidth="1"/>
    <col min="13374" max="13374" width="7.625" style="2" customWidth="1"/>
    <col min="13375" max="13375" width="8.625" style="2" customWidth="1"/>
    <col min="13376" max="13377" width="5.625" style="2" customWidth="1"/>
    <col min="13378" max="13378" width="6.625" style="2" customWidth="1"/>
    <col min="13379" max="13379" width="9.875" style="2" customWidth="1"/>
    <col min="13380" max="13381" width="8.625" style="2" customWidth="1"/>
    <col min="13382" max="13382" width="5.5" style="2" bestFit="1" customWidth="1"/>
    <col min="13383" max="13424" width="6.75" style="2" customWidth="1"/>
    <col min="13425" max="13425" width="9" style="2" customWidth="1"/>
    <col min="13426" max="13426" width="9.875" style="2" customWidth="1"/>
    <col min="13427" max="13427" width="2.875" style="2" customWidth="1"/>
    <col min="13428" max="13428" width="12.25" style="2" customWidth="1"/>
    <col min="13429" max="13429" width="6.375" style="2" customWidth="1"/>
    <col min="13430" max="13431" width="3.125" style="2" customWidth="1"/>
    <col min="13432" max="13432" width="1.125" style="2" customWidth="1"/>
    <col min="13433" max="13433" width="9" style="2" customWidth="1"/>
    <col min="13434" max="13434" width="2.375" style="2" customWidth="1"/>
    <col min="13435" max="13452" width="7.625" style="2" customWidth="1"/>
    <col min="13453" max="13615" width="9" style="2" customWidth="1"/>
    <col min="13616" max="13617" width="3.125" style="2" customWidth="1"/>
    <col min="13618" max="13618" width="5.875" style="2" bestFit="1" customWidth="1"/>
    <col min="13619" max="13619" width="5.625" style="2" customWidth="1"/>
    <col min="13620" max="13620" width="10.625" style="2" customWidth="1"/>
    <col min="13621" max="13621" width="12.625" style="2" customWidth="1"/>
    <col min="13622" max="13622" width="8.625" style="2" customWidth="1"/>
    <col min="13623" max="13623" width="5.625" style="2" customWidth="1"/>
    <col min="13624" max="13624" width="4.625" style="2" customWidth="1"/>
    <col min="13625" max="13625" width="5.625" style="2" customWidth="1"/>
    <col min="13626" max="13629" width="4.625" style="2" customWidth="1"/>
    <col min="13630" max="13630" width="7.625" style="2" customWidth="1"/>
    <col min="13631" max="13631" width="8.625" style="2" customWidth="1"/>
    <col min="13632" max="13633" width="5.625" style="2" customWidth="1"/>
    <col min="13634" max="13634" width="6.625" style="2" customWidth="1"/>
    <col min="13635" max="13635" width="9.875" style="2" customWidth="1"/>
    <col min="13636" max="13637" width="8.625" style="2" customWidth="1"/>
    <col min="13638" max="13638" width="5.5" style="2" bestFit="1" customWidth="1"/>
    <col min="13639" max="13680" width="6.75" style="2" customWidth="1"/>
    <col min="13681" max="13681" width="9" style="2" customWidth="1"/>
    <col min="13682" max="13682" width="9.875" style="2" customWidth="1"/>
    <col min="13683" max="13683" width="2.875" style="2" customWidth="1"/>
    <col min="13684" max="13684" width="12.25" style="2" customWidth="1"/>
    <col min="13685" max="13685" width="6.375" style="2" customWidth="1"/>
    <col min="13686" max="13687" width="3.125" style="2" customWidth="1"/>
    <col min="13688" max="13688" width="1.125" style="2" customWidth="1"/>
    <col min="13689" max="13689" width="9" style="2" customWidth="1"/>
    <col min="13690" max="13690" width="2.375" style="2" customWidth="1"/>
    <col min="13691" max="13708" width="7.625" style="2" customWidth="1"/>
    <col min="13709" max="13871" width="9" style="2" customWidth="1"/>
    <col min="13872" max="13873" width="3.125" style="2" customWidth="1"/>
    <col min="13874" max="13874" width="5.875" style="2" bestFit="1" customWidth="1"/>
    <col min="13875" max="13875" width="5.625" style="2" customWidth="1"/>
    <col min="13876" max="13876" width="10.625" style="2" customWidth="1"/>
    <col min="13877" max="13877" width="12.625" style="2" customWidth="1"/>
    <col min="13878" max="13878" width="8.625" style="2" customWidth="1"/>
    <col min="13879" max="13879" width="5.625" style="2" customWidth="1"/>
    <col min="13880" max="13880" width="4.625" style="2" customWidth="1"/>
    <col min="13881" max="13881" width="5.625" style="2" customWidth="1"/>
    <col min="13882" max="13885" width="4.625" style="2" customWidth="1"/>
    <col min="13886" max="13886" width="7.625" style="2" customWidth="1"/>
    <col min="13887" max="13887" width="8.625" style="2" customWidth="1"/>
    <col min="13888" max="13889" width="5.625" style="2" customWidth="1"/>
    <col min="13890" max="13890" width="6.625" style="2" customWidth="1"/>
    <col min="13891" max="13891" width="9.875" style="2" customWidth="1"/>
    <col min="13892" max="13893" width="8.625" style="2" customWidth="1"/>
    <col min="13894" max="13894" width="5.5" style="2" bestFit="1" customWidth="1"/>
    <col min="13895" max="13936" width="6.75" style="2" customWidth="1"/>
    <col min="13937" max="13937" width="9" style="2" customWidth="1"/>
    <col min="13938" max="13938" width="9.875" style="2" customWidth="1"/>
    <col min="13939" max="13939" width="2.875" style="2" customWidth="1"/>
    <col min="13940" max="13940" width="12.25" style="2" customWidth="1"/>
    <col min="13941" max="13941" width="6.375" style="2" customWidth="1"/>
    <col min="13942" max="13943" width="3.125" style="2" customWidth="1"/>
    <col min="13944" max="13944" width="1.125" style="2" customWidth="1"/>
    <col min="13945" max="13945" width="9" style="2" customWidth="1"/>
    <col min="13946" max="13946" width="2.375" style="2" customWidth="1"/>
    <col min="13947" max="13964" width="7.625" style="2" customWidth="1"/>
    <col min="13965" max="14127" width="9" style="2" customWidth="1"/>
    <col min="14128" max="14129" width="3.125" style="2" customWidth="1"/>
    <col min="14130" max="14130" width="5.875" style="2" bestFit="1" customWidth="1"/>
    <col min="14131" max="14131" width="5.625" style="2" customWidth="1"/>
    <col min="14132" max="14132" width="10.625" style="2" customWidth="1"/>
    <col min="14133" max="14133" width="12.625" style="2" customWidth="1"/>
    <col min="14134" max="14134" width="8.625" style="2" customWidth="1"/>
    <col min="14135" max="14135" width="5.625" style="2" customWidth="1"/>
    <col min="14136" max="14136" width="4.625" style="2" customWidth="1"/>
    <col min="14137" max="14137" width="5.625" style="2" customWidth="1"/>
    <col min="14138" max="14141" width="4.625" style="2" customWidth="1"/>
    <col min="14142" max="14142" width="7.625" style="2" customWidth="1"/>
    <col min="14143" max="14143" width="8.625" style="2" customWidth="1"/>
    <col min="14144" max="14145" width="5.625" style="2" customWidth="1"/>
    <col min="14146" max="14146" width="6.625" style="2" customWidth="1"/>
    <col min="14147" max="14147" width="9.875" style="2" customWidth="1"/>
    <col min="14148" max="14149" width="8.625" style="2" customWidth="1"/>
    <col min="14150" max="14150" width="5.5" style="2" bestFit="1" customWidth="1"/>
    <col min="14151" max="14192" width="6.75" style="2" customWidth="1"/>
    <col min="14193" max="14193" width="9" style="2" customWidth="1"/>
    <col min="14194" max="14194" width="9.875" style="2" customWidth="1"/>
    <col min="14195" max="14195" width="2.875" style="2" customWidth="1"/>
    <col min="14196" max="14196" width="12.25" style="2" customWidth="1"/>
    <col min="14197" max="14197" width="6.375" style="2" customWidth="1"/>
    <col min="14198" max="14199" width="3.125" style="2" customWidth="1"/>
    <col min="14200" max="14200" width="1.125" style="2" customWidth="1"/>
    <col min="14201" max="14201" width="9" style="2" customWidth="1"/>
    <col min="14202" max="14202" width="2.375" style="2" customWidth="1"/>
    <col min="14203" max="14220" width="7.625" style="2" customWidth="1"/>
    <col min="14221" max="14383" width="9" style="2" customWidth="1"/>
    <col min="14384" max="14385" width="3.125" style="2" customWidth="1"/>
    <col min="14386" max="14386" width="5.875" style="2" bestFit="1" customWidth="1"/>
    <col min="14387" max="14387" width="5.625" style="2" customWidth="1"/>
    <col min="14388" max="14388" width="10.625" style="2" customWidth="1"/>
    <col min="14389" max="14389" width="12.625" style="2" customWidth="1"/>
    <col min="14390" max="14390" width="8.625" style="2" customWidth="1"/>
    <col min="14391" max="14391" width="5.625" style="2" customWidth="1"/>
    <col min="14392" max="14392" width="4.625" style="2" customWidth="1"/>
    <col min="14393" max="14393" width="5.625" style="2" customWidth="1"/>
    <col min="14394" max="14397" width="4.625" style="2" customWidth="1"/>
    <col min="14398" max="14398" width="7.625" style="2" customWidth="1"/>
    <col min="14399" max="14399" width="8.625" style="2" customWidth="1"/>
    <col min="14400" max="14401" width="5.625" style="2" customWidth="1"/>
    <col min="14402" max="14402" width="6.625" style="2" customWidth="1"/>
    <col min="14403" max="14403" width="9.875" style="2" customWidth="1"/>
    <col min="14404" max="14405" width="8.625" style="2" customWidth="1"/>
    <col min="14406" max="14406" width="5.5" style="2" bestFit="1" customWidth="1"/>
    <col min="14407" max="14448" width="6.75" style="2" customWidth="1"/>
    <col min="14449" max="14449" width="9" style="2" customWidth="1"/>
    <col min="14450" max="14450" width="9.875" style="2" customWidth="1"/>
    <col min="14451" max="14451" width="2.875" style="2" customWidth="1"/>
    <col min="14452" max="14452" width="12.25" style="2" customWidth="1"/>
    <col min="14453" max="14453" width="6.375" style="2" customWidth="1"/>
    <col min="14454" max="14455" width="3.125" style="2" customWidth="1"/>
    <col min="14456" max="14456" width="1.125" style="2" customWidth="1"/>
    <col min="14457" max="14457" width="9" style="2" customWidth="1"/>
    <col min="14458" max="14458" width="2.375" style="2" customWidth="1"/>
    <col min="14459" max="14476" width="7.625" style="2" customWidth="1"/>
    <col min="14477" max="14639" width="9" style="2" customWidth="1"/>
    <col min="14640" max="14641" width="3.125" style="2" customWidth="1"/>
    <col min="14642" max="14642" width="5.875" style="2" bestFit="1" customWidth="1"/>
    <col min="14643" max="14643" width="5.625" style="2" customWidth="1"/>
    <col min="14644" max="14644" width="10.625" style="2" customWidth="1"/>
    <col min="14645" max="14645" width="12.625" style="2" customWidth="1"/>
    <col min="14646" max="14646" width="8.625" style="2" customWidth="1"/>
    <col min="14647" max="14647" width="5.625" style="2" customWidth="1"/>
    <col min="14648" max="14648" width="4.625" style="2" customWidth="1"/>
    <col min="14649" max="14649" width="5.625" style="2" customWidth="1"/>
    <col min="14650" max="14653" width="4.625" style="2" customWidth="1"/>
    <col min="14654" max="14654" width="7.625" style="2" customWidth="1"/>
    <col min="14655" max="14655" width="8.625" style="2" customWidth="1"/>
    <col min="14656" max="14657" width="5.625" style="2" customWidth="1"/>
    <col min="14658" max="14658" width="6.625" style="2" customWidth="1"/>
    <col min="14659" max="14659" width="9.875" style="2" customWidth="1"/>
    <col min="14660" max="14661" width="8.625" style="2" customWidth="1"/>
    <col min="14662" max="14662" width="5.5" style="2" bestFit="1" customWidth="1"/>
    <col min="14663" max="14704" width="6.75" style="2" customWidth="1"/>
    <col min="14705" max="14705" width="9" style="2" customWidth="1"/>
    <col min="14706" max="14706" width="9.875" style="2" customWidth="1"/>
    <col min="14707" max="14707" width="2.875" style="2" customWidth="1"/>
    <col min="14708" max="14708" width="12.25" style="2" customWidth="1"/>
    <col min="14709" max="14709" width="6.375" style="2" customWidth="1"/>
    <col min="14710" max="14711" width="3.125" style="2" customWidth="1"/>
    <col min="14712" max="14712" width="1.125" style="2" customWidth="1"/>
    <col min="14713" max="14713" width="9" style="2" customWidth="1"/>
    <col min="14714" max="14714" width="2.375" style="2" customWidth="1"/>
    <col min="14715" max="14732" width="7.625" style="2" customWidth="1"/>
    <col min="14733" max="14895" width="9" style="2" customWidth="1"/>
    <col min="14896" max="14897" width="3.125" style="2" customWidth="1"/>
    <col min="14898" max="14898" width="5.875" style="2" bestFit="1" customWidth="1"/>
    <col min="14899" max="14899" width="5.625" style="2" customWidth="1"/>
    <col min="14900" max="14900" width="10.625" style="2" customWidth="1"/>
    <col min="14901" max="14901" width="12.625" style="2" customWidth="1"/>
    <col min="14902" max="14902" width="8.625" style="2" customWidth="1"/>
    <col min="14903" max="14903" width="5.625" style="2" customWidth="1"/>
    <col min="14904" max="14904" width="4.625" style="2" customWidth="1"/>
    <col min="14905" max="14905" width="5.625" style="2" customWidth="1"/>
    <col min="14906" max="14909" width="4.625" style="2" customWidth="1"/>
    <col min="14910" max="14910" width="7.625" style="2" customWidth="1"/>
    <col min="14911" max="14911" width="8.625" style="2" customWidth="1"/>
    <col min="14912" max="14913" width="5.625" style="2" customWidth="1"/>
    <col min="14914" max="14914" width="6.625" style="2" customWidth="1"/>
    <col min="14915" max="14915" width="9.875" style="2" customWidth="1"/>
    <col min="14916" max="14917" width="8.625" style="2" customWidth="1"/>
    <col min="14918" max="14918" width="5.5" style="2" bestFit="1" customWidth="1"/>
    <col min="14919" max="14960" width="6.75" style="2" customWidth="1"/>
    <col min="14961" max="14961" width="9" style="2" customWidth="1"/>
    <col min="14962" max="14962" width="9.875" style="2" customWidth="1"/>
    <col min="14963" max="14963" width="2.875" style="2" customWidth="1"/>
    <col min="14964" max="14964" width="12.25" style="2" customWidth="1"/>
    <col min="14965" max="14965" width="6.375" style="2" customWidth="1"/>
    <col min="14966" max="14967" width="3.125" style="2" customWidth="1"/>
    <col min="14968" max="14968" width="1.125" style="2" customWidth="1"/>
    <col min="14969" max="14969" width="9" style="2" customWidth="1"/>
    <col min="14970" max="14970" width="2.375" style="2" customWidth="1"/>
    <col min="14971" max="14988" width="7.625" style="2" customWidth="1"/>
    <col min="14989" max="15151" width="9" style="2" customWidth="1"/>
    <col min="15152" max="15153" width="3.125" style="2" customWidth="1"/>
    <col min="15154" max="15154" width="5.875" style="2" bestFit="1" customWidth="1"/>
    <col min="15155" max="15155" width="5.625" style="2" customWidth="1"/>
    <col min="15156" max="15156" width="10.625" style="2" customWidth="1"/>
    <col min="15157" max="15157" width="12.625" style="2" customWidth="1"/>
    <col min="15158" max="15158" width="8.625" style="2" customWidth="1"/>
    <col min="15159" max="15159" width="5.625" style="2" customWidth="1"/>
    <col min="15160" max="15160" width="4.625" style="2" customWidth="1"/>
    <col min="15161" max="15161" width="5.625" style="2" customWidth="1"/>
    <col min="15162" max="15165" width="4.625" style="2" customWidth="1"/>
    <col min="15166" max="15166" width="7.625" style="2" customWidth="1"/>
    <col min="15167" max="15167" width="8.625" style="2" customWidth="1"/>
    <col min="15168" max="15169" width="5.625" style="2" customWidth="1"/>
    <col min="15170" max="15170" width="6.625" style="2" customWidth="1"/>
    <col min="15171" max="15171" width="9.875" style="2" customWidth="1"/>
    <col min="15172" max="15173" width="8.625" style="2" customWidth="1"/>
    <col min="15174" max="15174" width="5.5" style="2" bestFit="1" customWidth="1"/>
    <col min="15175" max="15216" width="6.75" style="2" customWidth="1"/>
    <col min="15217" max="15217" width="9" style="2" customWidth="1"/>
    <col min="15218" max="15218" width="9.875" style="2" customWidth="1"/>
    <col min="15219" max="15219" width="2.875" style="2" customWidth="1"/>
    <col min="15220" max="15220" width="12.25" style="2" customWidth="1"/>
    <col min="15221" max="15221" width="6.375" style="2" customWidth="1"/>
    <col min="15222" max="15223" width="3.125" style="2" customWidth="1"/>
    <col min="15224" max="15224" width="1.125" style="2" customWidth="1"/>
    <col min="15225" max="15225" width="9" style="2" customWidth="1"/>
    <col min="15226" max="15226" width="2.375" style="2" customWidth="1"/>
    <col min="15227" max="15244" width="7.625" style="2" customWidth="1"/>
    <col min="15245" max="15407" width="9" style="2" customWidth="1"/>
    <col min="15408" max="15409" width="3.125" style="2" customWidth="1"/>
    <col min="15410" max="15410" width="5.875" style="2" bestFit="1" customWidth="1"/>
    <col min="15411" max="15411" width="5.625" style="2" customWidth="1"/>
    <col min="15412" max="15412" width="10.625" style="2" customWidth="1"/>
    <col min="15413" max="15413" width="12.625" style="2" customWidth="1"/>
    <col min="15414" max="15414" width="8.625" style="2" customWidth="1"/>
    <col min="15415" max="15415" width="5.625" style="2" customWidth="1"/>
    <col min="15416" max="15416" width="4.625" style="2" customWidth="1"/>
    <col min="15417" max="15417" width="5.625" style="2" customWidth="1"/>
    <col min="15418" max="15421" width="4.625" style="2" customWidth="1"/>
    <col min="15422" max="15422" width="7.625" style="2" customWidth="1"/>
    <col min="15423" max="15423" width="8.625" style="2" customWidth="1"/>
    <col min="15424" max="15425" width="5.625" style="2" customWidth="1"/>
    <col min="15426" max="15426" width="6.625" style="2" customWidth="1"/>
    <col min="15427" max="15427" width="9.875" style="2" customWidth="1"/>
    <col min="15428" max="15429" width="8.625" style="2" customWidth="1"/>
    <col min="15430" max="15430" width="5.5" style="2" bestFit="1" customWidth="1"/>
    <col min="15431" max="15472" width="6.75" style="2" customWidth="1"/>
    <col min="15473" max="15473" width="9" style="2" customWidth="1"/>
    <col min="15474" max="15474" width="9.875" style="2" customWidth="1"/>
    <col min="15475" max="15475" width="2.875" style="2" customWidth="1"/>
    <col min="15476" max="15476" width="12.25" style="2" customWidth="1"/>
    <col min="15477" max="15477" width="6.375" style="2" customWidth="1"/>
    <col min="15478" max="15479" width="3.125" style="2" customWidth="1"/>
    <col min="15480" max="15480" width="1.125" style="2" customWidth="1"/>
    <col min="15481" max="15481" width="9" style="2" customWidth="1"/>
    <col min="15482" max="15482" width="2.375" style="2" customWidth="1"/>
    <col min="15483" max="15500" width="7.625" style="2" customWidth="1"/>
    <col min="15501" max="15663" width="9" style="2" customWidth="1"/>
    <col min="15664" max="15665" width="3.125" style="2" customWidth="1"/>
    <col min="15666" max="15666" width="5.875" style="2" bestFit="1" customWidth="1"/>
    <col min="15667" max="15667" width="5.625" style="2" customWidth="1"/>
    <col min="15668" max="15668" width="10.625" style="2" customWidth="1"/>
    <col min="15669" max="15669" width="12.625" style="2" customWidth="1"/>
    <col min="15670" max="15670" width="8.625" style="2" customWidth="1"/>
    <col min="15671" max="15671" width="5.625" style="2" customWidth="1"/>
    <col min="15672" max="15672" width="4.625" style="2" customWidth="1"/>
    <col min="15673" max="15673" width="5.625" style="2" customWidth="1"/>
    <col min="15674" max="15677" width="4.625" style="2" customWidth="1"/>
    <col min="15678" max="15678" width="7.625" style="2" customWidth="1"/>
    <col min="15679" max="15679" width="8.625" style="2" customWidth="1"/>
    <col min="15680" max="15681" width="5.625" style="2" customWidth="1"/>
    <col min="15682" max="15682" width="6.625" style="2" customWidth="1"/>
    <col min="15683" max="15683" width="9.875" style="2" customWidth="1"/>
    <col min="15684" max="15685" width="8.625" style="2" customWidth="1"/>
    <col min="15686" max="15686" width="5.5" style="2" bestFit="1" customWidth="1"/>
    <col min="15687" max="15728" width="6.75" style="2" customWidth="1"/>
    <col min="15729" max="15729" width="9" style="2" customWidth="1"/>
    <col min="15730" max="15730" width="9.875" style="2" customWidth="1"/>
    <col min="15731" max="15731" width="2.875" style="2" customWidth="1"/>
    <col min="15732" max="15732" width="12.25" style="2" customWidth="1"/>
    <col min="15733" max="15733" width="6.375" style="2" customWidth="1"/>
    <col min="15734" max="15735" width="3.125" style="2" customWidth="1"/>
    <col min="15736" max="15736" width="1.125" style="2" customWidth="1"/>
    <col min="15737" max="15737" width="9" style="2" customWidth="1"/>
    <col min="15738" max="15738" width="2.375" style="2" customWidth="1"/>
    <col min="15739" max="15756" width="7.625" style="2" customWidth="1"/>
    <col min="15757" max="15919" width="9" style="2" customWidth="1"/>
    <col min="15920" max="15921" width="3.125" style="2" customWidth="1"/>
    <col min="15922" max="15922" width="5.875" style="2" bestFit="1" customWidth="1"/>
    <col min="15923" max="15923" width="5.625" style="2" customWidth="1"/>
    <col min="15924" max="15924" width="10.625" style="2" customWidth="1"/>
    <col min="15925" max="15925" width="12.625" style="2" customWidth="1"/>
    <col min="15926" max="15926" width="8.625" style="2" customWidth="1"/>
    <col min="15927" max="15927" width="5.625" style="2" customWidth="1"/>
    <col min="15928" max="15928" width="4.625" style="2" customWidth="1"/>
    <col min="15929" max="15929" width="5.625" style="2" customWidth="1"/>
    <col min="15930" max="15933" width="4.625" style="2" customWidth="1"/>
    <col min="15934" max="15934" width="7.625" style="2" customWidth="1"/>
    <col min="15935" max="15935" width="8.625" style="2" customWidth="1"/>
    <col min="15936" max="15937" width="5.625" style="2" customWidth="1"/>
    <col min="15938" max="15938" width="6.625" style="2" customWidth="1"/>
    <col min="15939" max="15939" width="9.875" style="2" customWidth="1"/>
    <col min="15940" max="15941" width="8.625" style="2" customWidth="1"/>
    <col min="15942" max="15942" width="5.5" style="2" bestFit="1" customWidth="1"/>
    <col min="15943" max="15984" width="6.75" style="2" customWidth="1"/>
    <col min="15985" max="15985" width="9" style="2" customWidth="1"/>
    <col min="15986" max="15986" width="9.875" style="2" customWidth="1"/>
    <col min="15987" max="15987" width="2.875" style="2" customWidth="1"/>
    <col min="15988" max="15988" width="12.25" style="2" customWidth="1"/>
    <col min="15989" max="15989" width="6.375" style="2" customWidth="1"/>
    <col min="15990" max="15991" width="3.125" style="2" customWidth="1"/>
    <col min="15992" max="15992" width="1.125" style="2" customWidth="1"/>
    <col min="15993" max="15993" width="9" style="2" customWidth="1"/>
    <col min="15994" max="15994" width="2.375" style="2" customWidth="1"/>
    <col min="15995" max="16012" width="7.625" style="2" customWidth="1"/>
    <col min="16013" max="16175" width="9" style="2" customWidth="1"/>
    <col min="16176" max="16177" width="3.125" style="2" customWidth="1"/>
    <col min="16178" max="16178" width="5.875" style="2" bestFit="1" customWidth="1"/>
    <col min="16179" max="16179" width="5.625" style="2" customWidth="1"/>
    <col min="16180" max="16180" width="10.625" style="2" customWidth="1"/>
    <col min="16181" max="16181" width="12.625" style="2" customWidth="1"/>
    <col min="16182" max="16182" width="8.625" style="2" customWidth="1"/>
    <col min="16183" max="16183" width="5.625" style="2" customWidth="1"/>
    <col min="16184" max="16184" width="4.625" style="2" customWidth="1"/>
    <col min="16185" max="16185" width="5.625" style="2" customWidth="1"/>
    <col min="16186" max="16189" width="4.625" style="2" customWidth="1"/>
    <col min="16190" max="16190" width="7.625" style="2" customWidth="1"/>
    <col min="16191" max="16191" width="8.625" style="2" customWidth="1"/>
    <col min="16192" max="16193" width="5.625" style="2" customWidth="1"/>
    <col min="16194" max="16194" width="6.625" style="2" customWidth="1"/>
    <col min="16195" max="16195" width="9.875" style="2" customWidth="1"/>
    <col min="16196" max="16197" width="8.625" style="2" customWidth="1"/>
    <col min="16198" max="16198" width="5.5" style="2" bestFit="1" customWidth="1"/>
    <col min="16199" max="16240" width="6.75" style="2" customWidth="1"/>
    <col min="16241" max="16241" width="9" style="2" customWidth="1"/>
    <col min="16242" max="16242" width="9.875" style="2" customWidth="1"/>
    <col min="16243" max="16243" width="2.875" style="2" customWidth="1"/>
    <col min="16244" max="16244" width="12.25" style="2" customWidth="1"/>
    <col min="16245" max="16245" width="6.375" style="2" customWidth="1"/>
    <col min="16246" max="16247" width="3.125" style="2" customWidth="1"/>
    <col min="16248" max="16248" width="1.125" style="2" customWidth="1"/>
    <col min="16249" max="16249" width="9" style="2" customWidth="1"/>
    <col min="16250" max="16250" width="2.375" style="2" customWidth="1"/>
    <col min="16251" max="16268" width="7.625" style="2" customWidth="1"/>
    <col min="16269" max="16384" width="9" style="2" customWidth="1"/>
  </cols>
  <sheetData>
    <row r="1" spans="1:132" ht="13.5" customHeight="1" x14ac:dyDescent="0.4">
      <c r="A1" s="203" t="str">
        <f>令和8年7月!$A$1</f>
        <v>天理</v>
      </c>
      <c r="B1" s="193"/>
      <c r="C1" s="193"/>
      <c r="D1" s="193"/>
      <c r="E1" s="193"/>
      <c r="F1" s="192" t="s">
        <v>0</v>
      </c>
      <c r="G1" s="195" t="s">
        <v>1</v>
      </c>
      <c r="H1" s="194" t="s">
        <v>138</v>
      </c>
      <c r="I1" s="193"/>
      <c r="J1" s="193"/>
      <c r="K1" s="193"/>
      <c r="L1" s="159"/>
      <c r="M1" s="194" t="s">
        <v>139</v>
      </c>
      <c r="N1" s="159"/>
      <c r="O1" s="159"/>
      <c r="P1" s="159"/>
      <c r="Q1" s="159"/>
      <c r="R1" s="159"/>
      <c r="S1" s="159"/>
      <c r="T1" s="159"/>
      <c r="U1" s="1"/>
      <c r="V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U1" s="162"/>
      <c r="AX1" s="204" t="s">
        <v>4</v>
      </c>
      <c r="AY1" s="199"/>
      <c r="AZ1" s="199"/>
      <c r="BA1" s="199"/>
      <c r="BB1" s="199"/>
      <c r="BC1" s="199"/>
      <c r="BD1" s="4"/>
    </row>
    <row r="2" spans="1:132" ht="13.5" customHeight="1" x14ac:dyDescent="0.4">
      <c r="A2" s="193"/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59"/>
      <c r="M2" s="193"/>
      <c r="N2" s="159"/>
      <c r="O2" s="159"/>
      <c r="P2" s="159"/>
      <c r="Q2" s="159"/>
      <c r="R2" s="159"/>
      <c r="S2" s="159"/>
      <c r="T2" s="159"/>
      <c r="U2" s="1"/>
      <c r="V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U2" s="162"/>
      <c r="AX2" s="199"/>
      <c r="AY2" s="199"/>
      <c r="AZ2" s="199"/>
      <c r="BA2" s="199"/>
      <c r="BB2" s="199"/>
      <c r="BC2" s="199"/>
      <c r="BD2" s="4"/>
    </row>
    <row r="3" spans="1:132" ht="13.9" customHeight="1" thickBot="1" x14ac:dyDescent="0.45">
      <c r="AC3" s="7"/>
      <c r="AV3" s="2">
        <v>95</v>
      </c>
      <c r="AW3" s="2">
        <v>1</v>
      </c>
      <c r="AY3" s="2">
        <v>2</v>
      </c>
      <c r="BA3" s="2">
        <v>3</v>
      </c>
      <c r="BC3" s="2">
        <v>4</v>
      </c>
      <c r="BE3" s="2">
        <v>6</v>
      </c>
      <c r="BG3" s="2">
        <v>7</v>
      </c>
      <c r="BI3" s="2">
        <v>8</v>
      </c>
      <c r="BK3" s="2">
        <v>9</v>
      </c>
      <c r="BM3" s="2">
        <v>10</v>
      </c>
      <c r="BO3" s="2">
        <v>11</v>
      </c>
      <c r="BQ3" s="2">
        <v>12</v>
      </c>
      <c r="BS3" s="2">
        <v>15</v>
      </c>
      <c r="BU3" s="2">
        <v>28</v>
      </c>
      <c r="BW3" s="2">
        <v>33</v>
      </c>
      <c r="BY3" s="2">
        <v>40</v>
      </c>
      <c r="CA3" s="2">
        <v>41</v>
      </c>
      <c r="CC3" s="2">
        <v>45</v>
      </c>
      <c r="CE3" s="2">
        <v>46</v>
      </c>
      <c r="CG3" s="2">
        <v>36</v>
      </c>
      <c r="CI3" s="2">
        <v>47</v>
      </c>
      <c r="CK3" s="2">
        <v>31</v>
      </c>
      <c r="CM3" s="2">
        <v>48</v>
      </c>
    </row>
    <row r="4" spans="1:132" ht="26.45" customHeight="1" thickTop="1" thickBot="1" x14ac:dyDescent="0.45">
      <c r="A4" s="106" t="s">
        <v>5</v>
      </c>
      <c r="B4" s="94" t="s">
        <v>6</v>
      </c>
      <c r="C4" s="131" t="s">
        <v>7</v>
      </c>
      <c r="D4" s="131" t="s">
        <v>8</v>
      </c>
      <c r="E4" s="107" t="s">
        <v>9</v>
      </c>
      <c r="F4" s="108" t="s">
        <v>10</v>
      </c>
      <c r="G4" s="109" t="s">
        <v>11</v>
      </c>
      <c r="H4" s="110" t="s">
        <v>12</v>
      </c>
      <c r="I4" s="147" t="s">
        <v>13</v>
      </c>
      <c r="J4" s="111" t="s">
        <v>14</v>
      </c>
      <c r="K4" s="112" t="s">
        <v>15</v>
      </c>
      <c r="L4" s="113" t="s">
        <v>16</v>
      </c>
      <c r="M4" s="114" t="s">
        <v>17</v>
      </c>
      <c r="N4" s="115" t="s">
        <v>16</v>
      </c>
      <c r="O4" s="116" t="s">
        <v>18</v>
      </c>
      <c r="P4" s="117" t="s">
        <v>19</v>
      </c>
      <c r="Q4" s="118" t="s">
        <v>20</v>
      </c>
      <c r="R4" s="129" t="s">
        <v>21</v>
      </c>
      <c r="S4" s="130" t="s">
        <v>22</v>
      </c>
      <c r="T4" s="8" t="s">
        <v>23</v>
      </c>
      <c r="U4" s="9" t="s">
        <v>24</v>
      </c>
      <c r="V4" s="10" t="s">
        <v>25</v>
      </c>
      <c r="W4" s="11" t="s">
        <v>26</v>
      </c>
      <c r="X4" s="12" t="s">
        <v>27</v>
      </c>
      <c r="Y4" s="13" t="s">
        <v>28</v>
      </c>
      <c r="Z4" s="119" t="s">
        <v>29</v>
      </c>
      <c r="AA4" s="14" t="s">
        <v>30</v>
      </c>
      <c r="AB4" s="15" t="s">
        <v>31</v>
      </c>
      <c r="AC4" s="16" t="s">
        <v>32</v>
      </c>
      <c r="AD4" s="17" t="s">
        <v>33</v>
      </c>
      <c r="AE4" s="18" t="s">
        <v>34</v>
      </c>
      <c r="AF4" s="18" t="s">
        <v>35</v>
      </c>
      <c r="AG4" s="18" t="s">
        <v>36</v>
      </c>
      <c r="AH4" s="18" t="s">
        <v>37</v>
      </c>
      <c r="AI4" s="18" t="s">
        <v>38</v>
      </c>
      <c r="AJ4" s="18" t="s">
        <v>39</v>
      </c>
      <c r="AK4" s="18" t="s">
        <v>40</v>
      </c>
      <c r="AL4" s="17" t="s">
        <v>41</v>
      </c>
      <c r="AM4" s="18" t="str">
        <f>令和8年7月!$AM$4</f>
        <v>フリー①</v>
      </c>
      <c r="AN4" s="132" t="str">
        <f>令和8年7月!$AN$4</f>
        <v>フリー②</v>
      </c>
      <c r="AO4" s="18" t="str">
        <f>令和8年7月!$AO$4</f>
        <v>フリー③</v>
      </c>
      <c r="AP4" s="18" t="str">
        <f>令和8年7月!$AP$4</f>
        <v>フリー④</v>
      </c>
      <c r="AQ4" s="78" t="str">
        <f>令和8年7月!$AQ$4</f>
        <v>フリー⑤</v>
      </c>
      <c r="AR4" s="19" t="s">
        <v>47</v>
      </c>
      <c r="AS4" s="20" t="s">
        <v>48</v>
      </c>
      <c r="AT4" s="21" t="s">
        <v>49</v>
      </c>
      <c r="AU4" s="163"/>
      <c r="AV4" s="80" t="s">
        <v>144</v>
      </c>
      <c r="AW4" s="76" t="s">
        <v>145</v>
      </c>
      <c r="AX4" s="75" t="s">
        <v>146</v>
      </c>
      <c r="AY4" s="76" t="s">
        <v>147</v>
      </c>
      <c r="AZ4" s="75" t="s">
        <v>146</v>
      </c>
      <c r="BA4" s="76" t="s">
        <v>52</v>
      </c>
      <c r="BB4" s="75" t="s">
        <v>146</v>
      </c>
      <c r="BC4" s="76" t="s">
        <v>53</v>
      </c>
      <c r="BD4" s="75" t="s">
        <v>146</v>
      </c>
      <c r="BE4" s="76" t="s">
        <v>148</v>
      </c>
      <c r="BF4" s="75" t="s">
        <v>146</v>
      </c>
      <c r="BG4" s="76" t="s">
        <v>149</v>
      </c>
      <c r="BH4" s="75" t="s">
        <v>146</v>
      </c>
      <c r="BI4" s="76" t="s">
        <v>150</v>
      </c>
      <c r="BJ4" s="75" t="s">
        <v>146</v>
      </c>
      <c r="BK4" s="76" t="s">
        <v>57</v>
      </c>
      <c r="BL4" s="75" t="s">
        <v>146</v>
      </c>
      <c r="BM4" s="76" t="s">
        <v>58</v>
      </c>
      <c r="BN4" s="75" t="s">
        <v>146</v>
      </c>
      <c r="BO4" s="76" t="s">
        <v>151</v>
      </c>
      <c r="BP4" s="75" t="s">
        <v>146</v>
      </c>
      <c r="BQ4" s="76" t="s">
        <v>60</v>
      </c>
      <c r="BR4" s="75" t="s">
        <v>146</v>
      </c>
      <c r="BS4" s="76" t="s">
        <v>152</v>
      </c>
      <c r="BT4" s="75" t="s">
        <v>146</v>
      </c>
      <c r="BU4" s="76" t="s">
        <v>153</v>
      </c>
      <c r="BV4" s="75" t="s">
        <v>146</v>
      </c>
      <c r="BW4" s="76" t="s">
        <v>154</v>
      </c>
      <c r="BX4" s="75" t="s">
        <v>48</v>
      </c>
      <c r="BY4" s="76" t="s">
        <v>155</v>
      </c>
      <c r="BZ4" s="75" t="s">
        <v>156</v>
      </c>
      <c r="CA4" s="76" t="s">
        <v>157</v>
      </c>
      <c r="CB4" s="75" t="s">
        <v>48</v>
      </c>
      <c r="CC4" s="76" t="s">
        <v>158</v>
      </c>
      <c r="CD4" s="81" t="s">
        <v>48</v>
      </c>
      <c r="CE4" s="76" t="s">
        <v>159</v>
      </c>
      <c r="CF4" s="81" t="s">
        <v>48</v>
      </c>
      <c r="CG4" s="76" t="s">
        <v>160</v>
      </c>
      <c r="CH4" s="75" t="s">
        <v>48</v>
      </c>
      <c r="CI4" s="76" t="s">
        <v>161</v>
      </c>
      <c r="CJ4" s="81" t="s">
        <v>48</v>
      </c>
      <c r="CK4" s="76" t="s">
        <v>162</v>
      </c>
      <c r="CL4" s="81" t="s">
        <v>48</v>
      </c>
      <c r="CM4" s="76" t="s">
        <v>163</v>
      </c>
      <c r="CN4" s="75" t="s">
        <v>48</v>
      </c>
      <c r="CO4" s="76" t="s">
        <v>67</v>
      </c>
      <c r="CP4" s="81" t="s">
        <v>48</v>
      </c>
      <c r="CQ4" s="76" t="s">
        <v>68</v>
      </c>
      <c r="CR4" s="81" t="s">
        <v>48</v>
      </c>
      <c r="CS4" s="76" t="s">
        <v>69</v>
      </c>
      <c r="CT4" s="20" t="s">
        <v>48</v>
      </c>
      <c r="CU4" s="85" t="s">
        <v>70</v>
      </c>
      <c r="CV4" s="86" t="s">
        <v>71</v>
      </c>
      <c r="CW4" s="89"/>
      <c r="CX4" s="85" t="s">
        <v>104</v>
      </c>
      <c r="CY4" s="153" t="s">
        <v>15</v>
      </c>
      <c r="CZ4" s="155" t="s">
        <v>105</v>
      </c>
      <c r="DA4" s="93" t="s">
        <v>15</v>
      </c>
      <c r="DB4" s="94" t="s">
        <v>5</v>
      </c>
      <c r="DC4" s="95" t="s">
        <v>6</v>
      </c>
      <c r="DD4" s="2" t="s">
        <v>164</v>
      </c>
      <c r="DF4" s="121" t="s">
        <v>74</v>
      </c>
      <c r="DG4" s="122" t="s">
        <v>75</v>
      </c>
      <c r="DH4" s="122" t="s">
        <v>76</v>
      </c>
      <c r="DI4" s="122" t="s">
        <v>77</v>
      </c>
      <c r="DJ4" s="122" t="s">
        <v>78</v>
      </c>
      <c r="DK4" s="122" t="s">
        <v>42</v>
      </c>
      <c r="DL4" s="122" t="s">
        <v>43</v>
      </c>
      <c r="DM4" s="122" t="s">
        <v>44</v>
      </c>
      <c r="DN4" s="122" t="s">
        <v>45</v>
      </c>
      <c r="DO4" s="122" t="s">
        <v>46</v>
      </c>
      <c r="DP4" s="123" t="s">
        <v>79</v>
      </c>
      <c r="DQ4" s="124" t="s">
        <v>48</v>
      </c>
      <c r="DS4" s="205" t="s">
        <v>80</v>
      </c>
      <c r="DT4" s="206"/>
      <c r="DU4" s="206"/>
      <c r="DV4" s="207"/>
      <c r="DW4" s="160" t="s">
        <v>81</v>
      </c>
      <c r="DX4" s="160" t="s">
        <v>82</v>
      </c>
      <c r="DY4" s="22"/>
      <c r="DZ4" s="22"/>
      <c r="EA4" s="22"/>
    </row>
    <row r="5" spans="1:132" ht="13.5" customHeight="1" x14ac:dyDescent="0.4">
      <c r="A5" s="104">
        <v>1</v>
      </c>
      <c r="B5" s="23" t="s">
        <v>88</v>
      </c>
      <c r="C5" s="164"/>
      <c r="D5" s="164"/>
      <c r="E5" s="24"/>
      <c r="F5" s="29"/>
      <c r="G5" s="25" t="str">
        <f>IF(SUM($F$5:F5)=0,"",SUM($F$5:F5))</f>
        <v/>
      </c>
      <c r="H5" s="43" t="str">
        <f t="shared" ref="H5:H35" si="0">IF(ISERROR(G5/V5),"",(G5/V5))</f>
        <v/>
      </c>
      <c r="I5" s="148" t="e">
        <f t="array" aca="1" ref="I5" ca="1">IF($A6="",$G5/($V5-$U$5+INDIRECT(IF(_xlfn.SHEET()&lt;6,"令和8年"&amp;_xlfn.SHEET()+7&amp;"月","令和9年"&amp;_xlfn.SHEET()-5&amp;"月")&amp;"!$U$5")),$G5/($V6-$U$5))</f>
        <v>#VALUE!</v>
      </c>
      <c r="J5" s="26" t="str">
        <f t="shared" ref="J5:J35" si="1">IFERROR(G5/AC5,"")</f>
        <v/>
      </c>
      <c r="K5" s="27"/>
      <c r="L5" s="165">
        <f t="shared" ref="L5:L37" si="2">IF(ISERROR(K5/W5),"",(K5/W5))</f>
        <v>0</v>
      </c>
      <c r="M5" s="28" t="str">
        <f t="shared" ref="M5:M35" si="3">IF(ISERROR(F5/K5),"",(F5/K5))</f>
        <v/>
      </c>
      <c r="N5" s="166" t="str">
        <f t="shared" ref="N5:N37" si="4">IF(ISERROR(M5/X5),"",(M5/X5))</f>
        <v/>
      </c>
      <c r="O5" s="167" t="str">
        <f t="shared" ref="O5:O35" si="5">IF(ISERROR(F5/P5),"",(F5/P5))</f>
        <v/>
      </c>
      <c r="P5" s="168"/>
      <c r="Q5" s="169" t="str">
        <f t="shared" ref="Q5:Q35" si="6">IF(ISERROR(P5/K5),"",(P5/K5))</f>
        <v/>
      </c>
      <c r="R5" s="170">
        <v>18</v>
      </c>
      <c r="S5" s="171">
        <v>14</v>
      </c>
      <c r="T5" s="24" t="s">
        <v>93</v>
      </c>
      <c r="U5" s="29">
        <v>283310</v>
      </c>
      <c r="V5" s="30">
        <f>SUM(U5)</f>
        <v>283310</v>
      </c>
      <c r="W5" s="27">
        <v>164</v>
      </c>
      <c r="X5" s="31">
        <f t="shared" ref="X5:X35" si="7">IF(ISERROR(U5/W5),"",(U5/W5))</f>
        <v>1727.5</v>
      </c>
      <c r="Y5" s="29">
        <v>194155</v>
      </c>
      <c r="Z5" s="32">
        <f>SUM(Y5)</f>
        <v>194155</v>
      </c>
      <c r="AA5" s="33">
        <f t="shared" ref="AA5:AA35" si="8">IF(ISERROR(V5/Z5),"",(V5/Z5))</f>
        <v>1.4591949730885116</v>
      </c>
      <c r="AB5" s="158">
        <v>750000</v>
      </c>
      <c r="AC5" s="34">
        <f>AB5</f>
        <v>750000</v>
      </c>
      <c r="AD5" s="158"/>
      <c r="AE5" s="25"/>
      <c r="AF5" s="25"/>
      <c r="AG5" s="25"/>
      <c r="AH5" s="25"/>
      <c r="AI5" s="25"/>
      <c r="AJ5" s="25"/>
      <c r="AK5" s="25"/>
      <c r="AL5" s="158"/>
      <c r="AM5" s="25"/>
      <c r="AN5" s="158"/>
      <c r="AO5" s="25"/>
      <c r="AP5" s="25"/>
      <c r="AQ5" s="158"/>
      <c r="AR5" s="35">
        <f t="shared" ref="AR5:AR35" si="9">SUM(AD5:AQ5)</f>
        <v>0</v>
      </c>
      <c r="AS5" s="172" t="str">
        <f t="shared" ref="AS5:AS35" si="10">IF(ISERROR((AR5/F5)),"",AR5/F5)</f>
        <v/>
      </c>
      <c r="AT5" s="36">
        <f t="shared" ref="AT5:AT35" si="11">F5-AR5+DW5</f>
        <v>0</v>
      </c>
      <c r="AU5" s="173"/>
      <c r="AV5" s="82">
        <f t="shared" ref="AV5:AV35" si="12">A5</f>
        <v>1</v>
      </c>
      <c r="AW5" s="37"/>
      <c r="AX5" s="174" t="str">
        <f t="shared" ref="AX5:AX35" si="13">IF(ISERROR((AW5/$F5)),"",AW5/$F5)</f>
        <v/>
      </c>
      <c r="AY5" s="37"/>
      <c r="AZ5" s="174" t="str">
        <f t="shared" ref="AZ5:AZ35" si="14">IF(ISERROR((AY5/$F5)),"",AY5/$F5)</f>
        <v/>
      </c>
      <c r="BA5" s="37"/>
      <c r="BB5" s="174" t="str">
        <f t="shared" ref="BB5:BB35" si="15">IF(ISERROR((BA5/$F5)),"",BA5/$F5)</f>
        <v/>
      </c>
      <c r="BC5" s="37"/>
      <c r="BD5" s="174" t="str">
        <f t="shared" ref="BD5:BD35" si="16">IF(ISERROR((BC5/$F5)),"",BC5/$F5)</f>
        <v/>
      </c>
      <c r="BE5" s="37"/>
      <c r="BF5" s="174" t="str">
        <f t="shared" ref="BF5:BF35" si="17">IF(ISERROR((BE5/$F5)),"",BE5/$F5)</f>
        <v/>
      </c>
      <c r="BG5" s="37"/>
      <c r="BH5" s="174" t="str">
        <f t="shared" ref="BH5:BH35" si="18">IF(ISERROR((BG5/$F5)),"",BG5/$F5)</f>
        <v/>
      </c>
      <c r="BI5" s="37"/>
      <c r="BJ5" s="174" t="str">
        <f t="shared" ref="BJ5:BJ35" si="19">IF(ISERROR((BI5/$F5)),"",BI5/$F5)</f>
        <v/>
      </c>
      <c r="BK5" s="37"/>
      <c r="BL5" s="174" t="str">
        <f t="shared" ref="BL5:BL35" si="20">IF(ISERROR((BK5/$F5)),"",BK5/$F5)</f>
        <v/>
      </c>
      <c r="BM5" s="37"/>
      <c r="BN5" s="174" t="str">
        <f t="shared" ref="BN5:BN35" si="21">IF(ISERROR((BM5/$F5)),"",BM5/$F5)</f>
        <v/>
      </c>
      <c r="BO5" s="37"/>
      <c r="BP5" s="174" t="str">
        <f t="shared" ref="BP5:BP35" si="22">IF(ISERROR((BO5/$F5)),"",BO5/$F5)</f>
        <v/>
      </c>
      <c r="BQ5" s="37"/>
      <c r="BR5" s="174" t="str">
        <f t="shared" ref="BR5:BR35" si="23">IF(ISERROR((BQ5/$F5)),"",BQ5/$F5)</f>
        <v/>
      </c>
      <c r="BS5" s="37"/>
      <c r="BT5" s="174" t="str">
        <f t="shared" ref="BT5:BT35" si="24">IF(ISERROR((BS5/$F5)),"",BS5/$F5)</f>
        <v/>
      </c>
      <c r="BU5" s="37"/>
      <c r="BV5" s="174" t="str">
        <f t="shared" ref="BV5:BV35" si="25">IF(ISERROR((BU5/$F5)),"",BU5/$F5)</f>
        <v/>
      </c>
      <c r="BW5" s="37"/>
      <c r="BX5" s="174" t="str">
        <f t="shared" ref="BX5:BX35" si="26">IF(ISERROR((BW5/$F5)),"",BW5/$F5)</f>
        <v/>
      </c>
      <c r="BY5" s="37"/>
      <c r="BZ5" s="174" t="str">
        <f t="shared" ref="BZ5:BZ35" si="27">IF(ISERROR((BY5/$F5)),"",BY5/$F5)</f>
        <v/>
      </c>
      <c r="CA5" s="37"/>
      <c r="CB5" s="174" t="str">
        <f t="shared" ref="CB5:CB35" si="28">IF(ISERROR((CA5/$F5)),"",CA5/$F5)</f>
        <v/>
      </c>
      <c r="CC5" s="37"/>
      <c r="CD5" s="174" t="str">
        <f t="shared" ref="CD5:CD35" si="29">IF(ISERROR((CC5/$F5)),"",CC5/$F5)</f>
        <v/>
      </c>
      <c r="CE5" s="37"/>
      <c r="CF5" s="174" t="str">
        <f t="shared" ref="CF5:CF35" si="30">IF(ISERROR((CE5/$F5)),"",CE5/$F5)</f>
        <v/>
      </c>
      <c r="CG5" s="37"/>
      <c r="CH5" s="174" t="str">
        <f t="shared" ref="CH5:CH35" si="31">IF(ISERROR((CG5/$F5)),"",CG5/$F5)</f>
        <v/>
      </c>
      <c r="CI5" s="37"/>
      <c r="CJ5" s="174" t="str">
        <f t="shared" ref="CJ5:CJ35" si="32">IF(ISERROR((CI5/$F5)),"",CI5/$F5)</f>
        <v/>
      </c>
      <c r="CK5" s="37"/>
      <c r="CL5" s="174" t="str">
        <f t="shared" ref="CL5:CL35" si="33">IF(ISERROR((CK5/$F5)),"",CK5/$F5)</f>
        <v/>
      </c>
      <c r="CM5" s="37"/>
      <c r="CN5" s="174" t="str">
        <f t="shared" ref="CN5:CN35" si="34">IF(ISERROR((CM5/$F5)),"",CM5/$F5)</f>
        <v/>
      </c>
      <c r="CO5" s="37"/>
      <c r="CP5" s="174" t="str">
        <f t="shared" ref="CP5:CP35" si="35">IF(ISERROR((CO5/$F5)),"",CO5/$F5)</f>
        <v/>
      </c>
      <c r="CQ5" s="37"/>
      <c r="CR5" s="174" t="str">
        <f t="shared" ref="CR5:CR35" si="36">IF(ISERROR((CQ5/$F5)),"",CQ5/$F5)</f>
        <v/>
      </c>
      <c r="CS5" s="37"/>
      <c r="CT5" s="174" t="str">
        <f t="shared" ref="CT5:CT35" si="37">IF(ISERROR((CS5/$F5)),"",CS5/$F5)</f>
        <v/>
      </c>
      <c r="CU5" s="38"/>
      <c r="CV5" s="87"/>
      <c r="CW5" s="90"/>
      <c r="CX5" s="38"/>
      <c r="CY5" s="39"/>
      <c r="CZ5" s="37"/>
      <c r="DA5" s="39"/>
      <c r="DB5" s="24">
        <v>1</v>
      </c>
      <c r="DC5" s="96" t="str">
        <f t="shared" ref="DC5:DC35" si="38">B5</f>
        <v>土</v>
      </c>
      <c r="DF5" s="125"/>
      <c r="DG5" s="40"/>
      <c r="DH5" s="40"/>
      <c r="DI5" s="40"/>
      <c r="DJ5" s="40"/>
      <c r="DK5" s="40"/>
      <c r="DL5" s="40"/>
      <c r="DM5" s="40"/>
      <c r="DN5" s="40"/>
      <c r="DO5" s="40"/>
      <c r="DP5" s="40">
        <f t="shared" ref="DP5:DP35" si="39">SUM(DF5:DO5)</f>
        <v>0</v>
      </c>
      <c r="DQ5" s="172" t="str">
        <f t="shared" ref="DQ5:DQ35" si="40">IF(ISERROR((DP5/F5)),"",DP5/F5)</f>
        <v/>
      </c>
      <c r="DS5" s="189"/>
      <c r="DT5" s="190"/>
      <c r="DU5" s="190"/>
      <c r="DV5" s="191"/>
      <c r="DW5" s="41"/>
      <c r="DX5" s="42"/>
      <c r="DY5" s="22"/>
      <c r="DZ5" s="22"/>
      <c r="EA5" s="22"/>
    </row>
    <row r="6" spans="1:132" ht="13.5" customHeight="1" x14ac:dyDescent="0.4">
      <c r="A6" s="104">
        <v>2</v>
      </c>
      <c r="B6" s="23" t="s">
        <v>89</v>
      </c>
      <c r="C6" s="164"/>
      <c r="D6" s="164"/>
      <c r="E6" s="24"/>
      <c r="F6" s="29"/>
      <c r="G6" s="25" t="str">
        <f>IF(SUM($F$5:F6)=0,"",SUM($F$5:F6))</f>
        <v/>
      </c>
      <c r="H6" s="43" t="str">
        <f t="shared" si="0"/>
        <v/>
      </c>
      <c r="I6" s="148" t="e">
        <f t="array" aca="1" ref="I6" ca="1">IF($A7="",$G6/($V6-$U$5+INDIRECT(IF(_xlfn.SHEET()&lt;6,"令和8年"&amp;_xlfn.SHEET()+7&amp;"月","令和9年"&amp;_xlfn.SHEET()-5&amp;"月")&amp;"!$U$5")),$G6/($V7-$U$5))</f>
        <v>#VALUE!</v>
      </c>
      <c r="J6" s="26" t="str">
        <f t="shared" si="1"/>
        <v/>
      </c>
      <c r="K6" s="27"/>
      <c r="L6" s="165">
        <f t="shared" si="2"/>
        <v>0</v>
      </c>
      <c r="M6" s="28" t="str">
        <f t="shared" si="3"/>
        <v/>
      </c>
      <c r="N6" s="166" t="str">
        <f t="shared" si="4"/>
        <v/>
      </c>
      <c r="O6" s="167" t="str">
        <f t="shared" si="5"/>
        <v/>
      </c>
      <c r="P6" s="168"/>
      <c r="Q6" s="169" t="str">
        <f t="shared" si="6"/>
        <v/>
      </c>
      <c r="R6" s="170">
        <v>23</v>
      </c>
      <c r="S6" s="171">
        <v>10</v>
      </c>
      <c r="T6" s="24" t="s">
        <v>84</v>
      </c>
      <c r="U6" s="29">
        <v>650589</v>
      </c>
      <c r="V6" s="30">
        <f t="shared" ref="V6:V35" si="41">SUM(V5+U6)</f>
        <v>933899</v>
      </c>
      <c r="W6" s="27">
        <v>341</v>
      </c>
      <c r="X6" s="31">
        <f t="shared" si="7"/>
        <v>1907.8856304985338</v>
      </c>
      <c r="Y6" s="29">
        <v>205911</v>
      </c>
      <c r="Z6" s="32">
        <f t="shared" ref="Z6:Z35" si="42">SUM(Z5+Y6)</f>
        <v>400066</v>
      </c>
      <c r="AA6" s="33">
        <f t="shared" si="8"/>
        <v>2.3343623302155145</v>
      </c>
      <c r="AB6" s="158">
        <v>750000</v>
      </c>
      <c r="AC6" s="34">
        <f t="shared" ref="AC6:AC35" si="43">AB6+AC5</f>
        <v>1500000</v>
      </c>
      <c r="AD6" s="158"/>
      <c r="AE6" s="25"/>
      <c r="AF6" s="25"/>
      <c r="AG6" s="25"/>
      <c r="AH6" s="25"/>
      <c r="AI6" s="25"/>
      <c r="AJ6" s="25"/>
      <c r="AK6" s="25"/>
      <c r="AL6" s="158"/>
      <c r="AM6" s="25"/>
      <c r="AN6" s="158"/>
      <c r="AO6" s="25"/>
      <c r="AP6" s="25"/>
      <c r="AQ6" s="158"/>
      <c r="AR6" s="35">
        <f t="shared" si="9"/>
        <v>0</v>
      </c>
      <c r="AS6" s="172" t="str">
        <f t="shared" si="10"/>
        <v/>
      </c>
      <c r="AT6" s="36">
        <f t="shared" si="11"/>
        <v>0</v>
      </c>
      <c r="AU6" s="173"/>
      <c r="AV6" s="82">
        <f t="shared" si="12"/>
        <v>2</v>
      </c>
      <c r="AW6" s="37"/>
      <c r="AX6" s="174" t="str">
        <f t="shared" si="13"/>
        <v/>
      </c>
      <c r="AY6" s="37"/>
      <c r="AZ6" s="174" t="str">
        <f t="shared" si="14"/>
        <v/>
      </c>
      <c r="BA6" s="37"/>
      <c r="BB6" s="174" t="str">
        <f t="shared" si="15"/>
        <v/>
      </c>
      <c r="BC6" s="37"/>
      <c r="BD6" s="174" t="str">
        <f t="shared" si="16"/>
        <v/>
      </c>
      <c r="BE6" s="37"/>
      <c r="BF6" s="174" t="str">
        <f t="shared" si="17"/>
        <v/>
      </c>
      <c r="BG6" s="37"/>
      <c r="BH6" s="174" t="str">
        <f t="shared" si="18"/>
        <v/>
      </c>
      <c r="BI6" s="37"/>
      <c r="BJ6" s="174" t="str">
        <f t="shared" si="19"/>
        <v/>
      </c>
      <c r="BK6" s="37"/>
      <c r="BL6" s="174" t="str">
        <f t="shared" si="20"/>
        <v/>
      </c>
      <c r="BM6" s="37"/>
      <c r="BN6" s="174" t="str">
        <f t="shared" si="21"/>
        <v/>
      </c>
      <c r="BO6" s="37"/>
      <c r="BP6" s="174" t="str">
        <f t="shared" si="22"/>
        <v/>
      </c>
      <c r="BQ6" s="37"/>
      <c r="BR6" s="174" t="str">
        <f t="shared" si="23"/>
        <v/>
      </c>
      <c r="BS6" s="37"/>
      <c r="BT6" s="174" t="str">
        <f t="shared" si="24"/>
        <v/>
      </c>
      <c r="BU6" s="37"/>
      <c r="BV6" s="174" t="str">
        <f t="shared" si="25"/>
        <v/>
      </c>
      <c r="BW6" s="37"/>
      <c r="BX6" s="174" t="str">
        <f t="shared" si="26"/>
        <v/>
      </c>
      <c r="BY6" s="37"/>
      <c r="BZ6" s="174" t="str">
        <f t="shared" si="27"/>
        <v/>
      </c>
      <c r="CA6" s="37"/>
      <c r="CB6" s="174" t="str">
        <f t="shared" si="28"/>
        <v/>
      </c>
      <c r="CC6" s="37"/>
      <c r="CD6" s="174" t="str">
        <f t="shared" si="29"/>
        <v/>
      </c>
      <c r="CE6" s="37"/>
      <c r="CF6" s="174" t="str">
        <f t="shared" si="30"/>
        <v/>
      </c>
      <c r="CG6" s="37"/>
      <c r="CH6" s="174" t="str">
        <f t="shared" si="31"/>
        <v/>
      </c>
      <c r="CI6" s="37"/>
      <c r="CJ6" s="174" t="str">
        <f t="shared" si="32"/>
        <v/>
      </c>
      <c r="CK6" s="37"/>
      <c r="CL6" s="174" t="str">
        <f t="shared" si="33"/>
        <v/>
      </c>
      <c r="CM6" s="37"/>
      <c r="CN6" s="174" t="str">
        <f t="shared" si="34"/>
        <v/>
      </c>
      <c r="CO6" s="37"/>
      <c r="CP6" s="174" t="str">
        <f t="shared" si="35"/>
        <v/>
      </c>
      <c r="CQ6" s="37"/>
      <c r="CR6" s="174" t="str">
        <f t="shared" si="36"/>
        <v/>
      </c>
      <c r="CS6" s="37"/>
      <c r="CT6" s="174" t="str">
        <f t="shared" si="37"/>
        <v/>
      </c>
      <c r="CU6" s="38"/>
      <c r="CV6" s="87"/>
      <c r="CW6" s="90"/>
      <c r="CX6" s="38"/>
      <c r="CY6" s="39"/>
      <c r="CZ6" s="37"/>
      <c r="DA6" s="39"/>
      <c r="DB6" s="24">
        <v>2</v>
      </c>
      <c r="DC6" s="96" t="str">
        <f t="shared" si="38"/>
        <v>日</v>
      </c>
      <c r="DF6" s="125"/>
      <c r="DG6" s="40"/>
      <c r="DH6" s="40"/>
      <c r="DI6" s="40"/>
      <c r="DJ6" s="40"/>
      <c r="DK6" s="40"/>
      <c r="DL6" s="40"/>
      <c r="DM6" s="40"/>
      <c r="DN6" s="40"/>
      <c r="DO6" s="40"/>
      <c r="DP6" s="40">
        <f t="shared" si="39"/>
        <v>0</v>
      </c>
      <c r="DQ6" s="172" t="str">
        <f t="shared" si="40"/>
        <v/>
      </c>
      <c r="DS6" s="189"/>
      <c r="DT6" s="190"/>
      <c r="DU6" s="190"/>
      <c r="DV6" s="191"/>
      <c r="DW6" s="41"/>
      <c r="DX6" s="42"/>
      <c r="DY6" s="22"/>
      <c r="DZ6" s="22"/>
      <c r="EA6" s="22"/>
    </row>
    <row r="7" spans="1:132" ht="13.5" customHeight="1" x14ac:dyDescent="0.4">
      <c r="A7" s="104">
        <v>3</v>
      </c>
      <c r="B7" s="140" t="s">
        <v>90</v>
      </c>
      <c r="C7" s="164"/>
      <c r="D7" s="164"/>
      <c r="E7" s="24"/>
      <c r="F7" s="29"/>
      <c r="G7" s="25" t="str">
        <f>IF(SUM($F$5:F7)=0,"",SUM($F$5:F7))</f>
        <v/>
      </c>
      <c r="H7" s="43" t="str">
        <f t="shared" si="0"/>
        <v/>
      </c>
      <c r="I7" s="148" t="e">
        <f t="array" aca="1" ref="I7" ca="1">IF($A8="",$G7/($V7-$U$5+INDIRECT(IF(_xlfn.SHEET()&lt;6,"令和8年"&amp;_xlfn.SHEET()+7&amp;"月","令和9年"&amp;_xlfn.SHEET()-5&amp;"月")&amp;"!$U$5")),$G7/($V8-$U$5))</f>
        <v>#VALUE!</v>
      </c>
      <c r="J7" s="26" t="str">
        <f t="shared" si="1"/>
        <v/>
      </c>
      <c r="K7" s="27"/>
      <c r="L7" s="165">
        <f t="shared" si="2"/>
        <v>0</v>
      </c>
      <c r="M7" s="28" t="str">
        <f t="shared" si="3"/>
        <v/>
      </c>
      <c r="N7" s="166" t="str">
        <f t="shared" si="4"/>
        <v/>
      </c>
      <c r="O7" s="167" t="str">
        <f t="shared" si="5"/>
        <v/>
      </c>
      <c r="P7" s="168"/>
      <c r="Q7" s="169" t="str">
        <f t="shared" si="6"/>
        <v/>
      </c>
      <c r="R7" s="170">
        <v>23</v>
      </c>
      <c r="S7" s="171">
        <v>15</v>
      </c>
      <c r="T7" s="24" t="s">
        <v>93</v>
      </c>
      <c r="U7" s="29">
        <v>984249</v>
      </c>
      <c r="V7" s="30">
        <f t="shared" si="41"/>
        <v>1918148</v>
      </c>
      <c r="W7" s="27">
        <v>559</v>
      </c>
      <c r="X7" s="31">
        <f t="shared" si="7"/>
        <v>1760.7316636851522</v>
      </c>
      <c r="Y7" s="29">
        <v>1030823</v>
      </c>
      <c r="Z7" s="32">
        <f t="shared" si="42"/>
        <v>1430889</v>
      </c>
      <c r="AA7" s="33">
        <f t="shared" si="8"/>
        <v>1.3405288600303726</v>
      </c>
      <c r="AB7" s="158">
        <v>750000</v>
      </c>
      <c r="AC7" s="34">
        <f t="shared" si="43"/>
        <v>2250000</v>
      </c>
      <c r="AD7" s="158"/>
      <c r="AE7" s="25"/>
      <c r="AF7" s="25"/>
      <c r="AG7" s="25"/>
      <c r="AH7" s="25"/>
      <c r="AI7" s="25"/>
      <c r="AJ7" s="25"/>
      <c r="AK7" s="25"/>
      <c r="AL7" s="158"/>
      <c r="AM7" s="25"/>
      <c r="AN7" s="158"/>
      <c r="AO7" s="25"/>
      <c r="AP7" s="25"/>
      <c r="AQ7" s="158"/>
      <c r="AR7" s="35">
        <f t="shared" si="9"/>
        <v>0</v>
      </c>
      <c r="AS7" s="172" t="str">
        <f t="shared" si="10"/>
        <v/>
      </c>
      <c r="AT7" s="36">
        <f t="shared" si="11"/>
        <v>0</v>
      </c>
      <c r="AU7" s="173"/>
      <c r="AV7" s="82">
        <f t="shared" si="12"/>
        <v>3</v>
      </c>
      <c r="AW7" s="37"/>
      <c r="AX7" s="174" t="str">
        <f t="shared" si="13"/>
        <v/>
      </c>
      <c r="AY7" s="37"/>
      <c r="AZ7" s="174" t="str">
        <f t="shared" si="14"/>
        <v/>
      </c>
      <c r="BA7" s="37"/>
      <c r="BB7" s="174" t="str">
        <f t="shared" si="15"/>
        <v/>
      </c>
      <c r="BC7" s="37"/>
      <c r="BD7" s="174" t="str">
        <f t="shared" si="16"/>
        <v/>
      </c>
      <c r="BE7" s="37"/>
      <c r="BF7" s="174" t="str">
        <f t="shared" si="17"/>
        <v/>
      </c>
      <c r="BG7" s="37"/>
      <c r="BH7" s="174" t="str">
        <f t="shared" si="18"/>
        <v/>
      </c>
      <c r="BI7" s="37"/>
      <c r="BJ7" s="174" t="str">
        <f t="shared" si="19"/>
        <v/>
      </c>
      <c r="BK7" s="37"/>
      <c r="BL7" s="174" t="str">
        <f t="shared" si="20"/>
        <v/>
      </c>
      <c r="BM7" s="37"/>
      <c r="BN7" s="174" t="str">
        <f t="shared" si="21"/>
        <v/>
      </c>
      <c r="BO7" s="37"/>
      <c r="BP7" s="174" t="str">
        <f t="shared" si="22"/>
        <v/>
      </c>
      <c r="BQ7" s="37"/>
      <c r="BR7" s="174" t="str">
        <f t="shared" si="23"/>
        <v/>
      </c>
      <c r="BS7" s="37"/>
      <c r="BT7" s="174" t="str">
        <f t="shared" si="24"/>
        <v/>
      </c>
      <c r="BU7" s="37"/>
      <c r="BV7" s="174" t="str">
        <f t="shared" si="25"/>
        <v/>
      </c>
      <c r="BW7" s="37"/>
      <c r="BX7" s="174" t="str">
        <f t="shared" si="26"/>
        <v/>
      </c>
      <c r="BY7" s="37"/>
      <c r="BZ7" s="174" t="str">
        <f t="shared" si="27"/>
        <v/>
      </c>
      <c r="CA7" s="37"/>
      <c r="CB7" s="174" t="str">
        <f t="shared" si="28"/>
        <v/>
      </c>
      <c r="CC7" s="37"/>
      <c r="CD7" s="174" t="str">
        <f t="shared" si="29"/>
        <v/>
      </c>
      <c r="CE7" s="37"/>
      <c r="CF7" s="174" t="str">
        <f t="shared" si="30"/>
        <v/>
      </c>
      <c r="CG7" s="37"/>
      <c r="CH7" s="174" t="str">
        <f t="shared" si="31"/>
        <v/>
      </c>
      <c r="CI7" s="37"/>
      <c r="CJ7" s="174" t="str">
        <f t="shared" si="32"/>
        <v/>
      </c>
      <c r="CK7" s="37"/>
      <c r="CL7" s="174" t="str">
        <f t="shared" si="33"/>
        <v/>
      </c>
      <c r="CM7" s="37"/>
      <c r="CN7" s="174" t="str">
        <f t="shared" si="34"/>
        <v/>
      </c>
      <c r="CO7" s="37"/>
      <c r="CP7" s="174" t="str">
        <f t="shared" si="35"/>
        <v/>
      </c>
      <c r="CQ7" s="37"/>
      <c r="CR7" s="174" t="str">
        <f t="shared" si="36"/>
        <v/>
      </c>
      <c r="CS7" s="37"/>
      <c r="CT7" s="174" t="str">
        <f t="shared" si="37"/>
        <v/>
      </c>
      <c r="CU7" s="38"/>
      <c r="CV7" s="87"/>
      <c r="CW7" s="90"/>
      <c r="CX7" s="38"/>
      <c r="CY7" s="39"/>
      <c r="CZ7" s="37"/>
      <c r="DA7" s="39"/>
      <c r="DB7" s="24">
        <v>3</v>
      </c>
      <c r="DC7" s="96" t="str">
        <f t="shared" si="38"/>
        <v>月</v>
      </c>
      <c r="DF7" s="125"/>
      <c r="DG7" s="40"/>
      <c r="DH7" s="40"/>
      <c r="DI7" s="40"/>
      <c r="DJ7" s="40"/>
      <c r="DK7" s="40"/>
      <c r="DL7" s="40"/>
      <c r="DM7" s="40"/>
      <c r="DN7" s="40"/>
      <c r="DO7" s="40"/>
      <c r="DP7" s="40">
        <f t="shared" si="39"/>
        <v>0</v>
      </c>
      <c r="DQ7" s="172" t="str">
        <f t="shared" si="40"/>
        <v/>
      </c>
      <c r="DS7" s="189"/>
      <c r="DT7" s="190"/>
      <c r="DU7" s="190"/>
      <c r="DV7" s="191"/>
      <c r="DW7" s="138"/>
      <c r="DX7" s="42"/>
      <c r="DY7" s="139"/>
      <c r="DZ7" s="139"/>
      <c r="EA7" s="139"/>
      <c r="EB7" s="139"/>
    </row>
    <row r="8" spans="1:132" ht="13.5" customHeight="1" x14ac:dyDescent="0.4">
      <c r="A8" s="104">
        <v>4</v>
      </c>
      <c r="B8" s="140" t="s">
        <v>91</v>
      </c>
      <c r="C8" s="164"/>
      <c r="D8" s="164"/>
      <c r="E8" s="24"/>
      <c r="F8" s="29"/>
      <c r="G8" s="25" t="str">
        <f>IF(SUM($F$5:F8)=0,"",SUM($F$5:F8))</f>
        <v/>
      </c>
      <c r="H8" s="43" t="str">
        <f t="shared" si="0"/>
        <v/>
      </c>
      <c r="I8" s="148" t="e">
        <f t="array" aca="1" ref="I8" ca="1">IF($A9="",$G8/($V8-$U$5+INDIRECT(IF(_xlfn.SHEET()&lt;6,"令和8年"&amp;_xlfn.SHEET()+7&amp;"月","令和9年"&amp;_xlfn.SHEET()-5&amp;"月")&amp;"!$U$5")),$G8/($V9-$U$5))</f>
        <v>#VALUE!</v>
      </c>
      <c r="J8" s="26" t="str">
        <f t="shared" si="1"/>
        <v/>
      </c>
      <c r="K8" s="27"/>
      <c r="L8" s="165">
        <f t="shared" si="2"/>
        <v>0</v>
      </c>
      <c r="M8" s="28" t="str">
        <f t="shared" si="3"/>
        <v/>
      </c>
      <c r="N8" s="166" t="str">
        <f t="shared" si="4"/>
        <v/>
      </c>
      <c r="O8" s="167" t="str">
        <f t="shared" si="5"/>
        <v/>
      </c>
      <c r="P8" s="168"/>
      <c r="Q8" s="169" t="str">
        <f t="shared" si="6"/>
        <v/>
      </c>
      <c r="R8" s="170">
        <v>21</v>
      </c>
      <c r="S8" s="171">
        <v>9</v>
      </c>
      <c r="T8" s="24" t="s">
        <v>114</v>
      </c>
      <c r="U8" s="29">
        <v>776807</v>
      </c>
      <c r="V8" s="30">
        <f t="shared" si="41"/>
        <v>2694955</v>
      </c>
      <c r="W8" s="27">
        <v>437</v>
      </c>
      <c r="X8" s="31">
        <f t="shared" si="7"/>
        <v>1777.5903890160182</v>
      </c>
      <c r="Y8" s="29">
        <v>734463</v>
      </c>
      <c r="Z8" s="32">
        <f t="shared" si="42"/>
        <v>2165352</v>
      </c>
      <c r="AA8" s="33">
        <f t="shared" si="8"/>
        <v>1.2445805578030731</v>
      </c>
      <c r="AB8" s="158">
        <v>750000</v>
      </c>
      <c r="AC8" s="34">
        <f t="shared" si="43"/>
        <v>3000000</v>
      </c>
      <c r="AD8" s="158"/>
      <c r="AE8" s="25"/>
      <c r="AF8" s="25"/>
      <c r="AG8" s="25"/>
      <c r="AH8" s="25"/>
      <c r="AI8" s="25"/>
      <c r="AJ8" s="25"/>
      <c r="AK8" s="79"/>
      <c r="AL8" s="120"/>
      <c r="AM8" s="79"/>
      <c r="AN8" s="120"/>
      <c r="AO8" s="79"/>
      <c r="AP8" s="79"/>
      <c r="AQ8" s="158"/>
      <c r="AR8" s="35">
        <f t="shared" si="9"/>
        <v>0</v>
      </c>
      <c r="AS8" s="172" t="str">
        <f t="shared" si="10"/>
        <v/>
      </c>
      <c r="AT8" s="36">
        <f t="shared" si="11"/>
        <v>0</v>
      </c>
      <c r="AU8" s="173"/>
      <c r="AV8" s="82">
        <f t="shared" si="12"/>
        <v>4</v>
      </c>
      <c r="AW8" s="37"/>
      <c r="AX8" s="174" t="str">
        <f t="shared" si="13"/>
        <v/>
      </c>
      <c r="AY8" s="37"/>
      <c r="AZ8" s="174" t="str">
        <f t="shared" si="14"/>
        <v/>
      </c>
      <c r="BA8" s="37"/>
      <c r="BB8" s="174" t="str">
        <f t="shared" si="15"/>
        <v/>
      </c>
      <c r="BC8" s="37"/>
      <c r="BD8" s="174" t="str">
        <f t="shared" si="16"/>
        <v/>
      </c>
      <c r="BE8" s="37"/>
      <c r="BF8" s="174" t="str">
        <f t="shared" si="17"/>
        <v/>
      </c>
      <c r="BG8" s="37"/>
      <c r="BH8" s="174" t="str">
        <f t="shared" si="18"/>
        <v/>
      </c>
      <c r="BI8" s="37"/>
      <c r="BJ8" s="174" t="str">
        <f t="shared" si="19"/>
        <v/>
      </c>
      <c r="BK8" s="37"/>
      <c r="BL8" s="174" t="str">
        <f t="shared" si="20"/>
        <v/>
      </c>
      <c r="BM8" s="37"/>
      <c r="BN8" s="174" t="str">
        <f t="shared" si="21"/>
        <v/>
      </c>
      <c r="BO8" s="37"/>
      <c r="BP8" s="174" t="str">
        <f t="shared" si="22"/>
        <v/>
      </c>
      <c r="BQ8" s="37"/>
      <c r="BR8" s="174" t="str">
        <f t="shared" si="23"/>
        <v/>
      </c>
      <c r="BS8" s="37"/>
      <c r="BT8" s="174" t="str">
        <f t="shared" si="24"/>
        <v/>
      </c>
      <c r="BU8" s="37"/>
      <c r="BV8" s="174" t="str">
        <f t="shared" si="25"/>
        <v/>
      </c>
      <c r="BW8" s="37"/>
      <c r="BX8" s="174" t="str">
        <f t="shared" si="26"/>
        <v/>
      </c>
      <c r="BY8" s="37"/>
      <c r="BZ8" s="174" t="str">
        <f t="shared" si="27"/>
        <v/>
      </c>
      <c r="CA8" s="37"/>
      <c r="CB8" s="174" t="str">
        <f t="shared" si="28"/>
        <v/>
      </c>
      <c r="CC8" s="37"/>
      <c r="CD8" s="174" t="str">
        <f t="shared" si="29"/>
        <v/>
      </c>
      <c r="CE8" s="37"/>
      <c r="CF8" s="174" t="str">
        <f t="shared" si="30"/>
        <v/>
      </c>
      <c r="CG8" s="37"/>
      <c r="CH8" s="174" t="str">
        <f t="shared" si="31"/>
        <v/>
      </c>
      <c r="CI8" s="37"/>
      <c r="CJ8" s="174" t="str">
        <f t="shared" si="32"/>
        <v/>
      </c>
      <c r="CK8" s="37"/>
      <c r="CL8" s="174" t="str">
        <f t="shared" si="33"/>
        <v/>
      </c>
      <c r="CM8" s="37"/>
      <c r="CN8" s="174" t="str">
        <f t="shared" si="34"/>
        <v/>
      </c>
      <c r="CO8" s="37"/>
      <c r="CP8" s="174" t="str">
        <f t="shared" si="35"/>
        <v/>
      </c>
      <c r="CQ8" s="37"/>
      <c r="CR8" s="174" t="str">
        <f t="shared" si="36"/>
        <v/>
      </c>
      <c r="CS8" s="37"/>
      <c r="CT8" s="174" t="str">
        <f t="shared" si="37"/>
        <v/>
      </c>
      <c r="CU8" s="38"/>
      <c r="CV8" s="87"/>
      <c r="CW8" s="90"/>
      <c r="CX8" s="38"/>
      <c r="CY8" s="39"/>
      <c r="CZ8" s="37"/>
      <c r="DA8" s="39"/>
      <c r="DB8" s="24">
        <v>4</v>
      </c>
      <c r="DC8" s="96" t="str">
        <f t="shared" si="38"/>
        <v>火</v>
      </c>
      <c r="DF8" s="125"/>
      <c r="DG8" s="40"/>
      <c r="DH8" s="40"/>
      <c r="DI8" s="40"/>
      <c r="DJ8" s="40"/>
      <c r="DK8" s="40"/>
      <c r="DL8" s="40"/>
      <c r="DM8" s="40"/>
      <c r="DN8" s="40"/>
      <c r="DO8" s="40"/>
      <c r="DP8" s="40">
        <f t="shared" si="39"/>
        <v>0</v>
      </c>
      <c r="DQ8" s="172" t="str">
        <f t="shared" si="40"/>
        <v/>
      </c>
      <c r="DS8" s="189"/>
      <c r="DT8" s="190"/>
      <c r="DU8" s="190"/>
      <c r="DV8" s="191"/>
      <c r="DW8" s="41"/>
      <c r="DX8" s="42"/>
      <c r="DY8" s="139"/>
      <c r="DZ8" s="139"/>
      <c r="EA8" s="139"/>
      <c r="EB8" s="139"/>
    </row>
    <row r="9" spans="1:132" ht="13.5" customHeight="1" x14ac:dyDescent="0.4">
      <c r="A9" s="104">
        <v>5</v>
      </c>
      <c r="B9" s="140" t="s">
        <v>83</v>
      </c>
      <c r="C9" s="164"/>
      <c r="D9" s="164"/>
      <c r="E9" s="24"/>
      <c r="F9" s="29"/>
      <c r="G9" s="25" t="str">
        <f>IF(SUM($F$5:F9)=0,"",SUM($F$5:F9))</f>
        <v/>
      </c>
      <c r="H9" s="43" t="str">
        <f t="shared" si="0"/>
        <v/>
      </c>
      <c r="I9" s="148" t="e">
        <f t="array" aca="1" ref="I9" ca="1">IF($A10="",$G9/($V9-$U$5+INDIRECT(IF(_xlfn.SHEET()&lt;6,"令和8年"&amp;_xlfn.SHEET()+7&amp;"月","令和9年"&amp;_xlfn.SHEET()-5&amp;"月")&amp;"!$U$5")),$G9/($V10-$U$5))</f>
        <v>#VALUE!</v>
      </c>
      <c r="J9" s="26" t="str">
        <f t="shared" si="1"/>
        <v/>
      </c>
      <c r="K9" s="27"/>
      <c r="L9" s="165">
        <f t="shared" si="2"/>
        <v>0</v>
      </c>
      <c r="M9" s="28" t="str">
        <f t="shared" si="3"/>
        <v/>
      </c>
      <c r="N9" s="166" t="str">
        <f t="shared" si="4"/>
        <v/>
      </c>
      <c r="O9" s="167" t="str">
        <f t="shared" si="5"/>
        <v/>
      </c>
      <c r="P9" s="168"/>
      <c r="Q9" s="169" t="str">
        <f t="shared" si="6"/>
        <v/>
      </c>
      <c r="R9" s="170">
        <v>25</v>
      </c>
      <c r="S9" s="171">
        <v>10</v>
      </c>
      <c r="T9" s="24" t="s">
        <v>84</v>
      </c>
      <c r="U9" s="29">
        <v>635550</v>
      </c>
      <c r="V9" s="30">
        <f t="shared" si="41"/>
        <v>3330505</v>
      </c>
      <c r="W9" s="27">
        <v>393</v>
      </c>
      <c r="X9" s="31">
        <f t="shared" si="7"/>
        <v>1617.175572519084</v>
      </c>
      <c r="Y9" s="29">
        <v>814505</v>
      </c>
      <c r="Z9" s="32">
        <f t="shared" si="42"/>
        <v>2979857</v>
      </c>
      <c r="AA9" s="33">
        <f t="shared" si="8"/>
        <v>1.1176727608069783</v>
      </c>
      <c r="AB9" s="158">
        <v>750000</v>
      </c>
      <c r="AC9" s="34">
        <f t="shared" si="43"/>
        <v>3750000</v>
      </c>
      <c r="AD9" s="158"/>
      <c r="AE9" s="25"/>
      <c r="AF9" s="25"/>
      <c r="AG9" s="25"/>
      <c r="AH9" s="25"/>
      <c r="AI9" s="25"/>
      <c r="AJ9" s="25"/>
      <c r="AK9" s="25"/>
      <c r="AL9" s="158"/>
      <c r="AM9" s="25"/>
      <c r="AN9" s="158"/>
      <c r="AO9" s="25"/>
      <c r="AP9" s="25"/>
      <c r="AQ9" s="158"/>
      <c r="AR9" s="35">
        <f t="shared" si="9"/>
        <v>0</v>
      </c>
      <c r="AS9" s="172" t="str">
        <f t="shared" si="10"/>
        <v/>
      </c>
      <c r="AT9" s="36">
        <f t="shared" si="11"/>
        <v>0</v>
      </c>
      <c r="AU9" s="173"/>
      <c r="AV9" s="82">
        <f t="shared" si="12"/>
        <v>5</v>
      </c>
      <c r="AW9" s="37"/>
      <c r="AX9" s="174" t="str">
        <f t="shared" si="13"/>
        <v/>
      </c>
      <c r="AY9" s="37"/>
      <c r="AZ9" s="174" t="str">
        <f t="shared" si="14"/>
        <v/>
      </c>
      <c r="BA9" s="37"/>
      <c r="BB9" s="174" t="str">
        <f t="shared" si="15"/>
        <v/>
      </c>
      <c r="BC9" s="37"/>
      <c r="BD9" s="174" t="str">
        <f t="shared" si="16"/>
        <v/>
      </c>
      <c r="BE9" s="37"/>
      <c r="BF9" s="174" t="str">
        <f t="shared" si="17"/>
        <v/>
      </c>
      <c r="BG9" s="37"/>
      <c r="BH9" s="174" t="str">
        <f t="shared" si="18"/>
        <v/>
      </c>
      <c r="BI9" s="37"/>
      <c r="BJ9" s="174" t="str">
        <f t="shared" si="19"/>
        <v/>
      </c>
      <c r="BK9" s="37"/>
      <c r="BL9" s="174" t="str">
        <f t="shared" si="20"/>
        <v/>
      </c>
      <c r="BM9" s="37"/>
      <c r="BN9" s="174" t="str">
        <f t="shared" si="21"/>
        <v/>
      </c>
      <c r="BO9" s="37"/>
      <c r="BP9" s="174" t="str">
        <f t="shared" si="22"/>
        <v/>
      </c>
      <c r="BQ9" s="37"/>
      <c r="BR9" s="174" t="str">
        <f t="shared" si="23"/>
        <v/>
      </c>
      <c r="BS9" s="37"/>
      <c r="BT9" s="174" t="str">
        <f t="shared" si="24"/>
        <v/>
      </c>
      <c r="BU9" s="37"/>
      <c r="BV9" s="174" t="str">
        <f t="shared" si="25"/>
        <v/>
      </c>
      <c r="BW9" s="37"/>
      <c r="BX9" s="174" t="str">
        <f t="shared" si="26"/>
        <v/>
      </c>
      <c r="BY9" s="37"/>
      <c r="BZ9" s="174" t="str">
        <f t="shared" si="27"/>
        <v/>
      </c>
      <c r="CA9" s="37"/>
      <c r="CB9" s="174" t="str">
        <f t="shared" si="28"/>
        <v/>
      </c>
      <c r="CC9" s="37"/>
      <c r="CD9" s="174" t="str">
        <f t="shared" si="29"/>
        <v/>
      </c>
      <c r="CE9" s="37"/>
      <c r="CF9" s="174" t="str">
        <f t="shared" si="30"/>
        <v/>
      </c>
      <c r="CG9" s="37"/>
      <c r="CH9" s="174" t="str">
        <f t="shared" si="31"/>
        <v/>
      </c>
      <c r="CI9" s="37"/>
      <c r="CJ9" s="174" t="str">
        <f t="shared" si="32"/>
        <v/>
      </c>
      <c r="CK9" s="37"/>
      <c r="CL9" s="174" t="str">
        <f t="shared" si="33"/>
        <v/>
      </c>
      <c r="CM9" s="37"/>
      <c r="CN9" s="174" t="str">
        <f t="shared" si="34"/>
        <v/>
      </c>
      <c r="CO9" s="37"/>
      <c r="CP9" s="174" t="str">
        <f t="shared" si="35"/>
        <v/>
      </c>
      <c r="CQ9" s="37"/>
      <c r="CR9" s="174" t="str">
        <f t="shared" si="36"/>
        <v/>
      </c>
      <c r="CS9" s="37"/>
      <c r="CT9" s="174" t="str">
        <f t="shared" si="37"/>
        <v/>
      </c>
      <c r="CU9" s="38"/>
      <c r="CV9" s="87"/>
      <c r="CW9" s="90"/>
      <c r="CX9" s="38"/>
      <c r="CY9" s="39"/>
      <c r="CZ9" s="37"/>
      <c r="DA9" s="39"/>
      <c r="DB9" s="24">
        <v>5</v>
      </c>
      <c r="DC9" s="96" t="str">
        <f t="shared" si="38"/>
        <v>水</v>
      </c>
      <c r="DF9" s="125"/>
      <c r="DG9" s="40"/>
      <c r="DH9" s="40"/>
      <c r="DI9" s="40"/>
      <c r="DJ9" s="40"/>
      <c r="DK9" s="40"/>
      <c r="DL9" s="40"/>
      <c r="DM9" s="40"/>
      <c r="DN9" s="40"/>
      <c r="DO9" s="40"/>
      <c r="DP9" s="40">
        <f t="shared" si="39"/>
        <v>0</v>
      </c>
      <c r="DQ9" s="172" t="str">
        <f t="shared" si="40"/>
        <v/>
      </c>
      <c r="DS9" s="189"/>
      <c r="DT9" s="190"/>
      <c r="DU9" s="190"/>
      <c r="DV9" s="191"/>
      <c r="DW9" s="41"/>
      <c r="DX9" s="42"/>
      <c r="DY9" s="139"/>
      <c r="DZ9" s="139"/>
      <c r="EA9" s="139"/>
      <c r="EB9" s="139"/>
    </row>
    <row r="10" spans="1:132" ht="13.5" customHeight="1" x14ac:dyDescent="0.4">
      <c r="A10" s="104">
        <v>6</v>
      </c>
      <c r="B10" s="23" t="s">
        <v>85</v>
      </c>
      <c r="C10" s="164"/>
      <c r="D10" s="164"/>
      <c r="E10" s="24"/>
      <c r="F10" s="29"/>
      <c r="G10" s="25" t="str">
        <f>IF(SUM($F$5:F10)=0,"",SUM($F$5:F10))</f>
        <v/>
      </c>
      <c r="H10" s="43" t="str">
        <f t="shared" si="0"/>
        <v/>
      </c>
      <c r="I10" s="148" t="e">
        <f t="array" aca="1" ref="I10" ca="1">IF($A11="",$G10/($V10-$U$5+INDIRECT(IF(_xlfn.SHEET()&lt;6,"令和8年"&amp;_xlfn.SHEET()+7&amp;"月","令和9年"&amp;_xlfn.SHEET()-5&amp;"月")&amp;"!$U$5")),$G10/($V11-$U$5))</f>
        <v>#VALUE!</v>
      </c>
      <c r="J10" s="26" t="str">
        <f t="shared" si="1"/>
        <v/>
      </c>
      <c r="K10" s="27"/>
      <c r="L10" s="165">
        <f t="shared" si="2"/>
        <v>0</v>
      </c>
      <c r="M10" s="28" t="str">
        <f t="shared" si="3"/>
        <v/>
      </c>
      <c r="N10" s="166" t="str">
        <f t="shared" si="4"/>
        <v/>
      </c>
      <c r="O10" s="167" t="str">
        <f t="shared" si="5"/>
        <v/>
      </c>
      <c r="P10" s="168"/>
      <c r="Q10" s="169" t="str">
        <f t="shared" si="6"/>
        <v/>
      </c>
      <c r="R10" s="170">
        <v>23</v>
      </c>
      <c r="S10" s="171">
        <v>12</v>
      </c>
      <c r="T10" s="24" t="s">
        <v>84</v>
      </c>
      <c r="U10" s="29">
        <v>697826</v>
      </c>
      <c r="V10" s="30">
        <f t="shared" si="41"/>
        <v>4028331</v>
      </c>
      <c r="W10" s="27">
        <v>528</v>
      </c>
      <c r="X10" s="31">
        <f t="shared" si="7"/>
        <v>1321.6401515151515</v>
      </c>
      <c r="Y10" s="29">
        <v>766854</v>
      </c>
      <c r="Z10" s="32">
        <f t="shared" si="42"/>
        <v>3746711</v>
      </c>
      <c r="AA10" s="33">
        <f t="shared" si="8"/>
        <v>1.0751645910239673</v>
      </c>
      <c r="AB10" s="158">
        <v>220000</v>
      </c>
      <c r="AC10" s="34">
        <f t="shared" si="43"/>
        <v>3970000</v>
      </c>
      <c r="AD10" s="158"/>
      <c r="AE10" s="25"/>
      <c r="AF10" s="25"/>
      <c r="AG10" s="25"/>
      <c r="AH10" s="25"/>
      <c r="AI10" s="25"/>
      <c r="AJ10" s="25"/>
      <c r="AK10" s="25"/>
      <c r="AL10" s="158"/>
      <c r="AM10" s="25"/>
      <c r="AN10" s="158"/>
      <c r="AO10" s="25"/>
      <c r="AP10" s="25"/>
      <c r="AQ10" s="158"/>
      <c r="AR10" s="35">
        <f t="shared" si="9"/>
        <v>0</v>
      </c>
      <c r="AS10" s="172" t="str">
        <f t="shared" si="10"/>
        <v/>
      </c>
      <c r="AT10" s="36">
        <f t="shared" si="11"/>
        <v>0</v>
      </c>
      <c r="AU10" s="173"/>
      <c r="AV10" s="82">
        <f t="shared" si="12"/>
        <v>6</v>
      </c>
      <c r="AW10" s="37"/>
      <c r="AX10" s="174" t="str">
        <f t="shared" si="13"/>
        <v/>
      </c>
      <c r="AY10" s="37"/>
      <c r="AZ10" s="174" t="str">
        <f t="shared" si="14"/>
        <v/>
      </c>
      <c r="BA10" s="37"/>
      <c r="BB10" s="174" t="str">
        <f t="shared" si="15"/>
        <v/>
      </c>
      <c r="BC10" s="37"/>
      <c r="BD10" s="174" t="str">
        <f t="shared" si="16"/>
        <v/>
      </c>
      <c r="BE10" s="37"/>
      <c r="BF10" s="174" t="str">
        <f t="shared" si="17"/>
        <v/>
      </c>
      <c r="BG10" s="37"/>
      <c r="BH10" s="174" t="str">
        <f t="shared" si="18"/>
        <v/>
      </c>
      <c r="BI10" s="37"/>
      <c r="BJ10" s="174" t="str">
        <f t="shared" si="19"/>
        <v/>
      </c>
      <c r="BK10" s="37"/>
      <c r="BL10" s="174" t="str">
        <f t="shared" si="20"/>
        <v/>
      </c>
      <c r="BM10" s="37"/>
      <c r="BN10" s="174" t="str">
        <f t="shared" si="21"/>
        <v/>
      </c>
      <c r="BO10" s="37"/>
      <c r="BP10" s="174" t="str">
        <f t="shared" si="22"/>
        <v/>
      </c>
      <c r="BQ10" s="37"/>
      <c r="BR10" s="174" t="str">
        <f t="shared" si="23"/>
        <v/>
      </c>
      <c r="BS10" s="37"/>
      <c r="BT10" s="174" t="str">
        <f t="shared" si="24"/>
        <v/>
      </c>
      <c r="BU10" s="37"/>
      <c r="BV10" s="174" t="str">
        <f t="shared" si="25"/>
        <v/>
      </c>
      <c r="BW10" s="37"/>
      <c r="BX10" s="174" t="str">
        <f t="shared" si="26"/>
        <v/>
      </c>
      <c r="BY10" s="37"/>
      <c r="BZ10" s="174" t="str">
        <f t="shared" si="27"/>
        <v/>
      </c>
      <c r="CA10" s="37"/>
      <c r="CB10" s="174" t="str">
        <f t="shared" si="28"/>
        <v/>
      </c>
      <c r="CC10" s="37"/>
      <c r="CD10" s="174" t="str">
        <f t="shared" si="29"/>
        <v/>
      </c>
      <c r="CE10" s="37"/>
      <c r="CF10" s="174" t="str">
        <f t="shared" si="30"/>
        <v/>
      </c>
      <c r="CG10" s="37"/>
      <c r="CH10" s="174" t="str">
        <f t="shared" si="31"/>
        <v/>
      </c>
      <c r="CI10" s="37"/>
      <c r="CJ10" s="174" t="str">
        <f t="shared" si="32"/>
        <v/>
      </c>
      <c r="CK10" s="37"/>
      <c r="CL10" s="174" t="str">
        <f t="shared" si="33"/>
        <v/>
      </c>
      <c r="CM10" s="37"/>
      <c r="CN10" s="174" t="str">
        <f t="shared" si="34"/>
        <v/>
      </c>
      <c r="CO10" s="37"/>
      <c r="CP10" s="174" t="str">
        <f t="shared" si="35"/>
        <v/>
      </c>
      <c r="CQ10" s="37"/>
      <c r="CR10" s="174" t="str">
        <f t="shared" si="36"/>
        <v/>
      </c>
      <c r="CS10" s="37"/>
      <c r="CT10" s="174" t="str">
        <f t="shared" si="37"/>
        <v/>
      </c>
      <c r="CU10" s="38"/>
      <c r="CV10" s="87"/>
      <c r="CW10" s="90"/>
      <c r="CX10" s="38"/>
      <c r="CY10" s="39"/>
      <c r="CZ10" s="37"/>
      <c r="DA10" s="39"/>
      <c r="DB10" s="24">
        <v>6</v>
      </c>
      <c r="DC10" s="96" t="str">
        <f t="shared" si="38"/>
        <v>木</v>
      </c>
      <c r="DF10" s="125"/>
      <c r="DG10" s="40"/>
      <c r="DH10" s="40"/>
      <c r="DI10" s="40"/>
      <c r="DJ10" s="40"/>
      <c r="DK10" s="40"/>
      <c r="DL10" s="40"/>
      <c r="DM10" s="40"/>
      <c r="DN10" s="40"/>
      <c r="DO10" s="40"/>
      <c r="DP10" s="40">
        <f t="shared" si="39"/>
        <v>0</v>
      </c>
      <c r="DQ10" s="172" t="str">
        <f t="shared" si="40"/>
        <v/>
      </c>
      <c r="DS10" s="189"/>
      <c r="DT10" s="190"/>
      <c r="DU10" s="190"/>
      <c r="DV10" s="191"/>
      <c r="DW10" s="138"/>
      <c r="DX10" s="42"/>
      <c r="DY10" s="139"/>
      <c r="DZ10" s="139"/>
      <c r="EA10" s="139"/>
      <c r="EB10" s="139"/>
    </row>
    <row r="11" spans="1:132" ht="13.5" customHeight="1" x14ac:dyDescent="0.4">
      <c r="A11" s="104">
        <v>7</v>
      </c>
      <c r="B11" s="23" t="s">
        <v>86</v>
      </c>
      <c r="C11" s="164"/>
      <c r="D11" s="164"/>
      <c r="E11" s="24"/>
      <c r="F11" s="29"/>
      <c r="G11" s="25" t="str">
        <f>IF(SUM($F$5:F11)=0,"",SUM($F$5:F11))</f>
        <v/>
      </c>
      <c r="H11" s="43" t="str">
        <f t="shared" si="0"/>
        <v/>
      </c>
      <c r="I11" s="148" t="e">
        <f t="array" aca="1" ref="I11" ca="1">IF($A12="",$G11/($V11-$U$5+INDIRECT(IF(_xlfn.SHEET()&lt;6,"令和8年"&amp;_xlfn.SHEET()+7&amp;"月","令和9年"&amp;_xlfn.SHEET()-5&amp;"月")&amp;"!$U$5")),$G11/($V12-$U$5))</f>
        <v>#VALUE!</v>
      </c>
      <c r="J11" s="26" t="str">
        <f t="shared" si="1"/>
        <v/>
      </c>
      <c r="K11" s="27"/>
      <c r="L11" s="165">
        <f t="shared" si="2"/>
        <v>0</v>
      </c>
      <c r="M11" s="28" t="str">
        <f t="shared" si="3"/>
        <v/>
      </c>
      <c r="N11" s="166" t="str">
        <f t="shared" si="4"/>
        <v/>
      </c>
      <c r="O11" s="167" t="str">
        <f t="shared" si="5"/>
        <v/>
      </c>
      <c r="P11" s="168"/>
      <c r="Q11" s="169" t="str">
        <f t="shared" si="6"/>
        <v/>
      </c>
      <c r="R11" s="170">
        <v>23</v>
      </c>
      <c r="S11" s="171">
        <v>16</v>
      </c>
      <c r="T11" s="24" t="s">
        <v>84</v>
      </c>
      <c r="U11" s="29">
        <v>214944</v>
      </c>
      <c r="V11" s="30">
        <f t="shared" si="41"/>
        <v>4243275</v>
      </c>
      <c r="W11" s="27">
        <v>204</v>
      </c>
      <c r="X11" s="31">
        <f t="shared" si="7"/>
        <v>1053.6470588235295</v>
      </c>
      <c r="Y11" s="29">
        <v>228742</v>
      </c>
      <c r="Z11" s="32">
        <f t="shared" si="42"/>
        <v>3975453</v>
      </c>
      <c r="AA11" s="33">
        <f t="shared" si="8"/>
        <v>1.0673689262582151</v>
      </c>
      <c r="AB11" s="158">
        <v>220000</v>
      </c>
      <c r="AC11" s="34">
        <f t="shared" si="43"/>
        <v>4190000</v>
      </c>
      <c r="AD11" s="158"/>
      <c r="AE11" s="25"/>
      <c r="AF11" s="25"/>
      <c r="AG11" s="25"/>
      <c r="AH11" s="25"/>
      <c r="AI11" s="25"/>
      <c r="AJ11" s="25"/>
      <c r="AK11" s="25"/>
      <c r="AL11" s="158"/>
      <c r="AM11" s="25"/>
      <c r="AN11" s="158"/>
      <c r="AO11" s="25"/>
      <c r="AP11" s="25"/>
      <c r="AQ11" s="158"/>
      <c r="AR11" s="35">
        <f t="shared" si="9"/>
        <v>0</v>
      </c>
      <c r="AS11" s="172" t="str">
        <f t="shared" si="10"/>
        <v/>
      </c>
      <c r="AT11" s="36">
        <f t="shared" si="11"/>
        <v>0</v>
      </c>
      <c r="AU11" s="173"/>
      <c r="AV11" s="82">
        <f t="shared" si="12"/>
        <v>7</v>
      </c>
      <c r="AW11" s="37"/>
      <c r="AX11" s="174" t="str">
        <f t="shared" si="13"/>
        <v/>
      </c>
      <c r="AY11" s="37"/>
      <c r="AZ11" s="174" t="str">
        <f t="shared" si="14"/>
        <v/>
      </c>
      <c r="BA11" s="37"/>
      <c r="BB11" s="174" t="str">
        <f t="shared" si="15"/>
        <v/>
      </c>
      <c r="BC11" s="37"/>
      <c r="BD11" s="174" t="str">
        <f t="shared" si="16"/>
        <v/>
      </c>
      <c r="BE11" s="37"/>
      <c r="BF11" s="174" t="str">
        <f t="shared" si="17"/>
        <v/>
      </c>
      <c r="BG11" s="37"/>
      <c r="BH11" s="174" t="str">
        <f t="shared" si="18"/>
        <v/>
      </c>
      <c r="BI11" s="37"/>
      <c r="BJ11" s="174" t="str">
        <f t="shared" si="19"/>
        <v/>
      </c>
      <c r="BK11" s="37"/>
      <c r="BL11" s="174" t="str">
        <f t="shared" si="20"/>
        <v/>
      </c>
      <c r="BM11" s="37"/>
      <c r="BN11" s="174" t="str">
        <f t="shared" si="21"/>
        <v/>
      </c>
      <c r="BO11" s="37"/>
      <c r="BP11" s="174" t="str">
        <f t="shared" si="22"/>
        <v/>
      </c>
      <c r="BQ11" s="37"/>
      <c r="BR11" s="174" t="str">
        <f t="shared" si="23"/>
        <v/>
      </c>
      <c r="BS11" s="37"/>
      <c r="BT11" s="174" t="str">
        <f t="shared" si="24"/>
        <v/>
      </c>
      <c r="BU11" s="37"/>
      <c r="BV11" s="174" t="str">
        <f t="shared" si="25"/>
        <v/>
      </c>
      <c r="BW11" s="37"/>
      <c r="BX11" s="174" t="str">
        <f t="shared" si="26"/>
        <v/>
      </c>
      <c r="BY11" s="37"/>
      <c r="BZ11" s="174" t="str">
        <f t="shared" si="27"/>
        <v/>
      </c>
      <c r="CA11" s="37"/>
      <c r="CB11" s="174" t="str">
        <f t="shared" si="28"/>
        <v/>
      </c>
      <c r="CC11" s="37"/>
      <c r="CD11" s="174" t="str">
        <f t="shared" si="29"/>
        <v/>
      </c>
      <c r="CE11" s="37"/>
      <c r="CF11" s="174" t="str">
        <f t="shared" si="30"/>
        <v/>
      </c>
      <c r="CG11" s="37"/>
      <c r="CH11" s="174" t="str">
        <f t="shared" si="31"/>
        <v/>
      </c>
      <c r="CI11" s="37"/>
      <c r="CJ11" s="174" t="str">
        <f t="shared" si="32"/>
        <v/>
      </c>
      <c r="CK11" s="37"/>
      <c r="CL11" s="174" t="str">
        <f t="shared" si="33"/>
        <v/>
      </c>
      <c r="CM11" s="37"/>
      <c r="CN11" s="174" t="str">
        <f t="shared" si="34"/>
        <v/>
      </c>
      <c r="CO11" s="37"/>
      <c r="CP11" s="174" t="str">
        <f t="shared" si="35"/>
        <v/>
      </c>
      <c r="CQ11" s="37"/>
      <c r="CR11" s="174" t="str">
        <f t="shared" si="36"/>
        <v/>
      </c>
      <c r="CS11" s="37"/>
      <c r="CT11" s="174" t="str">
        <f t="shared" si="37"/>
        <v/>
      </c>
      <c r="CU11" s="38"/>
      <c r="CV11" s="87"/>
      <c r="CW11" s="90"/>
      <c r="CX11" s="38"/>
      <c r="CY11" s="39"/>
      <c r="CZ11" s="37"/>
      <c r="DA11" s="39"/>
      <c r="DB11" s="24">
        <v>7</v>
      </c>
      <c r="DC11" s="96" t="str">
        <f t="shared" si="38"/>
        <v>金</v>
      </c>
      <c r="DF11" s="125"/>
      <c r="DG11" s="40"/>
      <c r="DH11" s="40"/>
      <c r="DI11" s="40"/>
      <c r="DJ11" s="40"/>
      <c r="DK11" s="40"/>
      <c r="DL11" s="40"/>
      <c r="DM11" s="40"/>
      <c r="DN11" s="40"/>
      <c r="DO11" s="40"/>
      <c r="DP11" s="40">
        <f t="shared" si="39"/>
        <v>0</v>
      </c>
      <c r="DQ11" s="172" t="str">
        <f t="shared" si="40"/>
        <v/>
      </c>
      <c r="DS11" s="189"/>
      <c r="DT11" s="190"/>
      <c r="DU11" s="190"/>
      <c r="DV11" s="191"/>
      <c r="DW11" s="41"/>
      <c r="DX11" s="42"/>
    </row>
    <row r="12" spans="1:132" ht="13.5" customHeight="1" x14ac:dyDescent="0.4">
      <c r="A12" s="104">
        <v>8</v>
      </c>
      <c r="B12" s="23" t="s">
        <v>88</v>
      </c>
      <c r="C12" s="164"/>
      <c r="D12" s="164"/>
      <c r="E12" s="24"/>
      <c r="F12" s="29"/>
      <c r="G12" s="25" t="str">
        <f>IF(SUM($F$5:F12)=0,"",SUM($F$5:F12))</f>
        <v/>
      </c>
      <c r="H12" s="43" t="str">
        <f t="shared" si="0"/>
        <v/>
      </c>
      <c r="I12" s="148" t="e">
        <f t="array" aca="1" ref="I12" ca="1">IF($A13="",$G12/($V12-$U$5+INDIRECT(IF(_xlfn.SHEET()&lt;6,"令和8年"&amp;_xlfn.SHEET()+7&amp;"月","令和9年"&amp;_xlfn.SHEET()-5&amp;"月")&amp;"!$U$5")),$G12/($V13-$U$5))</f>
        <v>#VALUE!</v>
      </c>
      <c r="J12" s="26" t="str">
        <f t="shared" si="1"/>
        <v/>
      </c>
      <c r="K12" s="27"/>
      <c r="L12" s="165">
        <f t="shared" si="2"/>
        <v>0</v>
      </c>
      <c r="M12" s="28" t="str">
        <f t="shared" si="3"/>
        <v/>
      </c>
      <c r="N12" s="166" t="str">
        <f t="shared" si="4"/>
        <v/>
      </c>
      <c r="O12" s="167" t="str">
        <f t="shared" si="5"/>
        <v/>
      </c>
      <c r="P12" s="168"/>
      <c r="Q12" s="169" t="str">
        <f t="shared" si="6"/>
        <v/>
      </c>
      <c r="R12" s="170">
        <v>24</v>
      </c>
      <c r="S12" s="171">
        <v>13</v>
      </c>
      <c r="T12" s="24" t="s">
        <v>109</v>
      </c>
      <c r="U12" s="29">
        <v>203034</v>
      </c>
      <c r="V12" s="30">
        <f t="shared" si="41"/>
        <v>4446309</v>
      </c>
      <c r="W12" s="27">
        <v>131</v>
      </c>
      <c r="X12" s="31">
        <f t="shared" si="7"/>
        <v>1549.8778625954199</v>
      </c>
      <c r="Y12" s="29">
        <v>226969</v>
      </c>
      <c r="Z12" s="32">
        <f t="shared" si="42"/>
        <v>4202422</v>
      </c>
      <c r="AA12" s="33">
        <f t="shared" si="8"/>
        <v>1.0580348665602837</v>
      </c>
      <c r="AB12" s="158">
        <v>750000</v>
      </c>
      <c r="AC12" s="34">
        <f t="shared" si="43"/>
        <v>4940000</v>
      </c>
      <c r="AD12" s="158"/>
      <c r="AE12" s="25"/>
      <c r="AF12" s="25"/>
      <c r="AG12" s="25"/>
      <c r="AH12" s="25"/>
      <c r="AI12" s="25"/>
      <c r="AJ12" s="25"/>
      <c r="AK12" s="25"/>
      <c r="AL12" s="158"/>
      <c r="AM12" s="25"/>
      <c r="AN12" s="158"/>
      <c r="AO12" s="25"/>
      <c r="AP12" s="25"/>
      <c r="AQ12" s="158"/>
      <c r="AR12" s="35">
        <f t="shared" si="9"/>
        <v>0</v>
      </c>
      <c r="AS12" s="172" t="str">
        <f t="shared" si="10"/>
        <v/>
      </c>
      <c r="AT12" s="36">
        <f t="shared" si="11"/>
        <v>0</v>
      </c>
      <c r="AU12" s="173"/>
      <c r="AV12" s="82">
        <f t="shared" si="12"/>
        <v>8</v>
      </c>
      <c r="AW12" s="37"/>
      <c r="AX12" s="174" t="str">
        <f t="shared" si="13"/>
        <v/>
      </c>
      <c r="AY12" s="37"/>
      <c r="AZ12" s="174" t="str">
        <f t="shared" si="14"/>
        <v/>
      </c>
      <c r="BA12" s="37"/>
      <c r="BB12" s="174" t="str">
        <f t="shared" si="15"/>
        <v/>
      </c>
      <c r="BC12" s="37"/>
      <c r="BD12" s="174" t="str">
        <f t="shared" si="16"/>
        <v/>
      </c>
      <c r="BE12" s="37"/>
      <c r="BF12" s="174" t="str">
        <f t="shared" si="17"/>
        <v/>
      </c>
      <c r="BG12" s="37"/>
      <c r="BH12" s="174" t="str">
        <f t="shared" si="18"/>
        <v/>
      </c>
      <c r="BI12" s="37"/>
      <c r="BJ12" s="174" t="str">
        <f t="shared" si="19"/>
        <v/>
      </c>
      <c r="BK12" s="37"/>
      <c r="BL12" s="174" t="str">
        <f t="shared" si="20"/>
        <v/>
      </c>
      <c r="BM12" s="37"/>
      <c r="BN12" s="174" t="str">
        <f t="shared" si="21"/>
        <v/>
      </c>
      <c r="BO12" s="37"/>
      <c r="BP12" s="174" t="str">
        <f t="shared" si="22"/>
        <v/>
      </c>
      <c r="BQ12" s="37"/>
      <c r="BR12" s="174" t="str">
        <f t="shared" si="23"/>
        <v/>
      </c>
      <c r="BS12" s="37"/>
      <c r="BT12" s="174" t="str">
        <f t="shared" si="24"/>
        <v/>
      </c>
      <c r="BU12" s="37"/>
      <c r="BV12" s="174" t="str">
        <f t="shared" si="25"/>
        <v/>
      </c>
      <c r="BW12" s="37"/>
      <c r="BX12" s="174" t="str">
        <f t="shared" si="26"/>
        <v/>
      </c>
      <c r="BY12" s="37"/>
      <c r="BZ12" s="174" t="str">
        <f t="shared" si="27"/>
        <v/>
      </c>
      <c r="CA12" s="37"/>
      <c r="CB12" s="174" t="str">
        <f t="shared" si="28"/>
        <v/>
      </c>
      <c r="CC12" s="37"/>
      <c r="CD12" s="174" t="str">
        <f t="shared" si="29"/>
        <v/>
      </c>
      <c r="CE12" s="37"/>
      <c r="CF12" s="174" t="str">
        <f t="shared" si="30"/>
        <v/>
      </c>
      <c r="CG12" s="37"/>
      <c r="CH12" s="174" t="str">
        <f t="shared" si="31"/>
        <v/>
      </c>
      <c r="CI12" s="37"/>
      <c r="CJ12" s="174" t="str">
        <f t="shared" si="32"/>
        <v/>
      </c>
      <c r="CK12" s="37"/>
      <c r="CL12" s="174" t="str">
        <f t="shared" si="33"/>
        <v/>
      </c>
      <c r="CM12" s="37"/>
      <c r="CN12" s="174" t="str">
        <f t="shared" si="34"/>
        <v/>
      </c>
      <c r="CO12" s="37"/>
      <c r="CP12" s="174" t="str">
        <f t="shared" si="35"/>
        <v/>
      </c>
      <c r="CQ12" s="37"/>
      <c r="CR12" s="174" t="str">
        <f t="shared" si="36"/>
        <v/>
      </c>
      <c r="CS12" s="37"/>
      <c r="CT12" s="174" t="str">
        <f t="shared" si="37"/>
        <v/>
      </c>
      <c r="CU12" s="38"/>
      <c r="CV12" s="87"/>
      <c r="CW12" s="90"/>
      <c r="CX12" s="38"/>
      <c r="CY12" s="39"/>
      <c r="CZ12" s="37"/>
      <c r="DA12" s="39"/>
      <c r="DB12" s="24">
        <v>8</v>
      </c>
      <c r="DC12" s="96" t="str">
        <f t="shared" si="38"/>
        <v>土</v>
      </c>
      <c r="DF12" s="125"/>
      <c r="DG12" s="40"/>
      <c r="DH12" s="40"/>
      <c r="DI12" s="40"/>
      <c r="DJ12" s="40"/>
      <c r="DK12" s="40"/>
      <c r="DL12" s="40"/>
      <c r="DM12" s="40"/>
      <c r="DN12" s="40"/>
      <c r="DO12" s="40"/>
      <c r="DP12" s="40">
        <f t="shared" si="39"/>
        <v>0</v>
      </c>
      <c r="DQ12" s="172" t="str">
        <f t="shared" si="40"/>
        <v/>
      </c>
      <c r="DS12" s="189"/>
      <c r="DT12" s="190"/>
      <c r="DU12" s="190"/>
      <c r="DV12" s="191"/>
      <c r="DW12" s="41"/>
      <c r="DX12" s="42"/>
    </row>
    <row r="13" spans="1:132" ht="13.5" customHeight="1" x14ac:dyDescent="0.4">
      <c r="A13" s="104">
        <v>9</v>
      </c>
      <c r="B13" s="23" t="s">
        <v>89</v>
      </c>
      <c r="C13" s="164"/>
      <c r="D13" s="164"/>
      <c r="E13" s="24"/>
      <c r="F13" s="29"/>
      <c r="G13" s="25" t="str">
        <f>IF(SUM($F$5:F13)=0,"",SUM($F$5:F13))</f>
        <v/>
      </c>
      <c r="H13" s="43" t="str">
        <f t="shared" si="0"/>
        <v/>
      </c>
      <c r="I13" s="148" t="e">
        <f t="array" aca="1" ref="I13" ca="1">IF($A14="",$G13/($V13-$U$5+INDIRECT(IF(_xlfn.SHEET()&lt;6,"令和8年"&amp;_xlfn.SHEET()+7&amp;"月","令和9年"&amp;_xlfn.SHEET()-5&amp;"月")&amp;"!$U$5")),$G13/($V14-$U$5))</f>
        <v>#VALUE!</v>
      </c>
      <c r="J13" s="26" t="str">
        <f t="shared" si="1"/>
        <v/>
      </c>
      <c r="K13" s="27"/>
      <c r="L13" s="165">
        <f t="shared" si="2"/>
        <v>0</v>
      </c>
      <c r="M13" s="28" t="str">
        <f t="shared" si="3"/>
        <v/>
      </c>
      <c r="N13" s="166" t="str">
        <f t="shared" si="4"/>
        <v/>
      </c>
      <c r="O13" s="167" t="str">
        <f t="shared" si="5"/>
        <v/>
      </c>
      <c r="P13" s="168"/>
      <c r="Q13" s="169" t="str">
        <f t="shared" si="6"/>
        <v/>
      </c>
      <c r="R13" s="170">
        <v>23</v>
      </c>
      <c r="S13" s="171">
        <v>12</v>
      </c>
      <c r="T13" s="24" t="s">
        <v>84</v>
      </c>
      <c r="U13" s="29">
        <v>530101</v>
      </c>
      <c r="V13" s="30">
        <f t="shared" si="41"/>
        <v>4976410</v>
      </c>
      <c r="W13" s="27">
        <v>427</v>
      </c>
      <c r="X13" s="31">
        <f t="shared" si="7"/>
        <v>1241.4543325526931</v>
      </c>
      <c r="Y13" s="29">
        <v>126315</v>
      </c>
      <c r="Z13" s="32">
        <f t="shared" si="42"/>
        <v>4328737</v>
      </c>
      <c r="AA13" s="33">
        <f t="shared" si="8"/>
        <v>1.1496217025889999</v>
      </c>
      <c r="AB13" s="158">
        <v>750000</v>
      </c>
      <c r="AC13" s="34">
        <f t="shared" si="43"/>
        <v>5690000</v>
      </c>
      <c r="AD13" s="158"/>
      <c r="AE13" s="25"/>
      <c r="AF13" s="25"/>
      <c r="AG13" s="25"/>
      <c r="AH13" s="25"/>
      <c r="AI13" s="25"/>
      <c r="AJ13" s="25"/>
      <c r="AK13" s="25"/>
      <c r="AL13" s="158"/>
      <c r="AM13" s="25"/>
      <c r="AN13" s="158"/>
      <c r="AO13" s="25"/>
      <c r="AP13" s="25"/>
      <c r="AQ13" s="158"/>
      <c r="AR13" s="35">
        <f t="shared" si="9"/>
        <v>0</v>
      </c>
      <c r="AS13" s="172" t="str">
        <f t="shared" si="10"/>
        <v/>
      </c>
      <c r="AT13" s="36">
        <f t="shared" si="11"/>
        <v>0</v>
      </c>
      <c r="AU13" s="173"/>
      <c r="AV13" s="82">
        <f t="shared" si="12"/>
        <v>9</v>
      </c>
      <c r="AW13" s="37"/>
      <c r="AX13" s="174" t="str">
        <f t="shared" si="13"/>
        <v/>
      </c>
      <c r="AY13" s="37"/>
      <c r="AZ13" s="174" t="str">
        <f t="shared" si="14"/>
        <v/>
      </c>
      <c r="BA13" s="37"/>
      <c r="BB13" s="174" t="str">
        <f t="shared" si="15"/>
        <v/>
      </c>
      <c r="BC13" s="37"/>
      <c r="BD13" s="174" t="str">
        <f t="shared" si="16"/>
        <v/>
      </c>
      <c r="BE13" s="37"/>
      <c r="BF13" s="174" t="str">
        <f t="shared" si="17"/>
        <v/>
      </c>
      <c r="BG13" s="37"/>
      <c r="BH13" s="174" t="str">
        <f t="shared" si="18"/>
        <v/>
      </c>
      <c r="BI13" s="37"/>
      <c r="BJ13" s="174" t="str">
        <f t="shared" si="19"/>
        <v/>
      </c>
      <c r="BK13" s="37"/>
      <c r="BL13" s="174" t="str">
        <f t="shared" si="20"/>
        <v/>
      </c>
      <c r="BM13" s="37"/>
      <c r="BN13" s="174" t="str">
        <f t="shared" si="21"/>
        <v/>
      </c>
      <c r="BO13" s="37"/>
      <c r="BP13" s="174" t="str">
        <f t="shared" si="22"/>
        <v/>
      </c>
      <c r="BQ13" s="37"/>
      <c r="BR13" s="174" t="str">
        <f t="shared" si="23"/>
        <v/>
      </c>
      <c r="BS13" s="37"/>
      <c r="BT13" s="174" t="str">
        <f t="shared" si="24"/>
        <v/>
      </c>
      <c r="BU13" s="37"/>
      <c r="BV13" s="174" t="str">
        <f t="shared" si="25"/>
        <v/>
      </c>
      <c r="BW13" s="37"/>
      <c r="BX13" s="174" t="str">
        <f t="shared" si="26"/>
        <v/>
      </c>
      <c r="BY13" s="37"/>
      <c r="BZ13" s="174" t="str">
        <f t="shared" si="27"/>
        <v/>
      </c>
      <c r="CA13" s="37"/>
      <c r="CB13" s="174" t="str">
        <f t="shared" si="28"/>
        <v/>
      </c>
      <c r="CC13" s="37"/>
      <c r="CD13" s="174" t="str">
        <f t="shared" si="29"/>
        <v/>
      </c>
      <c r="CE13" s="37"/>
      <c r="CF13" s="174" t="str">
        <f t="shared" si="30"/>
        <v/>
      </c>
      <c r="CG13" s="37"/>
      <c r="CH13" s="174" t="str">
        <f t="shared" si="31"/>
        <v/>
      </c>
      <c r="CI13" s="37"/>
      <c r="CJ13" s="174" t="str">
        <f t="shared" si="32"/>
        <v/>
      </c>
      <c r="CK13" s="37"/>
      <c r="CL13" s="174" t="str">
        <f t="shared" si="33"/>
        <v/>
      </c>
      <c r="CM13" s="37"/>
      <c r="CN13" s="174" t="str">
        <f t="shared" si="34"/>
        <v/>
      </c>
      <c r="CO13" s="37"/>
      <c r="CP13" s="174" t="str">
        <f t="shared" si="35"/>
        <v/>
      </c>
      <c r="CQ13" s="37"/>
      <c r="CR13" s="174" t="str">
        <f t="shared" si="36"/>
        <v/>
      </c>
      <c r="CS13" s="37"/>
      <c r="CT13" s="174" t="str">
        <f t="shared" si="37"/>
        <v/>
      </c>
      <c r="CU13" s="38"/>
      <c r="CV13" s="87"/>
      <c r="CW13" s="90"/>
      <c r="CX13" s="38"/>
      <c r="CY13" s="39"/>
      <c r="CZ13" s="37"/>
      <c r="DA13" s="39"/>
      <c r="DB13" s="24">
        <v>9</v>
      </c>
      <c r="DC13" s="96" t="str">
        <f t="shared" si="38"/>
        <v>日</v>
      </c>
      <c r="DF13" s="125"/>
      <c r="DG13" s="40"/>
      <c r="DH13" s="40"/>
      <c r="DI13" s="40"/>
      <c r="DJ13" s="40"/>
      <c r="DK13" s="40"/>
      <c r="DL13" s="40"/>
      <c r="DM13" s="40"/>
      <c r="DN13" s="40"/>
      <c r="DO13" s="40"/>
      <c r="DP13" s="40">
        <f t="shared" si="39"/>
        <v>0</v>
      </c>
      <c r="DQ13" s="172" t="str">
        <f t="shared" si="40"/>
        <v/>
      </c>
      <c r="DS13" s="189"/>
      <c r="DT13" s="190"/>
      <c r="DU13" s="190"/>
      <c r="DV13" s="191"/>
      <c r="DW13" s="138"/>
      <c r="DX13" s="42"/>
    </row>
    <row r="14" spans="1:132" ht="13.5" customHeight="1" x14ac:dyDescent="0.4">
      <c r="A14" s="104">
        <v>10</v>
      </c>
      <c r="B14" s="23" t="s">
        <v>90</v>
      </c>
      <c r="C14" s="164"/>
      <c r="D14" s="164"/>
      <c r="E14" s="24"/>
      <c r="F14" s="29"/>
      <c r="G14" s="25" t="str">
        <f>IF(SUM($F$5:F14)=0,"",SUM($F$5:F14))</f>
        <v/>
      </c>
      <c r="H14" s="43" t="str">
        <f t="shared" si="0"/>
        <v/>
      </c>
      <c r="I14" s="148" t="e">
        <f t="array" aca="1" ref="I14" ca="1">IF($A15="",$G14/($V14-$U$5+INDIRECT(IF(_xlfn.SHEET()&lt;6,"令和8年"&amp;_xlfn.SHEET()+7&amp;"月","令和9年"&amp;_xlfn.SHEET()-5&amp;"月")&amp;"!$U$5")),$G14/($V15-$U$5))</f>
        <v>#VALUE!</v>
      </c>
      <c r="J14" s="26" t="str">
        <f t="shared" si="1"/>
        <v/>
      </c>
      <c r="K14" s="27"/>
      <c r="L14" s="165">
        <f t="shared" si="2"/>
        <v>0</v>
      </c>
      <c r="M14" s="28" t="str">
        <f t="shared" si="3"/>
        <v/>
      </c>
      <c r="N14" s="166" t="str">
        <f t="shared" si="4"/>
        <v/>
      </c>
      <c r="O14" s="167" t="str">
        <f t="shared" si="5"/>
        <v/>
      </c>
      <c r="P14" s="168"/>
      <c r="Q14" s="169" t="str">
        <f t="shared" si="6"/>
        <v/>
      </c>
      <c r="R14" s="170">
        <v>25</v>
      </c>
      <c r="S14" s="171">
        <v>10</v>
      </c>
      <c r="T14" s="24" t="s">
        <v>84</v>
      </c>
      <c r="U14" s="29">
        <v>746659</v>
      </c>
      <c r="V14" s="30">
        <f t="shared" si="41"/>
        <v>5723069</v>
      </c>
      <c r="W14" s="27">
        <v>574</v>
      </c>
      <c r="X14" s="31">
        <f t="shared" si="7"/>
        <v>1300.7996515679442</v>
      </c>
      <c r="Y14" s="29">
        <v>553582</v>
      </c>
      <c r="Z14" s="32">
        <f t="shared" si="42"/>
        <v>4882319</v>
      </c>
      <c r="AA14" s="33">
        <f t="shared" si="8"/>
        <v>1.1722030043510061</v>
      </c>
      <c r="AB14" s="158">
        <v>200000</v>
      </c>
      <c r="AC14" s="34">
        <f t="shared" si="43"/>
        <v>5890000</v>
      </c>
      <c r="AD14" s="158"/>
      <c r="AE14" s="25"/>
      <c r="AF14" s="25"/>
      <c r="AG14" s="25"/>
      <c r="AH14" s="25"/>
      <c r="AI14" s="25"/>
      <c r="AJ14" s="25"/>
      <c r="AK14" s="25"/>
      <c r="AL14" s="158"/>
      <c r="AM14" s="25"/>
      <c r="AN14" s="158"/>
      <c r="AO14" s="25"/>
      <c r="AP14" s="25"/>
      <c r="AQ14" s="158"/>
      <c r="AR14" s="35">
        <f t="shared" si="9"/>
        <v>0</v>
      </c>
      <c r="AS14" s="172" t="str">
        <f t="shared" si="10"/>
        <v/>
      </c>
      <c r="AT14" s="36">
        <f t="shared" si="11"/>
        <v>0</v>
      </c>
      <c r="AU14" s="173"/>
      <c r="AV14" s="82">
        <f t="shared" si="12"/>
        <v>10</v>
      </c>
      <c r="AW14" s="37"/>
      <c r="AX14" s="174" t="str">
        <f t="shared" si="13"/>
        <v/>
      </c>
      <c r="AY14" s="37"/>
      <c r="AZ14" s="174" t="str">
        <f t="shared" si="14"/>
        <v/>
      </c>
      <c r="BA14" s="37"/>
      <c r="BB14" s="174" t="str">
        <f t="shared" si="15"/>
        <v/>
      </c>
      <c r="BC14" s="37"/>
      <c r="BD14" s="174" t="str">
        <f t="shared" si="16"/>
        <v/>
      </c>
      <c r="BE14" s="37"/>
      <c r="BF14" s="174" t="str">
        <f t="shared" si="17"/>
        <v/>
      </c>
      <c r="BG14" s="37"/>
      <c r="BH14" s="174" t="str">
        <f t="shared" si="18"/>
        <v/>
      </c>
      <c r="BI14" s="37"/>
      <c r="BJ14" s="174" t="str">
        <f t="shared" si="19"/>
        <v/>
      </c>
      <c r="BK14" s="37"/>
      <c r="BL14" s="174" t="str">
        <f t="shared" si="20"/>
        <v/>
      </c>
      <c r="BM14" s="37"/>
      <c r="BN14" s="174" t="str">
        <f t="shared" si="21"/>
        <v/>
      </c>
      <c r="BO14" s="37"/>
      <c r="BP14" s="174" t="str">
        <f t="shared" si="22"/>
        <v/>
      </c>
      <c r="BQ14" s="37"/>
      <c r="BR14" s="174" t="str">
        <f t="shared" si="23"/>
        <v/>
      </c>
      <c r="BS14" s="37"/>
      <c r="BT14" s="174" t="str">
        <f t="shared" si="24"/>
        <v/>
      </c>
      <c r="BU14" s="37"/>
      <c r="BV14" s="174" t="str">
        <f t="shared" si="25"/>
        <v/>
      </c>
      <c r="BW14" s="37"/>
      <c r="BX14" s="174" t="str">
        <f t="shared" si="26"/>
        <v/>
      </c>
      <c r="BY14" s="37"/>
      <c r="BZ14" s="174" t="str">
        <f t="shared" si="27"/>
        <v/>
      </c>
      <c r="CA14" s="37"/>
      <c r="CB14" s="174" t="str">
        <f t="shared" si="28"/>
        <v/>
      </c>
      <c r="CC14" s="37"/>
      <c r="CD14" s="174" t="str">
        <f t="shared" si="29"/>
        <v/>
      </c>
      <c r="CE14" s="37"/>
      <c r="CF14" s="174" t="str">
        <f t="shared" si="30"/>
        <v/>
      </c>
      <c r="CG14" s="37"/>
      <c r="CH14" s="174" t="str">
        <f t="shared" si="31"/>
        <v/>
      </c>
      <c r="CI14" s="37"/>
      <c r="CJ14" s="174" t="str">
        <f t="shared" si="32"/>
        <v/>
      </c>
      <c r="CK14" s="37"/>
      <c r="CL14" s="174" t="str">
        <f t="shared" si="33"/>
        <v/>
      </c>
      <c r="CM14" s="37"/>
      <c r="CN14" s="174" t="str">
        <f t="shared" si="34"/>
        <v/>
      </c>
      <c r="CO14" s="37"/>
      <c r="CP14" s="174" t="str">
        <f t="shared" si="35"/>
        <v/>
      </c>
      <c r="CQ14" s="37"/>
      <c r="CR14" s="174" t="str">
        <f t="shared" si="36"/>
        <v/>
      </c>
      <c r="CS14" s="37"/>
      <c r="CT14" s="174" t="str">
        <f t="shared" si="37"/>
        <v/>
      </c>
      <c r="CU14" s="38"/>
      <c r="CV14" s="87"/>
      <c r="CW14" s="90"/>
      <c r="CX14" s="38"/>
      <c r="CY14" s="39"/>
      <c r="CZ14" s="37"/>
      <c r="DA14" s="39"/>
      <c r="DB14" s="24">
        <v>10</v>
      </c>
      <c r="DC14" s="96" t="str">
        <f t="shared" si="38"/>
        <v>月</v>
      </c>
      <c r="DF14" s="125"/>
      <c r="DG14" s="40"/>
      <c r="DH14" s="40"/>
      <c r="DI14" s="40"/>
      <c r="DJ14" s="40"/>
      <c r="DK14" s="40"/>
      <c r="DL14" s="40"/>
      <c r="DM14" s="40"/>
      <c r="DN14" s="40"/>
      <c r="DO14" s="40"/>
      <c r="DP14" s="40">
        <f t="shared" si="39"/>
        <v>0</v>
      </c>
      <c r="DQ14" s="172" t="str">
        <f t="shared" si="40"/>
        <v/>
      </c>
      <c r="DS14" s="189"/>
      <c r="DT14" s="190"/>
      <c r="DU14" s="190"/>
      <c r="DV14" s="191"/>
      <c r="DW14" s="41"/>
      <c r="DX14" s="42"/>
    </row>
    <row r="15" spans="1:132" ht="13.5" customHeight="1" x14ac:dyDescent="0.4">
      <c r="A15" s="104">
        <v>11</v>
      </c>
      <c r="B15" s="23" t="s">
        <v>91</v>
      </c>
      <c r="C15" s="164"/>
      <c r="D15" s="164"/>
      <c r="E15" s="24"/>
      <c r="F15" s="29"/>
      <c r="G15" s="25" t="str">
        <f>IF(SUM($F$5:F15)=0,"",SUM($F$5:F15))</f>
        <v/>
      </c>
      <c r="H15" s="43" t="str">
        <f t="shared" si="0"/>
        <v/>
      </c>
      <c r="I15" s="148" t="e">
        <f t="array" aca="1" ref="I15" ca="1">IF($A16="",$G15/($V15-$U$5+INDIRECT(IF(_xlfn.SHEET()&lt;6,"令和8年"&amp;_xlfn.SHEET()+7&amp;"月","令和9年"&amp;_xlfn.SHEET()-5&amp;"月")&amp;"!$U$5")),$G15/($V16-$U$5))</f>
        <v>#VALUE!</v>
      </c>
      <c r="J15" s="26" t="str">
        <f t="shared" si="1"/>
        <v/>
      </c>
      <c r="K15" s="27"/>
      <c r="L15" s="165">
        <f t="shared" si="2"/>
        <v>0</v>
      </c>
      <c r="M15" s="28" t="str">
        <f t="shared" si="3"/>
        <v/>
      </c>
      <c r="N15" s="166" t="str">
        <f t="shared" si="4"/>
        <v/>
      </c>
      <c r="O15" s="167" t="str">
        <f t="shared" si="5"/>
        <v/>
      </c>
      <c r="P15" s="168"/>
      <c r="Q15" s="169" t="str">
        <f t="shared" si="6"/>
        <v/>
      </c>
      <c r="R15" s="170">
        <v>26</v>
      </c>
      <c r="S15" s="171">
        <v>12</v>
      </c>
      <c r="T15" s="24" t="s">
        <v>84</v>
      </c>
      <c r="U15" s="29">
        <v>194555</v>
      </c>
      <c r="V15" s="30">
        <f t="shared" si="41"/>
        <v>5917624</v>
      </c>
      <c r="W15" s="27">
        <v>185</v>
      </c>
      <c r="X15" s="31">
        <f t="shared" si="7"/>
        <v>1051.6486486486488</v>
      </c>
      <c r="Y15" s="29">
        <v>713454</v>
      </c>
      <c r="Z15" s="32">
        <f t="shared" si="42"/>
        <v>5595773</v>
      </c>
      <c r="AA15" s="33">
        <f t="shared" si="8"/>
        <v>1.0575168077761554</v>
      </c>
      <c r="AB15" s="158">
        <v>200000</v>
      </c>
      <c r="AC15" s="34">
        <f t="shared" si="43"/>
        <v>6090000</v>
      </c>
      <c r="AD15" s="158"/>
      <c r="AE15" s="25"/>
      <c r="AF15" s="25"/>
      <c r="AG15" s="25"/>
      <c r="AH15" s="25"/>
      <c r="AI15" s="25"/>
      <c r="AJ15" s="25"/>
      <c r="AK15" s="25"/>
      <c r="AL15" s="158"/>
      <c r="AM15" s="25"/>
      <c r="AN15" s="158"/>
      <c r="AO15" s="25"/>
      <c r="AP15" s="25"/>
      <c r="AQ15" s="158"/>
      <c r="AR15" s="35">
        <f t="shared" si="9"/>
        <v>0</v>
      </c>
      <c r="AS15" s="172" t="str">
        <f t="shared" si="10"/>
        <v/>
      </c>
      <c r="AT15" s="36">
        <f t="shared" si="11"/>
        <v>0</v>
      </c>
      <c r="AU15" s="173"/>
      <c r="AV15" s="82">
        <f t="shared" si="12"/>
        <v>11</v>
      </c>
      <c r="AW15" s="37"/>
      <c r="AX15" s="174" t="str">
        <f t="shared" si="13"/>
        <v/>
      </c>
      <c r="AY15" s="37"/>
      <c r="AZ15" s="174" t="str">
        <f t="shared" si="14"/>
        <v/>
      </c>
      <c r="BA15" s="37"/>
      <c r="BB15" s="174" t="str">
        <f t="shared" si="15"/>
        <v/>
      </c>
      <c r="BC15" s="37"/>
      <c r="BD15" s="174" t="str">
        <f t="shared" si="16"/>
        <v/>
      </c>
      <c r="BE15" s="37"/>
      <c r="BF15" s="174" t="str">
        <f t="shared" si="17"/>
        <v/>
      </c>
      <c r="BG15" s="37"/>
      <c r="BH15" s="174" t="str">
        <f t="shared" si="18"/>
        <v/>
      </c>
      <c r="BI15" s="37"/>
      <c r="BJ15" s="174" t="str">
        <f t="shared" si="19"/>
        <v/>
      </c>
      <c r="BK15" s="37"/>
      <c r="BL15" s="174" t="str">
        <f t="shared" si="20"/>
        <v/>
      </c>
      <c r="BM15" s="37"/>
      <c r="BN15" s="174" t="str">
        <f t="shared" si="21"/>
        <v/>
      </c>
      <c r="BO15" s="37"/>
      <c r="BP15" s="174" t="str">
        <f t="shared" si="22"/>
        <v/>
      </c>
      <c r="BQ15" s="37"/>
      <c r="BR15" s="174" t="str">
        <f t="shared" si="23"/>
        <v/>
      </c>
      <c r="BS15" s="37"/>
      <c r="BT15" s="174" t="str">
        <f t="shared" si="24"/>
        <v/>
      </c>
      <c r="BU15" s="37"/>
      <c r="BV15" s="174" t="str">
        <f t="shared" si="25"/>
        <v/>
      </c>
      <c r="BW15" s="37"/>
      <c r="BX15" s="174" t="str">
        <f t="shared" si="26"/>
        <v/>
      </c>
      <c r="BY15" s="37"/>
      <c r="BZ15" s="174" t="str">
        <f t="shared" si="27"/>
        <v/>
      </c>
      <c r="CA15" s="37"/>
      <c r="CB15" s="174" t="str">
        <f t="shared" si="28"/>
        <v/>
      </c>
      <c r="CC15" s="37"/>
      <c r="CD15" s="174" t="str">
        <f t="shared" si="29"/>
        <v/>
      </c>
      <c r="CE15" s="37"/>
      <c r="CF15" s="174" t="str">
        <f t="shared" si="30"/>
        <v/>
      </c>
      <c r="CG15" s="37"/>
      <c r="CH15" s="174" t="str">
        <f t="shared" si="31"/>
        <v/>
      </c>
      <c r="CI15" s="37"/>
      <c r="CJ15" s="174" t="str">
        <f t="shared" si="32"/>
        <v/>
      </c>
      <c r="CK15" s="37"/>
      <c r="CL15" s="174" t="str">
        <f t="shared" si="33"/>
        <v/>
      </c>
      <c r="CM15" s="37"/>
      <c r="CN15" s="174" t="str">
        <f t="shared" si="34"/>
        <v/>
      </c>
      <c r="CO15" s="37"/>
      <c r="CP15" s="174" t="str">
        <f t="shared" si="35"/>
        <v/>
      </c>
      <c r="CQ15" s="37"/>
      <c r="CR15" s="174" t="str">
        <f t="shared" si="36"/>
        <v/>
      </c>
      <c r="CS15" s="37"/>
      <c r="CT15" s="174" t="str">
        <f t="shared" si="37"/>
        <v/>
      </c>
      <c r="CU15" s="38"/>
      <c r="CV15" s="87"/>
      <c r="CW15" s="90"/>
      <c r="CX15" s="38"/>
      <c r="CY15" s="39"/>
      <c r="CZ15" s="37"/>
      <c r="DA15" s="39"/>
      <c r="DB15" s="24">
        <v>11</v>
      </c>
      <c r="DC15" s="96" t="str">
        <f t="shared" si="38"/>
        <v>火</v>
      </c>
      <c r="DF15" s="125"/>
      <c r="DG15" s="40"/>
      <c r="DH15" s="40"/>
      <c r="DI15" s="40"/>
      <c r="DJ15" s="40"/>
      <c r="DK15" s="40"/>
      <c r="DL15" s="40"/>
      <c r="DM15" s="40"/>
      <c r="DN15" s="40"/>
      <c r="DO15" s="40"/>
      <c r="DP15" s="40">
        <f t="shared" si="39"/>
        <v>0</v>
      </c>
      <c r="DQ15" s="172" t="str">
        <f t="shared" si="40"/>
        <v/>
      </c>
      <c r="DS15" s="189"/>
      <c r="DT15" s="190"/>
      <c r="DU15" s="190"/>
      <c r="DV15" s="191"/>
      <c r="DW15" s="41"/>
      <c r="DX15" s="42"/>
    </row>
    <row r="16" spans="1:132" ht="13.5" customHeight="1" x14ac:dyDescent="0.4">
      <c r="A16" s="104">
        <v>12</v>
      </c>
      <c r="B16" s="23" t="s">
        <v>83</v>
      </c>
      <c r="C16" s="164"/>
      <c r="D16" s="164"/>
      <c r="E16" s="24"/>
      <c r="F16" s="29"/>
      <c r="G16" s="25" t="str">
        <f>IF(SUM($F$5:F16)=0,"",SUM($F$5:F16))</f>
        <v/>
      </c>
      <c r="H16" s="43" t="str">
        <f t="shared" si="0"/>
        <v/>
      </c>
      <c r="I16" s="148" t="e">
        <f t="array" aca="1" ref="I16" ca="1">IF($A17="",$G16/($V16-$U$5+INDIRECT(IF(_xlfn.SHEET()&lt;6,"令和8年"&amp;_xlfn.SHEET()+7&amp;"月","令和9年"&amp;_xlfn.SHEET()-5&amp;"月")&amp;"!$U$5")),$G16/($V17-$U$5))</f>
        <v>#VALUE!</v>
      </c>
      <c r="J16" s="26" t="str">
        <f t="shared" si="1"/>
        <v/>
      </c>
      <c r="K16" s="27"/>
      <c r="L16" s="165">
        <f t="shared" si="2"/>
        <v>0</v>
      </c>
      <c r="M16" s="28" t="str">
        <f t="shared" si="3"/>
        <v/>
      </c>
      <c r="N16" s="166" t="str">
        <f t="shared" si="4"/>
        <v/>
      </c>
      <c r="O16" s="167" t="str">
        <f t="shared" si="5"/>
        <v/>
      </c>
      <c r="P16" s="168"/>
      <c r="Q16" s="169" t="str">
        <f t="shared" si="6"/>
        <v/>
      </c>
      <c r="R16" s="170">
        <v>26</v>
      </c>
      <c r="S16" s="171">
        <v>15</v>
      </c>
      <c r="T16" s="24" t="s">
        <v>84</v>
      </c>
      <c r="U16" s="29">
        <v>215195</v>
      </c>
      <c r="V16" s="30">
        <f t="shared" si="41"/>
        <v>6132819</v>
      </c>
      <c r="W16" s="27">
        <v>145</v>
      </c>
      <c r="X16" s="31">
        <f t="shared" si="7"/>
        <v>1484.1034482758621</v>
      </c>
      <c r="Y16" s="29">
        <v>158340</v>
      </c>
      <c r="Z16" s="32">
        <f t="shared" si="42"/>
        <v>5754113</v>
      </c>
      <c r="AA16" s="33">
        <f t="shared" si="8"/>
        <v>1.0658148354055612</v>
      </c>
      <c r="AB16" s="158">
        <v>200000</v>
      </c>
      <c r="AC16" s="34">
        <f t="shared" si="43"/>
        <v>6290000</v>
      </c>
      <c r="AD16" s="158"/>
      <c r="AE16" s="25"/>
      <c r="AF16" s="25"/>
      <c r="AG16" s="25"/>
      <c r="AH16" s="25"/>
      <c r="AI16" s="25"/>
      <c r="AJ16" s="25"/>
      <c r="AK16" s="25"/>
      <c r="AL16" s="158"/>
      <c r="AM16" s="25"/>
      <c r="AN16" s="158"/>
      <c r="AO16" s="25"/>
      <c r="AP16" s="25"/>
      <c r="AQ16" s="158"/>
      <c r="AR16" s="35">
        <f t="shared" si="9"/>
        <v>0</v>
      </c>
      <c r="AS16" s="172" t="str">
        <f t="shared" si="10"/>
        <v/>
      </c>
      <c r="AT16" s="36">
        <f t="shared" si="11"/>
        <v>0</v>
      </c>
      <c r="AU16" s="173"/>
      <c r="AV16" s="82">
        <f t="shared" si="12"/>
        <v>12</v>
      </c>
      <c r="AW16" s="37"/>
      <c r="AX16" s="174" t="str">
        <f t="shared" si="13"/>
        <v/>
      </c>
      <c r="AY16" s="37"/>
      <c r="AZ16" s="174" t="str">
        <f t="shared" si="14"/>
        <v/>
      </c>
      <c r="BA16" s="37"/>
      <c r="BB16" s="174" t="str">
        <f t="shared" si="15"/>
        <v/>
      </c>
      <c r="BC16" s="37"/>
      <c r="BD16" s="174" t="str">
        <f t="shared" si="16"/>
        <v/>
      </c>
      <c r="BE16" s="37"/>
      <c r="BF16" s="174" t="str">
        <f t="shared" si="17"/>
        <v/>
      </c>
      <c r="BG16" s="37"/>
      <c r="BH16" s="174" t="str">
        <f t="shared" si="18"/>
        <v/>
      </c>
      <c r="BI16" s="37"/>
      <c r="BJ16" s="174" t="str">
        <f t="shared" si="19"/>
        <v/>
      </c>
      <c r="BK16" s="37"/>
      <c r="BL16" s="174" t="str">
        <f t="shared" si="20"/>
        <v/>
      </c>
      <c r="BM16" s="37"/>
      <c r="BN16" s="174" t="str">
        <f t="shared" si="21"/>
        <v/>
      </c>
      <c r="BO16" s="37"/>
      <c r="BP16" s="174" t="str">
        <f t="shared" si="22"/>
        <v/>
      </c>
      <c r="BQ16" s="37"/>
      <c r="BR16" s="174" t="str">
        <f t="shared" si="23"/>
        <v/>
      </c>
      <c r="BS16" s="37"/>
      <c r="BT16" s="174" t="str">
        <f t="shared" si="24"/>
        <v/>
      </c>
      <c r="BU16" s="37"/>
      <c r="BV16" s="174" t="str">
        <f t="shared" si="25"/>
        <v/>
      </c>
      <c r="BW16" s="37"/>
      <c r="BX16" s="174" t="str">
        <f t="shared" si="26"/>
        <v/>
      </c>
      <c r="BY16" s="37"/>
      <c r="BZ16" s="174" t="str">
        <f t="shared" si="27"/>
        <v/>
      </c>
      <c r="CA16" s="37"/>
      <c r="CB16" s="174" t="str">
        <f t="shared" si="28"/>
        <v/>
      </c>
      <c r="CC16" s="37"/>
      <c r="CD16" s="174" t="str">
        <f t="shared" si="29"/>
        <v/>
      </c>
      <c r="CE16" s="37"/>
      <c r="CF16" s="174" t="str">
        <f t="shared" si="30"/>
        <v/>
      </c>
      <c r="CG16" s="37"/>
      <c r="CH16" s="174" t="str">
        <f t="shared" si="31"/>
        <v/>
      </c>
      <c r="CI16" s="37"/>
      <c r="CJ16" s="174" t="str">
        <f t="shared" si="32"/>
        <v/>
      </c>
      <c r="CK16" s="37"/>
      <c r="CL16" s="174" t="str">
        <f t="shared" si="33"/>
        <v/>
      </c>
      <c r="CM16" s="37"/>
      <c r="CN16" s="174" t="str">
        <f t="shared" si="34"/>
        <v/>
      </c>
      <c r="CO16" s="37"/>
      <c r="CP16" s="174" t="str">
        <f t="shared" si="35"/>
        <v/>
      </c>
      <c r="CQ16" s="37"/>
      <c r="CR16" s="174" t="str">
        <f t="shared" si="36"/>
        <v/>
      </c>
      <c r="CS16" s="37"/>
      <c r="CT16" s="174" t="str">
        <f t="shared" si="37"/>
        <v/>
      </c>
      <c r="CU16" s="38"/>
      <c r="CV16" s="87"/>
      <c r="CW16" s="90"/>
      <c r="CX16" s="38"/>
      <c r="CY16" s="39"/>
      <c r="CZ16" s="37"/>
      <c r="DA16" s="39"/>
      <c r="DB16" s="24">
        <v>12</v>
      </c>
      <c r="DC16" s="96" t="str">
        <f t="shared" si="38"/>
        <v>水</v>
      </c>
      <c r="DF16" s="125"/>
      <c r="DG16" s="40"/>
      <c r="DH16" s="40"/>
      <c r="DI16" s="40"/>
      <c r="DJ16" s="40"/>
      <c r="DK16" s="40"/>
      <c r="DL16" s="40"/>
      <c r="DM16" s="40"/>
      <c r="DN16" s="40"/>
      <c r="DO16" s="40"/>
      <c r="DP16" s="40">
        <f t="shared" si="39"/>
        <v>0</v>
      </c>
      <c r="DQ16" s="172" t="str">
        <f t="shared" si="40"/>
        <v/>
      </c>
      <c r="DS16" s="189"/>
      <c r="DT16" s="190"/>
      <c r="DU16" s="190"/>
      <c r="DV16" s="191"/>
      <c r="DW16" s="138"/>
      <c r="DX16" s="42"/>
    </row>
    <row r="17" spans="1:128" ht="13.5" customHeight="1" x14ac:dyDescent="0.4">
      <c r="A17" s="104">
        <v>13</v>
      </c>
      <c r="B17" s="23" t="s">
        <v>85</v>
      </c>
      <c r="C17" s="164"/>
      <c r="D17" s="164"/>
      <c r="E17" s="24"/>
      <c r="F17" s="29"/>
      <c r="G17" s="25" t="str">
        <f>IF(SUM($F$5:F17)=0,"",SUM($F$5:F17))</f>
        <v/>
      </c>
      <c r="H17" s="43" t="str">
        <f t="shared" si="0"/>
        <v/>
      </c>
      <c r="I17" s="148" t="e">
        <f t="array" aca="1" ref="I17" ca="1">IF($A18="",$G17/($V17-$U$5+INDIRECT(IF(_xlfn.SHEET()&lt;6,"令和8年"&amp;_xlfn.SHEET()+7&amp;"月","令和9年"&amp;_xlfn.SHEET()-5&amp;"月")&amp;"!$U$5")),$G17/($V18-$U$5))</f>
        <v>#VALUE!</v>
      </c>
      <c r="J17" s="26" t="str">
        <f t="shared" si="1"/>
        <v/>
      </c>
      <c r="K17" s="27"/>
      <c r="L17" s="165">
        <f t="shared" si="2"/>
        <v>0</v>
      </c>
      <c r="M17" s="28" t="str">
        <f t="shared" si="3"/>
        <v/>
      </c>
      <c r="N17" s="166" t="str">
        <f t="shared" si="4"/>
        <v/>
      </c>
      <c r="O17" s="167" t="str">
        <f t="shared" si="5"/>
        <v/>
      </c>
      <c r="P17" s="168"/>
      <c r="Q17" s="169" t="str">
        <f t="shared" si="6"/>
        <v/>
      </c>
      <c r="R17" s="170">
        <v>25</v>
      </c>
      <c r="S17" s="171">
        <v>20</v>
      </c>
      <c r="T17" s="24" t="s">
        <v>84</v>
      </c>
      <c r="U17" s="29">
        <v>226953</v>
      </c>
      <c r="V17" s="30">
        <f t="shared" si="41"/>
        <v>6359772</v>
      </c>
      <c r="W17" s="27">
        <v>186</v>
      </c>
      <c r="X17" s="31">
        <f t="shared" si="7"/>
        <v>1220.1774193548388</v>
      </c>
      <c r="Y17" s="29">
        <v>175499</v>
      </c>
      <c r="Z17" s="32">
        <f t="shared" si="42"/>
        <v>5929612</v>
      </c>
      <c r="AA17" s="33">
        <f t="shared" si="8"/>
        <v>1.0725443755847768</v>
      </c>
      <c r="AB17" s="158">
        <v>200000</v>
      </c>
      <c r="AC17" s="34">
        <f t="shared" si="43"/>
        <v>6490000</v>
      </c>
      <c r="AD17" s="158"/>
      <c r="AE17" s="25"/>
      <c r="AF17" s="25"/>
      <c r="AG17" s="25"/>
      <c r="AH17" s="25"/>
      <c r="AI17" s="25"/>
      <c r="AJ17" s="25"/>
      <c r="AK17" s="25"/>
      <c r="AL17" s="158"/>
      <c r="AM17" s="25"/>
      <c r="AN17" s="158"/>
      <c r="AO17" s="25"/>
      <c r="AP17" s="25"/>
      <c r="AQ17" s="158"/>
      <c r="AR17" s="35">
        <f t="shared" si="9"/>
        <v>0</v>
      </c>
      <c r="AS17" s="172" t="str">
        <f t="shared" si="10"/>
        <v/>
      </c>
      <c r="AT17" s="36">
        <f t="shared" si="11"/>
        <v>0</v>
      </c>
      <c r="AU17" s="173"/>
      <c r="AV17" s="82">
        <f t="shared" si="12"/>
        <v>13</v>
      </c>
      <c r="AW17" s="37"/>
      <c r="AX17" s="174" t="str">
        <f t="shared" si="13"/>
        <v/>
      </c>
      <c r="AY17" s="37"/>
      <c r="AZ17" s="174" t="str">
        <f t="shared" si="14"/>
        <v/>
      </c>
      <c r="BA17" s="37"/>
      <c r="BB17" s="174" t="str">
        <f t="shared" si="15"/>
        <v/>
      </c>
      <c r="BC17" s="37"/>
      <c r="BD17" s="174" t="str">
        <f t="shared" si="16"/>
        <v/>
      </c>
      <c r="BE17" s="37"/>
      <c r="BF17" s="174" t="str">
        <f t="shared" si="17"/>
        <v/>
      </c>
      <c r="BG17" s="37"/>
      <c r="BH17" s="174" t="str">
        <f t="shared" si="18"/>
        <v/>
      </c>
      <c r="BI17" s="37"/>
      <c r="BJ17" s="174" t="str">
        <f t="shared" si="19"/>
        <v/>
      </c>
      <c r="BK17" s="37"/>
      <c r="BL17" s="174" t="str">
        <f t="shared" si="20"/>
        <v/>
      </c>
      <c r="BM17" s="37"/>
      <c r="BN17" s="174" t="str">
        <f t="shared" si="21"/>
        <v/>
      </c>
      <c r="BO17" s="37"/>
      <c r="BP17" s="174" t="str">
        <f t="shared" si="22"/>
        <v/>
      </c>
      <c r="BQ17" s="37"/>
      <c r="BR17" s="174" t="str">
        <f t="shared" si="23"/>
        <v/>
      </c>
      <c r="BS17" s="37"/>
      <c r="BT17" s="174" t="str">
        <f t="shared" si="24"/>
        <v/>
      </c>
      <c r="BU17" s="37"/>
      <c r="BV17" s="174" t="str">
        <f t="shared" si="25"/>
        <v/>
      </c>
      <c r="BW17" s="37"/>
      <c r="BX17" s="174" t="str">
        <f t="shared" si="26"/>
        <v/>
      </c>
      <c r="BY17" s="37"/>
      <c r="BZ17" s="174" t="str">
        <f t="shared" si="27"/>
        <v/>
      </c>
      <c r="CA17" s="37"/>
      <c r="CB17" s="174" t="str">
        <f t="shared" si="28"/>
        <v/>
      </c>
      <c r="CC17" s="37"/>
      <c r="CD17" s="174" t="str">
        <f t="shared" si="29"/>
        <v/>
      </c>
      <c r="CE17" s="37"/>
      <c r="CF17" s="174" t="str">
        <f t="shared" si="30"/>
        <v/>
      </c>
      <c r="CG17" s="37"/>
      <c r="CH17" s="174" t="str">
        <f t="shared" si="31"/>
        <v/>
      </c>
      <c r="CI17" s="37"/>
      <c r="CJ17" s="174" t="str">
        <f t="shared" si="32"/>
        <v/>
      </c>
      <c r="CK17" s="37"/>
      <c r="CL17" s="174" t="str">
        <f t="shared" si="33"/>
        <v/>
      </c>
      <c r="CM17" s="37"/>
      <c r="CN17" s="174" t="str">
        <f t="shared" si="34"/>
        <v/>
      </c>
      <c r="CO17" s="37"/>
      <c r="CP17" s="174" t="str">
        <f t="shared" si="35"/>
        <v/>
      </c>
      <c r="CQ17" s="37"/>
      <c r="CR17" s="174" t="str">
        <f t="shared" si="36"/>
        <v/>
      </c>
      <c r="CS17" s="37"/>
      <c r="CT17" s="174" t="str">
        <f t="shared" si="37"/>
        <v/>
      </c>
      <c r="CU17" s="38"/>
      <c r="CV17" s="87"/>
      <c r="CW17" s="90"/>
      <c r="CX17" s="38"/>
      <c r="CY17" s="39"/>
      <c r="CZ17" s="37"/>
      <c r="DA17" s="39"/>
      <c r="DB17" s="24">
        <v>13</v>
      </c>
      <c r="DC17" s="96" t="str">
        <f t="shared" si="38"/>
        <v>木</v>
      </c>
      <c r="DF17" s="125"/>
      <c r="DG17" s="40"/>
      <c r="DH17" s="40"/>
      <c r="DI17" s="40"/>
      <c r="DJ17" s="40"/>
      <c r="DK17" s="40"/>
      <c r="DL17" s="40"/>
      <c r="DM17" s="40"/>
      <c r="DN17" s="40"/>
      <c r="DO17" s="40"/>
      <c r="DP17" s="40">
        <f t="shared" si="39"/>
        <v>0</v>
      </c>
      <c r="DQ17" s="172" t="str">
        <f t="shared" si="40"/>
        <v/>
      </c>
      <c r="DS17" s="189"/>
      <c r="DT17" s="190"/>
      <c r="DU17" s="190"/>
      <c r="DV17" s="191"/>
      <c r="DW17" s="41"/>
      <c r="DX17" s="42"/>
    </row>
    <row r="18" spans="1:128" ht="13.5" customHeight="1" x14ac:dyDescent="0.4">
      <c r="A18" s="104">
        <v>14</v>
      </c>
      <c r="B18" s="23" t="s">
        <v>86</v>
      </c>
      <c r="C18" s="164"/>
      <c r="D18" s="164"/>
      <c r="E18" s="24"/>
      <c r="F18" s="29"/>
      <c r="G18" s="25" t="str">
        <f>IF(SUM($F$5:F18)=0,"",SUM($F$5:F18))</f>
        <v/>
      </c>
      <c r="H18" s="43" t="str">
        <f t="shared" si="0"/>
        <v/>
      </c>
      <c r="I18" s="148" t="e">
        <f t="array" aca="1" ref="I18" ca="1">IF($A19="",$G18/($V18-$U$5+INDIRECT(IF(_xlfn.SHEET()&lt;6,"令和8年"&amp;_xlfn.SHEET()+7&amp;"月","令和9年"&amp;_xlfn.SHEET()-5&amp;"月")&amp;"!$U$5")),$G18/($V19-$U$5))</f>
        <v>#VALUE!</v>
      </c>
      <c r="J18" s="26" t="str">
        <f t="shared" si="1"/>
        <v/>
      </c>
      <c r="K18" s="27"/>
      <c r="L18" s="165">
        <f t="shared" si="2"/>
        <v>0</v>
      </c>
      <c r="M18" s="28" t="str">
        <f t="shared" si="3"/>
        <v/>
      </c>
      <c r="N18" s="166" t="str">
        <f t="shared" si="4"/>
        <v/>
      </c>
      <c r="O18" s="167" t="str">
        <f t="shared" si="5"/>
        <v/>
      </c>
      <c r="P18" s="168"/>
      <c r="Q18" s="169" t="str">
        <f t="shared" si="6"/>
        <v/>
      </c>
      <c r="R18" s="170">
        <v>28</v>
      </c>
      <c r="S18" s="171">
        <v>15</v>
      </c>
      <c r="T18" s="24" t="s">
        <v>84</v>
      </c>
      <c r="U18" s="29">
        <v>195233</v>
      </c>
      <c r="V18" s="30">
        <f t="shared" si="41"/>
        <v>6555005</v>
      </c>
      <c r="W18" s="27">
        <v>146</v>
      </c>
      <c r="X18" s="31">
        <f t="shared" si="7"/>
        <v>1337.2123287671234</v>
      </c>
      <c r="Y18" s="29">
        <v>318551</v>
      </c>
      <c r="Z18" s="32">
        <f t="shared" si="42"/>
        <v>6248163</v>
      </c>
      <c r="AA18" s="33">
        <f t="shared" si="8"/>
        <v>1.0491091541625914</v>
      </c>
      <c r="AB18" s="158">
        <v>200000</v>
      </c>
      <c r="AC18" s="34">
        <f t="shared" si="43"/>
        <v>6690000</v>
      </c>
      <c r="AD18" s="158"/>
      <c r="AE18" s="25"/>
      <c r="AF18" s="25"/>
      <c r="AG18" s="25"/>
      <c r="AH18" s="25"/>
      <c r="AI18" s="25"/>
      <c r="AJ18" s="25"/>
      <c r="AK18" s="25"/>
      <c r="AL18" s="158"/>
      <c r="AM18" s="25"/>
      <c r="AN18" s="158"/>
      <c r="AO18" s="25"/>
      <c r="AP18" s="25"/>
      <c r="AQ18" s="158"/>
      <c r="AR18" s="35">
        <f t="shared" si="9"/>
        <v>0</v>
      </c>
      <c r="AS18" s="172" t="str">
        <f t="shared" si="10"/>
        <v/>
      </c>
      <c r="AT18" s="36">
        <f t="shared" si="11"/>
        <v>0</v>
      </c>
      <c r="AU18" s="173"/>
      <c r="AV18" s="82">
        <f t="shared" si="12"/>
        <v>14</v>
      </c>
      <c r="AW18" s="37"/>
      <c r="AX18" s="174" t="str">
        <f t="shared" si="13"/>
        <v/>
      </c>
      <c r="AY18" s="37"/>
      <c r="AZ18" s="174" t="str">
        <f t="shared" si="14"/>
        <v/>
      </c>
      <c r="BA18" s="37"/>
      <c r="BB18" s="174" t="str">
        <f t="shared" si="15"/>
        <v/>
      </c>
      <c r="BC18" s="37"/>
      <c r="BD18" s="174" t="str">
        <f t="shared" si="16"/>
        <v/>
      </c>
      <c r="BE18" s="37"/>
      <c r="BF18" s="174" t="str">
        <f t="shared" si="17"/>
        <v/>
      </c>
      <c r="BG18" s="37"/>
      <c r="BH18" s="174" t="str">
        <f t="shared" si="18"/>
        <v/>
      </c>
      <c r="BI18" s="37"/>
      <c r="BJ18" s="174" t="str">
        <f t="shared" si="19"/>
        <v/>
      </c>
      <c r="BK18" s="37"/>
      <c r="BL18" s="174" t="str">
        <f t="shared" si="20"/>
        <v/>
      </c>
      <c r="BM18" s="37"/>
      <c r="BN18" s="174" t="str">
        <f t="shared" si="21"/>
        <v/>
      </c>
      <c r="BO18" s="37"/>
      <c r="BP18" s="174" t="str">
        <f t="shared" si="22"/>
        <v/>
      </c>
      <c r="BQ18" s="37"/>
      <c r="BR18" s="174" t="str">
        <f t="shared" si="23"/>
        <v/>
      </c>
      <c r="BS18" s="37"/>
      <c r="BT18" s="174" t="str">
        <f t="shared" si="24"/>
        <v/>
      </c>
      <c r="BU18" s="37"/>
      <c r="BV18" s="174" t="str">
        <f t="shared" si="25"/>
        <v/>
      </c>
      <c r="BW18" s="37"/>
      <c r="BX18" s="174" t="str">
        <f t="shared" si="26"/>
        <v/>
      </c>
      <c r="BY18" s="37"/>
      <c r="BZ18" s="174" t="str">
        <f t="shared" si="27"/>
        <v/>
      </c>
      <c r="CA18" s="37"/>
      <c r="CB18" s="174" t="str">
        <f t="shared" si="28"/>
        <v/>
      </c>
      <c r="CC18" s="37"/>
      <c r="CD18" s="174" t="str">
        <f t="shared" si="29"/>
        <v/>
      </c>
      <c r="CE18" s="37"/>
      <c r="CF18" s="174" t="str">
        <f t="shared" si="30"/>
        <v/>
      </c>
      <c r="CG18" s="37"/>
      <c r="CH18" s="174" t="str">
        <f t="shared" si="31"/>
        <v/>
      </c>
      <c r="CI18" s="37"/>
      <c r="CJ18" s="174" t="str">
        <f t="shared" si="32"/>
        <v/>
      </c>
      <c r="CK18" s="37"/>
      <c r="CL18" s="174" t="str">
        <f t="shared" si="33"/>
        <v/>
      </c>
      <c r="CM18" s="37"/>
      <c r="CN18" s="174" t="str">
        <f t="shared" si="34"/>
        <v/>
      </c>
      <c r="CO18" s="37"/>
      <c r="CP18" s="174" t="str">
        <f t="shared" si="35"/>
        <v/>
      </c>
      <c r="CQ18" s="37"/>
      <c r="CR18" s="174" t="str">
        <f t="shared" si="36"/>
        <v/>
      </c>
      <c r="CS18" s="37"/>
      <c r="CT18" s="174" t="str">
        <f t="shared" si="37"/>
        <v/>
      </c>
      <c r="CU18" s="38"/>
      <c r="CV18" s="87"/>
      <c r="CW18" s="90"/>
      <c r="CX18" s="38"/>
      <c r="CY18" s="39"/>
      <c r="CZ18" s="37"/>
      <c r="DA18" s="39"/>
      <c r="DB18" s="24">
        <v>14</v>
      </c>
      <c r="DC18" s="96" t="str">
        <f t="shared" si="38"/>
        <v>金</v>
      </c>
      <c r="DF18" s="125"/>
      <c r="DG18" s="40"/>
      <c r="DH18" s="40"/>
      <c r="DI18" s="40"/>
      <c r="DJ18" s="40"/>
      <c r="DK18" s="40"/>
      <c r="DL18" s="40"/>
      <c r="DM18" s="40"/>
      <c r="DN18" s="40"/>
      <c r="DO18" s="40"/>
      <c r="DP18" s="40">
        <f t="shared" si="39"/>
        <v>0</v>
      </c>
      <c r="DQ18" s="172" t="str">
        <f t="shared" si="40"/>
        <v/>
      </c>
      <c r="DS18" s="189"/>
      <c r="DT18" s="190"/>
      <c r="DU18" s="190"/>
      <c r="DV18" s="191"/>
      <c r="DW18" s="41"/>
      <c r="DX18" s="42"/>
    </row>
    <row r="19" spans="1:128" ht="13.5" customHeight="1" x14ac:dyDescent="0.4">
      <c r="A19" s="104">
        <v>15</v>
      </c>
      <c r="B19" s="23" t="s">
        <v>88</v>
      </c>
      <c r="C19" s="164"/>
      <c r="D19" s="164"/>
      <c r="E19" s="24"/>
      <c r="F19" s="29"/>
      <c r="G19" s="25" t="str">
        <f>IF(SUM($F$5:F19)=0,"",SUM($F$5:F19))</f>
        <v/>
      </c>
      <c r="H19" s="43" t="str">
        <f t="shared" si="0"/>
        <v/>
      </c>
      <c r="I19" s="148" t="e">
        <f t="array" aca="1" ref="I19" ca="1">IF($A20="",$G19/($V19-$U$5+INDIRECT(IF(_xlfn.SHEET()&lt;6,"令和8年"&amp;_xlfn.SHEET()+7&amp;"月","令和9年"&amp;_xlfn.SHEET()-5&amp;"月")&amp;"!$U$5")),$G19/($V20-$U$5))</f>
        <v>#VALUE!</v>
      </c>
      <c r="J19" s="26" t="str">
        <f t="shared" si="1"/>
        <v/>
      </c>
      <c r="K19" s="27"/>
      <c r="L19" s="165">
        <f t="shared" si="2"/>
        <v>0</v>
      </c>
      <c r="M19" s="28" t="str">
        <f t="shared" si="3"/>
        <v/>
      </c>
      <c r="N19" s="166" t="str">
        <f t="shared" si="4"/>
        <v/>
      </c>
      <c r="O19" s="167" t="str">
        <f t="shared" si="5"/>
        <v/>
      </c>
      <c r="P19" s="168"/>
      <c r="Q19" s="169" t="str">
        <f t="shared" si="6"/>
        <v/>
      </c>
      <c r="R19" s="170">
        <v>28</v>
      </c>
      <c r="S19" s="171">
        <v>14</v>
      </c>
      <c r="T19" s="24" t="s">
        <v>84</v>
      </c>
      <c r="U19" s="29">
        <v>155397</v>
      </c>
      <c r="V19" s="30">
        <f t="shared" si="41"/>
        <v>6710402</v>
      </c>
      <c r="W19" s="27">
        <v>108</v>
      </c>
      <c r="X19" s="31">
        <f t="shared" si="7"/>
        <v>1438.8611111111111</v>
      </c>
      <c r="Y19" s="29">
        <v>214598</v>
      </c>
      <c r="Z19" s="32">
        <f t="shared" si="42"/>
        <v>6462761</v>
      </c>
      <c r="AA19" s="33">
        <f t="shared" si="8"/>
        <v>1.0383181429732586</v>
      </c>
      <c r="AB19" s="158">
        <v>600000</v>
      </c>
      <c r="AC19" s="34">
        <f t="shared" si="43"/>
        <v>7290000</v>
      </c>
      <c r="AD19" s="158"/>
      <c r="AE19" s="25"/>
      <c r="AF19" s="25"/>
      <c r="AG19" s="25"/>
      <c r="AH19" s="25"/>
      <c r="AI19" s="25"/>
      <c r="AJ19" s="25"/>
      <c r="AK19" s="25"/>
      <c r="AL19" s="158"/>
      <c r="AM19" s="25"/>
      <c r="AN19" s="158"/>
      <c r="AO19" s="25"/>
      <c r="AP19" s="25"/>
      <c r="AQ19" s="158"/>
      <c r="AR19" s="35">
        <f t="shared" si="9"/>
        <v>0</v>
      </c>
      <c r="AS19" s="172" t="str">
        <f t="shared" si="10"/>
        <v/>
      </c>
      <c r="AT19" s="36">
        <f t="shared" si="11"/>
        <v>0</v>
      </c>
      <c r="AU19" s="173"/>
      <c r="AV19" s="82">
        <f t="shared" si="12"/>
        <v>15</v>
      </c>
      <c r="AW19" s="37"/>
      <c r="AX19" s="174" t="str">
        <f t="shared" si="13"/>
        <v/>
      </c>
      <c r="AY19" s="37"/>
      <c r="AZ19" s="174" t="str">
        <f t="shared" si="14"/>
        <v/>
      </c>
      <c r="BA19" s="37"/>
      <c r="BB19" s="174" t="str">
        <f t="shared" si="15"/>
        <v/>
      </c>
      <c r="BC19" s="37"/>
      <c r="BD19" s="174" t="str">
        <f t="shared" si="16"/>
        <v/>
      </c>
      <c r="BE19" s="37"/>
      <c r="BF19" s="174" t="str">
        <f t="shared" si="17"/>
        <v/>
      </c>
      <c r="BG19" s="37"/>
      <c r="BH19" s="174" t="str">
        <f t="shared" si="18"/>
        <v/>
      </c>
      <c r="BI19" s="37"/>
      <c r="BJ19" s="174" t="str">
        <f t="shared" si="19"/>
        <v/>
      </c>
      <c r="BK19" s="37"/>
      <c r="BL19" s="174" t="str">
        <f t="shared" si="20"/>
        <v/>
      </c>
      <c r="BM19" s="37"/>
      <c r="BN19" s="174" t="str">
        <f t="shared" si="21"/>
        <v/>
      </c>
      <c r="BO19" s="37"/>
      <c r="BP19" s="174" t="str">
        <f t="shared" si="22"/>
        <v/>
      </c>
      <c r="BQ19" s="37"/>
      <c r="BR19" s="174" t="str">
        <f t="shared" si="23"/>
        <v/>
      </c>
      <c r="BS19" s="37"/>
      <c r="BT19" s="174" t="str">
        <f t="shared" si="24"/>
        <v/>
      </c>
      <c r="BU19" s="37"/>
      <c r="BV19" s="174" t="str">
        <f t="shared" si="25"/>
        <v/>
      </c>
      <c r="BW19" s="37"/>
      <c r="BX19" s="174" t="str">
        <f t="shared" si="26"/>
        <v/>
      </c>
      <c r="BY19" s="37"/>
      <c r="BZ19" s="174" t="str">
        <f t="shared" si="27"/>
        <v/>
      </c>
      <c r="CA19" s="37"/>
      <c r="CB19" s="174" t="str">
        <f t="shared" si="28"/>
        <v/>
      </c>
      <c r="CC19" s="37"/>
      <c r="CD19" s="174" t="str">
        <f t="shared" si="29"/>
        <v/>
      </c>
      <c r="CE19" s="37"/>
      <c r="CF19" s="174" t="str">
        <f t="shared" si="30"/>
        <v/>
      </c>
      <c r="CG19" s="37"/>
      <c r="CH19" s="174" t="str">
        <f t="shared" si="31"/>
        <v/>
      </c>
      <c r="CI19" s="37"/>
      <c r="CJ19" s="174" t="str">
        <f t="shared" si="32"/>
        <v/>
      </c>
      <c r="CK19" s="37"/>
      <c r="CL19" s="174" t="str">
        <f t="shared" si="33"/>
        <v/>
      </c>
      <c r="CM19" s="37"/>
      <c r="CN19" s="174" t="str">
        <f t="shared" si="34"/>
        <v/>
      </c>
      <c r="CO19" s="37"/>
      <c r="CP19" s="174" t="str">
        <f t="shared" si="35"/>
        <v/>
      </c>
      <c r="CQ19" s="37"/>
      <c r="CR19" s="174" t="str">
        <f t="shared" si="36"/>
        <v/>
      </c>
      <c r="CS19" s="37"/>
      <c r="CT19" s="174" t="str">
        <f t="shared" si="37"/>
        <v/>
      </c>
      <c r="CU19" s="38"/>
      <c r="CV19" s="87"/>
      <c r="CW19" s="90"/>
      <c r="CX19" s="38"/>
      <c r="CY19" s="39"/>
      <c r="CZ19" s="37"/>
      <c r="DA19" s="39"/>
      <c r="DB19" s="24">
        <v>15</v>
      </c>
      <c r="DC19" s="96" t="str">
        <f t="shared" si="38"/>
        <v>土</v>
      </c>
      <c r="DF19" s="125"/>
      <c r="DG19" s="40"/>
      <c r="DH19" s="40"/>
      <c r="DI19" s="40"/>
      <c r="DJ19" s="40"/>
      <c r="DK19" s="40"/>
      <c r="DL19" s="40"/>
      <c r="DM19" s="40"/>
      <c r="DN19" s="40"/>
      <c r="DO19" s="40"/>
      <c r="DP19" s="40">
        <f t="shared" si="39"/>
        <v>0</v>
      </c>
      <c r="DQ19" s="172" t="str">
        <f t="shared" si="40"/>
        <v/>
      </c>
      <c r="DS19" s="189"/>
      <c r="DT19" s="190"/>
      <c r="DU19" s="190"/>
      <c r="DV19" s="191"/>
      <c r="DW19" s="138"/>
      <c r="DX19" s="42"/>
    </row>
    <row r="20" spans="1:128" ht="13.5" customHeight="1" x14ac:dyDescent="0.4">
      <c r="A20" s="104">
        <v>16</v>
      </c>
      <c r="B20" s="23" t="s">
        <v>89</v>
      </c>
      <c r="C20" s="164"/>
      <c r="D20" s="164"/>
      <c r="E20" s="24"/>
      <c r="F20" s="29"/>
      <c r="G20" s="25" t="str">
        <f>IF(SUM($F$5:F20)=0,"",SUM($F$5:F20))</f>
        <v/>
      </c>
      <c r="H20" s="43" t="str">
        <f t="shared" si="0"/>
        <v/>
      </c>
      <c r="I20" s="148" t="e">
        <f t="array" aca="1" ref="I20" ca="1">IF($A21="",$G20/($V20-$U$5+INDIRECT(IF(_xlfn.SHEET()&lt;6,"令和8年"&amp;_xlfn.SHEET()+7&amp;"月","令和9年"&amp;_xlfn.SHEET()-5&amp;"月")&amp;"!$U$5")),$G20/($V21-$U$5))</f>
        <v>#VALUE!</v>
      </c>
      <c r="J20" s="26" t="str">
        <f t="shared" si="1"/>
        <v/>
      </c>
      <c r="K20" s="27"/>
      <c r="L20" s="165">
        <f t="shared" si="2"/>
        <v>0</v>
      </c>
      <c r="M20" s="28" t="str">
        <f t="shared" si="3"/>
        <v/>
      </c>
      <c r="N20" s="166" t="str">
        <f t="shared" si="4"/>
        <v/>
      </c>
      <c r="O20" s="167" t="str">
        <f t="shared" si="5"/>
        <v/>
      </c>
      <c r="P20" s="168"/>
      <c r="Q20" s="169" t="str">
        <f t="shared" si="6"/>
        <v/>
      </c>
      <c r="R20" s="170">
        <v>29</v>
      </c>
      <c r="S20" s="171">
        <v>15</v>
      </c>
      <c r="T20" s="24" t="s">
        <v>84</v>
      </c>
      <c r="U20" s="29">
        <v>556538</v>
      </c>
      <c r="V20" s="30">
        <f t="shared" si="41"/>
        <v>7266940</v>
      </c>
      <c r="W20" s="27">
        <v>404</v>
      </c>
      <c r="X20" s="31">
        <f t="shared" si="7"/>
        <v>1377.5693069306931</v>
      </c>
      <c r="Y20" s="29">
        <v>146804</v>
      </c>
      <c r="Z20" s="32">
        <f t="shared" si="42"/>
        <v>6609565</v>
      </c>
      <c r="AA20" s="33">
        <f t="shared" si="8"/>
        <v>1.0994581337803622</v>
      </c>
      <c r="AB20" s="158">
        <v>600000</v>
      </c>
      <c r="AC20" s="34">
        <f t="shared" si="43"/>
        <v>7890000</v>
      </c>
      <c r="AD20" s="158"/>
      <c r="AE20" s="25"/>
      <c r="AF20" s="25"/>
      <c r="AG20" s="25"/>
      <c r="AH20" s="25"/>
      <c r="AI20" s="25"/>
      <c r="AJ20" s="25"/>
      <c r="AK20" s="25"/>
      <c r="AL20" s="158"/>
      <c r="AM20" s="25"/>
      <c r="AN20" s="158"/>
      <c r="AO20" s="25"/>
      <c r="AP20" s="25"/>
      <c r="AQ20" s="158"/>
      <c r="AR20" s="35">
        <f t="shared" si="9"/>
        <v>0</v>
      </c>
      <c r="AS20" s="172" t="str">
        <f t="shared" si="10"/>
        <v/>
      </c>
      <c r="AT20" s="36">
        <f t="shared" si="11"/>
        <v>0</v>
      </c>
      <c r="AU20" s="173"/>
      <c r="AV20" s="82">
        <f t="shared" si="12"/>
        <v>16</v>
      </c>
      <c r="AW20" s="37"/>
      <c r="AX20" s="174" t="str">
        <f t="shared" si="13"/>
        <v/>
      </c>
      <c r="AY20" s="37"/>
      <c r="AZ20" s="174" t="str">
        <f t="shared" si="14"/>
        <v/>
      </c>
      <c r="BA20" s="37"/>
      <c r="BB20" s="174" t="str">
        <f t="shared" si="15"/>
        <v/>
      </c>
      <c r="BC20" s="37"/>
      <c r="BD20" s="174" t="str">
        <f t="shared" si="16"/>
        <v/>
      </c>
      <c r="BE20" s="37"/>
      <c r="BF20" s="174" t="str">
        <f t="shared" si="17"/>
        <v/>
      </c>
      <c r="BG20" s="37"/>
      <c r="BH20" s="174" t="str">
        <f t="shared" si="18"/>
        <v/>
      </c>
      <c r="BI20" s="37"/>
      <c r="BJ20" s="174" t="str">
        <f t="shared" si="19"/>
        <v/>
      </c>
      <c r="BK20" s="37"/>
      <c r="BL20" s="174" t="str">
        <f t="shared" si="20"/>
        <v/>
      </c>
      <c r="BM20" s="37"/>
      <c r="BN20" s="174" t="str">
        <f t="shared" si="21"/>
        <v/>
      </c>
      <c r="BO20" s="37"/>
      <c r="BP20" s="174" t="str">
        <f t="shared" si="22"/>
        <v/>
      </c>
      <c r="BQ20" s="37"/>
      <c r="BR20" s="174" t="str">
        <f t="shared" si="23"/>
        <v/>
      </c>
      <c r="BS20" s="37"/>
      <c r="BT20" s="174" t="str">
        <f t="shared" si="24"/>
        <v/>
      </c>
      <c r="BU20" s="37"/>
      <c r="BV20" s="174" t="str">
        <f t="shared" si="25"/>
        <v/>
      </c>
      <c r="BW20" s="37"/>
      <c r="BX20" s="174" t="str">
        <f t="shared" si="26"/>
        <v/>
      </c>
      <c r="BY20" s="37"/>
      <c r="BZ20" s="174" t="str">
        <f t="shared" si="27"/>
        <v/>
      </c>
      <c r="CA20" s="37"/>
      <c r="CB20" s="174" t="str">
        <f t="shared" si="28"/>
        <v/>
      </c>
      <c r="CC20" s="37"/>
      <c r="CD20" s="174" t="str">
        <f t="shared" si="29"/>
        <v/>
      </c>
      <c r="CE20" s="37"/>
      <c r="CF20" s="174" t="str">
        <f t="shared" si="30"/>
        <v/>
      </c>
      <c r="CG20" s="37"/>
      <c r="CH20" s="174" t="str">
        <f t="shared" si="31"/>
        <v/>
      </c>
      <c r="CI20" s="37"/>
      <c r="CJ20" s="174" t="str">
        <f t="shared" si="32"/>
        <v/>
      </c>
      <c r="CK20" s="37"/>
      <c r="CL20" s="174" t="str">
        <f t="shared" si="33"/>
        <v/>
      </c>
      <c r="CM20" s="37"/>
      <c r="CN20" s="174" t="str">
        <f t="shared" si="34"/>
        <v/>
      </c>
      <c r="CO20" s="37"/>
      <c r="CP20" s="174" t="str">
        <f t="shared" si="35"/>
        <v/>
      </c>
      <c r="CQ20" s="37"/>
      <c r="CR20" s="174" t="str">
        <f t="shared" si="36"/>
        <v/>
      </c>
      <c r="CS20" s="37"/>
      <c r="CT20" s="174" t="str">
        <f t="shared" si="37"/>
        <v/>
      </c>
      <c r="CU20" s="38"/>
      <c r="CV20" s="87"/>
      <c r="CW20" s="90"/>
      <c r="CX20" s="38"/>
      <c r="CY20" s="39"/>
      <c r="CZ20" s="37"/>
      <c r="DA20" s="39"/>
      <c r="DB20" s="24">
        <v>16</v>
      </c>
      <c r="DC20" s="96" t="str">
        <f t="shared" si="38"/>
        <v>日</v>
      </c>
      <c r="DF20" s="125"/>
      <c r="DG20" s="40"/>
      <c r="DH20" s="40"/>
      <c r="DI20" s="40"/>
      <c r="DJ20" s="40"/>
      <c r="DK20" s="40"/>
      <c r="DL20" s="40"/>
      <c r="DM20" s="40"/>
      <c r="DN20" s="40"/>
      <c r="DO20" s="40"/>
      <c r="DP20" s="40">
        <f t="shared" si="39"/>
        <v>0</v>
      </c>
      <c r="DQ20" s="172" t="str">
        <f t="shared" si="40"/>
        <v/>
      </c>
      <c r="DS20" s="189"/>
      <c r="DT20" s="190"/>
      <c r="DU20" s="190"/>
      <c r="DV20" s="191"/>
      <c r="DW20" s="41"/>
      <c r="DX20" s="42"/>
    </row>
    <row r="21" spans="1:128" ht="13.5" customHeight="1" x14ac:dyDescent="0.4">
      <c r="A21" s="104">
        <v>17</v>
      </c>
      <c r="B21" s="23" t="s">
        <v>90</v>
      </c>
      <c r="C21" s="164"/>
      <c r="D21" s="164"/>
      <c r="E21" s="24"/>
      <c r="F21" s="29"/>
      <c r="G21" s="25" t="str">
        <f>IF(SUM($F$5:F21)=0,"",SUM($F$5:F21))</f>
        <v/>
      </c>
      <c r="H21" s="43" t="str">
        <f t="shared" si="0"/>
        <v/>
      </c>
      <c r="I21" s="148" t="e">
        <f t="array" aca="1" ref="I21" ca="1">IF($A22="",$G21/($V21-$U$5+INDIRECT(IF(_xlfn.SHEET()&lt;6,"令和8年"&amp;_xlfn.SHEET()+7&amp;"月","令和9年"&amp;_xlfn.SHEET()-5&amp;"月")&amp;"!$U$5")),$G21/($V22-$U$5))</f>
        <v>#VALUE!</v>
      </c>
      <c r="J21" s="26" t="str">
        <f t="shared" si="1"/>
        <v/>
      </c>
      <c r="K21" s="27"/>
      <c r="L21" s="165">
        <f t="shared" si="2"/>
        <v>0</v>
      </c>
      <c r="M21" s="28" t="str">
        <f t="shared" si="3"/>
        <v/>
      </c>
      <c r="N21" s="166" t="str">
        <f t="shared" si="4"/>
        <v/>
      </c>
      <c r="O21" s="167" t="str">
        <f t="shared" si="5"/>
        <v/>
      </c>
      <c r="P21" s="168"/>
      <c r="Q21" s="169" t="str">
        <f t="shared" si="6"/>
        <v/>
      </c>
      <c r="R21" s="170">
        <v>30</v>
      </c>
      <c r="S21" s="171">
        <v>16</v>
      </c>
      <c r="T21" s="24" t="s">
        <v>84</v>
      </c>
      <c r="U21" s="29">
        <v>650493</v>
      </c>
      <c r="V21" s="30">
        <f t="shared" si="41"/>
        <v>7917433</v>
      </c>
      <c r="W21" s="27">
        <v>451</v>
      </c>
      <c r="X21" s="31">
        <f t="shared" si="7"/>
        <v>1442.3348115299334</v>
      </c>
      <c r="Y21" s="29">
        <v>536433</v>
      </c>
      <c r="Z21" s="32">
        <f t="shared" si="42"/>
        <v>7145998</v>
      </c>
      <c r="AA21" s="33">
        <f t="shared" si="8"/>
        <v>1.107953430717445</v>
      </c>
      <c r="AB21" s="158">
        <v>200000</v>
      </c>
      <c r="AC21" s="34">
        <f t="shared" si="43"/>
        <v>8090000</v>
      </c>
      <c r="AD21" s="158"/>
      <c r="AE21" s="25"/>
      <c r="AF21" s="25"/>
      <c r="AG21" s="25"/>
      <c r="AH21" s="25"/>
      <c r="AI21" s="25"/>
      <c r="AJ21" s="25"/>
      <c r="AK21" s="25"/>
      <c r="AL21" s="158"/>
      <c r="AM21" s="25"/>
      <c r="AN21" s="158"/>
      <c r="AO21" s="25"/>
      <c r="AP21" s="25"/>
      <c r="AQ21" s="158"/>
      <c r="AR21" s="35">
        <f t="shared" si="9"/>
        <v>0</v>
      </c>
      <c r="AS21" s="172" t="str">
        <f t="shared" si="10"/>
        <v/>
      </c>
      <c r="AT21" s="36">
        <f t="shared" si="11"/>
        <v>0</v>
      </c>
      <c r="AU21" s="173"/>
      <c r="AV21" s="82">
        <f t="shared" si="12"/>
        <v>17</v>
      </c>
      <c r="AW21" s="37"/>
      <c r="AX21" s="174" t="str">
        <f t="shared" si="13"/>
        <v/>
      </c>
      <c r="AY21" s="37"/>
      <c r="AZ21" s="174" t="str">
        <f t="shared" si="14"/>
        <v/>
      </c>
      <c r="BA21" s="37"/>
      <c r="BB21" s="174" t="str">
        <f t="shared" si="15"/>
        <v/>
      </c>
      <c r="BC21" s="37"/>
      <c r="BD21" s="174" t="str">
        <f t="shared" si="16"/>
        <v/>
      </c>
      <c r="BE21" s="37"/>
      <c r="BF21" s="174" t="str">
        <f t="shared" si="17"/>
        <v/>
      </c>
      <c r="BG21" s="37"/>
      <c r="BH21" s="174" t="str">
        <f t="shared" si="18"/>
        <v/>
      </c>
      <c r="BI21" s="37"/>
      <c r="BJ21" s="174" t="str">
        <f t="shared" si="19"/>
        <v/>
      </c>
      <c r="BK21" s="37"/>
      <c r="BL21" s="174" t="str">
        <f t="shared" si="20"/>
        <v/>
      </c>
      <c r="BM21" s="37"/>
      <c r="BN21" s="174" t="str">
        <f t="shared" si="21"/>
        <v/>
      </c>
      <c r="BO21" s="37"/>
      <c r="BP21" s="174" t="str">
        <f t="shared" si="22"/>
        <v/>
      </c>
      <c r="BQ21" s="37"/>
      <c r="BR21" s="174" t="str">
        <f t="shared" si="23"/>
        <v/>
      </c>
      <c r="BS21" s="37"/>
      <c r="BT21" s="174" t="str">
        <f t="shared" si="24"/>
        <v/>
      </c>
      <c r="BU21" s="37"/>
      <c r="BV21" s="174" t="str">
        <f t="shared" si="25"/>
        <v/>
      </c>
      <c r="BW21" s="37"/>
      <c r="BX21" s="174" t="str">
        <f t="shared" si="26"/>
        <v/>
      </c>
      <c r="BY21" s="37"/>
      <c r="BZ21" s="174" t="str">
        <f t="shared" si="27"/>
        <v/>
      </c>
      <c r="CA21" s="37"/>
      <c r="CB21" s="174" t="str">
        <f t="shared" si="28"/>
        <v/>
      </c>
      <c r="CC21" s="37"/>
      <c r="CD21" s="174" t="str">
        <f t="shared" si="29"/>
        <v/>
      </c>
      <c r="CE21" s="37"/>
      <c r="CF21" s="174" t="str">
        <f t="shared" si="30"/>
        <v/>
      </c>
      <c r="CG21" s="37"/>
      <c r="CH21" s="174" t="str">
        <f t="shared" si="31"/>
        <v/>
      </c>
      <c r="CI21" s="37"/>
      <c r="CJ21" s="174" t="str">
        <f t="shared" si="32"/>
        <v/>
      </c>
      <c r="CK21" s="37"/>
      <c r="CL21" s="174" t="str">
        <f t="shared" si="33"/>
        <v/>
      </c>
      <c r="CM21" s="37"/>
      <c r="CN21" s="174" t="str">
        <f t="shared" si="34"/>
        <v/>
      </c>
      <c r="CO21" s="37"/>
      <c r="CP21" s="174" t="str">
        <f t="shared" si="35"/>
        <v/>
      </c>
      <c r="CQ21" s="37"/>
      <c r="CR21" s="174" t="str">
        <f t="shared" si="36"/>
        <v/>
      </c>
      <c r="CS21" s="37"/>
      <c r="CT21" s="174" t="str">
        <f t="shared" si="37"/>
        <v/>
      </c>
      <c r="CU21" s="38"/>
      <c r="CV21" s="87"/>
      <c r="CW21" s="90"/>
      <c r="CX21" s="38"/>
      <c r="CY21" s="39"/>
      <c r="CZ21" s="37"/>
      <c r="DA21" s="39"/>
      <c r="DB21" s="24">
        <v>17</v>
      </c>
      <c r="DC21" s="96" t="str">
        <f t="shared" si="38"/>
        <v>月</v>
      </c>
      <c r="DF21" s="125"/>
      <c r="DG21" s="40"/>
      <c r="DH21" s="40"/>
      <c r="DI21" s="40"/>
      <c r="DJ21" s="40"/>
      <c r="DK21" s="40"/>
      <c r="DL21" s="40"/>
      <c r="DM21" s="40"/>
      <c r="DN21" s="40"/>
      <c r="DO21" s="40"/>
      <c r="DP21" s="40">
        <f t="shared" si="39"/>
        <v>0</v>
      </c>
      <c r="DQ21" s="172" t="str">
        <f t="shared" si="40"/>
        <v/>
      </c>
      <c r="DS21" s="189"/>
      <c r="DT21" s="190"/>
      <c r="DU21" s="190"/>
      <c r="DV21" s="191"/>
      <c r="DW21" s="41"/>
      <c r="DX21" s="42"/>
    </row>
    <row r="22" spans="1:128" ht="13.5" customHeight="1" x14ac:dyDescent="0.4">
      <c r="A22" s="104">
        <v>18</v>
      </c>
      <c r="B22" s="23" t="s">
        <v>91</v>
      </c>
      <c r="C22" s="164"/>
      <c r="D22" s="164"/>
      <c r="E22" s="24"/>
      <c r="F22" s="29"/>
      <c r="G22" s="25" t="str">
        <f>IF(SUM($F$5:F22)=0,"",SUM($F$5:F22))</f>
        <v/>
      </c>
      <c r="H22" s="43" t="str">
        <f t="shared" si="0"/>
        <v/>
      </c>
      <c r="I22" s="148" t="e">
        <f t="array" aca="1" ref="I22" ca="1">IF($A23="",$G22/($V22-$U$5+INDIRECT(IF(_xlfn.SHEET()&lt;6,"令和8年"&amp;_xlfn.SHEET()+7&amp;"月","令和9年"&amp;_xlfn.SHEET()-5&amp;"月")&amp;"!$U$5")),$G22/($V23-$U$5))</f>
        <v>#VALUE!</v>
      </c>
      <c r="J22" s="26" t="str">
        <f t="shared" si="1"/>
        <v/>
      </c>
      <c r="K22" s="27"/>
      <c r="L22" s="165">
        <f t="shared" si="2"/>
        <v>0</v>
      </c>
      <c r="M22" s="28" t="str">
        <f t="shared" si="3"/>
        <v/>
      </c>
      <c r="N22" s="166" t="str">
        <f t="shared" si="4"/>
        <v/>
      </c>
      <c r="O22" s="167" t="str">
        <f t="shared" si="5"/>
        <v/>
      </c>
      <c r="P22" s="168"/>
      <c r="Q22" s="169" t="str">
        <f t="shared" si="6"/>
        <v/>
      </c>
      <c r="R22" s="170">
        <v>31</v>
      </c>
      <c r="S22" s="171">
        <v>21</v>
      </c>
      <c r="T22" s="24" t="s">
        <v>84</v>
      </c>
      <c r="U22" s="29">
        <v>142974</v>
      </c>
      <c r="V22" s="30">
        <f t="shared" si="41"/>
        <v>8060407</v>
      </c>
      <c r="W22" s="27">
        <v>107</v>
      </c>
      <c r="X22" s="31">
        <f t="shared" si="7"/>
        <v>1336.2056074766356</v>
      </c>
      <c r="Y22" s="29">
        <v>646380</v>
      </c>
      <c r="Z22" s="32">
        <f t="shared" si="42"/>
        <v>7792378</v>
      </c>
      <c r="AA22" s="33">
        <f t="shared" si="8"/>
        <v>1.0343963036700734</v>
      </c>
      <c r="AB22" s="158">
        <v>200000</v>
      </c>
      <c r="AC22" s="34">
        <f t="shared" si="43"/>
        <v>8290000</v>
      </c>
      <c r="AD22" s="158"/>
      <c r="AE22" s="25"/>
      <c r="AF22" s="25"/>
      <c r="AG22" s="25"/>
      <c r="AH22" s="25"/>
      <c r="AI22" s="25"/>
      <c r="AJ22" s="25"/>
      <c r="AK22" s="25"/>
      <c r="AL22" s="158"/>
      <c r="AM22" s="25"/>
      <c r="AN22" s="158"/>
      <c r="AO22" s="25"/>
      <c r="AP22" s="25"/>
      <c r="AQ22" s="158"/>
      <c r="AR22" s="35">
        <f t="shared" si="9"/>
        <v>0</v>
      </c>
      <c r="AS22" s="172" t="str">
        <f t="shared" si="10"/>
        <v/>
      </c>
      <c r="AT22" s="36">
        <f t="shared" si="11"/>
        <v>0</v>
      </c>
      <c r="AU22" s="173"/>
      <c r="AV22" s="82">
        <f t="shared" si="12"/>
        <v>18</v>
      </c>
      <c r="AW22" s="37"/>
      <c r="AX22" s="174" t="str">
        <f t="shared" si="13"/>
        <v/>
      </c>
      <c r="AY22" s="37"/>
      <c r="AZ22" s="174" t="str">
        <f t="shared" si="14"/>
        <v/>
      </c>
      <c r="BA22" s="37"/>
      <c r="BB22" s="174" t="str">
        <f t="shared" si="15"/>
        <v/>
      </c>
      <c r="BC22" s="37"/>
      <c r="BD22" s="174" t="str">
        <f t="shared" si="16"/>
        <v/>
      </c>
      <c r="BE22" s="37"/>
      <c r="BF22" s="174" t="str">
        <f t="shared" si="17"/>
        <v/>
      </c>
      <c r="BG22" s="37"/>
      <c r="BH22" s="174" t="str">
        <f t="shared" si="18"/>
        <v/>
      </c>
      <c r="BI22" s="37"/>
      <c r="BJ22" s="174" t="str">
        <f t="shared" si="19"/>
        <v/>
      </c>
      <c r="BK22" s="37"/>
      <c r="BL22" s="174" t="str">
        <f t="shared" si="20"/>
        <v/>
      </c>
      <c r="BM22" s="37"/>
      <c r="BN22" s="174" t="str">
        <f t="shared" si="21"/>
        <v/>
      </c>
      <c r="BO22" s="37"/>
      <c r="BP22" s="174" t="str">
        <f t="shared" si="22"/>
        <v/>
      </c>
      <c r="BQ22" s="37"/>
      <c r="BR22" s="174" t="str">
        <f t="shared" si="23"/>
        <v/>
      </c>
      <c r="BS22" s="37"/>
      <c r="BT22" s="174" t="str">
        <f t="shared" si="24"/>
        <v/>
      </c>
      <c r="BU22" s="37"/>
      <c r="BV22" s="174" t="str">
        <f t="shared" si="25"/>
        <v/>
      </c>
      <c r="BW22" s="37"/>
      <c r="BX22" s="174" t="str">
        <f t="shared" si="26"/>
        <v/>
      </c>
      <c r="BY22" s="37"/>
      <c r="BZ22" s="174" t="str">
        <f t="shared" si="27"/>
        <v/>
      </c>
      <c r="CA22" s="37"/>
      <c r="CB22" s="174" t="str">
        <f t="shared" si="28"/>
        <v/>
      </c>
      <c r="CC22" s="37"/>
      <c r="CD22" s="174" t="str">
        <f t="shared" si="29"/>
        <v/>
      </c>
      <c r="CE22" s="37"/>
      <c r="CF22" s="174" t="str">
        <f t="shared" si="30"/>
        <v/>
      </c>
      <c r="CG22" s="37"/>
      <c r="CH22" s="174" t="str">
        <f t="shared" si="31"/>
        <v/>
      </c>
      <c r="CI22" s="37"/>
      <c r="CJ22" s="174" t="str">
        <f t="shared" si="32"/>
        <v/>
      </c>
      <c r="CK22" s="37"/>
      <c r="CL22" s="174" t="str">
        <f t="shared" si="33"/>
        <v/>
      </c>
      <c r="CM22" s="37"/>
      <c r="CN22" s="174" t="str">
        <f t="shared" si="34"/>
        <v/>
      </c>
      <c r="CO22" s="37"/>
      <c r="CP22" s="174" t="str">
        <f t="shared" si="35"/>
        <v/>
      </c>
      <c r="CQ22" s="37"/>
      <c r="CR22" s="174" t="str">
        <f t="shared" si="36"/>
        <v/>
      </c>
      <c r="CS22" s="37"/>
      <c r="CT22" s="174" t="str">
        <f t="shared" si="37"/>
        <v/>
      </c>
      <c r="CU22" s="38"/>
      <c r="CV22" s="87"/>
      <c r="CW22" s="90"/>
      <c r="CX22" s="38"/>
      <c r="CY22" s="39"/>
      <c r="CZ22" s="37"/>
      <c r="DA22" s="39"/>
      <c r="DB22" s="24">
        <v>18</v>
      </c>
      <c r="DC22" s="96" t="str">
        <f t="shared" si="38"/>
        <v>火</v>
      </c>
      <c r="DF22" s="125"/>
      <c r="DG22" s="40"/>
      <c r="DH22" s="40"/>
      <c r="DI22" s="40"/>
      <c r="DJ22" s="40"/>
      <c r="DK22" s="40"/>
      <c r="DL22" s="40"/>
      <c r="DM22" s="40"/>
      <c r="DN22" s="40"/>
      <c r="DO22" s="40"/>
      <c r="DP22" s="40">
        <f t="shared" si="39"/>
        <v>0</v>
      </c>
      <c r="DQ22" s="172" t="str">
        <f t="shared" si="40"/>
        <v/>
      </c>
      <c r="DS22" s="189"/>
      <c r="DT22" s="190"/>
      <c r="DU22" s="190"/>
      <c r="DV22" s="191"/>
      <c r="DW22" s="138"/>
      <c r="DX22" s="42"/>
    </row>
    <row r="23" spans="1:128" ht="13.5" customHeight="1" x14ac:dyDescent="0.4">
      <c r="A23" s="104">
        <v>19</v>
      </c>
      <c r="B23" s="23" t="s">
        <v>83</v>
      </c>
      <c r="C23" s="164"/>
      <c r="D23" s="164"/>
      <c r="E23" s="24"/>
      <c r="F23" s="29"/>
      <c r="G23" s="25" t="str">
        <f>IF(SUM($F$5:F23)=0,"",SUM($F$5:F23))</f>
        <v/>
      </c>
      <c r="H23" s="43" t="str">
        <f t="shared" si="0"/>
        <v/>
      </c>
      <c r="I23" s="148" t="e">
        <f t="array" aca="1" ref="I23" ca="1">IF($A24="",$G23/($V23-$U$5+INDIRECT(IF(_xlfn.SHEET()&lt;6,"令和8年"&amp;_xlfn.SHEET()+7&amp;"月","令和9年"&amp;_xlfn.SHEET()-5&amp;"月")&amp;"!$U$5")),$G23/($V24-$U$5))</f>
        <v>#VALUE!</v>
      </c>
      <c r="J23" s="26" t="str">
        <f t="shared" si="1"/>
        <v/>
      </c>
      <c r="K23" s="27"/>
      <c r="L23" s="165">
        <f t="shared" si="2"/>
        <v>0</v>
      </c>
      <c r="M23" s="28" t="str">
        <f t="shared" si="3"/>
        <v/>
      </c>
      <c r="N23" s="166" t="str">
        <f t="shared" si="4"/>
        <v/>
      </c>
      <c r="O23" s="167" t="str">
        <f t="shared" si="5"/>
        <v/>
      </c>
      <c r="P23" s="168"/>
      <c r="Q23" s="169" t="str">
        <f t="shared" si="6"/>
        <v/>
      </c>
      <c r="R23" s="170">
        <v>30</v>
      </c>
      <c r="S23" s="171">
        <v>16</v>
      </c>
      <c r="T23" s="24" t="s">
        <v>84</v>
      </c>
      <c r="U23" s="29">
        <v>206354</v>
      </c>
      <c r="V23" s="30">
        <f t="shared" si="41"/>
        <v>8266761</v>
      </c>
      <c r="W23" s="27">
        <v>111</v>
      </c>
      <c r="X23" s="31">
        <f t="shared" si="7"/>
        <v>1859.0450450450451</v>
      </c>
      <c r="Y23" s="29">
        <v>94718</v>
      </c>
      <c r="Z23" s="32">
        <f t="shared" si="42"/>
        <v>7887096</v>
      </c>
      <c r="AA23" s="33">
        <f t="shared" si="8"/>
        <v>1.0481374893877291</v>
      </c>
      <c r="AB23" s="158">
        <v>200000</v>
      </c>
      <c r="AC23" s="34">
        <f t="shared" si="43"/>
        <v>8490000</v>
      </c>
      <c r="AD23" s="158"/>
      <c r="AE23" s="25"/>
      <c r="AF23" s="25"/>
      <c r="AG23" s="25"/>
      <c r="AH23" s="25"/>
      <c r="AI23" s="25"/>
      <c r="AJ23" s="25"/>
      <c r="AK23" s="25"/>
      <c r="AL23" s="158"/>
      <c r="AM23" s="25"/>
      <c r="AN23" s="158"/>
      <c r="AO23" s="25"/>
      <c r="AP23" s="25"/>
      <c r="AQ23" s="158"/>
      <c r="AR23" s="35">
        <f t="shared" si="9"/>
        <v>0</v>
      </c>
      <c r="AS23" s="172" t="str">
        <f t="shared" si="10"/>
        <v/>
      </c>
      <c r="AT23" s="36">
        <f t="shared" si="11"/>
        <v>0</v>
      </c>
      <c r="AU23" s="173"/>
      <c r="AV23" s="82">
        <f t="shared" si="12"/>
        <v>19</v>
      </c>
      <c r="AW23" s="37"/>
      <c r="AX23" s="174" t="str">
        <f t="shared" si="13"/>
        <v/>
      </c>
      <c r="AY23" s="37"/>
      <c r="AZ23" s="174" t="str">
        <f t="shared" si="14"/>
        <v/>
      </c>
      <c r="BA23" s="37"/>
      <c r="BB23" s="174" t="str">
        <f t="shared" si="15"/>
        <v/>
      </c>
      <c r="BC23" s="37"/>
      <c r="BD23" s="174" t="str">
        <f t="shared" si="16"/>
        <v/>
      </c>
      <c r="BE23" s="37"/>
      <c r="BF23" s="174" t="str">
        <f t="shared" si="17"/>
        <v/>
      </c>
      <c r="BG23" s="37"/>
      <c r="BH23" s="174" t="str">
        <f t="shared" si="18"/>
        <v/>
      </c>
      <c r="BI23" s="37"/>
      <c r="BJ23" s="174" t="str">
        <f t="shared" si="19"/>
        <v/>
      </c>
      <c r="BK23" s="37"/>
      <c r="BL23" s="174" t="str">
        <f t="shared" si="20"/>
        <v/>
      </c>
      <c r="BM23" s="37"/>
      <c r="BN23" s="174" t="str">
        <f t="shared" si="21"/>
        <v/>
      </c>
      <c r="BO23" s="37"/>
      <c r="BP23" s="174" t="str">
        <f t="shared" si="22"/>
        <v/>
      </c>
      <c r="BQ23" s="37"/>
      <c r="BR23" s="174" t="str">
        <f t="shared" si="23"/>
        <v/>
      </c>
      <c r="BS23" s="37"/>
      <c r="BT23" s="174" t="str">
        <f t="shared" si="24"/>
        <v/>
      </c>
      <c r="BU23" s="37"/>
      <c r="BV23" s="174" t="str">
        <f t="shared" si="25"/>
        <v/>
      </c>
      <c r="BW23" s="37"/>
      <c r="BX23" s="174" t="str">
        <f t="shared" si="26"/>
        <v/>
      </c>
      <c r="BY23" s="37"/>
      <c r="BZ23" s="174" t="str">
        <f t="shared" si="27"/>
        <v/>
      </c>
      <c r="CA23" s="37"/>
      <c r="CB23" s="174" t="str">
        <f t="shared" si="28"/>
        <v/>
      </c>
      <c r="CC23" s="37"/>
      <c r="CD23" s="174" t="str">
        <f t="shared" si="29"/>
        <v/>
      </c>
      <c r="CE23" s="37"/>
      <c r="CF23" s="174" t="str">
        <f t="shared" si="30"/>
        <v/>
      </c>
      <c r="CG23" s="37"/>
      <c r="CH23" s="174" t="str">
        <f t="shared" si="31"/>
        <v/>
      </c>
      <c r="CI23" s="37"/>
      <c r="CJ23" s="174" t="str">
        <f t="shared" si="32"/>
        <v/>
      </c>
      <c r="CK23" s="37"/>
      <c r="CL23" s="174" t="str">
        <f t="shared" si="33"/>
        <v/>
      </c>
      <c r="CM23" s="37"/>
      <c r="CN23" s="174" t="str">
        <f t="shared" si="34"/>
        <v/>
      </c>
      <c r="CO23" s="37"/>
      <c r="CP23" s="174" t="str">
        <f t="shared" si="35"/>
        <v/>
      </c>
      <c r="CQ23" s="37"/>
      <c r="CR23" s="174" t="str">
        <f t="shared" si="36"/>
        <v/>
      </c>
      <c r="CS23" s="37"/>
      <c r="CT23" s="174" t="str">
        <f t="shared" si="37"/>
        <v/>
      </c>
      <c r="CU23" s="38"/>
      <c r="CV23" s="87"/>
      <c r="CW23" s="90"/>
      <c r="CX23" s="38"/>
      <c r="CY23" s="39"/>
      <c r="CZ23" s="37"/>
      <c r="DA23" s="39"/>
      <c r="DB23" s="24">
        <v>19</v>
      </c>
      <c r="DC23" s="96" t="str">
        <f t="shared" si="38"/>
        <v>水</v>
      </c>
      <c r="DF23" s="125"/>
      <c r="DG23" s="40"/>
      <c r="DH23" s="40"/>
      <c r="DI23" s="40"/>
      <c r="DJ23" s="40"/>
      <c r="DK23" s="40"/>
      <c r="DL23" s="40"/>
      <c r="DM23" s="40"/>
      <c r="DN23" s="40"/>
      <c r="DO23" s="40"/>
      <c r="DP23" s="40">
        <f t="shared" si="39"/>
        <v>0</v>
      </c>
      <c r="DQ23" s="172" t="str">
        <f t="shared" si="40"/>
        <v/>
      </c>
      <c r="DS23" s="189"/>
      <c r="DT23" s="190"/>
      <c r="DU23" s="190"/>
      <c r="DV23" s="191"/>
      <c r="DW23" s="41"/>
      <c r="DX23" s="42"/>
    </row>
    <row r="24" spans="1:128" ht="13.5" customHeight="1" x14ac:dyDescent="0.4">
      <c r="A24" s="104">
        <v>20</v>
      </c>
      <c r="B24" s="23" t="s">
        <v>85</v>
      </c>
      <c r="C24" s="164"/>
      <c r="D24" s="164"/>
      <c r="E24" s="24"/>
      <c r="F24" s="29"/>
      <c r="G24" s="25" t="str">
        <f>IF(SUM($F$5:F24)=0,"",SUM($F$5:F24))</f>
        <v/>
      </c>
      <c r="H24" s="43" t="str">
        <f t="shared" si="0"/>
        <v/>
      </c>
      <c r="I24" s="148" t="e">
        <f t="array" aca="1" ref="I24" ca="1">IF($A25="",$G24/($V24-$U$5+INDIRECT(IF(_xlfn.SHEET()&lt;6,"令和8年"&amp;_xlfn.SHEET()+7&amp;"月","令和9年"&amp;_xlfn.SHEET()-5&amp;"月")&amp;"!$U$5")),$G24/($V25-$U$5))</f>
        <v>#VALUE!</v>
      </c>
      <c r="J24" s="26" t="str">
        <f t="shared" si="1"/>
        <v/>
      </c>
      <c r="K24" s="27"/>
      <c r="L24" s="165">
        <f t="shared" si="2"/>
        <v>0</v>
      </c>
      <c r="M24" s="28" t="str">
        <f t="shared" si="3"/>
        <v/>
      </c>
      <c r="N24" s="166" t="str">
        <f t="shared" si="4"/>
        <v/>
      </c>
      <c r="O24" s="167" t="str">
        <f t="shared" si="5"/>
        <v/>
      </c>
      <c r="P24" s="168"/>
      <c r="Q24" s="169" t="str">
        <f t="shared" si="6"/>
        <v/>
      </c>
      <c r="R24" s="170">
        <v>31</v>
      </c>
      <c r="S24" s="171">
        <v>16</v>
      </c>
      <c r="T24" s="24" t="s">
        <v>114</v>
      </c>
      <c r="U24" s="29">
        <v>165580</v>
      </c>
      <c r="V24" s="30">
        <f t="shared" si="41"/>
        <v>8432341</v>
      </c>
      <c r="W24" s="27">
        <v>154</v>
      </c>
      <c r="X24" s="31">
        <f t="shared" si="7"/>
        <v>1075.1948051948052</v>
      </c>
      <c r="Y24" s="29">
        <v>142761</v>
      </c>
      <c r="Z24" s="32">
        <f t="shared" si="42"/>
        <v>8029857</v>
      </c>
      <c r="AA24" s="33">
        <f t="shared" si="8"/>
        <v>1.0501234330823077</v>
      </c>
      <c r="AB24" s="158">
        <v>200000</v>
      </c>
      <c r="AC24" s="34">
        <f t="shared" si="43"/>
        <v>8690000</v>
      </c>
      <c r="AD24" s="158"/>
      <c r="AE24" s="25"/>
      <c r="AF24" s="25"/>
      <c r="AG24" s="25"/>
      <c r="AH24" s="25"/>
      <c r="AI24" s="25"/>
      <c r="AJ24" s="25"/>
      <c r="AK24" s="25"/>
      <c r="AL24" s="158"/>
      <c r="AM24" s="25"/>
      <c r="AN24" s="158"/>
      <c r="AO24" s="25"/>
      <c r="AP24" s="25"/>
      <c r="AQ24" s="158"/>
      <c r="AR24" s="35">
        <f t="shared" si="9"/>
        <v>0</v>
      </c>
      <c r="AS24" s="172" t="str">
        <f t="shared" si="10"/>
        <v/>
      </c>
      <c r="AT24" s="36">
        <f t="shared" si="11"/>
        <v>0</v>
      </c>
      <c r="AU24" s="173"/>
      <c r="AV24" s="82">
        <f t="shared" si="12"/>
        <v>20</v>
      </c>
      <c r="AW24" s="37"/>
      <c r="AX24" s="174" t="str">
        <f t="shared" si="13"/>
        <v/>
      </c>
      <c r="AY24" s="37"/>
      <c r="AZ24" s="174" t="str">
        <f t="shared" si="14"/>
        <v/>
      </c>
      <c r="BA24" s="37"/>
      <c r="BB24" s="174" t="str">
        <f t="shared" si="15"/>
        <v/>
      </c>
      <c r="BC24" s="37"/>
      <c r="BD24" s="174" t="str">
        <f t="shared" si="16"/>
        <v/>
      </c>
      <c r="BE24" s="37"/>
      <c r="BF24" s="174" t="str">
        <f t="shared" si="17"/>
        <v/>
      </c>
      <c r="BG24" s="37"/>
      <c r="BH24" s="174" t="str">
        <f t="shared" si="18"/>
        <v/>
      </c>
      <c r="BI24" s="37"/>
      <c r="BJ24" s="174" t="str">
        <f t="shared" si="19"/>
        <v/>
      </c>
      <c r="BK24" s="37"/>
      <c r="BL24" s="174" t="str">
        <f t="shared" si="20"/>
        <v/>
      </c>
      <c r="BM24" s="37"/>
      <c r="BN24" s="174" t="str">
        <f t="shared" si="21"/>
        <v/>
      </c>
      <c r="BO24" s="37"/>
      <c r="BP24" s="174" t="str">
        <f t="shared" si="22"/>
        <v/>
      </c>
      <c r="BQ24" s="37"/>
      <c r="BR24" s="174" t="str">
        <f t="shared" si="23"/>
        <v/>
      </c>
      <c r="BS24" s="37"/>
      <c r="BT24" s="174" t="str">
        <f t="shared" si="24"/>
        <v/>
      </c>
      <c r="BU24" s="37"/>
      <c r="BV24" s="174" t="str">
        <f t="shared" si="25"/>
        <v/>
      </c>
      <c r="BW24" s="37"/>
      <c r="BX24" s="174" t="str">
        <f t="shared" si="26"/>
        <v/>
      </c>
      <c r="BY24" s="37"/>
      <c r="BZ24" s="174" t="str">
        <f t="shared" si="27"/>
        <v/>
      </c>
      <c r="CA24" s="37"/>
      <c r="CB24" s="174" t="str">
        <f t="shared" si="28"/>
        <v/>
      </c>
      <c r="CC24" s="37"/>
      <c r="CD24" s="174" t="str">
        <f t="shared" si="29"/>
        <v/>
      </c>
      <c r="CE24" s="37"/>
      <c r="CF24" s="174" t="str">
        <f t="shared" si="30"/>
        <v/>
      </c>
      <c r="CG24" s="37"/>
      <c r="CH24" s="174" t="str">
        <f t="shared" si="31"/>
        <v/>
      </c>
      <c r="CI24" s="37"/>
      <c r="CJ24" s="174" t="str">
        <f t="shared" si="32"/>
        <v/>
      </c>
      <c r="CK24" s="37"/>
      <c r="CL24" s="174" t="str">
        <f t="shared" si="33"/>
        <v/>
      </c>
      <c r="CM24" s="37"/>
      <c r="CN24" s="174" t="str">
        <f t="shared" si="34"/>
        <v/>
      </c>
      <c r="CO24" s="37"/>
      <c r="CP24" s="174" t="str">
        <f t="shared" si="35"/>
        <v/>
      </c>
      <c r="CQ24" s="37"/>
      <c r="CR24" s="174" t="str">
        <f t="shared" si="36"/>
        <v/>
      </c>
      <c r="CS24" s="37"/>
      <c r="CT24" s="174" t="str">
        <f t="shared" si="37"/>
        <v/>
      </c>
      <c r="CU24" s="38"/>
      <c r="CV24" s="87"/>
      <c r="CW24" s="90"/>
      <c r="CX24" s="38"/>
      <c r="CY24" s="39"/>
      <c r="CZ24" s="37"/>
      <c r="DA24" s="39"/>
      <c r="DB24" s="24">
        <v>20</v>
      </c>
      <c r="DC24" s="96" t="str">
        <f t="shared" si="38"/>
        <v>木</v>
      </c>
      <c r="DF24" s="125"/>
      <c r="DG24" s="40"/>
      <c r="DH24" s="40"/>
      <c r="DI24" s="40"/>
      <c r="DJ24" s="40"/>
      <c r="DK24" s="40"/>
      <c r="DL24" s="40"/>
      <c r="DM24" s="40"/>
      <c r="DN24" s="40"/>
      <c r="DO24" s="40"/>
      <c r="DP24" s="40">
        <f t="shared" si="39"/>
        <v>0</v>
      </c>
      <c r="DQ24" s="172" t="str">
        <f t="shared" si="40"/>
        <v/>
      </c>
      <c r="DS24" s="189"/>
      <c r="DT24" s="190"/>
      <c r="DU24" s="190"/>
      <c r="DV24" s="191"/>
      <c r="DW24" s="41"/>
      <c r="DX24" s="42"/>
    </row>
    <row r="25" spans="1:128" ht="13.5" customHeight="1" x14ac:dyDescent="0.4">
      <c r="A25" s="104">
        <v>21</v>
      </c>
      <c r="B25" s="23" t="s">
        <v>86</v>
      </c>
      <c r="C25" s="164"/>
      <c r="D25" s="164"/>
      <c r="E25" s="24"/>
      <c r="F25" s="29"/>
      <c r="G25" s="25" t="str">
        <f>IF(SUM($F$5:F25)=0,"",SUM($F$5:F25))</f>
        <v/>
      </c>
      <c r="H25" s="43" t="str">
        <f t="shared" si="0"/>
        <v/>
      </c>
      <c r="I25" s="148" t="e">
        <f t="array" aca="1" ref="I25" ca="1">IF($A26="",$G25/($V25-$U$5+INDIRECT(IF(_xlfn.SHEET()&lt;6,"令和8年"&amp;_xlfn.SHEET()+7&amp;"月","令和9年"&amp;_xlfn.SHEET()-5&amp;"月")&amp;"!$U$5")),$G25/($V26-$U$5))</f>
        <v>#VALUE!</v>
      </c>
      <c r="J25" s="26" t="str">
        <f t="shared" si="1"/>
        <v/>
      </c>
      <c r="K25" s="27"/>
      <c r="L25" s="165">
        <f t="shared" si="2"/>
        <v>0</v>
      </c>
      <c r="M25" s="28" t="str">
        <f t="shared" si="3"/>
        <v/>
      </c>
      <c r="N25" s="166" t="str">
        <f t="shared" si="4"/>
        <v/>
      </c>
      <c r="O25" s="167" t="str">
        <f t="shared" si="5"/>
        <v/>
      </c>
      <c r="P25" s="168"/>
      <c r="Q25" s="169" t="str">
        <f t="shared" si="6"/>
        <v/>
      </c>
      <c r="R25" s="170">
        <v>30</v>
      </c>
      <c r="S25" s="171">
        <v>16</v>
      </c>
      <c r="T25" s="24" t="s">
        <v>84</v>
      </c>
      <c r="U25" s="29">
        <v>144169</v>
      </c>
      <c r="V25" s="30">
        <f t="shared" si="41"/>
        <v>8576510</v>
      </c>
      <c r="W25" s="27">
        <v>121</v>
      </c>
      <c r="X25" s="31">
        <f t="shared" si="7"/>
        <v>1191.4793388429753</v>
      </c>
      <c r="Y25" s="29">
        <v>246198</v>
      </c>
      <c r="Z25" s="32">
        <f t="shared" si="42"/>
        <v>8276055</v>
      </c>
      <c r="AA25" s="33">
        <f t="shared" si="8"/>
        <v>1.0363041328265701</v>
      </c>
      <c r="AB25" s="158">
        <v>200000</v>
      </c>
      <c r="AC25" s="34">
        <f t="shared" si="43"/>
        <v>8890000</v>
      </c>
      <c r="AD25" s="158"/>
      <c r="AE25" s="25"/>
      <c r="AF25" s="25"/>
      <c r="AG25" s="25"/>
      <c r="AH25" s="25"/>
      <c r="AI25" s="25"/>
      <c r="AJ25" s="25"/>
      <c r="AK25" s="25"/>
      <c r="AL25" s="158"/>
      <c r="AM25" s="25"/>
      <c r="AN25" s="158"/>
      <c r="AO25" s="25"/>
      <c r="AP25" s="25"/>
      <c r="AQ25" s="158"/>
      <c r="AR25" s="35">
        <f t="shared" si="9"/>
        <v>0</v>
      </c>
      <c r="AS25" s="172" t="str">
        <f t="shared" si="10"/>
        <v/>
      </c>
      <c r="AT25" s="36">
        <f t="shared" si="11"/>
        <v>0</v>
      </c>
      <c r="AU25" s="173"/>
      <c r="AV25" s="82">
        <f t="shared" si="12"/>
        <v>21</v>
      </c>
      <c r="AW25" s="37"/>
      <c r="AX25" s="174" t="str">
        <f t="shared" si="13"/>
        <v/>
      </c>
      <c r="AY25" s="37"/>
      <c r="AZ25" s="174" t="str">
        <f t="shared" si="14"/>
        <v/>
      </c>
      <c r="BA25" s="37"/>
      <c r="BB25" s="174" t="str">
        <f t="shared" si="15"/>
        <v/>
      </c>
      <c r="BC25" s="37"/>
      <c r="BD25" s="174" t="str">
        <f t="shared" si="16"/>
        <v/>
      </c>
      <c r="BE25" s="37"/>
      <c r="BF25" s="174" t="str">
        <f t="shared" si="17"/>
        <v/>
      </c>
      <c r="BG25" s="37"/>
      <c r="BH25" s="174" t="str">
        <f t="shared" si="18"/>
        <v/>
      </c>
      <c r="BI25" s="37"/>
      <c r="BJ25" s="174" t="str">
        <f t="shared" si="19"/>
        <v/>
      </c>
      <c r="BK25" s="37"/>
      <c r="BL25" s="174" t="str">
        <f t="shared" si="20"/>
        <v/>
      </c>
      <c r="BM25" s="37"/>
      <c r="BN25" s="174" t="str">
        <f t="shared" si="21"/>
        <v/>
      </c>
      <c r="BO25" s="37"/>
      <c r="BP25" s="174" t="str">
        <f t="shared" si="22"/>
        <v/>
      </c>
      <c r="BQ25" s="37"/>
      <c r="BR25" s="174" t="str">
        <f t="shared" si="23"/>
        <v/>
      </c>
      <c r="BS25" s="37"/>
      <c r="BT25" s="174" t="str">
        <f t="shared" si="24"/>
        <v/>
      </c>
      <c r="BU25" s="37"/>
      <c r="BV25" s="174" t="str">
        <f t="shared" si="25"/>
        <v/>
      </c>
      <c r="BW25" s="37"/>
      <c r="BX25" s="174" t="str">
        <f t="shared" si="26"/>
        <v/>
      </c>
      <c r="BY25" s="37"/>
      <c r="BZ25" s="174" t="str">
        <f t="shared" si="27"/>
        <v/>
      </c>
      <c r="CA25" s="37"/>
      <c r="CB25" s="174" t="str">
        <f t="shared" si="28"/>
        <v/>
      </c>
      <c r="CC25" s="37"/>
      <c r="CD25" s="174" t="str">
        <f t="shared" si="29"/>
        <v/>
      </c>
      <c r="CE25" s="37"/>
      <c r="CF25" s="174" t="str">
        <f t="shared" si="30"/>
        <v/>
      </c>
      <c r="CG25" s="37"/>
      <c r="CH25" s="174" t="str">
        <f t="shared" si="31"/>
        <v/>
      </c>
      <c r="CI25" s="37"/>
      <c r="CJ25" s="174" t="str">
        <f t="shared" si="32"/>
        <v/>
      </c>
      <c r="CK25" s="37"/>
      <c r="CL25" s="174" t="str">
        <f t="shared" si="33"/>
        <v/>
      </c>
      <c r="CM25" s="37"/>
      <c r="CN25" s="174" t="str">
        <f t="shared" si="34"/>
        <v/>
      </c>
      <c r="CO25" s="37"/>
      <c r="CP25" s="174" t="str">
        <f t="shared" si="35"/>
        <v/>
      </c>
      <c r="CQ25" s="37"/>
      <c r="CR25" s="174" t="str">
        <f t="shared" si="36"/>
        <v/>
      </c>
      <c r="CS25" s="37"/>
      <c r="CT25" s="174" t="str">
        <f t="shared" si="37"/>
        <v/>
      </c>
      <c r="CU25" s="38"/>
      <c r="CV25" s="87"/>
      <c r="CW25" s="90"/>
      <c r="CX25" s="38"/>
      <c r="CY25" s="39"/>
      <c r="CZ25" s="37"/>
      <c r="DA25" s="39"/>
      <c r="DB25" s="24">
        <v>21</v>
      </c>
      <c r="DC25" s="96" t="str">
        <f t="shared" si="38"/>
        <v>金</v>
      </c>
      <c r="DF25" s="125"/>
      <c r="DG25" s="40"/>
      <c r="DH25" s="40"/>
      <c r="DI25" s="40"/>
      <c r="DJ25" s="40"/>
      <c r="DK25" s="40"/>
      <c r="DL25" s="40"/>
      <c r="DM25" s="40"/>
      <c r="DN25" s="40"/>
      <c r="DO25" s="40"/>
      <c r="DP25" s="40">
        <f t="shared" si="39"/>
        <v>0</v>
      </c>
      <c r="DQ25" s="172" t="str">
        <f t="shared" si="40"/>
        <v/>
      </c>
      <c r="DS25" s="189"/>
      <c r="DT25" s="190"/>
      <c r="DU25" s="190"/>
      <c r="DV25" s="191"/>
      <c r="DW25" s="138"/>
      <c r="DX25" s="42"/>
    </row>
    <row r="26" spans="1:128" ht="13.5" customHeight="1" x14ac:dyDescent="0.4">
      <c r="A26" s="104">
        <v>22</v>
      </c>
      <c r="B26" s="23" t="s">
        <v>88</v>
      </c>
      <c r="C26" s="164"/>
      <c r="D26" s="164"/>
      <c r="E26" s="24"/>
      <c r="F26" s="29"/>
      <c r="G26" s="25" t="str">
        <f>IF(SUM($F$5:F26)=0,"",SUM($F$5:F26))</f>
        <v/>
      </c>
      <c r="H26" s="43" t="str">
        <f t="shared" si="0"/>
        <v/>
      </c>
      <c r="I26" s="148" t="e">
        <f t="array" aca="1" ref="I26" ca="1">IF($A27="",$G26/($V26-$U$5+INDIRECT(IF(_xlfn.SHEET()&lt;6,"令和8年"&amp;_xlfn.SHEET()+7&amp;"月","令和9年"&amp;_xlfn.SHEET()-5&amp;"月")&amp;"!$U$5")),$G26/($V27-$U$5))</f>
        <v>#VALUE!</v>
      </c>
      <c r="J26" s="26" t="str">
        <f t="shared" si="1"/>
        <v/>
      </c>
      <c r="K26" s="27"/>
      <c r="L26" s="165">
        <f t="shared" si="2"/>
        <v>0</v>
      </c>
      <c r="M26" s="28" t="str">
        <f t="shared" si="3"/>
        <v/>
      </c>
      <c r="N26" s="166" t="str">
        <f t="shared" si="4"/>
        <v/>
      </c>
      <c r="O26" s="167" t="str">
        <f t="shared" si="5"/>
        <v/>
      </c>
      <c r="P26" s="168"/>
      <c r="Q26" s="169" t="str">
        <f t="shared" si="6"/>
        <v/>
      </c>
      <c r="R26" s="170">
        <v>23</v>
      </c>
      <c r="S26" s="171">
        <v>18</v>
      </c>
      <c r="T26" s="24" t="s">
        <v>109</v>
      </c>
      <c r="U26" s="29">
        <v>154095</v>
      </c>
      <c r="V26" s="30">
        <f t="shared" si="41"/>
        <v>8730605</v>
      </c>
      <c r="W26" s="27">
        <v>104</v>
      </c>
      <c r="X26" s="31">
        <f t="shared" si="7"/>
        <v>1481.6826923076924</v>
      </c>
      <c r="Y26" s="29">
        <v>145575</v>
      </c>
      <c r="Z26" s="32">
        <f t="shared" si="42"/>
        <v>8421630</v>
      </c>
      <c r="AA26" s="33">
        <f t="shared" si="8"/>
        <v>1.0366882658107754</v>
      </c>
      <c r="AB26" s="158">
        <v>600000</v>
      </c>
      <c r="AC26" s="34">
        <f t="shared" si="43"/>
        <v>9490000</v>
      </c>
      <c r="AD26" s="158"/>
      <c r="AE26" s="25"/>
      <c r="AF26" s="25"/>
      <c r="AG26" s="25"/>
      <c r="AH26" s="25"/>
      <c r="AI26" s="25"/>
      <c r="AJ26" s="25"/>
      <c r="AK26" s="25"/>
      <c r="AL26" s="158"/>
      <c r="AM26" s="25"/>
      <c r="AN26" s="158"/>
      <c r="AO26" s="25"/>
      <c r="AP26" s="25"/>
      <c r="AQ26" s="158"/>
      <c r="AR26" s="35">
        <f t="shared" si="9"/>
        <v>0</v>
      </c>
      <c r="AS26" s="172" t="str">
        <f t="shared" si="10"/>
        <v/>
      </c>
      <c r="AT26" s="36">
        <f t="shared" si="11"/>
        <v>0</v>
      </c>
      <c r="AU26" s="173"/>
      <c r="AV26" s="82">
        <f t="shared" si="12"/>
        <v>22</v>
      </c>
      <c r="AW26" s="37"/>
      <c r="AX26" s="174" t="str">
        <f t="shared" si="13"/>
        <v/>
      </c>
      <c r="AY26" s="37"/>
      <c r="AZ26" s="174" t="str">
        <f t="shared" si="14"/>
        <v/>
      </c>
      <c r="BA26" s="37"/>
      <c r="BB26" s="174" t="str">
        <f t="shared" si="15"/>
        <v/>
      </c>
      <c r="BC26" s="37"/>
      <c r="BD26" s="174" t="str">
        <f t="shared" si="16"/>
        <v/>
      </c>
      <c r="BE26" s="37"/>
      <c r="BF26" s="174" t="str">
        <f t="shared" si="17"/>
        <v/>
      </c>
      <c r="BG26" s="37"/>
      <c r="BH26" s="174" t="str">
        <f t="shared" si="18"/>
        <v/>
      </c>
      <c r="BI26" s="37"/>
      <c r="BJ26" s="174" t="str">
        <f t="shared" si="19"/>
        <v/>
      </c>
      <c r="BK26" s="37"/>
      <c r="BL26" s="174" t="str">
        <f t="shared" si="20"/>
        <v/>
      </c>
      <c r="BM26" s="37"/>
      <c r="BN26" s="174" t="str">
        <f t="shared" si="21"/>
        <v/>
      </c>
      <c r="BO26" s="37"/>
      <c r="BP26" s="174" t="str">
        <f t="shared" si="22"/>
        <v/>
      </c>
      <c r="BQ26" s="37"/>
      <c r="BR26" s="174" t="str">
        <f t="shared" si="23"/>
        <v/>
      </c>
      <c r="BS26" s="37"/>
      <c r="BT26" s="174" t="str">
        <f t="shared" si="24"/>
        <v/>
      </c>
      <c r="BU26" s="37"/>
      <c r="BV26" s="174" t="str">
        <f t="shared" si="25"/>
        <v/>
      </c>
      <c r="BW26" s="37"/>
      <c r="BX26" s="174" t="str">
        <f t="shared" si="26"/>
        <v/>
      </c>
      <c r="BY26" s="37"/>
      <c r="BZ26" s="174" t="str">
        <f t="shared" si="27"/>
        <v/>
      </c>
      <c r="CA26" s="37"/>
      <c r="CB26" s="174" t="str">
        <f t="shared" si="28"/>
        <v/>
      </c>
      <c r="CC26" s="37"/>
      <c r="CD26" s="174" t="str">
        <f t="shared" si="29"/>
        <v/>
      </c>
      <c r="CE26" s="37"/>
      <c r="CF26" s="174" t="str">
        <f t="shared" si="30"/>
        <v/>
      </c>
      <c r="CG26" s="37"/>
      <c r="CH26" s="174" t="str">
        <f t="shared" si="31"/>
        <v/>
      </c>
      <c r="CI26" s="37"/>
      <c r="CJ26" s="174" t="str">
        <f t="shared" si="32"/>
        <v/>
      </c>
      <c r="CK26" s="37"/>
      <c r="CL26" s="174" t="str">
        <f t="shared" si="33"/>
        <v/>
      </c>
      <c r="CM26" s="37"/>
      <c r="CN26" s="174" t="str">
        <f t="shared" si="34"/>
        <v/>
      </c>
      <c r="CO26" s="37"/>
      <c r="CP26" s="174" t="str">
        <f t="shared" si="35"/>
        <v/>
      </c>
      <c r="CQ26" s="37"/>
      <c r="CR26" s="174" t="str">
        <f t="shared" si="36"/>
        <v/>
      </c>
      <c r="CS26" s="37"/>
      <c r="CT26" s="174" t="str">
        <f t="shared" si="37"/>
        <v/>
      </c>
      <c r="CU26" s="38"/>
      <c r="CV26" s="87"/>
      <c r="CW26" s="90"/>
      <c r="CX26" s="38"/>
      <c r="CY26" s="39"/>
      <c r="CZ26" s="37"/>
      <c r="DA26" s="39"/>
      <c r="DB26" s="24">
        <v>22</v>
      </c>
      <c r="DC26" s="96" t="str">
        <f t="shared" si="38"/>
        <v>土</v>
      </c>
      <c r="DF26" s="125"/>
      <c r="DG26" s="40"/>
      <c r="DH26" s="40"/>
      <c r="DI26" s="40"/>
      <c r="DJ26" s="40"/>
      <c r="DK26" s="40"/>
      <c r="DL26" s="40"/>
      <c r="DM26" s="40"/>
      <c r="DN26" s="40"/>
      <c r="DO26" s="40"/>
      <c r="DP26" s="40">
        <f t="shared" si="39"/>
        <v>0</v>
      </c>
      <c r="DQ26" s="172" t="str">
        <f t="shared" si="40"/>
        <v/>
      </c>
      <c r="DS26" s="189"/>
      <c r="DT26" s="190"/>
      <c r="DU26" s="190"/>
      <c r="DV26" s="191"/>
      <c r="DW26" s="41"/>
      <c r="DX26" s="42"/>
    </row>
    <row r="27" spans="1:128" ht="13.5" customHeight="1" x14ac:dyDescent="0.4">
      <c r="A27" s="104">
        <v>23</v>
      </c>
      <c r="B27" s="23" t="s">
        <v>89</v>
      </c>
      <c r="C27" s="164"/>
      <c r="D27" s="164"/>
      <c r="E27" s="24"/>
      <c r="F27" s="29"/>
      <c r="G27" s="25" t="str">
        <f>IF(SUM($F$5:F27)=0,"",SUM($F$5:F27))</f>
        <v/>
      </c>
      <c r="H27" s="43" t="str">
        <f t="shared" si="0"/>
        <v/>
      </c>
      <c r="I27" s="148" t="e">
        <f t="array" aca="1" ref="I27" ca="1">IF($A28="",$G27/($V27-$U$5+INDIRECT(IF(_xlfn.SHEET()&lt;6,"令和8年"&amp;_xlfn.SHEET()+7&amp;"月","令和9年"&amp;_xlfn.SHEET()-5&amp;"月")&amp;"!$U$5")),$G27/($V28-$U$5))</f>
        <v>#VALUE!</v>
      </c>
      <c r="J27" s="26" t="str">
        <f t="shared" si="1"/>
        <v/>
      </c>
      <c r="K27" s="27"/>
      <c r="L27" s="165">
        <f t="shared" si="2"/>
        <v>0</v>
      </c>
      <c r="M27" s="28" t="str">
        <f t="shared" si="3"/>
        <v/>
      </c>
      <c r="N27" s="166" t="str">
        <f t="shared" si="4"/>
        <v/>
      </c>
      <c r="O27" s="167" t="str">
        <f t="shared" si="5"/>
        <v/>
      </c>
      <c r="P27" s="168"/>
      <c r="Q27" s="169" t="str">
        <f t="shared" si="6"/>
        <v/>
      </c>
      <c r="R27" s="170">
        <v>25</v>
      </c>
      <c r="S27" s="171">
        <v>20</v>
      </c>
      <c r="T27" s="24" t="s">
        <v>109</v>
      </c>
      <c r="U27" s="29">
        <v>598354</v>
      </c>
      <c r="V27" s="30">
        <f t="shared" si="41"/>
        <v>9328959</v>
      </c>
      <c r="W27" s="27">
        <v>421</v>
      </c>
      <c r="X27" s="31">
        <f t="shared" si="7"/>
        <v>1421.2684085510689</v>
      </c>
      <c r="Y27" s="29">
        <v>150943</v>
      </c>
      <c r="Z27" s="32">
        <f t="shared" si="42"/>
        <v>8572573</v>
      </c>
      <c r="AA27" s="33">
        <f t="shared" si="8"/>
        <v>1.0882332527235405</v>
      </c>
      <c r="AB27" s="158">
        <v>600000</v>
      </c>
      <c r="AC27" s="34">
        <f t="shared" si="43"/>
        <v>10090000</v>
      </c>
      <c r="AD27" s="158"/>
      <c r="AE27" s="25"/>
      <c r="AF27" s="25"/>
      <c r="AG27" s="25"/>
      <c r="AH27" s="25"/>
      <c r="AI27" s="25"/>
      <c r="AJ27" s="25"/>
      <c r="AK27" s="25"/>
      <c r="AL27" s="158"/>
      <c r="AM27" s="25"/>
      <c r="AN27" s="158"/>
      <c r="AO27" s="25"/>
      <c r="AP27" s="25"/>
      <c r="AQ27" s="158"/>
      <c r="AR27" s="35">
        <f t="shared" si="9"/>
        <v>0</v>
      </c>
      <c r="AS27" s="172" t="str">
        <f t="shared" si="10"/>
        <v/>
      </c>
      <c r="AT27" s="36">
        <f t="shared" si="11"/>
        <v>0</v>
      </c>
      <c r="AU27" s="173"/>
      <c r="AV27" s="82">
        <f t="shared" si="12"/>
        <v>23</v>
      </c>
      <c r="AW27" s="37"/>
      <c r="AX27" s="174" t="str">
        <f t="shared" si="13"/>
        <v/>
      </c>
      <c r="AY27" s="37"/>
      <c r="AZ27" s="174" t="str">
        <f t="shared" si="14"/>
        <v/>
      </c>
      <c r="BA27" s="37"/>
      <c r="BB27" s="174" t="str">
        <f t="shared" si="15"/>
        <v/>
      </c>
      <c r="BC27" s="37"/>
      <c r="BD27" s="174" t="str">
        <f t="shared" si="16"/>
        <v/>
      </c>
      <c r="BE27" s="37"/>
      <c r="BF27" s="174" t="str">
        <f t="shared" si="17"/>
        <v/>
      </c>
      <c r="BG27" s="37"/>
      <c r="BH27" s="174" t="str">
        <f t="shared" si="18"/>
        <v/>
      </c>
      <c r="BI27" s="37"/>
      <c r="BJ27" s="174" t="str">
        <f t="shared" si="19"/>
        <v/>
      </c>
      <c r="BK27" s="37"/>
      <c r="BL27" s="174" t="str">
        <f t="shared" si="20"/>
        <v/>
      </c>
      <c r="BM27" s="37"/>
      <c r="BN27" s="174" t="str">
        <f t="shared" si="21"/>
        <v/>
      </c>
      <c r="BO27" s="37"/>
      <c r="BP27" s="174" t="str">
        <f t="shared" si="22"/>
        <v/>
      </c>
      <c r="BQ27" s="37"/>
      <c r="BR27" s="174" t="str">
        <f t="shared" si="23"/>
        <v/>
      </c>
      <c r="BS27" s="37"/>
      <c r="BT27" s="174" t="str">
        <f t="shared" si="24"/>
        <v/>
      </c>
      <c r="BU27" s="37"/>
      <c r="BV27" s="174" t="str">
        <f t="shared" si="25"/>
        <v/>
      </c>
      <c r="BW27" s="37"/>
      <c r="BX27" s="174" t="str">
        <f t="shared" si="26"/>
        <v/>
      </c>
      <c r="BY27" s="37"/>
      <c r="BZ27" s="174" t="str">
        <f t="shared" si="27"/>
        <v/>
      </c>
      <c r="CA27" s="37"/>
      <c r="CB27" s="174" t="str">
        <f t="shared" si="28"/>
        <v/>
      </c>
      <c r="CC27" s="37"/>
      <c r="CD27" s="174" t="str">
        <f t="shared" si="29"/>
        <v/>
      </c>
      <c r="CE27" s="37"/>
      <c r="CF27" s="174" t="str">
        <f t="shared" si="30"/>
        <v/>
      </c>
      <c r="CG27" s="37"/>
      <c r="CH27" s="174" t="str">
        <f t="shared" si="31"/>
        <v/>
      </c>
      <c r="CI27" s="37"/>
      <c r="CJ27" s="174" t="str">
        <f t="shared" si="32"/>
        <v/>
      </c>
      <c r="CK27" s="37"/>
      <c r="CL27" s="174" t="str">
        <f t="shared" si="33"/>
        <v/>
      </c>
      <c r="CM27" s="37"/>
      <c r="CN27" s="174" t="str">
        <f t="shared" si="34"/>
        <v/>
      </c>
      <c r="CO27" s="37"/>
      <c r="CP27" s="174" t="str">
        <f t="shared" si="35"/>
        <v/>
      </c>
      <c r="CQ27" s="37"/>
      <c r="CR27" s="174" t="str">
        <f t="shared" si="36"/>
        <v/>
      </c>
      <c r="CS27" s="37"/>
      <c r="CT27" s="174" t="str">
        <f t="shared" si="37"/>
        <v/>
      </c>
      <c r="CU27" s="38"/>
      <c r="CV27" s="87"/>
      <c r="CW27" s="90"/>
      <c r="CX27" s="38"/>
      <c r="CY27" s="39"/>
      <c r="CZ27" s="37"/>
      <c r="DA27" s="39"/>
      <c r="DB27" s="24">
        <v>23</v>
      </c>
      <c r="DC27" s="96" t="str">
        <f t="shared" si="38"/>
        <v>日</v>
      </c>
      <c r="DF27" s="125"/>
      <c r="DG27" s="40"/>
      <c r="DH27" s="40"/>
      <c r="DI27" s="40"/>
      <c r="DJ27" s="40"/>
      <c r="DK27" s="40"/>
      <c r="DL27" s="40"/>
      <c r="DM27" s="40"/>
      <c r="DN27" s="40"/>
      <c r="DO27" s="40"/>
      <c r="DP27" s="40">
        <f t="shared" si="39"/>
        <v>0</v>
      </c>
      <c r="DQ27" s="172" t="str">
        <f t="shared" si="40"/>
        <v/>
      </c>
      <c r="DS27" s="189"/>
      <c r="DT27" s="190"/>
      <c r="DU27" s="190"/>
      <c r="DV27" s="191"/>
      <c r="DW27" s="41"/>
      <c r="DX27" s="42"/>
    </row>
    <row r="28" spans="1:128" ht="13.5" customHeight="1" x14ac:dyDescent="0.4">
      <c r="A28" s="104">
        <v>24</v>
      </c>
      <c r="B28" s="23" t="s">
        <v>90</v>
      </c>
      <c r="C28" s="164"/>
      <c r="D28" s="164"/>
      <c r="E28" s="24"/>
      <c r="F28" s="29"/>
      <c r="G28" s="25" t="str">
        <f>IF(SUM($F$5:F28)=0,"",SUM($F$5:F28))</f>
        <v/>
      </c>
      <c r="H28" s="43" t="str">
        <f t="shared" si="0"/>
        <v/>
      </c>
      <c r="I28" s="148" t="e">
        <f t="array" aca="1" ref="I28" ca="1">IF($A29="",$G28/($V28-$U$5+INDIRECT(IF(_xlfn.SHEET()&lt;6,"令和8年"&amp;_xlfn.SHEET()+7&amp;"月","令和9年"&amp;_xlfn.SHEET()-5&amp;"月")&amp;"!$U$5")),$G28/($V29-$U$5))</f>
        <v>#VALUE!</v>
      </c>
      <c r="J28" s="26" t="str">
        <f t="shared" si="1"/>
        <v/>
      </c>
      <c r="K28" s="27"/>
      <c r="L28" s="165">
        <f t="shared" si="2"/>
        <v>0</v>
      </c>
      <c r="M28" s="28" t="str">
        <f t="shared" si="3"/>
        <v/>
      </c>
      <c r="N28" s="166" t="str">
        <f t="shared" si="4"/>
        <v/>
      </c>
      <c r="O28" s="167" t="str">
        <f t="shared" si="5"/>
        <v/>
      </c>
      <c r="P28" s="168"/>
      <c r="Q28" s="169" t="str">
        <f t="shared" si="6"/>
        <v/>
      </c>
      <c r="R28" s="170">
        <v>30</v>
      </c>
      <c r="S28" s="171">
        <v>14.2</v>
      </c>
      <c r="T28" s="24" t="s">
        <v>84</v>
      </c>
      <c r="U28" s="29">
        <v>658270</v>
      </c>
      <c r="V28" s="30">
        <f t="shared" si="41"/>
        <v>9987229</v>
      </c>
      <c r="W28" s="27">
        <v>504</v>
      </c>
      <c r="X28" s="31">
        <f t="shared" si="7"/>
        <v>1306.0912698412699</v>
      </c>
      <c r="Y28" s="29">
        <v>748669</v>
      </c>
      <c r="Z28" s="32">
        <f t="shared" si="42"/>
        <v>9321242</v>
      </c>
      <c r="AA28" s="33">
        <f t="shared" si="8"/>
        <v>1.0714483112872726</v>
      </c>
      <c r="AB28" s="158">
        <v>200000</v>
      </c>
      <c r="AC28" s="34">
        <f t="shared" si="43"/>
        <v>10290000</v>
      </c>
      <c r="AD28" s="158"/>
      <c r="AE28" s="25"/>
      <c r="AF28" s="25"/>
      <c r="AG28" s="25"/>
      <c r="AH28" s="25"/>
      <c r="AI28" s="25"/>
      <c r="AJ28" s="25"/>
      <c r="AK28" s="25"/>
      <c r="AL28" s="158"/>
      <c r="AM28" s="25"/>
      <c r="AN28" s="158"/>
      <c r="AO28" s="25"/>
      <c r="AP28" s="25"/>
      <c r="AQ28" s="158"/>
      <c r="AR28" s="35">
        <f t="shared" si="9"/>
        <v>0</v>
      </c>
      <c r="AS28" s="172" t="str">
        <f t="shared" si="10"/>
        <v/>
      </c>
      <c r="AT28" s="36">
        <f t="shared" si="11"/>
        <v>0</v>
      </c>
      <c r="AU28" s="173"/>
      <c r="AV28" s="82">
        <f t="shared" si="12"/>
        <v>24</v>
      </c>
      <c r="AW28" s="37"/>
      <c r="AX28" s="174" t="str">
        <f t="shared" si="13"/>
        <v/>
      </c>
      <c r="AY28" s="37"/>
      <c r="AZ28" s="174" t="str">
        <f t="shared" si="14"/>
        <v/>
      </c>
      <c r="BA28" s="37"/>
      <c r="BB28" s="174" t="str">
        <f t="shared" si="15"/>
        <v/>
      </c>
      <c r="BC28" s="37"/>
      <c r="BD28" s="174" t="str">
        <f t="shared" si="16"/>
        <v/>
      </c>
      <c r="BE28" s="37"/>
      <c r="BF28" s="174" t="str">
        <f t="shared" si="17"/>
        <v/>
      </c>
      <c r="BG28" s="37"/>
      <c r="BH28" s="174" t="str">
        <f t="shared" si="18"/>
        <v/>
      </c>
      <c r="BI28" s="37"/>
      <c r="BJ28" s="174" t="str">
        <f t="shared" si="19"/>
        <v/>
      </c>
      <c r="BK28" s="37"/>
      <c r="BL28" s="174" t="str">
        <f t="shared" si="20"/>
        <v/>
      </c>
      <c r="BM28" s="37"/>
      <c r="BN28" s="174" t="str">
        <f t="shared" si="21"/>
        <v/>
      </c>
      <c r="BO28" s="37"/>
      <c r="BP28" s="174" t="str">
        <f t="shared" si="22"/>
        <v/>
      </c>
      <c r="BQ28" s="37"/>
      <c r="BR28" s="174" t="str">
        <f t="shared" si="23"/>
        <v/>
      </c>
      <c r="BS28" s="37"/>
      <c r="BT28" s="174" t="str">
        <f t="shared" si="24"/>
        <v/>
      </c>
      <c r="BU28" s="37"/>
      <c r="BV28" s="174" t="str">
        <f t="shared" si="25"/>
        <v/>
      </c>
      <c r="BW28" s="37"/>
      <c r="BX28" s="174" t="str">
        <f t="shared" si="26"/>
        <v/>
      </c>
      <c r="BY28" s="37"/>
      <c r="BZ28" s="174" t="str">
        <f t="shared" si="27"/>
        <v/>
      </c>
      <c r="CA28" s="37"/>
      <c r="CB28" s="174" t="str">
        <f t="shared" si="28"/>
        <v/>
      </c>
      <c r="CC28" s="37"/>
      <c r="CD28" s="174" t="str">
        <f t="shared" si="29"/>
        <v/>
      </c>
      <c r="CE28" s="37"/>
      <c r="CF28" s="174" t="str">
        <f t="shared" si="30"/>
        <v/>
      </c>
      <c r="CG28" s="37"/>
      <c r="CH28" s="174" t="str">
        <f t="shared" si="31"/>
        <v/>
      </c>
      <c r="CI28" s="37"/>
      <c r="CJ28" s="174" t="str">
        <f t="shared" si="32"/>
        <v/>
      </c>
      <c r="CK28" s="37"/>
      <c r="CL28" s="174" t="str">
        <f t="shared" si="33"/>
        <v/>
      </c>
      <c r="CM28" s="37"/>
      <c r="CN28" s="174" t="str">
        <f t="shared" si="34"/>
        <v/>
      </c>
      <c r="CO28" s="37"/>
      <c r="CP28" s="174" t="str">
        <f t="shared" si="35"/>
        <v/>
      </c>
      <c r="CQ28" s="37"/>
      <c r="CR28" s="174" t="str">
        <f t="shared" si="36"/>
        <v/>
      </c>
      <c r="CS28" s="37"/>
      <c r="CT28" s="174" t="str">
        <f t="shared" si="37"/>
        <v/>
      </c>
      <c r="CU28" s="38"/>
      <c r="CV28" s="87"/>
      <c r="CW28" s="90"/>
      <c r="CX28" s="38"/>
      <c r="CY28" s="39"/>
      <c r="CZ28" s="37"/>
      <c r="DA28" s="39"/>
      <c r="DB28" s="24">
        <v>24</v>
      </c>
      <c r="DC28" s="96" t="str">
        <f t="shared" si="38"/>
        <v>月</v>
      </c>
      <c r="DF28" s="125"/>
      <c r="DG28" s="40"/>
      <c r="DH28" s="40"/>
      <c r="DI28" s="40"/>
      <c r="DJ28" s="40"/>
      <c r="DK28" s="40"/>
      <c r="DL28" s="40"/>
      <c r="DM28" s="40"/>
      <c r="DN28" s="40"/>
      <c r="DO28" s="40"/>
      <c r="DP28" s="40">
        <f t="shared" si="39"/>
        <v>0</v>
      </c>
      <c r="DQ28" s="172" t="str">
        <f t="shared" si="40"/>
        <v/>
      </c>
      <c r="DS28" s="189"/>
      <c r="DT28" s="190"/>
      <c r="DU28" s="190"/>
      <c r="DV28" s="191"/>
      <c r="DW28" s="138"/>
      <c r="DX28" s="42"/>
    </row>
    <row r="29" spans="1:128" ht="13.5" customHeight="1" x14ac:dyDescent="0.4">
      <c r="A29" s="104">
        <v>25</v>
      </c>
      <c r="B29" s="23" t="s">
        <v>91</v>
      </c>
      <c r="C29" s="164"/>
      <c r="D29" s="164"/>
      <c r="E29" s="24"/>
      <c r="F29" s="29"/>
      <c r="G29" s="25" t="str">
        <f>IF(SUM($F$5:F29)=0,"",SUM($F$5:F29))</f>
        <v/>
      </c>
      <c r="H29" s="43" t="str">
        <f t="shared" si="0"/>
        <v/>
      </c>
      <c r="I29" s="148" t="e">
        <f t="array" aca="1" ref="I29" ca="1">IF($A30="",$G29/($V29-$U$5+INDIRECT(IF(_xlfn.SHEET()&lt;6,"令和8年"&amp;_xlfn.SHEET()+7&amp;"月","令和9年"&amp;_xlfn.SHEET()-5&amp;"月")&amp;"!$U$5")),$G29/($V30-$U$5))</f>
        <v>#VALUE!</v>
      </c>
      <c r="J29" s="26" t="str">
        <f t="shared" si="1"/>
        <v/>
      </c>
      <c r="K29" s="27"/>
      <c r="L29" s="165">
        <f t="shared" si="2"/>
        <v>0</v>
      </c>
      <c r="M29" s="28" t="str">
        <f t="shared" si="3"/>
        <v/>
      </c>
      <c r="N29" s="166" t="str">
        <f t="shared" si="4"/>
        <v/>
      </c>
      <c r="O29" s="167" t="str">
        <f t="shared" si="5"/>
        <v/>
      </c>
      <c r="P29" s="168"/>
      <c r="Q29" s="169" t="str">
        <f t="shared" si="6"/>
        <v/>
      </c>
      <c r="R29" s="170">
        <v>30</v>
      </c>
      <c r="S29" s="171">
        <v>18</v>
      </c>
      <c r="T29" s="24" t="s">
        <v>84</v>
      </c>
      <c r="U29" s="29">
        <v>161334</v>
      </c>
      <c r="V29" s="30">
        <f t="shared" si="41"/>
        <v>10148563</v>
      </c>
      <c r="W29" s="27">
        <v>108</v>
      </c>
      <c r="X29" s="31">
        <f t="shared" si="7"/>
        <v>1493.8333333333333</v>
      </c>
      <c r="Y29" s="29">
        <v>851176</v>
      </c>
      <c r="Z29" s="32">
        <f t="shared" si="42"/>
        <v>10172418</v>
      </c>
      <c r="AA29" s="33">
        <f t="shared" si="8"/>
        <v>0.99765493317321408</v>
      </c>
      <c r="AB29" s="158">
        <v>200000</v>
      </c>
      <c r="AC29" s="34">
        <f t="shared" si="43"/>
        <v>10490000</v>
      </c>
      <c r="AD29" s="158"/>
      <c r="AE29" s="25"/>
      <c r="AF29" s="25"/>
      <c r="AG29" s="25"/>
      <c r="AH29" s="25"/>
      <c r="AI29" s="25"/>
      <c r="AJ29" s="25"/>
      <c r="AK29" s="25"/>
      <c r="AL29" s="158"/>
      <c r="AM29" s="25"/>
      <c r="AN29" s="158"/>
      <c r="AO29" s="25"/>
      <c r="AP29" s="25"/>
      <c r="AQ29" s="158"/>
      <c r="AR29" s="35">
        <f t="shared" si="9"/>
        <v>0</v>
      </c>
      <c r="AS29" s="172" t="str">
        <f t="shared" si="10"/>
        <v/>
      </c>
      <c r="AT29" s="36">
        <f t="shared" si="11"/>
        <v>0</v>
      </c>
      <c r="AU29" s="173"/>
      <c r="AV29" s="82">
        <f t="shared" si="12"/>
        <v>25</v>
      </c>
      <c r="AW29" s="37"/>
      <c r="AX29" s="174" t="str">
        <f t="shared" si="13"/>
        <v/>
      </c>
      <c r="AY29" s="37"/>
      <c r="AZ29" s="174" t="str">
        <f t="shared" si="14"/>
        <v/>
      </c>
      <c r="BA29" s="37"/>
      <c r="BB29" s="174" t="str">
        <f t="shared" si="15"/>
        <v/>
      </c>
      <c r="BC29" s="37"/>
      <c r="BD29" s="174" t="str">
        <f t="shared" si="16"/>
        <v/>
      </c>
      <c r="BE29" s="37"/>
      <c r="BF29" s="174" t="str">
        <f t="shared" si="17"/>
        <v/>
      </c>
      <c r="BG29" s="37"/>
      <c r="BH29" s="174" t="str">
        <f t="shared" si="18"/>
        <v/>
      </c>
      <c r="BI29" s="37"/>
      <c r="BJ29" s="174" t="str">
        <f t="shared" si="19"/>
        <v/>
      </c>
      <c r="BK29" s="37"/>
      <c r="BL29" s="174" t="str">
        <f t="shared" si="20"/>
        <v/>
      </c>
      <c r="BM29" s="37"/>
      <c r="BN29" s="174" t="str">
        <f t="shared" si="21"/>
        <v/>
      </c>
      <c r="BO29" s="37"/>
      <c r="BP29" s="174" t="str">
        <f t="shared" si="22"/>
        <v/>
      </c>
      <c r="BQ29" s="37"/>
      <c r="BR29" s="174" t="str">
        <f t="shared" si="23"/>
        <v/>
      </c>
      <c r="BS29" s="37"/>
      <c r="BT29" s="174" t="str">
        <f t="shared" si="24"/>
        <v/>
      </c>
      <c r="BU29" s="37"/>
      <c r="BV29" s="174" t="str">
        <f t="shared" si="25"/>
        <v/>
      </c>
      <c r="BW29" s="37"/>
      <c r="BX29" s="174" t="str">
        <f t="shared" si="26"/>
        <v/>
      </c>
      <c r="BY29" s="37"/>
      <c r="BZ29" s="174" t="str">
        <f t="shared" si="27"/>
        <v/>
      </c>
      <c r="CA29" s="37"/>
      <c r="CB29" s="174" t="str">
        <f t="shared" si="28"/>
        <v/>
      </c>
      <c r="CC29" s="37"/>
      <c r="CD29" s="174" t="str">
        <f t="shared" si="29"/>
        <v/>
      </c>
      <c r="CE29" s="37"/>
      <c r="CF29" s="174" t="str">
        <f t="shared" si="30"/>
        <v/>
      </c>
      <c r="CG29" s="37"/>
      <c r="CH29" s="174" t="str">
        <f t="shared" si="31"/>
        <v/>
      </c>
      <c r="CI29" s="37"/>
      <c r="CJ29" s="174" t="str">
        <f t="shared" si="32"/>
        <v/>
      </c>
      <c r="CK29" s="37"/>
      <c r="CL29" s="174" t="str">
        <f t="shared" si="33"/>
        <v/>
      </c>
      <c r="CM29" s="37"/>
      <c r="CN29" s="174" t="str">
        <f t="shared" si="34"/>
        <v/>
      </c>
      <c r="CO29" s="37"/>
      <c r="CP29" s="174" t="str">
        <f t="shared" si="35"/>
        <v/>
      </c>
      <c r="CQ29" s="37"/>
      <c r="CR29" s="174" t="str">
        <f t="shared" si="36"/>
        <v/>
      </c>
      <c r="CS29" s="37"/>
      <c r="CT29" s="174" t="str">
        <f t="shared" si="37"/>
        <v/>
      </c>
      <c r="CU29" s="38"/>
      <c r="CV29" s="87"/>
      <c r="CW29" s="90"/>
      <c r="CX29" s="38"/>
      <c r="CY29" s="39"/>
      <c r="CZ29" s="37"/>
      <c r="DA29" s="39"/>
      <c r="DB29" s="24">
        <v>25</v>
      </c>
      <c r="DC29" s="96" t="str">
        <f t="shared" si="38"/>
        <v>火</v>
      </c>
      <c r="DF29" s="125"/>
      <c r="DG29" s="40"/>
      <c r="DH29" s="40"/>
      <c r="DI29" s="40"/>
      <c r="DJ29" s="40"/>
      <c r="DK29" s="40"/>
      <c r="DL29" s="40"/>
      <c r="DM29" s="40"/>
      <c r="DN29" s="40"/>
      <c r="DO29" s="40"/>
      <c r="DP29" s="40">
        <f t="shared" si="39"/>
        <v>0</v>
      </c>
      <c r="DQ29" s="172" t="str">
        <f t="shared" si="40"/>
        <v/>
      </c>
      <c r="DS29" s="189"/>
      <c r="DT29" s="190"/>
      <c r="DU29" s="190"/>
      <c r="DV29" s="191"/>
      <c r="DW29" s="41"/>
      <c r="DX29" s="42"/>
    </row>
    <row r="30" spans="1:128" ht="13.5" customHeight="1" x14ac:dyDescent="0.4">
      <c r="A30" s="104">
        <v>26</v>
      </c>
      <c r="B30" s="23" t="s">
        <v>83</v>
      </c>
      <c r="C30" s="164"/>
      <c r="D30" s="164"/>
      <c r="E30" s="24"/>
      <c r="F30" s="29"/>
      <c r="G30" s="25" t="str">
        <f>IF(SUM($F$5:F30)=0,"",SUM($F$5:F30))</f>
        <v/>
      </c>
      <c r="H30" s="43" t="str">
        <f t="shared" si="0"/>
        <v/>
      </c>
      <c r="I30" s="148" t="e">
        <f t="array" aca="1" ref="I30" ca="1">IF($A31="",$G30/($V30-$U$5+INDIRECT(IF(_xlfn.SHEET()&lt;6,"令和8年"&amp;_xlfn.SHEET()+7&amp;"月","令和9年"&amp;_xlfn.SHEET()-5&amp;"月")&amp;"!$U$5")),$G30/($V31-$U$5))</f>
        <v>#VALUE!</v>
      </c>
      <c r="J30" s="26" t="str">
        <f t="shared" si="1"/>
        <v/>
      </c>
      <c r="K30" s="27"/>
      <c r="L30" s="165">
        <f t="shared" si="2"/>
        <v>0</v>
      </c>
      <c r="M30" s="28" t="str">
        <f t="shared" si="3"/>
        <v/>
      </c>
      <c r="N30" s="166" t="str">
        <f t="shared" si="4"/>
        <v/>
      </c>
      <c r="O30" s="167" t="str">
        <f t="shared" si="5"/>
        <v/>
      </c>
      <c r="P30" s="168"/>
      <c r="Q30" s="169" t="str">
        <f t="shared" si="6"/>
        <v/>
      </c>
      <c r="R30" s="170">
        <v>30</v>
      </c>
      <c r="S30" s="171">
        <v>18</v>
      </c>
      <c r="T30" s="24" t="s">
        <v>84</v>
      </c>
      <c r="U30" s="29">
        <v>157854</v>
      </c>
      <c r="V30" s="30">
        <f t="shared" si="41"/>
        <v>10306417</v>
      </c>
      <c r="W30" s="27">
        <v>111</v>
      </c>
      <c r="X30" s="31">
        <f t="shared" si="7"/>
        <v>1422.1081081081081</v>
      </c>
      <c r="Y30" s="29">
        <v>204372</v>
      </c>
      <c r="Z30" s="32">
        <f t="shared" si="42"/>
        <v>10376790</v>
      </c>
      <c r="AA30" s="33">
        <f t="shared" si="8"/>
        <v>0.99321823030050715</v>
      </c>
      <c r="AB30" s="158">
        <v>200000</v>
      </c>
      <c r="AC30" s="34">
        <f t="shared" si="43"/>
        <v>10690000</v>
      </c>
      <c r="AD30" s="158"/>
      <c r="AE30" s="25"/>
      <c r="AF30" s="25"/>
      <c r="AG30" s="25"/>
      <c r="AH30" s="25"/>
      <c r="AI30" s="25"/>
      <c r="AJ30" s="25"/>
      <c r="AK30" s="25"/>
      <c r="AL30" s="158"/>
      <c r="AM30" s="25"/>
      <c r="AN30" s="158"/>
      <c r="AO30" s="25"/>
      <c r="AP30" s="25"/>
      <c r="AQ30" s="158"/>
      <c r="AR30" s="35">
        <f t="shared" si="9"/>
        <v>0</v>
      </c>
      <c r="AS30" s="172" t="str">
        <f t="shared" si="10"/>
        <v/>
      </c>
      <c r="AT30" s="36">
        <f t="shared" si="11"/>
        <v>0</v>
      </c>
      <c r="AU30" s="173"/>
      <c r="AV30" s="82">
        <f t="shared" si="12"/>
        <v>26</v>
      </c>
      <c r="AW30" s="37"/>
      <c r="AX30" s="174" t="str">
        <f t="shared" si="13"/>
        <v/>
      </c>
      <c r="AY30" s="37"/>
      <c r="AZ30" s="174" t="str">
        <f t="shared" si="14"/>
        <v/>
      </c>
      <c r="BA30" s="37"/>
      <c r="BB30" s="174" t="str">
        <f t="shared" si="15"/>
        <v/>
      </c>
      <c r="BC30" s="37"/>
      <c r="BD30" s="174" t="str">
        <f t="shared" si="16"/>
        <v/>
      </c>
      <c r="BE30" s="37"/>
      <c r="BF30" s="174" t="str">
        <f t="shared" si="17"/>
        <v/>
      </c>
      <c r="BG30" s="37"/>
      <c r="BH30" s="174" t="str">
        <f t="shared" si="18"/>
        <v/>
      </c>
      <c r="BI30" s="37"/>
      <c r="BJ30" s="174" t="str">
        <f t="shared" si="19"/>
        <v/>
      </c>
      <c r="BK30" s="37"/>
      <c r="BL30" s="174" t="str">
        <f t="shared" si="20"/>
        <v/>
      </c>
      <c r="BM30" s="37"/>
      <c r="BN30" s="174" t="str">
        <f t="shared" si="21"/>
        <v/>
      </c>
      <c r="BO30" s="37"/>
      <c r="BP30" s="174" t="str">
        <f t="shared" si="22"/>
        <v/>
      </c>
      <c r="BQ30" s="37"/>
      <c r="BR30" s="174" t="str">
        <f t="shared" si="23"/>
        <v/>
      </c>
      <c r="BS30" s="37"/>
      <c r="BT30" s="174" t="str">
        <f t="shared" si="24"/>
        <v/>
      </c>
      <c r="BU30" s="37"/>
      <c r="BV30" s="174" t="str">
        <f t="shared" si="25"/>
        <v/>
      </c>
      <c r="BW30" s="37"/>
      <c r="BX30" s="174" t="str">
        <f t="shared" si="26"/>
        <v/>
      </c>
      <c r="BY30" s="37"/>
      <c r="BZ30" s="174" t="str">
        <f t="shared" si="27"/>
        <v/>
      </c>
      <c r="CA30" s="37"/>
      <c r="CB30" s="174" t="str">
        <f t="shared" si="28"/>
        <v/>
      </c>
      <c r="CC30" s="37"/>
      <c r="CD30" s="174" t="str">
        <f t="shared" si="29"/>
        <v/>
      </c>
      <c r="CE30" s="37"/>
      <c r="CF30" s="174" t="str">
        <f t="shared" si="30"/>
        <v/>
      </c>
      <c r="CG30" s="37"/>
      <c r="CH30" s="174" t="str">
        <f t="shared" si="31"/>
        <v/>
      </c>
      <c r="CI30" s="37"/>
      <c r="CJ30" s="174" t="str">
        <f t="shared" si="32"/>
        <v/>
      </c>
      <c r="CK30" s="37"/>
      <c r="CL30" s="174" t="str">
        <f t="shared" si="33"/>
        <v/>
      </c>
      <c r="CM30" s="37"/>
      <c r="CN30" s="174" t="str">
        <f t="shared" si="34"/>
        <v/>
      </c>
      <c r="CO30" s="37"/>
      <c r="CP30" s="174" t="str">
        <f t="shared" si="35"/>
        <v/>
      </c>
      <c r="CQ30" s="37"/>
      <c r="CR30" s="174" t="str">
        <f t="shared" si="36"/>
        <v/>
      </c>
      <c r="CS30" s="37"/>
      <c r="CT30" s="174" t="str">
        <f t="shared" si="37"/>
        <v/>
      </c>
      <c r="CU30" s="38"/>
      <c r="CV30" s="87"/>
      <c r="CW30" s="90"/>
      <c r="CX30" s="38"/>
      <c r="CY30" s="39"/>
      <c r="CZ30" s="37"/>
      <c r="DA30" s="39"/>
      <c r="DB30" s="24">
        <v>26</v>
      </c>
      <c r="DC30" s="96" t="str">
        <f t="shared" si="38"/>
        <v>水</v>
      </c>
      <c r="DF30" s="125"/>
      <c r="DG30" s="40"/>
      <c r="DH30" s="40"/>
      <c r="DI30" s="40"/>
      <c r="DJ30" s="40"/>
      <c r="DK30" s="40"/>
      <c r="DL30" s="40"/>
      <c r="DM30" s="40"/>
      <c r="DN30" s="40"/>
      <c r="DO30" s="40"/>
      <c r="DP30" s="40">
        <f t="shared" si="39"/>
        <v>0</v>
      </c>
      <c r="DQ30" s="172" t="str">
        <f t="shared" si="40"/>
        <v/>
      </c>
      <c r="DS30" s="189"/>
      <c r="DT30" s="190"/>
      <c r="DU30" s="190"/>
      <c r="DV30" s="191"/>
      <c r="DW30" s="41"/>
      <c r="DX30" s="42"/>
    </row>
    <row r="31" spans="1:128" ht="13.5" customHeight="1" x14ac:dyDescent="0.4">
      <c r="A31" s="104">
        <v>27</v>
      </c>
      <c r="B31" s="23" t="s">
        <v>85</v>
      </c>
      <c r="C31" s="164"/>
      <c r="D31" s="164"/>
      <c r="E31" s="24"/>
      <c r="F31" s="29"/>
      <c r="G31" s="25" t="str">
        <f>IF(SUM($F$5:F31)=0,"",SUM($F$5:F31))</f>
        <v/>
      </c>
      <c r="H31" s="43" t="str">
        <f t="shared" si="0"/>
        <v/>
      </c>
      <c r="I31" s="148" t="e">
        <f t="array" aca="1" ref="I31" ca="1">IF($A32="",$G31/($V31-$U$5+INDIRECT(IF(_xlfn.SHEET()&lt;6,"令和8年"&amp;_xlfn.SHEET()+7&amp;"月","令和9年"&amp;_xlfn.SHEET()-5&amp;"月")&amp;"!$U$5")),$G31/($V32-$U$5))</f>
        <v>#VALUE!</v>
      </c>
      <c r="J31" s="26" t="str">
        <f t="shared" si="1"/>
        <v/>
      </c>
      <c r="K31" s="27"/>
      <c r="L31" s="165">
        <f t="shared" si="2"/>
        <v>0</v>
      </c>
      <c r="M31" s="28" t="str">
        <f t="shared" si="3"/>
        <v/>
      </c>
      <c r="N31" s="166" t="str">
        <f t="shared" si="4"/>
        <v/>
      </c>
      <c r="O31" s="167" t="str">
        <f t="shared" si="5"/>
        <v/>
      </c>
      <c r="P31" s="168"/>
      <c r="Q31" s="169" t="str">
        <f t="shared" si="6"/>
        <v/>
      </c>
      <c r="R31" s="170">
        <v>25</v>
      </c>
      <c r="S31" s="171">
        <v>19</v>
      </c>
      <c r="T31" s="24" t="s">
        <v>93</v>
      </c>
      <c r="U31" s="29">
        <v>219365</v>
      </c>
      <c r="V31" s="30">
        <f t="shared" si="41"/>
        <v>10525782</v>
      </c>
      <c r="W31" s="27">
        <v>184</v>
      </c>
      <c r="X31" s="31">
        <f t="shared" si="7"/>
        <v>1192.2010869565217</v>
      </c>
      <c r="Y31" s="29">
        <v>146084</v>
      </c>
      <c r="Z31" s="32">
        <f t="shared" si="42"/>
        <v>10522874</v>
      </c>
      <c r="AA31" s="33">
        <f t="shared" si="8"/>
        <v>1.0002763503582766</v>
      </c>
      <c r="AB31" s="158">
        <v>200000</v>
      </c>
      <c r="AC31" s="34">
        <f t="shared" si="43"/>
        <v>10890000</v>
      </c>
      <c r="AD31" s="158"/>
      <c r="AE31" s="25"/>
      <c r="AF31" s="25"/>
      <c r="AG31" s="25"/>
      <c r="AH31" s="25"/>
      <c r="AI31" s="25"/>
      <c r="AJ31" s="25"/>
      <c r="AK31" s="25"/>
      <c r="AL31" s="158"/>
      <c r="AM31" s="25"/>
      <c r="AN31" s="158"/>
      <c r="AO31" s="25"/>
      <c r="AP31" s="25"/>
      <c r="AQ31" s="158"/>
      <c r="AR31" s="35">
        <f t="shared" si="9"/>
        <v>0</v>
      </c>
      <c r="AS31" s="172" t="str">
        <f t="shared" si="10"/>
        <v/>
      </c>
      <c r="AT31" s="36">
        <f t="shared" si="11"/>
        <v>0</v>
      </c>
      <c r="AU31" s="173"/>
      <c r="AV31" s="82">
        <f t="shared" si="12"/>
        <v>27</v>
      </c>
      <c r="AW31" s="37"/>
      <c r="AX31" s="174" t="str">
        <f t="shared" si="13"/>
        <v/>
      </c>
      <c r="AY31" s="37"/>
      <c r="AZ31" s="174" t="str">
        <f t="shared" si="14"/>
        <v/>
      </c>
      <c r="BA31" s="37"/>
      <c r="BB31" s="174" t="str">
        <f t="shared" si="15"/>
        <v/>
      </c>
      <c r="BC31" s="37"/>
      <c r="BD31" s="174" t="str">
        <f t="shared" si="16"/>
        <v/>
      </c>
      <c r="BE31" s="37"/>
      <c r="BF31" s="174" t="str">
        <f t="shared" si="17"/>
        <v/>
      </c>
      <c r="BG31" s="37"/>
      <c r="BH31" s="174" t="str">
        <f t="shared" si="18"/>
        <v/>
      </c>
      <c r="BI31" s="37"/>
      <c r="BJ31" s="174" t="str">
        <f t="shared" si="19"/>
        <v/>
      </c>
      <c r="BK31" s="37"/>
      <c r="BL31" s="174" t="str">
        <f t="shared" si="20"/>
        <v/>
      </c>
      <c r="BM31" s="37"/>
      <c r="BN31" s="174" t="str">
        <f t="shared" si="21"/>
        <v/>
      </c>
      <c r="BO31" s="37"/>
      <c r="BP31" s="174" t="str">
        <f t="shared" si="22"/>
        <v/>
      </c>
      <c r="BQ31" s="37"/>
      <c r="BR31" s="174" t="str">
        <f t="shared" si="23"/>
        <v/>
      </c>
      <c r="BS31" s="37"/>
      <c r="BT31" s="174" t="str">
        <f t="shared" si="24"/>
        <v/>
      </c>
      <c r="BU31" s="37"/>
      <c r="BV31" s="174" t="str">
        <f t="shared" si="25"/>
        <v/>
      </c>
      <c r="BW31" s="37"/>
      <c r="BX31" s="174" t="str">
        <f t="shared" si="26"/>
        <v/>
      </c>
      <c r="BY31" s="37"/>
      <c r="BZ31" s="174" t="str">
        <f t="shared" si="27"/>
        <v/>
      </c>
      <c r="CA31" s="37"/>
      <c r="CB31" s="174" t="str">
        <f t="shared" si="28"/>
        <v/>
      </c>
      <c r="CC31" s="37"/>
      <c r="CD31" s="174" t="str">
        <f t="shared" si="29"/>
        <v/>
      </c>
      <c r="CE31" s="37"/>
      <c r="CF31" s="174" t="str">
        <f t="shared" si="30"/>
        <v/>
      </c>
      <c r="CG31" s="37"/>
      <c r="CH31" s="174" t="str">
        <f t="shared" si="31"/>
        <v/>
      </c>
      <c r="CI31" s="37"/>
      <c r="CJ31" s="174" t="str">
        <f t="shared" si="32"/>
        <v/>
      </c>
      <c r="CK31" s="37"/>
      <c r="CL31" s="174" t="str">
        <f t="shared" si="33"/>
        <v/>
      </c>
      <c r="CM31" s="37"/>
      <c r="CN31" s="174" t="str">
        <f t="shared" si="34"/>
        <v/>
      </c>
      <c r="CO31" s="37"/>
      <c r="CP31" s="174" t="str">
        <f t="shared" si="35"/>
        <v/>
      </c>
      <c r="CQ31" s="37"/>
      <c r="CR31" s="174" t="str">
        <f t="shared" si="36"/>
        <v/>
      </c>
      <c r="CS31" s="37"/>
      <c r="CT31" s="174" t="str">
        <f t="shared" si="37"/>
        <v/>
      </c>
      <c r="CU31" s="38"/>
      <c r="CV31" s="87"/>
      <c r="CW31" s="90"/>
      <c r="CX31" s="38"/>
      <c r="CY31" s="39"/>
      <c r="CZ31" s="37"/>
      <c r="DA31" s="39"/>
      <c r="DB31" s="24">
        <v>27</v>
      </c>
      <c r="DC31" s="96" t="str">
        <f t="shared" si="38"/>
        <v>木</v>
      </c>
      <c r="DF31" s="125"/>
      <c r="DG31" s="40"/>
      <c r="DH31" s="40"/>
      <c r="DI31" s="40"/>
      <c r="DJ31" s="40"/>
      <c r="DK31" s="40"/>
      <c r="DL31" s="40"/>
      <c r="DM31" s="40"/>
      <c r="DN31" s="40"/>
      <c r="DO31" s="40"/>
      <c r="DP31" s="40">
        <f t="shared" si="39"/>
        <v>0</v>
      </c>
      <c r="DQ31" s="172" t="str">
        <f t="shared" si="40"/>
        <v/>
      </c>
      <c r="DS31" s="189"/>
      <c r="DT31" s="190"/>
      <c r="DU31" s="190"/>
      <c r="DV31" s="191"/>
      <c r="DW31" s="138"/>
      <c r="DX31" s="42"/>
    </row>
    <row r="32" spans="1:128" ht="13.5" customHeight="1" x14ac:dyDescent="0.4">
      <c r="A32" s="104">
        <v>28</v>
      </c>
      <c r="B32" s="23" t="s">
        <v>86</v>
      </c>
      <c r="C32" s="164"/>
      <c r="D32" s="164"/>
      <c r="E32" s="24"/>
      <c r="F32" s="29"/>
      <c r="G32" s="25" t="str">
        <f>IF(SUM($F$5:F32)=0,"",SUM($F$5:F32))</f>
        <v/>
      </c>
      <c r="H32" s="43" t="str">
        <f t="shared" si="0"/>
        <v/>
      </c>
      <c r="I32" s="148" t="e">
        <f t="array" aca="1" ref="I32" ca="1">IF($A33="",$G32/($V32-$U$5+INDIRECT(IF(_xlfn.SHEET()&lt;6,"令和8年"&amp;_xlfn.SHEET()+7&amp;"月","令和9年"&amp;_xlfn.SHEET()-5&amp;"月")&amp;"!$U$5")),$G32/($V33-$U$5))</f>
        <v>#VALUE!</v>
      </c>
      <c r="J32" s="26" t="str">
        <f t="shared" si="1"/>
        <v/>
      </c>
      <c r="K32" s="27"/>
      <c r="L32" s="165">
        <f t="shared" si="2"/>
        <v>0</v>
      </c>
      <c r="M32" s="28" t="str">
        <f t="shared" si="3"/>
        <v/>
      </c>
      <c r="N32" s="166" t="str">
        <f t="shared" si="4"/>
        <v/>
      </c>
      <c r="O32" s="167" t="str">
        <f t="shared" si="5"/>
        <v/>
      </c>
      <c r="P32" s="168"/>
      <c r="Q32" s="169" t="str">
        <f t="shared" si="6"/>
        <v/>
      </c>
      <c r="R32" s="170">
        <v>22</v>
      </c>
      <c r="S32" s="171">
        <v>20</v>
      </c>
      <c r="T32" s="24" t="s">
        <v>114</v>
      </c>
      <c r="U32" s="29">
        <v>136679</v>
      </c>
      <c r="V32" s="30">
        <f t="shared" si="41"/>
        <v>10662461</v>
      </c>
      <c r="W32" s="27">
        <v>105</v>
      </c>
      <c r="X32" s="31">
        <f t="shared" si="7"/>
        <v>1301.7047619047619</v>
      </c>
      <c r="Y32" s="29">
        <v>251800</v>
      </c>
      <c r="Z32" s="32">
        <f t="shared" si="42"/>
        <v>10774674</v>
      </c>
      <c r="AA32" s="33">
        <f t="shared" si="8"/>
        <v>0.98958548537060143</v>
      </c>
      <c r="AB32" s="158">
        <v>200000</v>
      </c>
      <c r="AC32" s="34">
        <f t="shared" si="43"/>
        <v>11090000</v>
      </c>
      <c r="AD32" s="158"/>
      <c r="AE32" s="25"/>
      <c r="AF32" s="25"/>
      <c r="AG32" s="25"/>
      <c r="AH32" s="25"/>
      <c r="AI32" s="25"/>
      <c r="AJ32" s="25"/>
      <c r="AK32" s="25"/>
      <c r="AL32" s="158"/>
      <c r="AM32" s="25"/>
      <c r="AN32" s="158"/>
      <c r="AO32" s="25"/>
      <c r="AP32" s="25"/>
      <c r="AQ32" s="158"/>
      <c r="AR32" s="35">
        <f t="shared" si="9"/>
        <v>0</v>
      </c>
      <c r="AS32" s="172" t="str">
        <f t="shared" si="10"/>
        <v/>
      </c>
      <c r="AT32" s="36">
        <f t="shared" si="11"/>
        <v>0</v>
      </c>
      <c r="AU32" s="173"/>
      <c r="AV32" s="82">
        <f t="shared" si="12"/>
        <v>28</v>
      </c>
      <c r="AW32" s="37"/>
      <c r="AX32" s="174" t="str">
        <f t="shared" si="13"/>
        <v/>
      </c>
      <c r="AY32" s="37"/>
      <c r="AZ32" s="174" t="str">
        <f t="shared" si="14"/>
        <v/>
      </c>
      <c r="BA32" s="37"/>
      <c r="BB32" s="174" t="str">
        <f t="shared" si="15"/>
        <v/>
      </c>
      <c r="BC32" s="37"/>
      <c r="BD32" s="174" t="str">
        <f t="shared" si="16"/>
        <v/>
      </c>
      <c r="BE32" s="37"/>
      <c r="BF32" s="174" t="str">
        <f t="shared" si="17"/>
        <v/>
      </c>
      <c r="BG32" s="37"/>
      <c r="BH32" s="174" t="str">
        <f t="shared" si="18"/>
        <v/>
      </c>
      <c r="BI32" s="37"/>
      <c r="BJ32" s="174" t="str">
        <f t="shared" si="19"/>
        <v/>
      </c>
      <c r="BK32" s="37"/>
      <c r="BL32" s="174" t="str">
        <f t="shared" si="20"/>
        <v/>
      </c>
      <c r="BM32" s="37"/>
      <c r="BN32" s="174" t="str">
        <f t="shared" si="21"/>
        <v/>
      </c>
      <c r="BO32" s="37"/>
      <c r="BP32" s="174" t="str">
        <f t="shared" si="22"/>
        <v/>
      </c>
      <c r="BQ32" s="37"/>
      <c r="BR32" s="174" t="str">
        <f t="shared" si="23"/>
        <v/>
      </c>
      <c r="BS32" s="37"/>
      <c r="BT32" s="174" t="str">
        <f t="shared" si="24"/>
        <v/>
      </c>
      <c r="BU32" s="37"/>
      <c r="BV32" s="174" t="str">
        <f t="shared" si="25"/>
        <v/>
      </c>
      <c r="BW32" s="37"/>
      <c r="BX32" s="174" t="str">
        <f t="shared" si="26"/>
        <v/>
      </c>
      <c r="BY32" s="37"/>
      <c r="BZ32" s="174" t="str">
        <f t="shared" si="27"/>
        <v/>
      </c>
      <c r="CA32" s="37"/>
      <c r="CB32" s="174" t="str">
        <f t="shared" si="28"/>
        <v/>
      </c>
      <c r="CC32" s="37"/>
      <c r="CD32" s="174" t="str">
        <f t="shared" si="29"/>
        <v/>
      </c>
      <c r="CE32" s="37"/>
      <c r="CF32" s="174" t="str">
        <f t="shared" si="30"/>
        <v/>
      </c>
      <c r="CG32" s="37"/>
      <c r="CH32" s="174" t="str">
        <f t="shared" si="31"/>
        <v/>
      </c>
      <c r="CI32" s="37"/>
      <c r="CJ32" s="174" t="str">
        <f t="shared" si="32"/>
        <v/>
      </c>
      <c r="CK32" s="37"/>
      <c r="CL32" s="174" t="str">
        <f t="shared" si="33"/>
        <v/>
      </c>
      <c r="CM32" s="37"/>
      <c r="CN32" s="174" t="str">
        <f t="shared" si="34"/>
        <v/>
      </c>
      <c r="CO32" s="37"/>
      <c r="CP32" s="174" t="str">
        <f t="shared" si="35"/>
        <v/>
      </c>
      <c r="CQ32" s="37"/>
      <c r="CR32" s="174" t="str">
        <f t="shared" si="36"/>
        <v/>
      </c>
      <c r="CS32" s="37"/>
      <c r="CT32" s="174" t="str">
        <f t="shared" si="37"/>
        <v/>
      </c>
      <c r="CU32" s="38"/>
      <c r="CV32" s="87"/>
      <c r="CW32" s="90"/>
      <c r="CX32" s="38"/>
      <c r="CY32" s="39"/>
      <c r="CZ32" s="37"/>
      <c r="DA32" s="39"/>
      <c r="DB32" s="24">
        <v>28</v>
      </c>
      <c r="DC32" s="96" t="str">
        <f t="shared" si="38"/>
        <v>金</v>
      </c>
      <c r="DF32" s="125"/>
      <c r="DG32" s="40"/>
      <c r="DH32" s="40"/>
      <c r="DI32" s="40"/>
      <c r="DJ32" s="40"/>
      <c r="DK32" s="40"/>
      <c r="DL32" s="40"/>
      <c r="DM32" s="40"/>
      <c r="DN32" s="40"/>
      <c r="DO32" s="40"/>
      <c r="DP32" s="40">
        <f t="shared" si="39"/>
        <v>0</v>
      </c>
      <c r="DQ32" s="172" t="str">
        <f t="shared" si="40"/>
        <v/>
      </c>
      <c r="DS32" s="189"/>
      <c r="DT32" s="190"/>
      <c r="DU32" s="190"/>
      <c r="DV32" s="191"/>
      <c r="DW32" s="41"/>
      <c r="DX32" s="42"/>
    </row>
    <row r="33" spans="1:128" ht="13.5" customHeight="1" x14ac:dyDescent="0.4">
      <c r="A33" s="104">
        <v>29</v>
      </c>
      <c r="B33" s="23" t="s">
        <v>88</v>
      </c>
      <c r="C33" s="164"/>
      <c r="D33" s="164"/>
      <c r="E33" s="24"/>
      <c r="F33" s="29"/>
      <c r="G33" s="25" t="str">
        <f>IF(SUM($F$5:F33)=0,"",SUM($F$5:F33))</f>
        <v/>
      </c>
      <c r="H33" s="43" t="str">
        <f t="shared" si="0"/>
        <v/>
      </c>
      <c r="I33" s="148" t="e">
        <f t="array" aca="1" ref="I33" ca="1">IF($A34="",$G33/($V33-$U$5+INDIRECT(IF(_xlfn.SHEET()&lt;6,"令和8年"&amp;_xlfn.SHEET()+7&amp;"月","令和9年"&amp;_xlfn.SHEET()-5&amp;"月")&amp;"!$U$5")),$G33/($V34-$U$5))</f>
        <v>#VALUE!</v>
      </c>
      <c r="J33" s="26" t="str">
        <f t="shared" si="1"/>
        <v/>
      </c>
      <c r="K33" s="27"/>
      <c r="L33" s="165">
        <f t="shared" si="2"/>
        <v>0</v>
      </c>
      <c r="M33" s="28" t="str">
        <f t="shared" si="3"/>
        <v/>
      </c>
      <c r="N33" s="166" t="str">
        <f t="shared" si="4"/>
        <v/>
      </c>
      <c r="O33" s="167" t="str">
        <f t="shared" si="5"/>
        <v/>
      </c>
      <c r="P33" s="168"/>
      <c r="Q33" s="169" t="str">
        <f t="shared" si="6"/>
        <v/>
      </c>
      <c r="R33" s="170">
        <v>26</v>
      </c>
      <c r="S33" s="171">
        <v>16</v>
      </c>
      <c r="T33" s="24" t="s">
        <v>84</v>
      </c>
      <c r="U33" s="29">
        <v>150530</v>
      </c>
      <c r="V33" s="30">
        <f t="shared" si="41"/>
        <v>10812991</v>
      </c>
      <c r="W33" s="27">
        <v>127</v>
      </c>
      <c r="X33" s="31">
        <f t="shared" si="7"/>
        <v>1185.275590551181</v>
      </c>
      <c r="Y33" s="29">
        <v>164490</v>
      </c>
      <c r="Z33" s="32">
        <f t="shared" si="42"/>
        <v>10939164</v>
      </c>
      <c r="AA33" s="33">
        <f t="shared" si="8"/>
        <v>0.98846593761643942</v>
      </c>
      <c r="AB33" s="158">
        <v>600000</v>
      </c>
      <c r="AC33" s="34">
        <f t="shared" si="43"/>
        <v>11690000</v>
      </c>
      <c r="AD33" s="158"/>
      <c r="AE33" s="25"/>
      <c r="AF33" s="25"/>
      <c r="AG33" s="25"/>
      <c r="AH33" s="25"/>
      <c r="AI33" s="25"/>
      <c r="AJ33" s="25"/>
      <c r="AK33" s="25"/>
      <c r="AL33" s="158"/>
      <c r="AM33" s="25"/>
      <c r="AN33" s="158"/>
      <c r="AO33" s="25"/>
      <c r="AP33" s="25"/>
      <c r="AQ33" s="158"/>
      <c r="AR33" s="35">
        <f t="shared" si="9"/>
        <v>0</v>
      </c>
      <c r="AS33" s="172" t="str">
        <f t="shared" si="10"/>
        <v/>
      </c>
      <c r="AT33" s="36">
        <f t="shared" si="11"/>
        <v>0</v>
      </c>
      <c r="AU33" s="173"/>
      <c r="AV33" s="82">
        <f t="shared" si="12"/>
        <v>29</v>
      </c>
      <c r="AW33" s="37"/>
      <c r="AX33" s="174" t="str">
        <f t="shared" si="13"/>
        <v/>
      </c>
      <c r="AY33" s="37"/>
      <c r="AZ33" s="174" t="str">
        <f t="shared" si="14"/>
        <v/>
      </c>
      <c r="BA33" s="37"/>
      <c r="BB33" s="174" t="str">
        <f t="shared" si="15"/>
        <v/>
      </c>
      <c r="BC33" s="37"/>
      <c r="BD33" s="174" t="str">
        <f t="shared" si="16"/>
        <v/>
      </c>
      <c r="BE33" s="37"/>
      <c r="BF33" s="174" t="str">
        <f t="shared" si="17"/>
        <v/>
      </c>
      <c r="BG33" s="37"/>
      <c r="BH33" s="174" t="str">
        <f t="shared" si="18"/>
        <v/>
      </c>
      <c r="BI33" s="37"/>
      <c r="BJ33" s="174" t="str">
        <f t="shared" si="19"/>
        <v/>
      </c>
      <c r="BK33" s="37"/>
      <c r="BL33" s="174" t="str">
        <f t="shared" si="20"/>
        <v/>
      </c>
      <c r="BM33" s="37"/>
      <c r="BN33" s="174" t="str">
        <f t="shared" si="21"/>
        <v/>
      </c>
      <c r="BO33" s="37"/>
      <c r="BP33" s="174" t="str">
        <f t="shared" si="22"/>
        <v/>
      </c>
      <c r="BQ33" s="37"/>
      <c r="BR33" s="174" t="str">
        <f t="shared" si="23"/>
        <v/>
      </c>
      <c r="BS33" s="37"/>
      <c r="BT33" s="174" t="str">
        <f t="shared" si="24"/>
        <v/>
      </c>
      <c r="BU33" s="37"/>
      <c r="BV33" s="174" t="str">
        <f t="shared" si="25"/>
        <v/>
      </c>
      <c r="BW33" s="37"/>
      <c r="BX33" s="174" t="str">
        <f t="shared" si="26"/>
        <v/>
      </c>
      <c r="BY33" s="37"/>
      <c r="BZ33" s="174" t="str">
        <f t="shared" si="27"/>
        <v/>
      </c>
      <c r="CA33" s="37"/>
      <c r="CB33" s="174" t="str">
        <f t="shared" si="28"/>
        <v/>
      </c>
      <c r="CC33" s="37"/>
      <c r="CD33" s="174" t="str">
        <f t="shared" si="29"/>
        <v/>
      </c>
      <c r="CE33" s="37"/>
      <c r="CF33" s="174" t="str">
        <f t="shared" si="30"/>
        <v/>
      </c>
      <c r="CG33" s="37"/>
      <c r="CH33" s="174" t="str">
        <f t="shared" si="31"/>
        <v/>
      </c>
      <c r="CI33" s="37"/>
      <c r="CJ33" s="174" t="str">
        <f t="shared" si="32"/>
        <v/>
      </c>
      <c r="CK33" s="37"/>
      <c r="CL33" s="174" t="str">
        <f t="shared" si="33"/>
        <v/>
      </c>
      <c r="CM33" s="37"/>
      <c r="CN33" s="174" t="str">
        <f t="shared" si="34"/>
        <v/>
      </c>
      <c r="CO33" s="37"/>
      <c r="CP33" s="174" t="str">
        <f t="shared" si="35"/>
        <v/>
      </c>
      <c r="CQ33" s="37"/>
      <c r="CR33" s="174" t="str">
        <f t="shared" si="36"/>
        <v/>
      </c>
      <c r="CS33" s="37"/>
      <c r="CT33" s="174" t="str">
        <f t="shared" si="37"/>
        <v/>
      </c>
      <c r="CU33" s="38"/>
      <c r="CV33" s="87"/>
      <c r="CW33" s="90"/>
      <c r="CX33" s="38"/>
      <c r="CY33" s="39"/>
      <c r="CZ33" s="37"/>
      <c r="DA33" s="39"/>
      <c r="DB33" s="24">
        <v>29</v>
      </c>
      <c r="DC33" s="96" t="str">
        <f t="shared" si="38"/>
        <v>土</v>
      </c>
      <c r="DF33" s="125"/>
      <c r="DG33" s="40"/>
      <c r="DH33" s="40"/>
      <c r="DI33" s="40"/>
      <c r="DJ33" s="40"/>
      <c r="DK33" s="40"/>
      <c r="DL33" s="40"/>
      <c r="DM33" s="40"/>
      <c r="DN33" s="40"/>
      <c r="DO33" s="40"/>
      <c r="DP33" s="40">
        <f t="shared" si="39"/>
        <v>0</v>
      </c>
      <c r="DQ33" s="172" t="str">
        <f t="shared" si="40"/>
        <v/>
      </c>
      <c r="DS33" s="189"/>
      <c r="DT33" s="190"/>
      <c r="DU33" s="190"/>
      <c r="DV33" s="191"/>
      <c r="DW33" s="41"/>
      <c r="DX33" s="42"/>
    </row>
    <row r="34" spans="1:128" ht="13.5" customHeight="1" x14ac:dyDescent="0.4">
      <c r="A34" s="104">
        <v>30</v>
      </c>
      <c r="B34" s="23" t="s">
        <v>89</v>
      </c>
      <c r="C34" s="164"/>
      <c r="D34" s="164"/>
      <c r="E34" s="24"/>
      <c r="F34" s="29"/>
      <c r="G34" s="25" t="str">
        <f>IF(SUM($F$5:F34)=0,"",SUM($F$5:F34))</f>
        <v/>
      </c>
      <c r="H34" s="43" t="str">
        <f t="shared" si="0"/>
        <v/>
      </c>
      <c r="I34" s="148" t="e">
        <f t="array" aca="1" ref="I34" ca="1">IF($A35="",$G34/($V34-$U$5+INDIRECT(IF(_xlfn.SHEET()&lt;6,"令和8年"&amp;_xlfn.SHEET()+7&amp;"月","令和9年"&amp;_xlfn.SHEET()-5&amp;"月")&amp;"!$U$5")),$G34/($V35-$U$5))</f>
        <v>#VALUE!</v>
      </c>
      <c r="J34" s="26" t="str">
        <f t="shared" si="1"/>
        <v/>
      </c>
      <c r="K34" s="27"/>
      <c r="L34" s="165">
        <f t="shared" si="2"/>
        <v>0</v>
      </c>
      <c r="M34" s="28" t="str">
        <f t="shared" si="3"/>
        <v/>
      </c>
      <c r="N34" s="166" t="str">
        <f t="shared" si="4"/>
        <v/>
      </c>
      <c r="O34" s="167" t="str">
        <f t="shared" si="5"/>
        <v/>
      </c>
      <c r="P34" s="168"/>
      <c r="Q34" s="169" t="str">
        <f t="shared" si="6"/>
        <v/>
      </c>
      <c r="R34" s="170">
        <v>29</v>
      </c>
      <c r="S34" s="171">
        <v>14</v>
      </c>
      <c r="T34" s="24" t="s">
        <v>84</v>
      </c>
      <c r="U34" s="29">
        <v>483516</v>
      </c>
      <c r="V34" s="30">
        <f t="shared" si="41"/>
        <v>11296507</v>
      </c>
      <c r="W34" s="27">
        <v>296</v>
      </c>
      <c r="X34" s="31">
        <f t="shared" si="7"/>
        <v>1633.5</v>
      </c>
      <c r="Y34" s="29">
        <v>188176</v>
      </c>
      <c r="Z34" s="32">
        <f t="shared" si="42"/>
        <v>11127340</v>
      </c>
      <c r="AA34" s="33">
        <f t="shared" si="8"/>
        <v>1.015202824754164</v>
      </c>
      <c r="AB34" s="158">
        <v>600000</v>
      </c>
      <c r="AC34" s="34">
        <f t="shared" si="43"/>
        <v>12290000</v>
      </c>
      <c r="AD34" s="158"/>
      <c r="AE34" s="25"/>
      <c r="AF34" s="25"/>
      <c r="AG34" s="25"/>
      <c r="AH34" s="25"/>
      <c r="AI34" s="25"/>
      <c r="AJ34" s="25"/>
      <c r="AK34" s="25"/>
      <c r="AL34" s="158"/>
      <c r="AM34" s="25"/>
      <c r="AN34" s="158"/>
      <c r="AO34" s="25"/>
      <c r="AP34" s="25"/>
      <c r="AQ34" s="158"/>
      <c r="AR34" s="35">
        <f t="shared" si="9"/>
        <v>0</v>
      </c>
      <c r="AS34" s="172" t="str">
        <f t="shared" si="10"/>
        <v/>
      </c>
      <c r="AT34" s="36">
        <f t="shared" si="11"/>
        <v>0</v>
      </c>
      <c r="AU34" s="173"/>
      <c r="AV34" s="82">
        <f t="shared" si="12"/>
        <v>30</v>
      </c>
      <c r="AW34" s="37"/>
      <c r="AX34" s="174" t="str">
        <f t="shared" si="13"/>
        <v/>
      </c>
      <c r="AY34" s="37"/>
      <c r="AZ34" s="174" t="str">
        <f t="shared" si="14"/>
        <v/>
      </c>
      <c r="BA34" s="37"/>
      <c r="BB34" s="174" t="str">
        <f t="shared" si="15"/>
        <v/>
      </c>
      <c r="BC34" s="37"/>
      <c r="BD34" s="174" t="str">
        <f t="shared" si="16"/>
        <v/>
      </c>
      <c r="BE34" s="37"/>
      <c r="BF34" s="174" t="str">
        <f t="shared" si="17"/>
        <v/>
      </c>
      <c r="BG34" s="37"/>
      <c r="BH34" s="174" t="str">
        <f t="shared" si="18"/>
        <v/>
      </c>
      <c r="BI34" s="37"/>
      <c r="BJ34" s="174" t="str">
        <f t="shared" si="19"/>
        <v/>
      </c>
      <c r="BK34" s="37"/>
      <c r="BL34" s="174" t="str">
        <f t="shared" si="20"/>
        <v/>
      </c>
      <c r="BM34" s="37"/>
      <c r="BN34" s="174" t="str">
        <f t="shared" si="21"/>
        <v/>
      </c>
      <c r="BO34" s="37"/>
      <c r="BP34" s="174" t="str">
        <f t="shared" si="22"/>
        <v/>
      </c>
      <c r="BQ34" s="37"/>
      <c r="BR34" s="174" t="str">
        <f t="shared" si="23"/>
        <v/>
      </c>
      <c r="BS34" s="37"/>
      <c r="BT34" s="174" t="str">
        <f t="shared" si="24"/>
        <v/>
      </c>
      <c r="BU34" s="37"/>
      <c r="BV34" s="174" t="str">
        <f t="shared" si="25"/>
        <v/>
      </c>
      <c r="BW34" s="37"/>
      <c r="BX34" s="174" t="str">
        <f t="shared" si="26"/>
        <v/>
      </c>
      <c r="BY34" s="37"/>
      <c r="BZ34" s="174" t="str">
        <f t="shared" si="27"/>
        <v/>
      </c>
      <c r="CA34" s="37"/>
      <c r="CB34" s="174" t="str">
        <f t="shared" si="28"/>
        <v/>
      </c>
      <c r="CC34" s="37"/>
      <c r="CD34" s="174" t="str">
        <f t="shared" si="29"/>
        <v/>
      </c>
      <c r="CE34" s="37"/>
      <c r="CF34" s="174" t="str">
        <f t="shared" si="30"/>
        <v/>
      </c>
      <c r="CG34" s="37"/>
      <c r="CH34" s="174" t="str">
        <f t="shared" si="31"/>
        <v/>
      </c>
      <c r="CI34" s="37"/>
      <c r="CJ34" s="174" t="str">
        <f t="shared" si="32"/>
        <v/>
      </c>
      <c r="CK34" s="37"/>
      <c r="CL34" s="174" t="str">
        <f t="shared" si="33"/>
        <v/>
      </c>
      <c r="CM34" s="37"/>
      <c r="CN34" s="174" t="str">
        <f t="shared" si="34"/>
        <v/>
      </c>
      <c r="CO34" s="37"/>
      <c r="CP34" s="174" t="str">
        <f t="shared" si="35"/>
        <v/>
      </c>
      <c r="CQ34" s="37"/>
      <c r="CR34" s="174" t="str">
        <f t="shared" si="36"/>
        <v/>
      </c>
      <c r="CS34" s="37"/>
      <c r="CT34" s="174" t="str">
        <f t="shared" si="37"/>
        <v/>
      </c>
      <c r="CU34" s="38"/>
      <c r="CV34" s="87"/>
      <c r="CW34" s="90"/>
      <c r="CX34" s="38"/>
      <c r="CY34" s="39"/>
      <c r="CZ34" s="37"/>
      <c r="DA34" s="39"/>
      <c r="DB34" s="24">
        <v>30</v>
      </c>
      <c r="DC34" s="96" t="str">
        <f t="shared" si="38"/>
        <v>日</v>
      </c>
      <c r="DF34" s="125"/>
      <c r="DG34" s="40"/>
      <c r="DH34" s="40"/>
      <c r="DI34" s="40"/>
      <c r="DJ34" s="40"/>
      <c r="DK34" s="40"/>
      <c r="DL34" s="40"/>
      <c r="DM34" s="40"/>
      <c r="DN34" s="40"/>
      <c r="DO34" s="40"/>
      <c r="DP34" s="40">
        <f t="shared" si="39"/>
        <v>0</v>
      </c>
      <c r="DQ34" s="172" t="str">
        <f t="shared" si="40"/>
        <v/>
      </c>
      <c r="DS34" s="189"/>
      <c r="DT34" s="190"/>
      <c r="DU34" s="190"/>
      <c r="DV34" s="191"/>
      <c r="DW34" s="41"/>
      <c r="DX34" s="42"/>
    </row>
    <row r="35" spans="1:128" ht="13.5" customHeight="1" thickBot="1" x14ac:dyDescent="0.45">
      <c r="A35" s="105">
        <v>31</v>
      </c>
      <c r="B35" s="23" t="s">
        <v>90</v>
      </c>
      <c r="C35" s="164"/>
      <c r="D35" s="164"/>
      <c r="E35" s="24"/>
      <c r="F35" s="29"/>
      <c r="G35" s="25" t="str">
        <f>IF(SUM($F$5:F35)=0,"",SUM($F$5:F35))</f>
        <v/>
      </c>
      <c r="H35" s="43" t="str">
        <f t="shared" si="0"/>
        <v/>
      </c>
      <c r="I35" s="148" t="e">
        <f t="array" aca="1" ref="I35" ca="1">IF($A36="",$G35/($V35-$U$5+INDIRECT(IF(_xlfn.SHEET()&lt;6,"令和8年"&amp;_xlfn.SHEET()+7&amp;"月","令和9年"&amp;_xlfn.SHEET()-5&amp;"月")&amp;"!$U$5")),$G35/($V36-$U$5))</f>
        <v>#VALUE!</v>
      </c>
      <c r="J35" s="26" t="str">
        <f t="shared" si="1"/>
        <v/>
      </c>
      <c r="K35" s="27"/>
      <c r="L35" s="165">
        <f t="shared" si="2"/>
        <v>0</v>
      </c>
      <c r="M35" s="28" t="str">
        <f t="shared" si="3"/>
        <v/>
      </c>
      <c r="N35" s="166" t="str">
        <f t="shared" si="4"/>
        <v/>
      </c>
      <c r="O35" s="167" t="str">
        <f t="shared" si="5"/>
        <v/>
      </c>
      <c r="P35" s="168"/>
      <c r="Q35" s="169" t="str">
        <f t="shared" si="6"/>
        <v/>
      </c>
      <c r="R35" s="170">
        <v>30</v>
      </c>
      <c r="S35" s="176">
        <v>15</v>
      </c>
      <c r="T35" s="24" t="s">
        <v>84</v>
      </c>
      <c r="U35" s="29">
        <v>552566</v>
      </c>
      <c r="V35" s="30">
        <f t="shared" si="41"/>
        <v>11849073</v>
      </c>
      <c r="W35" s="27">
        <v>367</v>
      </c>
      <c r="X35" s="31">
        <f t="shared" si="7"/>
        <v>1505.6294277929155</v>
      </c>
      <c r="Y35" s="29">
        <v>540543</v>
      </c>
      <c r="Z35" s="32">
        <f t="shared" si="42"/>
        <v>11667883</v>
      </c>
      <c r="AA35" s="33">
        <f t="shared" si="8"/>
        <v>1.01552895242436</v>
      </c>
      <c r="AB35" s="158">
        <v>200000</v>
      </c>
      <c r="AC35" s="34">
        <f t="shared" si="43"/>
        <v>12490000</v>
      </c>
      <c r="AD35" s="158"/>
      <c r="AE35" s="25"/>
      <c r="AF35" s="25"/>
      <c r="AG35" s="25"/>
      <c r="AH35" s="25"/>
      <c r="AI35" s="25"/>
      <c r="AJ35" s="25"/>
      <c r="AK35" s="25"/>
      <c r="AL35" s="158"/>
      <c r="AM35" s="25"/>
      <c r="AN35" s="158"/>
      <c r="AO35" s="25"/>
      <c r="AP35" s="25"/>
      <c r="AQ35" s="158"/>
      <c r="AR35" s="35">
        <f t="shared" si="9"/>
        <v>0</v>
      </c>
      <c r="AS35" s="172" t="str">
        <f t="shared" si="10"/>
        <v/>
      </c>
      <c r="AT35" s="36">
        <f t="shared" si="11"/>
        <v>0</v>
      </c>
      <c r="AU35" s="173"/>
      <c r="AV35" s="82">
        <f t="shared" si="12"/>
        <v>31</v>
      </c>
      <c r="AW35" s="37"/>
      <c r="AX35" s="174" t="str">
        <f t="shared" si="13"/>
        <v/>
      </c>
      <c r="AY35" s="37"/>
      <c r="AZ35" s="174" t="str">
        <f t="shared" si="14"/>
        <v/>
      </c>
      <c r="BA35" s="37"/>
      <c r="BB35" s="174" t="str">
        <f t="shared" si="15"/>
        <v/>
      </c>
      <c r="BC35" s="37"/>
      <c r="BD35" s="174" t="str">
        <f t="shared" si="16"/>
        <v/>
      </c>
      <c r="BE35" s="37"/>
      <c r="BF35" s="174" t="str">
        <f t="shared" si="17"/>
        <v/>
      </c>
      <c r="BG35" s="37"/>
      <c r="BH35" s="174" t="str">
        <f t="shared" si="18"/>
        <v/>
      </c>
      <c r="BI35" s="37"/>
      <c r="BJ35" s="174" t="str">
        <f t="shared" si="19"/>
        <v/>
      </c>
      <c r="BK35" s="37"/>
      <c r="BL35" s="174" t="str">
        <f t="shared" si="20"/>
        <v/>
      </c>
      <c r="BM35" s="37"/>
      <c r="BN35" s="174" t="str">
        <f t="shared" si="21"/>
        <v/>
      </c>
      <c r="BO35" s="37"/>
      <c r="BP35" s="174" t="str">
        <f t="shared" si="22"/>
        <v/>
      </c>
      <c r="BQ35" s="37"/>
      <c r="BR35" s="174" t="str">
        <f t="shared" si="23"/>
        <v/>
      </c>
      <c r="BS35" s="37"/>
      <c r="BT35" s="174" t="str">
        <f t="shared" si="24"/>
        <v/>
      </c>
      <c r="BU35" s="37"/>
      <c r="BV35" s="174" t="str">
        <f t="shared" si="25"/>
        <v/>
      </c>
      <c r="BW35" s="37"/>
      <c r="BX35" s="174" t="str">
        <f t="shared" si="26"/>
        <v/>
      </c>
      <c r="BY35" s="37"/>
      <c r="BZ35" s="174" t="str">
        <f t="shared" si="27"/>
        <v/>
      </c>
      <c r="CA35" s="37"/>
      <c r="CB35" s="174" t="str">
        <f t="shared" si="28"/>
        <v/>
      </c>
      <c r="CC35" s="37"/>
      <c r="CD35" s="174" t="str">
        <f t="shared" si="29"/>
        <v/>
      </c>
      <c r="CE35" s="37"/>
      <c r="CF35" s="174" t="str">
        <f t="shared" si="30"/>
        <v/>
      </c>
      <c r="CG35" s="37"/>
      <c r="CH35" s="174" t="str">
        <f t="shared" si="31"/>
        <v/>
      </c>
      <c r="CI35" s="37"/>
      <c r="CJ35" s="174" t="str">
        <f t="shared" si="32"/>
        <v/>
      </c>
      <c r="CK35" s="37"/>
      <c r="CL35" s="174" t="str">
        <f t="shared" si="33"/>
        <v/>
      </c>
      <c r="CM35" s="37"/>
      <c r="CN35" s="174" t="str">
        <f t="shared" si="34"/>
        <v/>
      </c>
      <c r="CO35" s="37"/>
      <c r="CP35" s="174" t="str">
        <f t="shared" si="35"/>
        <v/>
      </c>
      <c r="CQ35" s="37"/>
      <c r="CR35" s="174" t="str">
        <f t="shared" si="36"/>
        <v/>
      </c>
      <c r="CS35" s="37"/>
      <c r="CT35" s="174" t="str">
        <f t="shared" si="37"/>
        <v/>
      </c>
      <c r="CU35" s="38"/>
      <c r="CV35" s="87"/>
      <c r="CW35" s="90"/>
      <c r="CX35" s="38"/>
      <c r="CY35" s="39"/>
      <c r="CZ35" s="37"/>
      <c r="DA35" s="39"/>
      <c r="DB35" s="24">
        <v>31</v>
      </c>
      <c r="DC35" s="96" t="str">
        <f t="shared" si="38"/>
        <v>月</v>
      </c>
      <c r="DF35" s="125"/>
      <c r="DG35" s="40"/>
      <c r="DH35" s="40"/>
      <c r="DI35" s="40"/>
      <c r="DJ35" s="40"/>
      <c r="DK35" s="40"/>
      <c r="DL35" s="40"/>
      <c r="DM35" s="40"/>
      <c r="DN35" s="40"/>
      <c r="DO35" s="40"/>
      <c r="DP35" s="40">
        <f t="shared" si="39"/>
        <v>0</v>
      </c>
      <c r="DQ35" s="172" t="str">
        <f t="shared" si="40"/>
        <v/>
      </c>
      <c r="DS35" s="189"/>
      <c r="DT35" s="190"/>
      <c r="DU35" s="190"/>
      <c r="DV35" s="191"/>
      <c r="DW35" s="41"/>
      <c r="DX35" s="42"/>
    </row>
    <row r="36" spans="1:128" ht="18.75" customHeight="1" thickTop="1" thickBot="1" x14ac:dyDescent="0.45">
      <c r="A36" s="62"/>
      <c r="B36" s="103"/>
      <c r="C36" s="103"/>
      <c r="D36" s="103"/>
      <c r="E36" s="44" t="s">
        <v>95</v>
      </c>
      <c r="F36" s="25">
        <f>SUM(F5:F35)</f>
        <v>0</v>
      </c>
      <c r="G36" s="25"/>
      <c r="H36" s="43"/>
      <c r="I36" s="148"/>
      <c r="J36" s="26"/>
      <c r="K36" s="45">
        <f>SUM(K4:K35)</f>
        <v>0</v>
      </c>
      <c r="L36" s="165">
        <f t="shared" si="2"/>
        <v>0</v>
      </c>
      <c r="M36" s="46"/>
      <c r="N36" s="47" t="str">
        <f t="shared" si="4"/>
        <v/>
      </c>
      <c r="O36" s="48"/>
      <c r="P36" s="177"/>
      <c r="Q36" s="178"/>
      <c r="R36" s="49"/>
      <c r="S36" s="128"/>
      <c r="T36" s="50" t="s">
        <v>95</v>
      </c>
      <c r="U36" s="51">
        <f>SUM(U5:U35)</f>
        <v>11849073</v>
      </c>
      <c r="V36" s="30"/>
      <c r="W36" s="52">
        <f>SUM(W5:W35)</f>
        <v>8203</v>
      </c>
      <c r="X36" s="53"/>
      <c r="Y36" s="25">
        <f>SUM(Y5:Y35)</f>
        <v>11667883</v>
      </c>
      <c r="Z36" s="32"/>
      <c r="AA36" s="54"/>
      <c r="AB36" s="55"/>
      <c r="AC36" s="54"/>
      <c r="AD36" s="158">
        <f t="shared" ref="AD36:AR36" si="44">SUM(AD5:AD35)</f>
        <v>0</v>
      </c>
      <c r="AE36" s="25">
        <f t="shared" si="44"/>
        <v>0</v>
      </c>
      <c r="AF36" s="25">
        <f t="shared" si="44"/>
        <v>0</v>
      </c>
      <c r="AG36" s="25">
        <f t="shared" si="44"/>
        <v>0</v>
      </c>
      <c r="AH36" s="25">
        <f t="shared" si="44"/>
        <v>0</v>
      </c>
      <c r="AI36" s="25">
        <f t="shared" si="44"/>
        <v>0</v>
      </c>
      <c r="AJ36" s="25">
        <f t="shared" si="44"/>
        <v>0</v>
      </c>
      <c r="AK36" s="25">
        <f t="shared" si="44"/>
        <v>0</v>
      </c>
      <c r="AL36" s="25">
        <f t="shared" si="44"/>
        <v>0</v>
      </c>
      <c r="AM36" s="25">
        <f t="shared" si="44"/>
        <v>0</v>
      </c>
      <c r="AN36" s="25">
        <f t="shared" si="44"/>
        <v>0</v>
      </c>
      <c r="AO36" s="25">
        <f t="shared" si="44"/>
        <v>0</v>
      </c>
      <c r="AP36" s="25">
        <f t="shared" si="44"/>
        <v>0</v>
      </c>
      <c r="AQ36" s="158">
        <f t="shared" si="44"/>
        <v>0</v>
      </c>
      <c r="AR36" s="56">
        <f t="shared" si="44"/>
        <v>0</v>
      </c>
      <c r="AS36" s="179" t="str">
        <f>IF(ISERROR((AR36/$F36)),"",AR36/$F36)</f>
        <v/>
      </c>
      <c r="AT36" s="77">
        <f>SUM(AT5:AT35)</f>
        <v>0</v>
      </c>
      <c r="AU36" s="173"/>
      <c r="AV36" s="83" t="s">
        <v>95</v>
      </c>
      <c r="AW36" s="57">
        <f>SUM(AW5:AW35)</f>
        <v>0</v>
      </c>
      <c r="AX36" s="57"/>
      <c r="AY36" s="57">
        <f>SUM(AY5:AY35)</f>
        <v>0</v>
      </c>
      <c r="AZ36" s="57"/>
      <c r="BA36" s="57">
        <f>SUM(BA5:BA35)</f>
        <v>0</v>
      </c>
      <c r="BB36" s="57"/>
      <c r="BC36" s="57">
        <f>SUM(BC5:BC35)</f>
        <v>0</v>
      </c>
      <c r="BD36" s="57"/>
      <c r="BE36" s="57">
        <f>SUM(BE5:BE35)</f>
        <v>0</v>
      </c>
      <c r="BF36" s="57"/>
      <c r="BG36" s="57">
        <f>SUM(BG5:BG35)</f>
        <v>0</v>
      </c>
      <c r="BH36" s="57"/>
      <c r="BI36" s="57">
        <f>SUM(BI5:BI35)</f>
        <v>0</v>
      </c>
      <c r="BJ36" s="57"/>
      <c r="BK36" s="57">
        <f>SUM(BK5:BK35)</f>
        <v>0</v>
      </c>
      <c r="BL36" s="57"/>
      <c r="BM36" s="57">
        <f>SUM(BM5:BM35)</f>
        <v>0</v>
      </c>
      <c r="BN36" s="57"/>
      <c r="BO36" s="57">
        <f>SUM(BO5:BO35)</f>
        <v>0</v>
      </c>
      <c r="BP36" s="57"/>
      <c r="BQ36" s="57">
        <f>SUM(BQ5:BQ35)</f>
        <v>0</v>
      </c>
      <c r="BR36" s="57"/>
      <c r="BS36" s="57">
        <f>SUM(BS5:BS35)</f>
        <v>0</v>
      </c>
      <c r="BT36" s="57"/>
      <c r="BU36" s="57">
        <f>SUM(BU5:BU35)</f>
        <v>0</v>
      </c>
      <c r="BV36" s="57"/>
      <c r="BW36" s="57">
        <f>SUM(BW5:BW35)</f>
        <v>0</v>
      </c>
      <c r="BX36" s="57"/>
      <c r="BY36" s="57">
        <f>SUM(BY5:BY35)</f>
        <v>0</v>
      </c>
      <c r="BZ36" s="57"/>
      <c r="CA36" s="57">
        <f>SUM(CA5:CA35)</f>
        <v>0</v>
      </c>
      <c r="CB36" s="57"/>
      <c r="CC36" s="57">
        <f>SUM(CC5:CC35)</f>
        <v>0</v>
      </c>
      <c r="CD36" s="58"/>
      <c r="CE36" s="57">
        <f>SUM(CE5:CE35)</f>
        <v>0</v>
      </c>
      <c r="CF36" s="58"/>
      <c r="CG36" s="57">
        <f>SUM(CG5:CG35)</f>
        <v>0</v>
      </c>
      <c r="CH36" s="57"/>
      <c r="CI36" s="57">
        <f>SUM(CI5:CI35)</f>
        <v>0</v>
      </c>
      <c r="CJ36" s="58"/>
      <c r="CK36" s="57">
        <f>SUM(CK5:CK35)</f>
        <v>0</v>
      </c>
      <c r="CL36" s="58"/>
      <c r="CM36" s="57">
        <f>SUM(CM5:CM35)</f>
        <v>0</v>
      </c>
      <c r="CN36" s="57"/>
      <c r="CO36" s="57">
        <f>SUM(CO5:CO35)</f>
        <v>0</v>
      </c>
      <c r="CP36" s="58"/>
      <c r="CQ36" s="57">
        <f>SUM(CQ5:CQ35)</f>
        <v>0</v>
      </c>
      <c r="CR36" s="58"/>
      <c r="CS36" s="57">
        <f>SUM(CS5:CS35)</f>
        <v>0</v>
      </c>
      <c r="CT36" s="60"/>
      <c r="CU36" s="59">
        <f>SUM(CU5:CU35)</f>
        <v>0</v>
      </c>
      <c r="CV36" s="60">
        <f>SUM(CV5:CV35)</f>
        <v>0</v>
      </c>
      <c r="CW36" s="91"/>
      <c r="CX36" s="59">
        <f>SUM(CX5:CX35)</f>
        <v>0</v>
      </c>
      <c r="CY36" s="39">
        <f>SUM(CY5:CY35)</f>
        <v>0</v>
      </c>
      <c r="CZ36" s="57">
        <f>SUM(CZ5:CZ35)</f>
        <v>0</v>
      </c>
      <c r="DA36" s="61">
        <f>SUM(DA5:DA35)</f>
        <v>0</v>
      </c>
      <c r="DB36" s="44"/>
      <c r="DC36" s="96"/>
      <c r="DF36" s="125">
        <f t="shared" ref="DF36:DP36" si="45">SUM(DF5:DF35)</f>
        <v>0</v>
      </c>
      <c r="DG36" s="40">
        <f t="shared" si="45"/>
        <v>0</v>
      </c>
      <c r="DH36" s="40">
        <f t="shared" si="45"/>
        <v>0</v>
      </c>
      <c r="DI36" s="40">
        <f t="shared" si="45"/>
        <v>0</v>
      </c>
      <c r="DJ36" s="40">
        <f t="shared" si="45"/>
        <v>0</v>
      </c>
      <c r="DK36" s="40">
        <f t="shared" si="45"/>
        <v>0</v>
      </c>
      <c r="DL36" s="40">
        <f t="shared" si="45"/>
        <v>0</v>
      </c>
      <c r="DM36" s="40">
        <f t="shared" si="45"/>
        <v>0</v>
      </c>
      <c r="DN36" s="40">
        <f t="shared" si="45"/>
        <v>0</v>
      </c>
      <c r="DO36" s="40">
        <f t="shared" si="45"/>
        <v>0</v>
      </c>
      <c r="DP36" s="40">
        <f t="shared" si="45"/>
        <v>0</v>
      </c>
      <c r="DQ36" s="179" t="str">
        <f>IF(ISERROR((DP36/$F36)),"",DP36/$F36)</f>
        <v/>
      </c>
      <c r="DS36" s="198" t="s">
        <v>96</v>
      </c>
      <c r="DT36" s="199"/>
      <c r="DU36" s="199"/>
      <c r="DV36" s="199"/>
      <c r="DW36" s="199"/>
      <c r="DX36" s="199"/>
    </row>
    <row r="37" spans="1:128" ht="19.149999999999999" customHeight="1" thickTop="1" thickBot="1" x14ac:dyDescent="0.45">
      <c r="E37" s="62" t="s">
        <v>97</v>
      </c>
      <c r="F37" s="66" t="str">
        <f>IF(ISERROR(AVERAGE(F5:F35)),"",AVERAGE(F5:F35))</f>
        <v/>
      </c>
      <c r="G37" s="66"/>
      <c r="H37" s="100" t="str">
        <f>IF(ISERROR(F37/U37),"",(F37/U37))</f>
        <v/>
      </c>
      <c r="I37" s="149"/>
      <c r="J37" s="101" t="str">
        <f>IF(ISERROR(F37/AC5),"",(F37/AC5))</f>
        <v/>
      </c>
      <c r="K37" s="102" t="str">
        <f>IF(ISERROR(AVERAGE(K4:K35)),"",AVERAGE(K4:K35))</f>
        <v/>
      </c>
      <c r="L37" s="180" t="str">
        <f t="shared" si="2"/>
        <v/>
      </c>
      <c r="M37" s="102" t="str">
        <f>IF(ISERROR(AVERAGE(M4:M35)),"",AVERAGE(M4:M35))</f>
        <v/>
      </c>
      <c r="N37" s="181" t="str">
        <f t="shared" si="4"/>
        <v/>
      </c>
      <c r="O37" s="182" t="e">
        <f>AVERAGE(O4:O35)</f>
        <v>#DIV/0!</v>
      </c>
      <c r="P37" s="183"/>
      <c r="Q37" s="184" t="e">
        <f>AVERAGE(Q4:Q35)</f>
        <v>#DIV/0!</v>
      </c>
      <c r="T37" s="62" t="s">
        <v>97</v>
      </c>
      <c r="U37" s="63">
        <f>IF(ISERROR(AVERAGE(U5:U35)),"",AVERAGE(U5:U35))</f>
        <v>382228.16129032261</v>
      </c>
      <c r="V37" s="64"/>
      <c r="W37" s="65">
        <f>IF(ISERROR(AVERAGE(W5:W35)),"",AVERAGE(W5:W35))</f>
        <v>264.61290322580646</v>
      </c>
      <c r="X37" s="65">
        <f>IF(ISERROR(AVERAGE(X5:X35)),"",AVERAGE(X5:X35))</f>
        <v>1419.8525439773564</v>
      </c>
      <c r="Y37" s="66">
        <f>IF(ISERROR(AVERAGE(Y5:Y35)),"",AVERAGE(Y5:Y35))</f>
        <v>376383.32258064515</v>
      </c>
      <c r="Z37" s="66"/>
      <c r="AA37" s="67"/>
      <c r="AB37" s="201" t="s">
        <v>98</v>
      </c>
      <c r="AC37" s="202"/>
      <c r="AD37" s="68" t="str">
        <f t="shared" ref="AD37:AQ37" si="46">IF(ISERROR(AVERAGE(AD5:AD35)),"",AVERAGE(AD5:AD35))</f>
        <v/>
      </c>
      <c r="AE37" s="66" t="str">
        <f t="shared" si="46"/>
        <v/>
      </c>
      <c r="AF37" s="66" t="str">
        <f t="shared" si="46"/>
        <v/>
      </c>
      <c r="AG37" s="66" t="str">
        <f t="shared" si="46"/>
        <v/>
      </c>
      <c r="AH37" s="66" t="str">
        <f t="shared" si="46"/>
        <v/>
      </c>
      <c r="AI37" s="66" t="str">
        <f t="shared" si="46"/>
        <v/>
      </c>
      <c r="AJ37" s="66" t="str">
        <f t="shared" si="46"/>
        <v/>
      </c>
      <c r="AK37" s="66" t="str">
        <f t="shared" si="46"/>
        <v/>
      </c>
      <c r="AL37" s="66" t="str">
        <f t="shared" si="46"/>
        <v/>
      </c>
      <c r="AM37" s="66" t="str">
        <f t="shared" si="46"/>
        <v/>
      </c>
      <c r="AN37" s="66" t="str">
        <f t="shared" si="46"/>
        <v/>
      </c>
      <c r="AO37" s="66" t="str">
        <f t="shared" si="46"/>
        <v/>
      </c>
      <c r="AP37" s="66" t="str">
        <f t="shared" si="46"/>
        <v/>
      </c>
      <c r="AQ37" s="69" t="str">
        <f t="shared" si="46"/>
        <v/>
      </c>
      <c r="AR37" s="70"/>
      <c r="AS37" s="185"/>
      <c r="AT37" s="185"/>
      <c r="AU37" s="186"/>
      <c r="AV37" s="84" t="s">
        <v>97</v>
      </c>
      <c r="AW37" s="72" t="str">
        <f>IF(ISERROR(AVERAGE(AW5:AW35)),"",AVERAGE(AW5:AW35))</f>
        <v/>
      </c>
      <c r="AX37" s="187" t="e">
        <f>AVERAGE(AX5:AX35)</f>
        <v>#DIV/0!</v>
      </c>
      <c r="AY37" s="72" t="str">
        <f>IF(ISERROR(AVERAGE(AY5:AY35)),"",AVERAGE(AY5:AY35))</f>
        <v/>
      </c>
      <c r="AZ37" s="187" t="e">
        <f>AVERAGE(AZ5:AZ35)</f>
        <v>#DIV/0!</v>
      </c>
      <c r="BA37" s="72" t="str">
        <f>IF(ISERROR(AVERAGE(BA5:BA35)),"",AVERAGE(BA5:BA35))</f>
        <v/>
      </c>
      <c r="BB37" s="187" t="e">
        <f>AVERAGE(BB5:BB35)</f>
        <v>#DIV/0!</v>
      </c>
      <c r="BC37" s="72" t="str">
        <f>IF(ISERROR(AVERAGE(BC5:BC35)),"",AVERAGE(BC5:BC35))</f>
        <v/>
      </c>
      <c r="BD37" s="187" t="e">
        <f>AVERAGE(BD5:BD35)</f>
        <v>#DIV/0!</v>
      </c>
      <c r="BE37" s="72" t="str">
        <f>IF(ISERROR(AVERAGE(BE5:BE35)),"",AVERAGE(BE5:BE35))</f>
        <v/>
      </c>
      <c r="BF37" s="187" t="e">
        <f>AVERAGE(BF5:BF35)</f>
        <v>#DIV/0!</v>
      </c>
      <c r="BG37" s="72" t="str">
        <f>IF(ISERROR(AVERAGE(BG5:BG35)),"",AVERAGE(BG5:BG35))</f>
        <v/>
      </c>
      <c r="BH37" s="187" t="e">
        <f>AVERAGE(BH5:BH35)</f>
        <v>#DIV/0!</v>
      </c>
      <c r="BI37" s="72" t="str">
        <f>IF(ISERROR(AVERAGE(BI5:BI35)),"",AVERAGE(BI5:BI35))</f>
        <v/>
      </c>
      <c r="BJ37" s="187" t="e">
        <f>AVERAGE(BJ5:BJ35)</f>
        <v>#DIV/0!</v>
      </c>
      <c r="BK37" s="72" t="str">
        <f>IF(ISERROR(AVERAGE(BK5:BK35)),"",AVERAGE(BK5:BK35))</f>
        <v/>
      </c>
      <c r="BL37" s="187" t="e">
        <f>AVERAGE(BL5:BL35)</f>
        <v>#DIV/0!</v>
      </c>
      <c r="BM37" s="72" t="str">
        <f>IF(ISERROR(AVERAGE(BM5:BM35)),"",AVERAGE(BM5:BM35))</f>
        <v/>
      </c>
      <c r="BN37" s="187" t="e">
        <f>AVERAGE(BN5:BN35)</f>
        <v>#DIV/0!</v>
      </c>
      <c r="BO37" s="72" t="str">
        <f>IF(ISERROR(AVERAGE(BO5:BO35)),"",AVERAGE(BO5:BO35))</f>
        <v/>
      </c>
      <c r="BP37" s="187" t="e">
        <f>AVERAGE(BP5:BP35)</f>
        <v>#DIV/0!</v>
      </c>
      <c r="BQ37" s="72" t="str">
        <f>IF(ISERROR(AVERAGE(BQ5:BQ35)),"",AVERAGE(BQ5:BQ35))</f>
        <v/>
      </c>
      <c r="BR37" s="187" t="e">
        <f>AVERAGE(BR5:BR35)</f>
        <v>#DIV/0!</v>
      </c>
      <c r="BS37" s="72" t="str">
        <f>IF(ISERROR(AVERAGE(BS5:BS35)),"",AVERAGE(BS5:BS35))</f>
        <v/>
      </c>
      <c r="BT37" s="187" t="e">
        <f>AVERAGE(BT5:BT35)</f>
        <v>#DIV/0!</v>
      </c>
      <c r="BU37" s="72" t="str">
        <f>IF(ISERROR(AVERAGE(BU5:BU35)),"",AVERAGE(BU5:BU35))</f>
        <v/>
      </c>
      <c r="BV37" s="187" t="e">
        <f>AVERAGE(BV5:BV35)</f>
        <v>#DIV/0!</v>
      </c>
      <c r="BW37" s="72" t="str">
        <f>IF(ISERROR(AVERAGE(BW5:BW35)),"",AVERAGE(BW5:BW35))</f>
        <v/>
      </c>
      <c r="BX37" s="187" t="e">
        <f>AVERAGE(BX5:BX35)</f>
        <v>#DIV/0!</v>
      </c>
      <c r="BY37" s="72" t="str">
        <f>IF(ISERROR(AVERAGE(BY5:BY35)),"",AVERAGE(BY5:BY35))</f>
        <v/>
      </c>
      <c r="BZ37" s="187" t="e">
        <f>AVERAGE(BZ5:BZ35)</f>
        <v>#DIV/0!</v>
      </c>
      <c r="CA37" s="72" t="str">
        <f>IF(ISERROR(AVERAGE(CA5:CA35)),"",AVERAGE(CA5:CA35))</f>
        <v/>
      </c>
      <c r="CB37" s="187" t="e">
        <f>AVERAGE(CB5:CB35)</f>
        <v>#DIV/0!</v>
      </c>
      <c r="CC37" s="72" t="str">
        <f>IF(ISERROR(AVERAGE(CC5:CC35)),"",AVERAGE(CC5:CC35))</f>
        <v/>
      </c>
      <c r="CD37" s="187" t="e">
        <f>AVERAGE(CD5:CD35)</f>
        <v>#DIV/0!</v>
      </c>
      <c r="CE37" s="72" t="str">
        <f>IF(ISERROR(AVERAGE(CE5:CE35)),"",AVERAGE(CE5:CE35))</f>
        <v/>
      </c>
      <c r="CF37" s="187" t="e">
        <f>AVERAGE(CF5:CF35)</f>
        <v>#DIV/0!</v>
      </c>
      <c r="CG37" s="72" t="str">
        <f>IF(ISERROR(AVERAGE(CG5:CG35)),"",AVERAGE(CG5:CG35))</f>
        <v/>
      </c>
      <c r="CH37" s="187" t="e">
        <f>AVERAGE(CH5:CH35)</f>
        <v>#DIV/0!</v>
      </c>
      <c r="CI37" s="72" t="str">
        <f>IF(ISERROR(AVERAGE(CI5:CI35)),"",AVERAGE(CI5:CI35))</f>
        <v/>
      </c>
      <c r="CJ37" s="187" t="e">
        <f>AVERAGE(CJ5:CJ35)</f>
        <v>#DIV/0!</v>
      </c>
      <c r="CK37" s="72" t="str">
        <f>IF(ISERROR(AVERAGE(CK5:CK35)),"",AVERAGE(CK5:CK35))</f>
        <v/>
      </c>
      <c r="CL37" s="187" t="e">
        <f>AVERAGE(CL5:CL35)</f>
        <v>#DIV/0!</v>
      </c>
      <c r="CM37" s="72" t="str">
        <f>IF(ISERROR(AVERAGE(CM5:CM35)),"",AVERAGE(CM5:CM35))</f>
        <v/>
      </c>
      <c r="CN37" s="187" t="e">
        <f>AVERAGE(CN5:CN35)</f>
        <v>#DIV/0!</v>
      </c>
      <c r="CO37" s="72" t="str">
        <f>IF(ISERROR(AVERAGE(CO5:CO35)),"",AVERAGE(CO5:CO35))</f>
        <v/>
      </c>
      <c r="CP37" s="187" t="e">
        <f>AVERAGE(CP5:CP35)</f>
        <v>#DIV/0!</v>
      </c>
      <c r="CQ37" s="72" t="str">
        <f>IF(ISERROR(AVERAGE(CQ5:CQ35)),"",AVERAGE(CQ5:CQ35))</f>
        <v/>
      </c>
      <c r="CR37" s="187" t="e">
        <f>AVERAGE(CR5:CR35)</f>
        <v>#DIV/0!</v>
      </c>
      <c r="CS37" s="72" t="str">
        <f>IF(ISERROR(AVERAGE(CS5:CS35)),"",AVERAGE(CS5:CS35))</f>
        <v/>
      </c>
      <c r="CT37" s="188" t="e">
        <f>AVERAGE(CT5:CT35)</f>
        <v>#DIV/0!</v>
      </c>
      <c r="CU37" s="71" t="str">
        <f>IF(ISERROR(AVERAGE(CU5:CU35)),"",AVERAGE(CU5:CU35))</f>
        <v/>
      </c>
      <c r="CV37" s="88" t="str">
        <f>IF(ISERROR(AVERAGE(CV5:CV35)),"",AVERAGE(CV5:CV35))</f>
        <v/>
      </c>
      <c r="CW37" s="92"/>
      <c r="CX37" s="71" t="str">
        <f>IF(ISERROR(AVERAGE(CX5:CX35)),"",AVERAGE(CX5:CX35))</f>
        <v/>
      </c>
      <c r="CY37" s="154" t="str">
        <f>IF(ISERROR(AVERAGE(CY5:CY35)),"",AVERAGE(CY5:CY35))</f>
        <v/>
      </c>
      <c r="CZ37" s="72" t="str">
        <f>IF(ISERROR(AVERAGE(CZ5:CZ35)),"",AVERAGE(CZ5:CZ35))</f>
        <v/>
      </c>
      <c r="DA37" s="72" t="str">
        <f>IF(ISERROR(AVERAGE(DA5:DA35)),"",AVERAGE(DA5:DA35))</f>
        <v/>
      </c>
      <c r="DB37" s="98"/>
      <c r="DC37" s="99"/>
      <c r="DF37" s="126" t="e">
        <f t="shared" ref="DF37:DP37" si="47">AVERAGE(DF5:DF35)</f>
        <v>#DIV/0!</v>
      </c>
      <c r="DG37" s="127" t="e">
        <f t="shared" si="47"/>
        <v>#DIV/0!</v>
      </c>
      <c r="DH37" s="127" t="e">
        <f t="shared" si="47"/>
        <v>#DIV/0!</v>
      </c>
      <c r="DI37" s="127" t="e">
        <f t="shared" si="47"/>
        <v>#DIV/0!</v>
      </c>
      <c r="DJ37" s="127" t="e">
        <f t="shared" si="47"/>
        <v>#DIV/0!</v>
      </c>
      <c r="DK37" s="127" t="e">
        <f t="shared" si="47"/>
        <v>#DIV/0!</v>
      </c>
      <c r="DL37" s="127" t="e">
        <f t="shared" si="47"/>
        <v>#DIV/0!</v>
      </c>
      <c r="DM37" s="127" t="e">
        <f t="shared" si="47"/>
        <v>#DIV/0!</v>
      </c>
      <c r="DN37" s="127" t="e">
        <f t="shared" si="47"/>
        <v>#DIV/0!</v>
      </c>
      <c r="DO37" s="127" t="e">
        <f t="shared" si="47"/>
        <v>#DIV/0!</v>
      </c>
      <c r="DP37" s="127">
        <f t="shared" si="47"/>
        <v>0</v>
      </c>
      <c r="DQ37" s="188"/>
      <c r="DS37" s="198" t="s">
        <v>99</v>
      </c>
      <c r="DT37" s="199"/>
      <c r="DU37" s="199"/>
      <c r="DV37" s="199"/>
      <c r="DW37" s="199"/>
      <c r="DX37" s="199"/>
    </row>
    <row r="38" spans="1:128" ht="19.149999999999999" customHeight="1" thickTop="1" thickBot="1" x14ac:dyDescent="0.45">
      <c r="DS38" s="198" t="s">
        <v>100</v>
      </c>
      <c r="DT38" s="199"/>
      <c r="DU38" s="199"/>
      <c r="DV38" s="199"/>
      <c r="DW38" s="199"/>
      <c r="DX38" s="199"/>
    </row>
    <row r="39" spans="1:128" ht="18.75" customHeight="1" thickTop="1" x14ac:dyDescent="0.4">
      <c r="E39" s="196" t="s">
        <v>101</v>
      </c>
      <c r="F39" s="197"/>
      <c r="H39" s="137" t="s">
        <v>12</v>
      </c>
      <c r="T39" s="200" t="s">
        <v>102</v>
      </c>
      <c r="U39" s="197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 spans="1:128" ht="18.75" customHeight="1" thickBot="1" x14ac:dyDescent="0.45">
      <c r="E40" s="133" t="s">
        <v>95</v>
      </c>
      <c r="F40" s="135" t="e">
        <f>(令和9年4月!G34-令和9年4月!G19)+令和9年5月!G19</f>
        <v>#VALUE!</v>
      </c>
      <c r="H40" s="142" t="str">
        <f>IF(ISERROR(F40/U40),"",(F40/U40))</f>
        <v/>
      </c>
      <c r="I40" s="146"/>
      <c r="T40" s="133" t="s">
        <v>95</v>
      </c>
      <c r="U40" s="135">
        <f>(令和9年4月!V34-令和9年4月!V19)+令和9年5月!V19</f>
        <v>11925136</v>
      </c>
    </row>
    <row r="41" spans="1:128" ht="18.75" customHeight="1" thickTop="1" thickBot="1" x14ac:dyDescent="0.45">
      <c r="E41" s="134" t="s">
        <v>97</v>
      </c>
      <c r="F41" s="136" t="e">
        <f>F40/30</f>
        <v>#VALUE!</v>
      </c>
      <c r="T41" s="134" t="s">
        <v>97</v>
      </c>
      <c r="U41" s="136">
        <f>U40/30</f>
        <v>397504.53333333333</v>
      </c>
    </row>
    <row r="42" spans="1:128" ht="13.9" customHeight="1" thickTop="1" x14ac:dyDescent="0.4"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</row>
  </sheetData>
  <mergeCells count="44">
    <mergeCell ref="DS21:DV21"/>
    <mergeCell ref="DS31:DV31"/>
    <mergeCell ref="DS38:DX38"/>
    <mergeCell ref="DS35:DV35"/>
    <mergeCell ref="AB37:AC37"/>
    <mergeCell ref="DS37:DX37"/>
    <mergeCell ref="DS5:DV5"/>
    <mergeCell ref="G1:G2"/>
    <mergeCell ref="DS11:DV11"/>
    <mergeCell ref="AX1:BC2"/>
    <mergeCell ref="DS14:DV14"/>
    <mergeCell ref="DS12:DV12"/>
    <mergeCell ref="E39:F39"/>
    <mergeCell ref="DS8:DV8"/>
    <mergeCell ref="DS27:DV27"/>
    <mergeCell ref="DS29:DV29"/>
    <mergeCell ref="DS19:DV19"/>
    <mergeCell ref="DS10:DV10"/>
    <mergeCell ref="DS13:DV13"/>
    <mergeCell ref="DS9:DV9"/>
    <mergeCell ref="DS34:DV34"/>
    <mergeCell ref="DS28:DV28"/>
    <mergeCell ref="DS24:DV24"/>
    <mergeCell ref="DS15:DV15"/>
    <mergeCell ref="DS23:DV23"/>
    <mergeCell ref="DS17:DV17"/>
    <mergeCell ref="DS36:DX36"/>
    <mergeCell ref="T39:U39"/>
    <mergeCell ref="A1:E2"/>
    <mergeCell ref="DS30:DV30"/>
    <mergeCell ref="DS33:DV33"/>
    <mergeCell ref="DS4:DV4"/>
    <mergeCell ref="DS20:DV20"/>
    <mergeCell ref="DS16:DV16"/>
    <mergeCell ref="DS7:DV7"/>
    <mergeCell ref="DS25:DV25"/>
    <mergeCell ref="DS32:DV32"/>
    <mergeCell ref="DS26:DV26"/>
    <mergeCell ref="DS22:DV22"/>
    <mergeCell ref="F1:F2"/>
    <mergeCell ref="DS18:DV18"/>
    <mergeCell ref="H1:K2"/>
    <mergeCell ref="M1:M2"/>
    <mergeCell ref="DS6:DV6"/>
  </mergeCells>
  <phoneticPr fontId="3"/>
  <conditionalFormatting sqref="B26:B28 B28:D30">
    <cfRule type="expression" dxfId="67" priority="41" stopIfTrue="1">
      <formula>(B26)="日"</formula>
    </cfRule>
    <cfRule type="expression" dxfId="66" priority="40" stopIfTrue="1">
      <formula>(B26)="土"</formula>
    </cfRule>
  </conditionalFormatting>
  <conditionalFormatting sqref="B33:B35">
    <cfRule type="expression" dxfId="65" priority="35" stopIfTrue="1">
      <formula>(B33)="日"</formula>
    </cfRule>
    <cfRule type="expression" dxfId="64" priority="34" stopIfTrue="1">
      <formula>(B33)="土"</formula>
    </cfRule>
  </conditionalFormatting>
  <conditionalFormatting sqref="B5:D35">
    <cfRule type="expression" dxfId="63" priority="45" stopIfTrue="1">
      <formula>(B5)="日"</formula>
    </cfRule>
    <cfRule type="expression" dxfId="62" priority="44" stopIfTrue="1">
      <formula>(B5)="土"</formula>
    </cfRule>
  </conditionalFormatting>
  <conditionalFormatting sqref="B35:D35">
    <cfRule type="expression" dxfId="61" priority="38" stopIfTrue="1">
      <formula>(B35)="土"</formula>
    </cfRule>
    <cfRule type="expression" dxfId="60" priority="39" stopIfTrue="1">
      <formula>(B35)="日"</formula>
    </cfRule>
  </conditionalFormatting>
  <conditionalFormatting sqref="R5:S35">
    <cfRule type="expression" dxfId="59" priority="2" stopIfTrue="1">
      <formula>(R5)="日"</formula>
    </cfRule>
    <cfRule type="expression" dxfId="58" priority="1" stopIfTrue="1">
      <formula>(R5)="土"</formula>
    </cfRule>
  </conditionalFormatting>
  <conditionalFormatting sqref="AX5:AX34">
    <cfRule type="cellIs" dxfId="57" priority="31" operator="equal">
      <formula>0</formula>
    </cfRule>
  </conditionalFormatting>
  <conditionalFormatting sqref="AZ5:AZ34">
    <cfRule type="cellIs" dxfId="56" priority="30" operator="equal">
      <formula>0</formula>
    </cfRule>
  </conditionalFormatting>
  <conditionalFormatting sqref="BB5:BB34">
    <cfRule type="cellIs" dxfId="55" priority="29" operator="equal">
      <formula>0</formula>
    </cfRule>
  </conditionalFormatting>
  <conditionalFormatting sqref="BD5:BD34">
    <cfRule type="cellIs" dxfId="54" priority="28" operator="equal">
      <formula>0</formula>
    </cfRule>
  </conditionalFormatting>
  <conditionalFormatting sqref="BF5:BF34">
    <cfRule type="cellIs" dxfId="53" priority="27" operator="equal">
      <formula>0</formula>
    </cfRule>
  </conditionalFormatting>
  <conditionalFormatting sqref="BH5:BH34">
    <cfRule type="cellIs" dxfId="52" priority="26" operator="equal">
      <formula>0</formula>
    </cfRule>
  </conditionalFormatting>
  <conditionalFormatting sqref="BJ5:BJ34">
    <cfRule type="cellIs" dxfId="51" priority="25" operator="equal">
      <formula>0</formula>
    </cfRule>
  </conditionalFormatting>
  <conditionalFormatting sqref="BL5:BL34">
    <cfRule type="cellIs" dxfId="50" priority="24" operator="equal">
      <formula>0</formula>
    </cfRule>
  </conditionalFormatting>
  <conditionalFormatting sqref="BN5:BN34">
    <cfRule type="cellIs" dxfId="49" priority="23" operator="equal">
      <formula>0</formula>
    </cfRule>
  </conditionalFormatting>
  <conditionalFormatting sqref="BP5:BP34">
    <cfRule type="cellIs" dxfId="48" priority="22" operator="equal">
      <formula>0</formula>
    </cfRule>
  </conditionalFormatting>
  <conditionalFormatting sqref="BR5:BR34">
    <cfRule type="cellIs" dxfId="47" priority="21" operator="equal">
      <formula>0</formula>
    </cfRule>
  </conditionalFormatting>
  <conditionalFormatting sqref="BT5:BT34">
    <cfRule type="cellIs" dxfId="46" priority="20" operator="equal">
      <formula>0</formula>
    </cfRule>
  </conditionalFormatting>
  <conditionalFormatting sqref="BV5:BV34">
    <cfRule type="cellIs" dxfId="45" priority="19" operator="equal">
      <formula>0</formula>
    </cfRule>
  </conditionalFormatting>
  <conditionalFormatting sqref="BX5:BX34">
    <cfRule type="cellIs" dxfId="44" priority="18" operator="equal">
      <formula>0</formula>
    </cfRule>
  </conditionalFormatting>
  <conditionalFormatting sqref="BZ5:BZ34">
    <cfRule type="cellIs" dxfId="43" priority="17" operator="equal">
      <formula>0</formula>
    </cfRule>
  </conditionalFormatting>
  <conditionalFormatting sqref="CB5:CB34">
    <cfRule type="cellIs" dxfId="42" priority="16" operator="equal">
      <formula>0</formula>
    </cfRule>
  </conditionalFormatting>
  <conditionalFormatting sqref="CD5:CD34">
    <cfRule type="cellIs" dxfId="41" priority="15" operator="equal">
      <formula>0</formula>
    </cfRule>
  </conditionalFormatting>
  <conditionalFormatting sqref="CF5:CF34">
    <cfRule type="cellIs" dxfId="40" priority="14" operator="equal">
      <formula>0</formula>
    </cfRule>
  </conditionalFormatting>
  <conditionalFormatting sqref="CH5:CH34">
    <cfRule type="cellIs" dxfId="39" priority="13" operator="equal">
      <formula>0</formula>
    </cfRule>
  </conditionalFormatting>
  <conditionalFormatting sqref="CJ5:CJ34">
    <cfRule type="cellIs" dxfId="38" priority="12" operator="equal">
      <formula>0</formula>
    </cfRule>
  </conditionalFormatting>
  <conditionalFormatting sqref="CL5:CL34">
    <cfRule type="cellIs" dxfId="37" priority="11" operator="equal">
      <formula>0</formula>
    </cfRule>
  </conditionalFormatting>
  <conditionalFormatting sqref="CN5:CN34">
    <cfRule type="cellIs" dxfId="36" priority="10" operator="equal">
      <formula>0</formula>
    </cfRule>
  </conditionalFormatting>
  <conditionalFormatting sqref="CP5:CP34">
    <cfRule type="cellIs" dxfId="35" priority="9" operator="equal">
      <formula>0</formula>
    </cfRule>
  </conditionalFormatting>
  <conditionalFormatting sqref="CR5:CR34">
    <cfRule type="cellIs" dxfId="34" priority="8" operator="equal">
      <formula>0</formula>
    </cfRule>
  </conditionalFormatting>
  <conditionalFormatting sqref="CT5:CT34">
    <cfRule type="cellIs" dxfId="33" priority="7" operator="equal">
      <formula>0</formula>
    </cfRule>
  </conditionalFormatting>
  <conditionalFormatting sqref="DC5:DC36">
    <cfRule type="expression" dxfId="32" priority="3" stopIfTrue="1">
      <formula>(DC5)="土"</formula>
    </cfRule>
    <cfRule type="expression" dxfId="31" priority="4" stopIfTrue="1">
      <formula>(DC5)="日"</formula>
    </cfRule>
  </conditionalFormatting>
  <pageMargins left="0.12" right="0.18" top="0.75" bottom="0.75" header="0.3" footer="0.3"/>
  <pageSetup paperSize="9" orientation="landscape" horizontalDpi="429496729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B42"/>
  <sheetViews>
    <sheetView topLeftCell="CY1" zoomScale="97" zoomScaleNormal="100" workbookViewId="0">
      <pane ySplit="4" topLeftCell="A17" activePane="bottomLeft" state="frozen"/>
      <selection pane="bottomLeft" activeCell="DD4" sqref="DD4"/>
    </sheetView>
  </sheetViews>
  <sheetFormatPr defaultRowHeight="13.5" x14ac:dyDescent="0.4"/>
  <cols>
    <col min="1" max="4" width="3.125" style="5" customWidth="1"/>
    <col min="5" max="5" width="5.625" style="5" customWidth="1"/>
    <col min="6" max="6" width="10.625" style="73" customWidth="1"/>
    <col min="7" max="7" width="12.5" style="73" customWidth="1"/>
    <col min="8" max="10" width="8.625" style="2" customWidth="1"/>
    <col min="11" max="11" width="5.625" style="2" customWidth="1"/>
    <col min="12" max="12" width="4.625" style="2" customWidth="1"/>
    <col min="13" max="13" width="5.625" style="2" customWidth="1"/>
    <col min="14" max="17" width="4.625" style="2" customWidth="1"/>
    <col min="18" max="19" width="3.125" style="5" customWidth="1"/>
    <col min="20" max="20" width="5.625" style="5" customWidth="1"/>
    <col min="21" max="21" width="7.625" style="73" customWidth="1"/>
    <col min="22" max="22" width="8.625" style="73" customWidth="1"/>
    <col min="23" max="24" width="5.625" style="2" customWidth="1"/>
    <col min="25" max="25" width="6.625" style="2" customWidth="1"/>
    <col min="26" max="26" width="9.875" style="2" customWidth="1"/>
    <col min="27" max="38" width="8.625" style="73" customWidth="1"/>
    <col min="39" max="43" width="8.625" style="73" hidden="1" customWidth="1"/>
    <col min="44" max="44" width="12.5" style="2" customWidth="1"/>
    <col min="45" max="45" width="6.75" style="2" customWidth="1"/>
    <col min="46" max="46" width="12.625" style="2" customWidth="1"/>
    <col min="47" max="47" width="8.625" style="161" customWidth="1"/>
    <col min="48" max="48" width="5.5" style="2" bestFit="1" customWidth="1"/>
    <col min="49" max="98" width="6.75" style="2" customWidth="1"/>
    <col min="99" max="100" width="8.625" style="2" customWidth="1"/>
    <col min="101" max="101" width="2.875" style="2" customWidth="1"/>
    <col min="102" max="102" width="10.625" style="2" customWidth="1"/>
    <col min="103" max="103" width="6.625" style="2" customWidth="1"/>
    <col min="104" max="104" width="10.625" style="2" customWidth="1"/>
    <col min="105" max="105" width="6.625" style="2" customWidth="1"/>
    <col min="106" max="107" width="3.125" style="5" customWidth="1"/>
    <col min="108" max="108" width="1.125" style="2" customWidth="1"/>
    <col min="109" max="109" width="2.375" style="2" customWidth="1"/>
    <col min="110" max="120" width="7.625" style="6" hidden="1" customWidth="1"/>
    <col min="121" max="121" width="6.75" style="2" hidden="1" customWidth="1"/>
    <col min="122" max="122" width="8.75" style="2" customWidth="1"/>
    <col min="123" max="126" width="8.625" style="2" customWidth="1"/>
    <col min="127" max="127" width="12.625" style="2" customWidth="1"/>
    <col min="128" max="128" width="8.625" style="2" customWidth="1"/>
    <col min="129" max="303" width="9" style="2" customWidth="1"/>
    <col min="304" max="305" width="3.125" style="2" customWidth="1"/>
    <col min="306" max="306" width="5.875" style="2" bestFit="1" customWidth="1"/>
    <col min="307" max="307" width="5.625" style="2" customWidth="1"/>
    <col min="308" max="308" width="10.625" style="2" customWidth="1"/>
    <col min="309" max="309" width="12.625" style="2" customWidth="1"/>
    <col min="310" max="310" width="8.625" style="2" customWidth="1"/>
    <col min="311" max="311" width="5.625" style="2" customWidth="1"/>
    <col min="312" max="312" width="4.625" style="2" customWidth="1"/>
    <col min="313" max="313" width="5.625" style="2" customWidth="1"/>
    <col min="314" max="317" width="4.625" style="2" customWidth="1"/>
    <col min="318" max="318" width="7.625" style="2" customWidth="1"/>
    <col min="319" max="319" width="8.625" style="2" customWidth="1"/>
    <col min="320" max="321" width="5.625" style="2" customWidth="1"/>
    <col min="322" max="322" width="6.625" style="2" customWidth="1"/>
    <col min="323" max="323" width="9.875" style="2" customWidth="1"/>
    <col min="324" max="325" width="8.625" style="2" customWidth="1"/>
    <col min="326" max="326" width="5.5" style="2" bestFit="1" customWidth="1"/>
    <col min="327" max="368" width="6.75" style="2" customWidth="1"/>
    <col min="369" max="369" width="9" style="2" customWidth="1"/>
    <col min="370" max="370" width="9.875" style="2" customWidth="1"/>
    <col min="371" max="371" width="2.875" style="2" customWidth="1"/>
    <col min="372" max="372" width="12.25" style="2" customWidth="1"/>
    <col min="373" max="373" width="6.375" style="2" customWidth="1"/>
    <col min="374" max="375" width="3.125" style="2" customWidth="1"/>
    <col min="376" max="376" width="1.125" style="2" customWidth="1"/>
    <col min="377" max="377" width="9" style="2" customWidth="1"/>
    <col min="378" max="378" width="2.375" style="2" customWidth="1"/>
    <col min="379" max="396" width="7.625" style="2" customWidth="1"/>
    <col min="397" max="559" width="9" style="2" customWidth="1"/>
    <col min="560" max="561" width="3.125" style="2" customWidth="1"/>
    <col min="562" max="562" width="5.875" style="2" bestFit="1" customWidth="1"/>
    <col min="563" max="563" width="5.625" style="2" customWidth="1"/>
    <col min="564" max="564" width="10.625" style="2" customWidth="1"/>
    <col min="565" max="565" width="12.625" style="2" customWidth="1"/>
    <col min="566" max="566" width="8.625" style="2" customWidth="1"/>
    <col min="567" max="567" width="5.625" style="2" customWidth="1"/>
    <col min="568" max="568" width="4.625" style="2" customWidth="1"/>
    <col min="569" max="569" width="5.625" style="2" customWidth="1"/>
    <col min="570" max="573" width="4.625" style="2" customWidth="1"/>
    <col min="574" max="574" width="7.625" style="2" customWidth="1"/>
    <col min="575" max="575" width="8.625" style="2" customWidth="1"/>
    <col min="576" max="577" width="5.625" style="2" customWidth="1"/>
    <col min="578" max="578" width="6.625" style="2" customWidth="1"/>
    <col min="579" max="579" width="9.875" style="2" customWidth="1"/>
    <col min="580" max="581" width="8.625" style="2" customWidth="1"/>
    <col min="582" max="582" width="5.5" style="2" bestFit="1" customWidth="1"/>
    <col min="583" max="624" width="6.75" style="2" customWidth="1"/>
    <col min="625" max="625" width="9" style="2" customWidth="1"/>
    <col min="626" max="626" width="9.875" style="2" customWidth="1"/>
    <col min="627" max="627" width="2.875" style="2" customWidth="1"/>
    <col min="628" max="628" width="12.25" style="2" customWidth="1"/>
    <col min="629" max="629" width="6.375" style="2" customWidth="1"/>
    <col min="630" max="631" width="3.125" style="2" customWidth="1"/>
    <col min="632" max="632" width="1.125" style="2" customWidth="1"/>
    <col min="633" max="633" width="9" style="2" customWidth="1"/>
    <col min="634" max="634" width="2.375" style="2" customWidth="1"/>
    <col min="635" max="652" width="7.625" style="2" customWidth="1"/>
    <col min="653" max="815" width="9" style="2" customWidth="1"/>
    <col min="816" max="817" width="3.125" style="2" customWidth="1"/>
    <col min="818" max="818" width="5.875" style="2" bestFit="1" customWidth="1"/>
    <col min="819" max="819" width="5.625" style="2" customWidth="1"/>
    <col min="820" max="820" width="10.625" style="2" customWidth="1"/>
    <col min="821" max="821" width="12.625" style="2" customWidth="1"/>
    <col min="822" max="822" width="8.625" style="2" customWidth="1"/>
    <col min="823" max="823" width="5.625" style="2" customWidth="1"/>
    <col min="824" max="824" width="4.625" style="2" customWidth="1"/>
    <col min="825" max="825" width="5.625" style="2" customWidth="1"/>
    <col min="826" max="829" width="4.625" style="2" customWidth="1"/>
    <col min="830" max="830" width="7.625" style="2" customWidth="1"/>
    <col min="831" max="831" width="8.625" style="2" customWidth="1"/>
    <col min="832" max="833" width="5.625" style="2" customWidth="1"/>
    <col min="834" max="834" width="6.625" style="2" customWidth="1"/>
    <col min="835" max="835" width="9.875" style="2" customWidth="1"/>
    <col min="836" max="837" width="8.625" style="2" customWidth="1"/>
    <col min="838" max="838" width="5.5" style="2" bestFit="1" customWidth="1"/>
    <col min="839" max="880" width="6.75" style="2" customWidth="1"/>
    <col min="881" max="881" width="9" style="2" customWidth="1"/>
    <col min="882" max="882" width="9.875" style="2" customWidth="1"/>
    <col min="883" max="883" width="2.875" style="2" customWidth="1"/>
    <col min="884" max="884" width="12.25" style="2" customWidth="1"/>
    <col min="885" max="885" width="6.375" style="2" customWidth="1"/>
    <col min="886" max="887" width="3.125" style="2" customWidth="1"/>
    <col min="888" max="888" width="1.125" style="2" customWidth="1"/>
    <col min="889" max="889" width="9" style="2" customWidth="1"/>
    <col min="890" max="890" width="2.375" style="2" customWidth="1"/>
    <col min="891" max="908" width="7.625" style="2" customWidth="1"/>
    <col min="909" max="1071" width="9" style="2" customWidth="1"/>
    <col min="1072" max="1073" width="3.125" style="2" customWidth="1"/>
    <col min="1074" max="1074" width="5.875" style="2" bestFit="1" customWidth="1"/>
    <col min="1075" max="1075" width="5.625" style="2" customWidth="1"/>
    <col min="1076" max="1076" width="10.625" style="2" customWidth="1"/>
    <col min="1077" max="1077" width="12.625" style="2" customWidth="1"/>
    <col min="1078" max="1078" width="8.625" style="2" customWidth="1"/>
    <col min="1079" max="1079" width="5.625" style="2" customWidth="1"/>
    <col min="1080" max="1080" width="4.625" style="2" customWidth="1"/>
    <col min="1081" max="1081" width="5.625" style="2" customWidth="1"/>
    <col min="1082" max="1085" width="4.625" style="2" customWidth="1"/>
    <col min="1086" max="1086" width="7.625" style="2" customWidth="1"/>
    <col min="1087" max="1087" width="8.625" style="2" customWidth="1"/>
    <col min="1088" max="1089" width="5.625" style="2" customWidth="1"/>
    <col min="1090" max="1090" width="6.625" style="2" customWidth="1"/>
    <col min="1091" max="1091" width="9.875" style="2" customWidth="1"/>
    <col min="1092" max="1093" width="8.625" style="2" customWidth="1"/>
    <col min="1094" max="1094" width="5.5" style="2" bestFit="1" customWidth="1"/>
    <col min="1095" max="1136" width="6.75" style="2" customWidth="1"/>
    <col min="1137" max="1137" width="9" style="2" customWidth="1"/>
    <col min="1138" max="1138" width="9.875" style="2" customWidth="1"/>
    <col min="1139" max="1139" width="2.875" style="2" customWidth="1"/>
    <col min="1140" max="1140" width="12.25" style="2" customWidth="1"/>
    <col min="1141" max="1141" width="6.375" style="2" customWidth="1"/>
    <col min="1142" max="1143" width="3.125" style="2" customWidth="1"/>
    <col min="1144" max="1144" width="1.125" style="2" customWidth="1"/>
    <col min="1145" max="1145" width="9" style="2" customWidth="1"/>
    <col min="1146" max="1146" width="2.375" style="2" customWidth="1"/>
    <col min="1147" max="1164" width="7.625" style="2" customWidth="1"/>
    <col min="1165" max="1327" width="9" style="2" customWidth="1"/>
    <col min="1328" max="1329" width="3.125" style="2" customWidth="1"/>
    <col min="1330" max="1330" width="5.875" style="2" bestFit="1" customWidth="1"/>
    <col min="1331" max="1331" width="5.625" style="2" customWidth="1"/>
    <col min="1332" max="1332" width="10.625" style="2" customWidth="1"/>
    <col min="1333" max="1333" width="12.625" style="2" customWidth="1"/>
    <col min="1334" max="1334" width="8.625" style="2" customWidth="1"/>
    <col min="1335" max="1335" width="5.625" style="2" customWidth="1"/>
    <col min="1336" max="1336" width="4.625" style="2" customWidth="1"/>
    <col min="1337" max="1337" width="5.625" style="2" customWidth="1"/>
    <col min="1338" max="1341" width="4.625" style="2" customWidth="1"/>
    <col min="1342" max="1342" width="7.625" style="2" customWidth="1"/>
    <col min="1343" max="1343" width="8.625" style="2" customWidth="1"/>
    <col min="1344" max="1345" width="5.625" style="2" customWidth="1"/>
    <col min="1346" max="1346" width="6.625" style="2" customWidth="1"/>
    <col min="1347" max="1347" width="9.875" style="2" customWidth="1"/>
    <col min="1348" max="1349" width="8.625" style="2" customWidth="1"/>
    <col min="1350" max="1350" width="5.5" style="2" bestFit="1" customWidth="1"/>
    <col min="1351" max="1392" width="6.75" style="2" customWidth="1"/>
    <col min="1393" max="1393" width="9" style="2" customWidth="1"/>
    <col min="1394" max="1394" width="9.875" style="2" customWidth="1"/>
    <col min="1395" max="1395" width="2.875" style="2" customWidth="1"/>
    <col min="1396" max="1396" width="12.25" style="2" customWidth="1"/>
    <col min="1397" max="1397" width="6.375" style="2" customWidth="1"/>
    <col min="1398" max="1399" width="3.125" style="2" customWidth="1"/>
    <col min="1400" max="1400" width="1.125" style="2" customWidth="1"/>
    <col min="1401" max="1401" width="9" style="2" customWidth="1"/>
    <col min="1402" max="1402" width="2.375" style="2" customWidth="1"/>
    <col min="1403" max="1420" width="7.625" style="2" customWidth="1"/>
    <col min="1421" max="1583" width="9" style="2" customWidth="1"/>
    <col min="1584" max="1585" width="3.125" style="2" customWidth="1"/>
    <col min="1586" max="1586" width="5.875" style="2" bestFit="1" customWidth="1"/>
    <col min="1587" max="1587" width="5.625" style="2" customWidth="1"/>
    <col min="1588" max="1588" width="10.625" style="2" customWidth="1"/>
    <col min="1589" max="1589" width="12.625" style="2" customWidth="1"/>
    <col min="1590" max="1590" width="8.625" style="2" customWidth="1"/>
    <col min="1591" max="1591" width="5.625" style="2" customWidth="1"/>
    <col min="1592" max="1592" width="4.625" style="2" customWidth="1"/>
    <col min="1593" max="1593" width="5.625" style="2" customWidth="1"/>
    <col min="1594" max="1597" width="4.625" style="2" customWidth="1"/>
    <col min="1598" max="1598" width="7.625" style="2" customWidth="1"/>
    <col min="1599" max="1599" width="8.625" style="2" customWidth="1"/>
    <col min="1600" max="1601" width="5.625" style="2" customWidth="1"/>
    <col min="1602" max="1602" width="6.625" style="2" customWidth="1"/>
    <col min="1603" max="1603" width="9.875" style="2" customWidth="1"/>
    <col min="1604" max="1605" width="8.625" style="2" customWidth="1"/>
    <col min="1606" max="1606" width="5.5" style="2" bestFit="1" customWidth="1"/>
    <col min="1607" max="1648" width="6.75" style="2" customWidth="1"/>
    <col min="1649" max="1649" width="9" style="2" customWidth="1"/>
    <col min="1650" max="1650" width="9.875" style="2" customWidth="1"/>
    <col min="1651" max="1651" width="2.875" style="2" customWidth="1"/>
    <col min="1652" max="1652" width="12.25" style="2" customWidth="1"/>
    <col min="1653" max="1653" width="6.375" style="2" customWidth="1"/>
    <col min="1654" max="1655" width="3.125" style="2" customWidth="1"/>
    <col min="1656" max="1656" width="1.125" style="2" customWidth="1"/>
    <col min="1657" max="1657" width="9" style="2" customWidth="1"/>
    <col min="1658" max="1658" width="2.375" style="2" customWidth="1"/>
    <col min="1659" max="1676" width="7.625" style="2" customWidth="1"/>
    <col min="1677" max="1839" width="9" style="2" customWidth="1"/>
    <col min="1840" max="1841" width="3.125" style="2" customWidth="1"/>
    <col min="1842" max="1842" width="5.875" style="2" bestFit="1" customWidth="1"/>
    <col min="1843" max="1843" width="5.625" style="2" customWidth="1"/>
    <col min="1844" max="1844" width="10.625" style="2" customWidth="1"/>
    <col min="1845" max="1845" width="12.625" style="2" customWidth="1"/>
    <col min="1846" max="1846" width="8.625" style="2" customWidth="1"/>
    <col min="1847" max="1847" width="5.625" style="2" customWidth="1"/>
    <col min="1848" max="1848" width="4.625" style="2" customWidth="1"/>
    <col min="1849" max="1849" width="5.625" style="2" customWidth="1"/>
    <col min="1850" max="1853" width="4.625" style="2" customWidth="1"/>
    <col min="1854" max="1854" width="7.625" style="2" customWidth="1"/>
    <col min="1855" max="1855" width="8.625" style="2" customWidth="1"/>
    <col min="1856" max="1857" width="5.625" style="2" customWidth="1"/>
    <col min="1858" max="1858" width="6.625" style="2" customWidth="1"/>
    <col min="1859" max="1859" width="9.875" style="2" customWidth="1"/>
    <col min="1860" max="1861" width="8.625" style="2" customWidth="1"/>
    <col min="1862" max="1862" width="5.5" style="2" bestFit="1" customWidth="1"/>
    <col min="1863" max="1904" width="6.75" style="2" customWidth="1"/>
    <col min="1905" max="1905" width="9" style="2" customWidth="1"/>
    <col min="1906" max="1906" width="9.875" style="2" customWidth="1"/>
    <col min="1907" max="1907" width="2.875" style="2" customWidth="1"/>
    <col min="1908" max="1908" width="12.25" style="2" customWidth="1"/>
    <col min="1909" max="1909" width="6.375" style="2" customWidth="1"/>
    <col min="1910" max="1911" width="3.125" style="2" customWidth="1"/>
    <col min="1912" max="1912" width="1.125" style="2" customWidth="1"/>
    <col min="1913" max="1913" width="9" style="2" customWidth="1"/>
    <col min="1914" max="1914" width="2.375" style="2" customWidth="1"/>
    <col min="1915" max="1932" width="7.625" style="2" customWidth="1"/>
    <col min="1933" max="2095" width="9" style="2" customWidth="1"/>
    <col min="2096" max="2097" width="3.125" style="2" customWidth="1"/>
    <col min="2098" max="2098" width="5.875" style="2" bestFit="1" customWidth="1"/>
    <col min="2099" max="2099" width="5.625" style="2" customWidth="1"/>
    <col min="2100" max="2100" width="10.625" style="2" customWidth="1"/>
    <col min="2101" max="2101" width="12.625" style="2" customWidth="1"/>
    <col min="2102" max="2102" width="8.625" style="2" customWidth="1"/>
    <col min="2103" max="2103" width="5.625" style="2" customWidth="1"/>
    <col min="2104" max="2104" width="4.625" style="2" customWidth="1"/>
    <col min="2105" max="2105" width="5.625" style="2" customWidth="1"/>
    <col min="2106" max="2109" width="4.625" style="2" customWidth="1"/>
    <col min="2110" max="2110" width="7.625" style="2" customWidth="1"/>
    <col min="2111" max="2111" width="8.625" style="2" customWidth="1"/>
    <col min="2112" max="2113" width="5.625" style="2" customWidth="1"/>
    <col min="2114" max="2114" width="6.625" style="2" customWidth="1"/>
    <col min="2115" max="2115" width="9.875" style="2" customWidth="1"/>
    <col min="2116" max="2117" width="8.625" style="2" customWidth="1"/>
    <col min="2118" max="2118" width="5.5" style="2" bestFit="1" customWidth="1"/>
    <col min="2119" max="2160" width="6.75" style="2" customWidth="1"/>
    <col min="2161" max="2161" width="9" style="2" customWidth="1"/>
    <col min="2162" max="2162" width="9.875" style="2" customWidth="1"/>
    <col min="2163" max="2163" width="2.875" style="2" customWidth="1"/>
    <col min="2164" max="2164" width="12.25" style="2" customWidth="1"/>
    <col min="2165" max="2165" width="6.375" style="2" customWidth="1"/>
    <col min="2166" max="2167" width="3.125" style="2" customWidth="1"/>
    <col min="2168" max="2168" width="1.125" style="2" customWidth="1"/>
    <col min="2169" max="2169" width="9" style="2" customWidth="1"/>
    <col min="2170" max="2170" width="2.375" style="2" customWidth="1"/>
    <col min="2171" max="2188" width="7.625" style="2" customWidth="1"/>
    <col min="2189" max="2351" width="9" style="2" customWidth="1"/>
    <col min="2352" max="2353" width="3.125" style="2" customWidth="1"/>
    <col min="2354" max="2354" width="5.875" style="2" bestFit="1" customWidth="1"/>
    <col min="2355" max="2355" width="5.625" style="2" customWidth="1"/>
    <col min="2356" max="2356" width="10.625" style="2" customWidth="1"/>
    <col min="2357" max="2357" width="12.625" style="2" customWidth="1"/>
    <col min="2358" max="2358" width="8.625" style="2" customWidth="1"/>
    <col min="2359" max="2359" width="5.625" style="2" customWidth="1"/>
    <col min="2360" max="2360" width="4.625" style="2" customWidth="1"/>
    <col min="2361" max="2361" width="5.625" style="2" customWidth="1"/>
    <col min="2362" max="2365" width="4.625" style="2" customWidth="1"/>
    <col min="2366" max="2366" width="7.625" style="2" customWidth="1"/>
    <col min="2367" max="2367" width="8.625" style="2" customWidth="1"/>
    <col min="2368" max="2369" width="5.625" style="2" customWidth="1"/>
    <col min="2370" max="2370" width="6.625" style="2" customWidth="1"/>
    <col min="2371" max="2371" width="9.875" style="2" customWidth="1"/>
    <col min="2372" max="2373" width="8.625" style="2" customWidth="1"/>
    <col min="2374" max="2374" width="5.5" style="2" bestFit="1" customWidth="1"/>
    <col min="2375" max="2416" width="6.75" style="2" customWidth="1"/>
    <col min="2417" max="2417" width="9" style="2" customWidth="1"/>
    <col min="2418" max="2418" width="9.875" style="2" customWidth="1"/>
    <col min="2419" max="2419" width="2.875" style="2" customWidth="1"/>
    <col min="2420" max="2420" width="12.25" style="2" customWidth="1"/>
    <col min="2421" max="2421" width="6.375" style="2" customWidth="1"/>
    <col min="2422" max="2423" width="3.125" style="2" customWidth="1"/>
    <col min="2424" max="2424" width="1.125" style="2" customWidth="1"/>
    <col min="2425" max="2425" width="9" style="2" customWidth="1"/>
    <col min="2426" max="2426" width="2.375" style="2" customWidth="1"/>
    <col min="2427" max="2444" width="7.625" style="2" customWidth="1"/>
    <col min="2445" max="2607" width="9" style="2" customWidth="1"/>
    <col min="2608" max="2609" width="3.125" style="2" customWidth="1"/>
    <col min="2610" max="2610" width="5.875" style="2" bestFit="1" customWidth="1"/>
    <col min="2611" max="2611" width="5.625" style="2" customWidth="1"/>
    <col min="2612" max="2612" width="10.625" style="2" customWidth="1"/>
    <col min="2613" max="2613" width="12.625" style="2" customWidth="1"/>
    <col min="2614" max="2614" width="8.625" style="2" customWidth="1"/>
    <col min="2615" max="2615" width="5.625" style="2" customWidth="1"/>
    <col min="2616" max="2616" width="4.625" style="2" customWidth="1"/>
    <col min="2617" max="2617" width="5.625" style="2" customWidth="1"/>
    <col min="2618" max="2621" width="4.625" style="2" customWidth="1"/>
    <col min="2622" max="2622" width="7.625" style="2" customWidth="1"/>
    <col min="2623" max="2623" width="8.625" style="2" customWidth="1"/>
    <col min="2624" max="2625" width="5.625" style="2" customWidth="1"/>
    <col min="2626" max="2626" width="6.625" style="2" customWidth="1"/>
    <col min="2627" max="2627" width="9.875" style="2" customWidth="1"/>
    <col min="2628" max="2629" width="8.625" style="2" customWidth="1"/>
    <col min="2630" max="2630" width="5.5" style="2" bestFit="1" customWidth="1"/>
    <col min="2631" max="2672" width="6.75" style="2" customWidth="1"/>
    <col min="2673" max="2673" width="9" style="2" customWidth="1"/>
    <col min="2674" max="2674" width="9.875" style="2" customWidth="1"/>
    <col min="2675" max="2675" width="2.875" style="2" customWidth="1"/>
    <col min="2676" max="2676" width="12.25" style="2" customWidth="1"/>
    <col min="2677" max="2677" width="6.375" style="2" customWidth="1"/>
    <col min="2678" max="2679" width="3.125" style="2" customWidth="1"/>
    <col min="2680" max="2680" width="1.125" style="2" customWidth="1"/>
    <col min="2681" max="2681" width="9" style="2" customWidth="1"/>
    <col min="2682" max="2682" width="2.375" style="2" customWidth="1"/>
    <col min="2683" max="2700" width="7.625" style="2" customWidth="1"/>
    <col min="2701" max="2863" width="9" style="2" customWidth="1"/>
    <col min="2864" max="2865" width="3.125" style="2" customWidth="1"/>
    <col min="2866" max="2866" width="5.875" style="2" bestFit="1" customWidth="1"/>
    <col min="2867" max="2867" width="5.625" style="2" customWidth="1"/>
    <col min="2868" max="2868" width="10.625" style="2" customWidth="1"/>
    <col min="2869" max="2869" width="12.625" style="2" customWidth="1"/>
    <col min="2870" max="2870" width="8.625" style="2" customWidth="1"/>
    <col min="2871" max="2871" width="5.625" style="2" customWidth="1"/>
    <col min="2872" max="2872" width="4.625" style="2" customWidth="1"/>
    <col min="2873" max="2873" width="5.625" style="2" customWidth="1"/>
    <col min="2874" max="2877" width="4.625" style="2" customWidth="1"/>
    <col min="2878" max="2878" width="7.625" style="2" customWidth="1"/>
    <col min="2879" max="2879" width="8.625" style="2" customWidth="1"/>
    <col min="2880" max="2881" width="5.625" style="2" customWidth="1"/>
    <col min="2882" max="2882" width="6.625" style="2" customWidth="1"/>
    <col min="2883" max="2883" width="9.875" style="2" customWidth="1"/>
    <col min="2884" max="2885" width="8.625" style="2" customWidth="1"/>
    <col min="2886" max="2886" width="5.5" style="2" bestFit="1" customWidth="1"/>
    <col min="2887" max="2928" width="6.75" style="2" customWidth="1"/>
    <col min="2929" max="2929" width="9" style="2" customWidth="1"/>
    <col min="2930" max="2930" width="9.875" style="2" customWidth="1"/>
    <col min="2931" max="2931" width="2.875" style="2" customWidth="1"/>
    <col min="2932" max="2932" width="12.25" style="2" customWidth="1"/>
    <col min="2933" max="2933" width="6.375" style="2" customWidth="1"/>
    <col min="2934" max="2935" width="3.125" style="2" customWidth="1"/>
    <col min="2936" max="2936" width="1.125" style="2" customWidth="1"/>
    <col min="2937" max="2937" width="9" style="2" customWidth="1"/>
    <col min="2938" max="2938" width="2.375" style="2" customWidth="1"/>
    <col min="2939" max="2956" width="7.625" style="2" customWidth="1"/>
    <col min="2957" max="3119" width="9" style="2" customWidth="1"/>
    <col min="3120" max="3121" width="3.125" style="2" customWidth="1"/>
    <col min="3122" max="3122" width="5.875" style="2" bestFit="1" customWidth="1"/>
    <col min="3123" max="3123" width="5.625" style="2" customWidth="1"/>
    <col min="3124" max="3124" width="10.625" style="2" customWidth="1"/>
    <col min="3125" max="3125" width="12.625" style="2" customWidth="1"/>
    <col min="3126" max="3126" width="8.625" style="2" customWidth="1"/>
    <col min="3127" max="3127" width="5.625" style="2" customWidth="1"/>
    <col min="3128" max="3128" width="4.625" style="2" customWidth="1"/>
    <col min="3129" max="3129" width="5.625" style="2" customWidth="1"/>
    <col min="3130" max="3133" width="4.625" style="2" customWidth="1"/>
    <col min="3134" max="3134" width="7.625" style="2" customWidth="1"/>
    <col min="3135" max="3135" width="8.625" style="2" customWidth="1"/>
    <col min="3136" max="3137" width="5.625" style="2" customWidth="1"/>
    <col min="3138" max="3138" width="6.625" style="2" customWidth="1"/>
    <col min="3139" max="3139" width="9.875" style="2" customWidth="1"/>
    <col min="3140" max="3141" width="8.625" style="2" customWidth="1"/>
    <col min="3142" max="3142" width="5.5" style="2" bestFit="1" customWidth="1"/>
    <col min="3143" max="3184" width="6.75" style="2" customWidth="1"/>
    <col min="3185" max="3185" width="9" style="2" customWidth="1"/>
    <col min="3186" max="3186" width="9.875" style="2" customWidth="1"/>
    <col min="3187" max="3187" width="2.875" style="2" customWidth="1"/>
    <col min="3188" max="3188" width="12.25" style="2" customWidth="1"/>
    <col min="3189" max="3189" width="6.375" style="2" customWidth="1"/>
    <col min="3190" max="3191" width="3.125" style="2" customWidth="1"/>
    <col min="3192" max="3192" width="1.125" style="2" customWidth="1"/>
    <col min="3193" max="3193" width="9" style="2" customWidth="1"/>
    <col min="3194" max="3194" width="2.375" style="2" customWidth="1"/>
    <col min="3195" max="3212" width="7.625" style="2" customWidth="1"/>
    <col min="3213" max="3375" width="9" style="2" customWidth="1"/>
    <col min="3376" max="3377" width="3.125" style="2" customWidth="1"/>
    <col min="3378" max="3378" width="5.875" style="2" bestFit="1" customWidth="1"/>
    <col min="3379" max="3379" width="5.625" style="2" customWidth="1"/>
    <col min="3380" max="3380" width="10.625" style="2" customWidth="1"/>
    <col min="3381" max="3381" width="12.625" style="2" customWidth="1"/>
    <col min="3382" max="3382" width="8.625" style="2" customWidth="1"/>
    <col min="3383" max="3383" width="5.625" style="2" customWidth="1"/>
    <col min="3384" max="3384" width="4.625" style="2" customWidth="1"/>
    <col min="3385" max="3385" width="5.625" style="2" customWidth="1"/>
    <col min="3386" max="3389" width="4.625" style="2" customWidth="1"/>
    <col min="3390" max="3390" width="7.625" style="2" customWidth="1"/>
    <col min="3391" max="3391" width="8.625" style="2" customWidth="1"/>
    <col min="3392" max="3393" width="5.625" style="2" customWidth="1"/>
    <col min="3394" max="3394" width="6.625" style="2" customWidth="1"/>
    <col min="3395" max="3395" width="9.875" style="2" customWidth="1"/>
    <col min="3396" max="3397" width="8.625" style="2" customWidth="1"/>
    <col min="3398" max="3398" width="5.5" style="2" bestFit="1" customWidth="1"/>
    <col min="3399" max="3440" width="6.75" style="2" customWidth="1"/>
    <col min="3441" max="3441" width="9" style="2" customWidth="1"/>
    <col min="3442" max="3442" width="9.875" style="2" customWidth="1"/>
    <col min="3443" max="3443" width="2.875" style="2" customWidth="1"/>
    <col min="3444" max="3444" width="12.25" style="2" customWidth="1"/>
    <col min="3445" max="3445" width="6.375" style="2" customWidth="1"/>
    <col min="3446" max="3447" width="3.125" style="2" customWidth="1"/>
    <col min="3448" max="3448" width="1.125" style="2" customWidth="1"/>
    <col min="3449" max="3449" width="9" style="2" customWidth="1"/>
    <col min="3450" max="3450" width="2.375" style="2" customWidth="1"/>
    <col min="3451" max="3468" width="7.625" style="2" customWidth="1"/>
    <col min="3469" max="3631" width="9" style="2" customWidth="1"/>
    <col min="3632" max="3633" width="3.125" style="2" customWidth="1"/>
    <col min="3634" max="3634" width="5.875" style="2" bestFit="1" customWidth="1"/>
    <col min="3635" max="3635" width="5.625" style="2" customWidth="1"/>
    <col min="3636" max="3636" width="10.625" style="2" customWidth="1"/>
    <col min="3637" max="3637" width="12.625" style="2" customWidth="1"/>
    <col min="3638" max="3638" width="8.625" style="2" customWidth="1"/>
    <col min="3639" max="3639" width="5.625" style="2" customWidth="1"/>
    <col min="3640" max="3640" width="4.625" style="2" customWidth="1"/>
    <col min="3641" max="3641" width="5.625" style="2" customWidth="1"/>
    <col min="3642" max="3645" width="4.625" style="2" customWidth="1"/>
    <col min="3646" max="3646" width="7.625" style="2" customWidth="1"/>
    <col min="3647" max="3647" width="8.625" style="2" customWidth="1"/>
    <col min="3648" max="3649" width="5.625" style="2" customWidth="1"/>
    <col min="3650" max="3650" width="6.625" style="2" customWidth="1"/>
    <col min="3651" max="3651" width="9.875" style="2" customWidth="1"/>
    <col min="3652" max="3653" width="8.625" style="2" customWidth="1"/>
    <col min="3654" max="3654" width="5.5" style="2" bestFit="1" customWidth="1"/>
    <col min="3655" max="3696" width="6.75" style="2" customWidth="1"/>
    <col min="3697" max="3697" width="9" style="2" customWidth="1"/>
    <col min="3698" max="3698" width="9.875" style="2" customWidth="1"/>
    <col min="3699" max="3699" width="2.875" style="2" customWidth="1"/>
    <col min="3700" max="3700" width="12.25" style="2" customWidth="1"/>
    <col min="3701" max="3701" width="6.375" style="2" customWidth="1"/>
    <col min="3702" max="3703" width="3.125" style="2" customWidth="1"/>
    <col min="3704" max="3704" width="1.125" style="2" customWidth="1"/>
    <col min="3705" max="3705" width="9" style="2" customWidth="1"/>
    <col min="3706" max="3706" width="2.375" style="2" customWidth="1"/>
    <col min="3707" max="3724" width="7.625" style="2" customWidth="1"/>
    <col min="3725" max="3887" width="9" style="2" customWidth="1"/>
    <col min="3888" max="3889" width="3.125" style="2" customWidth="1"/>
    <col min="3890" max="3890" width="5.875" style="2" bestFit="1" customWidth="1"/>
    <col min="3891" max="3891" width="5.625" style="2" customWidth="1"/>
    <col min="3892" max="3892" width="10.625" style="2" customWidth="1"/>
    <col min="3893" max="3893" width="12.625" style="2" customWidth="1"/>
    <col min="3894" max="3894" width="8.625" style="2" customWidth="1"/>
    <col min="3895" max="3895" width="5.625" style="2" customWidth="1"/>
    <col min="3896" max="3896" width="4.625" style="2" customWidth="1"/>
    <col min="3897" max="3897" width="5.625" style="2" customWidth="1"/>
    <col min="3898" max="3901" width="4.625" style="2" customWidth="1"/>
    <col min="3902" max="3902" width="7.625" style="2" customWidth="1"/>
    <col min="3903" max="3903" width="8.625" style="2" customWidth="1"/>
    <col min="3904" max="3905" width="5.625" style="2" customWidth="1"/>
    <col min="3906" max="3906" width="6.625" style="2" customWidth="1"/>
    <col min="3907" max="3907" width="9.875" style="2" customWidth="1"/>
    <col min="3908" max="3909" width="8.625" style="2" customWidth="1"/>
    <col min="3910" max="3910" width="5.5" style="2" bestFit="1" customWidth="1"/>
    <col min="3911" max="3952" width="6.75" style="2" customWidth="1"/>
    <col min="3953" max="3953" width="9" style="2" customWidth="1"/>
    <col min="3954" max="3954" width="9.875" style="2" customWidth="1"/>
    <col min="3955" max="3955" width="2.875" style="2" customWidth="1"/>
    <col min="3956" max="3956" width="12.25" style="2" customWidth="1"/>
    <col min="3957" max="3957" width="6.375" style="2" customWidth="1"/>
    <col min="3958" max="3959" width="3.125" style="2" customWidth="1"/>
    <col min="3960" max="3960" width="1.125" style="2" customWidth="1"/>
    <col min="3961" max="3961" width="9" style="2" customWidth="1"/>
    <col min="3962" max="3962" width="2.375" style="2" customWidth="1"/>
    <col min="3963" max="3980" width="7.625" style="2" customWidth="1"/>
    <col min="3981" max="4143" width="9" style="2" customWidth="1"/>
    <col min="4144" max="4145" width="3.125" style="2" customWidth="1"/>
    <col min="4146" max="4146" width="5.875" style="2" bestFit="1" customWidth="1"/>
    <col min="4147" max="4147" width="5.625" style="2" customWidth="1"/>
    <col min="4148" max="4148" width="10.625" style="2" customWidth="1"/>
    <col min="4149" max="4149" width="12.625" style="2" customWidth="1"/>
    <col min="4150" max="4150" width="8.625" style="2" customWidth="1"/>
    <col min="4151" max="4151" width="5.625" style="2" customWidth="1"/>
    <col min="4152" max="4152" width="4.625" style="2" customWidth="1"/>
    <col min="4153" max="4153" width="5.625" style="2" customWidth="1"/>
    <col min="4154" max="4157" width="4.625" style="2" customWidth="1"/>
    <col min="4158" max="4158" width="7.625" style="2" customWidth="1"/>
    <col min="4159" max="4159" width="8.625" style="2" customWidth="1"/>
    <col min="4160" max="4161" width="5.625" style="2" customWidth="1"/>
    <col min="4162" max="4162" width="6.625" style="2" customWidth="1"/>
    <col min="4163" max="4163" width="9.875" style="2" customWidth="1"/>
    <col min="4164" max="4165" width="8.625" style="2" customWidth="1"/>
    <col min="4166" max="4166" width="5.5" style="2" bestFit="1" customWidth="1"/>
    <col min="4167" max="4208" width="6.75" style="2" customWidth="1"/>
    <col min="4209" max="4209" width="9" style="2" customWidth="1"/>
    <col min="4210" max="4210" width="9.875" style="2" customWidth="1"/>
    <col min="4211" max="4211" width="2.875" style="2" customWidth="1"/>
    <col min="4212" max="4212" width="12.25" style="2" customWidth="1"/>
    <col min="4213" max="4213" width="6.375" style="2" customWidth="1"/>
    <col min="4214" max="4215" width="3.125" style="2" customWidth="1"/>
    <col min="4216" max="4216" width="1.125" style="2" customWidth="1"/>
    <col min="4217" max="4217" width="9" style="2" customWidth="1"/>
    <col min="4218" max="4218" width="2.375" style="2" customWidth="1"/>
    <col min="4219" max="4236" width="7.625" style="2" customWidth="1"/>
    <col min="4237" max="4399" width="9" style="2" customWidth="1"/>
    <col min="4400" max="4401" width="3.125" style="2" customWidth="1"/>
    <col min="4402" max="4402" width="5.875" style="2" bestFit="1" customWidth="1"/>
    <col min="4403" max="4403" width="5.625" style="2" customWidth="1"/>
    <col min="4404" max="4404" width="10.625" style="2" customWidth="1"/>
    <col min="4405" max="4405" width="12.625" style="2" customWidth="1"/>
    <col min="4406" max="4406" width="8.625" style="2" customWidth="1"/>
    <col min="4407" max="4407" width="5.625" style="2" customWidth="1"/>
    <col min="4408" max="4408" width="4.625" style="2" customWidth="1"/>
    <col min="4409" max="4409" width="5.625" style="2" customWidth="1"/>
    <col min="4410" max="4413" width="4.625" style="2" customWidth="1"/>
    <col min="4414" max="4414" width="7.625" style="2" customWidth="1"/>
    <col min="4415" max="4415" width="8.625" style="2" customWidth="1"/>
    <col min="4416" max="4417" width="5.625" style="2" customWidth="1"/>
    <col min="4418" max="4418" width="6.625" style="2" customWidth="1"/>
    <col min="4419" max="4419" width="9.875" style="2" customWidth="1"/>
    <col min="4420" max="4421" width="8.625" style="2" customWidth="1"/>
    <col min="4422" max="4422" width="5.5" style="2" bestFit="1" customWidth="1"/>
    <col min="4423" max="4464" width="6.75" style="2" customWidth="1"/>
    <col min="4465" max="4465" width="9" style="2" customWidth="1"/>
    <col min="4466" max="4466" width="9.875" style="2" customWidth="1"/>
    <col min="4467" max="4467" width="2.875" style="2" customWidth="1"/>
    <col min="4468" max="4468" width="12.25" style="2" customWidth="1"/>
    <col min="4469" max="4469" width="6.375" style="2" customWidth="1"/>
    <col min="4470" max="4471" width="3.125" style="2" customWidth="1"/>
    <col min="4472" max="4472" width="1.125" style="2" customWidth="1"/>
    <col min="4473" max="4473" width="9" style="2" customWidth="1"/>
    <col min="4474" max="4474" width="2.375" style="2" customWidth="1"/>
    <col min="4475" max="4492" width="7.625" style="2" customWidth="1"/>
    <col min="4493" max="4655" width="9" style="2" customWidth="1"/>
    <col min="4656" max="4657" width="3.125" style="2" customWidth="1"/>
    <col min="4658" max="4658" width="5.875" style="2" bestFit="1" customWidth="1"/>
    <col min="4659" max="4659" width="5.625" style="2" customWidth="1"/>
    <col min="4660" max="4660" width="10.625" style="2" customWidth="1"/>
    <col min="4661" max="4661" width="12.625" style="2" customWidth="1"/>
    <col min="4662" max="4662" width="8.625" style="2" customWidth="1"/>
    <col min="4663" max="4663" width="5.625" style="2" customWidth="1"/>
    <col min="4664" max="4664" width="4.625" style="2" customWidth="1"/>
    <col min="4665" max="4665" width="5.625" style="2" customWidth="1"/>
    <col min="4666" max="4669" width="4.625" style="2" customWidth="1"/>
    <col min="4670" max="4670" width="7.625" style="2" customWidth="1"/>
    <col min="4671" max="4671" width="8.625" style="2" customWidth="1"/>
    <col min="4672" max="4673" width="5.625" style="2" customWidth="1"/>
    <col min="4674" max="4674" width="6.625" style="2" customWidth="1"/>
    <col min="4675" max="4675" width="9.875" style="2" customWidth="1"/>
    <col min="4676" max="4677" width="8.625" style="2" customWidth="1"/>
    <col min="4678" max="4678" width="5.5" style="2" bestFit="1" customWidth="1"/>
    <col min="4679" max="4720" width="6.75" style="2" customWidth="1"/>
    <col min="4721" max="4721" width="9" style="2" customWidth="1"/>
    <col min="4722" max="4722" width="9.875" style="2" customWidth="1"/>
    <col min="4723" max="4723" width="2.875" style="2" customWidth="1"/>
    <col min="4724" max="4724" width="12.25" style="2" customWidth="1"/>
    <col min="4725" max="4725" width="6.375" style="2" customWidth="1"/>
    <col min="4726" max="4727" width="3.125" style="2" customWidth="1"/>
    <col min="4728" max="4728" width="1.125" style="2" customWidth="1"/>
    <col min="4729" max="4729" width="9" style="2" customWidth="1"/>
    <col min="4730" max="4730" width="2.375" style="2" customWidth="1"/>
    <col min="4731" max="4748" width="7.625" style="2" customWidth="1"/>
    <col min="4749" max="4911" width="9" style="2" customWidth="1"/>
    <col min="4912" max="4913" width="3.125" style="2" customWidth="1"/>
    <col min="4914" max="4914" width="5.875" style="2" bestFit="1" customWidth="1"/>
    <col min="4915" max="4915" width="5.625" style="2" customWidth="1"/>
    <col min="4916" max="4916" width="10.625" style="2" customWidth="1"/>
    <col min="4917" max="4917" width="12.625" style="2" customWidth="1"/>
    <col min="4918" max="4918" width="8.625" style="2" customWidth="1"/>
    <col min="4919" max="4919" width="5.625" style="2" customWidth="1"/>
    <col min="4920" max="4920" width="4.625" style="2" customWidth="1"/>
    <col min="4921" max="4921" width="5.625" style="2" customWidth="1"/>
    <col min="4922" max="4925" width="4.625" style="2" customWidth="1"/>
    <col min="4926" max="4926" width="7.625" style="2" customWidth="1"/>
    <col min="4927" max="4927" width="8.625" style="2" customWidth="1"/>
    <col min="4928" max="4929" width="5.625" style="2" customWidth="1"/>
    <col min="4930" max="4930" width="6.625" style="2" customWidth="1"/>
    <col min="4931" max="4931" width="9.875" style="2" customWidth="1"/>
    <col min="4932" max="4933" width="8.625" style="2" customWidth="1"/>
    <col min="4934" max="4934" width="5.5" style="2" bestFit="1" customWidth="1"/>
    <col min="4935" max="4976" width="6.75" style="2" customWidth="1"/>
    <col min="4977" max="4977" width="9" style="2" customWidth="1"/>
    <col min="4978" max="4978" width="9.875" style="2" customWidth="1"/>
    <col min="4979" max="4979" width="2.875" style="2" customWidth="1"/>
    <col min="4980" max="4980" width="12.25" style="2" customWidth="1"/>
    <col min="4981" max="4981" width="6.375" style="2" customWidth="1"/>
    <col min="4982" max="4983" width="3.125" style="2" customWidth="1"/>
    <col min="4984" max="4984" width="1.125" style="2" customWidth="1"/>
    <col min="4985" max="4985" width="9" style="2" customWidth="1"/>
    <col min="4986" max="4986" width="2.375" style="2" customWidth="1"/>
    <col min="4987" max="5004" width="7.625" style="2" customWidth="1"/>
    <col min="5005" max="5167" width="9" style="2" customWidth="1"/>
    <col min="5168" max="5169" width="3.125" style="2" customWidth="1"/>
    <col min="5170" max="5170" width="5.875" style="2" bestFit="1" customWidth="1"/>
    <col min="5171" max="5171" width="5.625" style="2" customWidth="1"/>
    <col min="5172" max="5172" width="10.625" style="2" customWidth="1"/>
    <col min="5173" max="5173" width="12.625" style="2" customWidth="1"/>
    <col min="5174" max="5174" width="8.625" style="2" customWidth="1"/>
    <col min="5175" max="5175" width="5.625" style="2" customWidth="1"/>
    <col min="5176" max="5176" width="4.625" style="2" customWidth="1"/>
    <col min="5177" max="5177" width="5.625" style="2" customWidth="1"/>
    <col min="5178" max="5181" width="4.625" style="2" customWidth="1"/>
    <col min="5182" max="5182" width="7.625" style="2" customWidth="1"/>
    <col min="5183" max="5183" width="8.625" style="2" customWidth="1"/>
    <col min="5184" max="5185" width="5.625" style="2" customWidth="1"/>
    <col min="5186" max="5186" width="6.625" style="2" customWidth="1"/>
    <col min="5187" max="5187" width="9.875" style="2" customWidth="1"/>
    <col min="5188" max="5189" width="8.625" style="2" customWidth="1"/>
    <col min="5190" max="5190" width="5.5" style="2" bestFit="1" customWidth="1"/>
    <col min="5191" max="5232" width="6.75" style="2" customWidth="1"/>
    <col min="5233" max="5233" width="9" style="2" customWidth="1"/>
    <col min="5234" max="5234" width="9.875" style="2" customWidth="1"/>
    <col min="5235" max="5235" width="2.875" style="2" customWidth="1"/>
    <col min="5236" max="5236" width="12.25" style="2" customWidth="1"/>
    <col min="5237" max="5237" width="6.375" style="2" customWidth="1"/>
    <col min="5238" max="5239" width="3.125" style="2" customWidth="1"/>
    <col min="5240" max="5240" width="1.125" style="2" customWidth="1"/>
    <col min="5241" max="5241" width="9" style="2" customWidth="1"/>
    <col min="5242" max="5242" width="2.375" style="2" customWidth="1"/>
    <col min="5243" max="5260" width="7.625" style="2" customWidth="1"/>
    <col min="5261" max="5423" width="9" style="2" customWidth="1"/>
    <col min="5424" max="5425" width="3.125" style="2" customWidth="1"/>
    <col min="5426" max="5426" width="5.875" style="2" bestFit="1" customWidth="1"/>
    <col min="5427" max="5427" width="5.625" style="2" customWidth="1"/>
    <col min="5428" max="5428" width="10.625" style="2" customWidth="1"/>
    <col min="5429" max="5429" width="12.625" style="2" customWidth="1"/>
    <col min="5430" max="5430" width="8.625" style="2" customWidth="1"/>
    <col min="5431" max="5431" width="5.625" style="2" customWidth="1"/>
    <col min="5432" max="5432" width="4.625" style="2" customWidth="1"/>
    <col min="5433" max="5433" width="5.625" style="2" customWidth="1"/>
    <col min="5434" max="5437" width="4.625" style="2" customWidth="1"/>
    <col min="5438" max="5438" width="7.625" style="2" customWidth="1"/>
    <col min="5439" max="5439" width="8.625" style="2" customWidth="1"/>
    <col min="5440" max="5441" width="5.625" style="2" customWidth="1"/>
    <col min="5442" max="5442" width="6.625" style="2" customWidth="1"/>
    <col min="5443" max="5443" width="9.875" style="2" customWidth="1"/>
    <col min="5444" max="5445" width="8.625" style="2" customWidth="1"/>
    <col min="5446" max="5446" width="5.5" style="2" bestFit="1" customWidth="1"/>
    <col min="5447" max="5488" width="6.75" style="2" customWidth="1"/>
    <col min="5489" max="5489" width="9" style="2" customWidth="1"/>
    <col min="5490" max="5490" width="9.875" style="2" customWidth="1"/>
    <col min="5491" max="5491" width="2.875" style="2" customWidth="1"/>
    <col min="5492" max="5492" width="12.25" style="2" customWidth="1"/>
    <col min="5493" max="5493" width="6.375" style="2" customWidth="1"/>
    <col min="5494" max="5495" width="3.125" style="2" customWidth="1"/>
    <col min="5496" max="5496" width="1.125" style="2" customWidth="1"/>
    <col min="5497" max="5497" width="9" style="2" customWidth="1"/>
    <col min="5498" max="5498" width="2.375" style="2" customWidth="1"/>
    <col min="5499" max="5516" width="7.625" style="2" customWidth="1"/>
    <col min="5517" max="5679" width="9" style="2" customWidth="1"/>
    <col min="5680" max="5681" width="3.125" style="2" customWidth="1"/>
    <col min="5682" max="5682" width="5.875" style="2" bestFit="1" customWidth="1"/>
    <col min="5683" max="5683" width="5.625" style="2" customWidth="1"/>
    <col min="5684" max="5684" width="10.625" style="2" customWidth="1"/>
    <col min="5685" max="5685" width="12.625" style="2" customWidth="1"/>
    <col min="5686" max="5686" width="8.625" style="2" customWidth="1"/>
    <col min="5687" max="5687" width="5.625" style="2" customWidth="1"/>
    <col min="5688" max="5688" width="4.625" style="2" customWidth="1"/>
    <col min="5689" max="5689" width="5.625" style="2" customWidth="1"/>
    <col min="5690" max="5693" width="4.625" style="2" customWidth="1"/>
    <col min="5694" max="5694" width="7.625" style="2" customWidth="1"/>
    <col min="5695" max="5695" width="8.625" style="2" customWidth="1"/>
    <col min="5696" max="5697" width="5.625" style="2" customWidth="1"/>
    <col min="5698" max="5698" width="6.625" style="2" customWidth="1"/>
    <col min="5699" max="5699" width="9.875" style="2" customWidth="1"/>
    <col min="5700" max="5701" width="8.625" style="2" customWidth="1"/>
    <col min="5702" max="5702" width="5.5" style="2" bestFit="1" customWidth="1"/>
    <col min="5703" max="5744" width="6.75" style="2" customWidth="1"/>
    <col min="5745" max="5745" width="9" style="2" customWidth="1"/>
    <col min="5746" max="5746" width="9.875" style="2" customWidth="1"/>
    <col min="5747" max="5747" width="2.875" style="2" customWidth="1"/>
    <col min="5748" max="5748" width="12.25" style="2" customWidth="1"/>
    <col min="5749" max="5749" width="6.375" style="2" customWidth="1"/>
    <col min="5750" max="5751" width="3.125" style="2" customWidth="1"/>
    <col min="5752" max="5752" width="1.125" style="2" customWidth="1"/>
    <col min="5753" max="5753" width="9" style="2" customWidth="1"/>
    <col min="5754" max="5754" width="2.375" style="2" customWidth="1"/>
    <col min="5755" max="5772" width="7.625" style="2" customWidth="1"/>
    <col min="5773" max="5935" width="9" style="2" customWidth="1"/>
    <col min="5936" max="5937" width="3.125" style="2" customWidth="1"/>
    <col min="5938" max="5938" width="5.875" style="2" bestFit="1" customWidth="1"/>
    <col min="5939" max="5939" width="5.625" style="2" customWidth="1"/>
    <col min="5940" max="5940" width="10.625" style="2" customWidth="1"/>
    <col min="5941" max="5941" width="12.625" style="2" customWidth="1"/>
    <col min="5942" max="5942" width="8.625" style="2" customWidth="1"/>
    <col min="5943" max="5943" width="5.625" style="2" customWidth="1"/>
    <col min="5944" max="5944" width="4.625" style="2" customWidth="1"/>
    <col min="5945" max="5945" width="5.625" style="2" customWidth="1"/>
    <col min="5946" max="5949" width="4.625" style="2" customWidth="1"/>
    <col min="5950" max="5950" width="7.625" style="2" customWidth="1"/>
    <col min="5951" max="5951" width="8.625" style="2" customWidth="1"/>
    <col min="5952" max="5953" width="5.625" style="2" customWidth="1"/>
    <col min="5954" max="5954" width="6.625" style="2" customWidth="1"/>
    <col min="5955" max="5955" width="9.875" style="2" customWidth="1"/>
    <col min="5956" max="5957" width="8.625" style="2" customWidth="1"/>
    <col min="5958" max="5958" width="5.5" style="2" bestFit="1" customWidth="1"/>
    <col min="5959" max="6000" width="6.75" style="2" customWidth="1"/>
    <col min="6001" max="6001" width="9" style="2" customWidth="1"/>
    <col min="6002" max="6002" width="9.875" style="2" customWidth="1"/>
    <col min="6003" max="6003" width="2.875" style="2" customWidth="1"/>
    <col min="6004" max="6004" width="12.25" style="2" customWidth="1"/>
    <col min="6005" max="6005" width="6.375" style="2" customWidth="1"/>
    <col min="6006" max="6007" width="3.125" style="2" customWidth="1"/>
    <col min="6008" max="6008" width="1.125" style="2" customWidth="1"/>
    <col min="6009" max="6009" width="9" style="2" customWidth="1"/>
    <col min="6010" max="6010" width="2.375" style="2" customWidth="1"/>
    <col min="6011" max="6028" width="7.625" style="2" customWidth="1"/>
    <col min="6029" max="6191" width="9" style="2" customWidth="1"/>
    <col min="6192" max="6193" width="3.125" style="2" customWidth="1"/>
    <col min="6194" max="6194" width="5.875" style="2" bestFit="1" customWidth="1"/>
    <col min="6195" max="6195" width="5.625" style="2" customWidth="1"/>
    <col min="6196" max="6196" width="10.625" style="2" customWidth="1"/>
    <col min="6197" max="6197" width="12.625" style="2" customWidth="1"/>
    <col min="6198" max="6198" width="8.625" style="2" customWidth="1"/>
    <col min="6199" max="6199" width="5.625" style="2" customWidth="1"/>
    <col min="6200" max="6200" width="4.625" style="2" customWidth="1"/>
    <col min="6201" max="6201" width="5.625" style="2" customWidth="1"/>
    <col min="6202" max="6205" width="4.625" style="2" customWidth="1"/>
    <col min="6206" max="6206" width="7.625" style="2" customWidth="1"/>
    <col min="6207" max="6207" width="8.625" style="2" customWidth="1"/>
    <col min="6208" max="6209" width="5.625" style="2" customWidth="1"/>
    <col min="6210" max="6210" width="6.625" style="2" customWidth="1"/>
    <col min="6211" max="6211" width="9.875" style="2" customWidth="1"/>
    <col min="6212" max="6213" width="8.625" style="2" customWidth="1"/>
    <col min="6214" max="6214" width="5.5" style="2" bestFit="1" customWidth="1"/>
    <col min="6215" max="6256" width="6.75" style="2" customWidth="1"/>
    <col min="6257" max="6257" width="9" style="2" customWidth="1"/>
    <col min="6258" max="6258" width="9.875" style="2" customWidth="1"/>
    <col min="6259" max="6259" width="2.875" style="2" customWidth="1"/>
    <col min="6260" max="6260" width="12.25" style="2" customWidth="1"/>
    <col min="6261" max="6261" width="6.375" style="2" customWidth="1"/>
    <col min="6262" max="6263" width="3.125" style="2" customWidth="1"/>
    <col min="6264" max="6264" width="1.125" style="2" customWidth="1"/>
    <col min="6265" max="6265" width="9" style="2" customWidth="1"/>
    <col min="6266" max="6266" width="2.375" style="2" customWidth="1"/>
    <col min="6267" max="6284" width="7.625" style="2" customWidth="1"/>
    <col min="6285" max="6447" width="9" style="2" customWidth="1"/>
    <col min="6448" max="6449" width="3.125" style="2" customWidth="1"/>
    <col min="6450" max="6450" width="5.875" style="2" bestFit="1" customWidth="1"/>
    <col min="6451" max="6451" width="5.625" style="2" customWidth="1"/>
    <col min="6452" max="6452" width="10.625" style="2" customWidth="1"/>
    <col min="6453" max="6453" width="12.625" style="2" customWidth="1"/>
    <col min="6454" max="6454" width="8.625" style="2" customWidth="1"/>
    <col min="6455" max="6455" width="5.625" style="2" customWidth="1"/>
    <col min="6456" max="6456" width="4.625" style="2" customWidth="1"/>
    <col min="6457" max="6457" width="5.625" style="2" customWidth="1"/>
    <col min="6458" max="6461" width="4.625" style="2" customWidth="1"/>
    <col min="6462" max="6462" width="7.625" style="2" customWidth="1"/>
    <col min="6463" max="6463" width="8.625" style="2" customWidth="1"/>
    <col min="6464" max="6465" width="5.625" style="2" customWidth="1"/>
    <col min="6466" max="6466" width="6.625" style="2" customWidth="1"/>
    <col min="6467" max="6467" width="9.875" style="2" customWidth="1"/>
    <col min="6468" max="6469" width="8.625" style="2" customWidth="1"/>
    <col min="6470" max="6470" width="5.5" style="2" bestFit="1" customWidth="1"/>
    <col min="6471" max="6512" width="6.75" style="2" customWidth="1"/>
    <col min="6513" max="6513" width="9" style="2" customWidth="1"/>
    <col min="6514" max="6514" width="9.875" style="2" customWidth="1"/>
    <col min="6515" max="6515" width="2.875" style="2" customWidth="1"/>
    <col min="6516" max="6516" width="12.25" style="2" customWidth="1"/>
    <col min="6517" max="6517" width="6.375" style="2" customWidth="1"/>
    <col min="6518" max="6519" width="3.125" style="2" customWidth="1"/>
    <col min="6520" max="6520" width="1.125" style="2" customWidth="1"/>
    <col min="6521" max="6521" width="9" style="2" customWidth="1"/>
    <col min="6522" max="6522" width="2.375" style="2" customWidth="1"/>
    <col min="6523" max="6540" width="7.625" style="2" customWidth="1"/>
    <col min="6541" max="6703" width="9" style="2" customWidth="1"/>
    <col min="6704" max="6705" width="3.125" style="2" customWidth="1"/>
    <col min="6706" max="6706" width="5.875" style="2" bestFit="1" customWidth="1"/>
    <col min="6707" max="6707" width="5.625" style="2" customWidth="1"/>
    <col min="6708" max="6708" width="10.625" style="2" customWidth="1"/>
    <col min="6709" max="6709" width="12.625" style="2" customWidth="1"/>
    <col min="6710" max="6710" width="8.625" style="2" customWidth="1"/>
    <col min="6711" max="6711" width="5.625" style="2" customWidth="1"/>
    <col min="6712" max="6712" width="4.625" style="2" customWidth="1"/>
    <col min="6713" max="6713" width="5.625" style="2" customWidth="1"/>
    <col min="6714" max="6717" width="4.625" style="2" customWidth="1"/>
    <col min="6718" max="6718" width="7.625" style="2" customWidth="1"/>
    <col min="6719" max="6719" width="8.625" style="2" customWidth="1"/>
    <col min="6720" max="6721" width="5.625" style="2" customWidth="1"/>
    <col min="6722" max="6722" width="6.625" style="2" customWidth="1"/>
    <col min="6723" max="6723" width="9.875" style="2" customWidth="1"/>
    <col min="6724" max="6725" width="8.625" style="2" customWidth="1"/>
    <col min="6726" max="6726" width="5.5" style="2" bestFit="1" customWidth="1"/>
    <col min="6727" max="6768" width="6.75" style="2" customWidth="1"/>
    <col min="6769" max="6769" width="9" style="2" customWidth="1"/>
    <col min="6770" max="6770" width="9.875" style="2" customWidth="1"/>
    <col min="6771" max="6771" width="2.875" style="2" customWidth="1"/>
    <col min="6772" max="6772" width="12.25" style="2" customWidth="1"/>
    <col min="6773" max="6773" width="6.375" style="2" customWidth="1"/>
    <col min="6774" max="6775" width="3.125" style="2" customWidth="1"/>
    <col min="6776" max="6776" width="1.125" style="2" customWidth="1"/>
    <col min="6777" max="6777" width="9" style="2" customWidth="1"/>
    <col min="6778" max="6778" width="2.375" style="2" customWidth="1"/>
    <col min="6779" max="6796" width="7.625" style="2" customWidth="1"/>
    <col min="6797" max="6959" width="9" style="2" customWidth="1"/>
    <col min="6960" max="6961" width="3.125" style="2" customWidth="1"/>
    <col min="6962" max="6962" width="5.875" style="2" bestFit="1" customWidth="1"/>
    <col min="6963" max="6963" width="5.625" style="2" customWidth="1"/>
    <col min="6964" max="6964" width="10.625" style="2" customWidth="1"/>
    <col min="6965" max="6965" width="12.625" style="2" customWidth="1"/>
    <col min="6966" max="6966" width="8.625" style="2" customWidth="1"/>
    <col min="6967" max="6967" width="5.625" style="2" customWidth="1"/>
    <col min="6968" max="6968" width="4.625" style="2" customWidth="1"/>
    <col min="6969" max="6969" width="5.625" style="2" customWidth="1"/>
    <col min="6970" max="6973" width="4.625" style="2" customWidth="1"/>
    <col min="6974" max="6974" width="7.625" style="2" customWidth="1"/>
    <col min="6975" max="6975" width="8.625" style="2" customWidth="1"/>
    <col min="6976" max="6977" width="5.625" style="2" customWidth="1"/>
    <col min="6978" max="6978" width="6.625" style="2" customWidth="1"/>
    <col min="6979" max="6979" width="9.875" style="2" customWidth="1"/>
    <col min="6980" max="6981" width="8.625" style="2" customWidth="1"/>
    <col min="6982" max="6982" width="5.5" style="2" bestFit="1" customWidth="1"/>
    <col min="6983" max="7024" width="6.75" style="2" customWidth="1"/>
    <col min="7025" max="7025" width="9" style="2" customWidth="1"/>
    <col min="7026" max="7026" width="9.875" style="2" customWidth="1"/>
    <col min="7027" max="7027" width="2.875" style="2" customWidth="1"/>
    <col min="7028" max="7028" width="12.25" style="2" customWidth="1"/>
    <col min="7029" max="7029" width="6.375" style="2" customWidth="1"/>
    <col min="7030" max="7031" width="3.125" style="2" customWidth="1"/>
    <col min="7032" max="7032" width="1.125" style="2" customWidth="1"/>
    <col min="7033" max="7033" width="9" style="2" customWidth="1"/>
    <col min="7034" max="7034" width="2.375" style="2" customWidth="1"/>
    <col min="7035" max="7052" width="7.625" style="2" customWidth="1"/>
    <col min="7053" max="7215" width="9" style="2" customWidth="1"/>
    <col min="7216" max="7217" width="3.125" style="2" customWidth="1"/>
    <col min="7218" max="7218" width="5.875" style="2" bestFit="1" customWidth="1"/>
    <col min="7219" max="7219" width="5.625" style="2" customWidth="1"/>
    <col min="7220" max="7220" width="10.625" style="2" customWidth="1"/>
    <col min="7221" max="7221" width="12.625" style="2" customWidth="1"/>
    <col min="7222" max="7222" width="8.625" style="2" customWidth="1"/>
    <col min="7223" max="7223" width="5.625" style="2" customWidth="1"/>
    <col min="7224" max="7224" width="4.625" style="2" customWidth="1"/>
    <col min="7225" max="7225" width="5.625" style="2" customWidth="1"/>
    <col min="7226" max="7229" width="4.625" style="2" customWidth="1"/>
    <col min="7230" max="7230" width="7.625" style="2" customWidth="1"/>
    <col min="7231" max="7231" width="8.625" style="2" customWidth="1"/>
    <col min="7232" max="7233" width="5.625" style="2" customWidth="1"/>
    <col min="7234" max="7234" width="6.625" style="2" customWidth="1"/>
    <col min="7235" max="7235" width="9.875" style="2" customWidth="1"/>
    <col min="7236" max="7237" width="8.625" style="2" customWidth="1"/>
    <col min="7238" max="7238" width="5.5" style="2" bestFit="1" customWidth="1"/>
    <col min="7239" max="7280" width="6.75" style="2" customWidth="1"/>
    <col min="7281" max="7281" width="9" style="2" customWidth="1"/>
    <col min="7282" max="7282" width="9.875" style="2" customWidth="1"/>
    <col min="7283" max="7283" width="2.875" style="2" customWidth="1"/>
    <col min="7284" max="7284" width="12.25" style="2" customWidth="1"/>
    <col min="7285" max="7285" width="6.375" style="2" customWidth="1"/>
    <col min="7286" max="7287" width="3.125" style="2" customWidth="1"/>
    <col min="7288" max="7288" width="1.125" style="2" customWidth="1"/>
    <col min="7289" max="7289" width="9" style="2" customWidth="1"/>
    <col min="7290" max="7290" width="2.375" style="2" customWidth="1"/>
    <col min="7291" max="7308" width="7.625" style="2" customWidth="1"/>
    <col min="7309" max="7471" width="9" style="2" customWidth="1"/>
    <col min="7472" max="7473" width="3.125" style="2" customWidth="1"/>
    <col min="7474" max="7474" width="5.875" style="2" bestFit="1" customWidth="1"/>
    <col min="7475" max="7475" width="5.625" style="2" customWidth="1"/>
    <col min="7476" max="7476" width="10.625" style="2" customWidth="1"/>
    <col min="7477" max="7477" width="12.625" style="2" customWidth="1"/>
    <col min="7478" max="7478" width="8.625" style="2" customWidth="1"/>
    <col min="7479" max="7479" width="5.625" style="2" customWidth="1"/>
    <col min="7480" max="7480" width="4.625" style="2" customWidth="1"/>
    <col min="7481" max="7481" width="5.625" style="2" customWidth="1"/>
    <col min="7482" max="7485" width="4.625" style="2" customWidth="1"/>
    <col min="7486" max="7486" width="7.625" style="2" customWidth="1"/>
    <col min="7487" max="7487" width="8.625" style="2" customWidth="1"/>
    <col min="7488" max="7489" width="5.625" style="2" customWidth="1"/>
    <col min="7490" max="7490" width="6.625" style="2" customWidth="1"/>
    <col min="7491" max="7491" width="9.875" style="2" customWidth="1"/>
    <col min="7492" max="7493" width="8.625" style="2" customWidth="1"/>
    <col min="7494" max="7494" width="5.5" style="2" bestFit="1" customWidth="1"/>
    <col min="7495" max="7536" width="6.75" style="2" customWidth="1"/>
    <col min="7537" max="7537" width="9" style="2" customWidth="1"/>
    <col min="7538" max="7538" width="9.875" style="2" customWidth="1"/>
    <col min="7539" max="7539" width="2.875" style="2" customWidth="1"/>
    <col min="7540" max="7540" width="12.25" style="2" customWidth="1"/>
    <col min="7541" max="7541" width="6.375" style="2" customWidth="1"/>
    <col min="7542" max="7543" width="3.125" style="2" customWidth="1"/>
    <col min="7544" max="7544" width="1.125" style="2" customWidth="1"/>
    <col min="7545" max="7545" width="9" style="2" customWidth="1"/>
    <col min="7546" max="7546" width="2.375" style="2" customWidth="1"/>
    <col min="7547" max="7564" width="7.625" style="2" customWidth="1"/>
    <col min="7565" max="7727" width="9" style="2" customWidth="1"/>
    <col min="7728" max="7729" width="3.125" style="2" customWidth="1"/>
    <col min="7730" max="7730" width="5.875" style="2" bestFit="1" customWidth="1"/>
    <col min="7731" max="7731" width="5.625" style="2" customWidth="1"/>
    <col min="7732" max="7732" width="10.625" style="2" customWidth="1"/>
    <col min="7733" max="7733" width="12.625" style="2" customWidth="1"/>
    <col min="7734" max="7734" width="8.625" style="2" customWidth="1"/>
    <col min="7735" max="7735" width="5.625" style="2" customWidth="1"/>
    <col min="7736" max="7736" width="4.625" style="2" customWidth="1"/>
    <col min="7737" max="7737" width="5.625" style="2" customWidth="1"/>
    <col min="7738" max="7741" width="4.625" style="2" customWidth="1"/>
    <col min="7742" max="7742" width="7.625" style="2" customWidth="1"/>
    <col min="7743" max="7743" width="8.625" style="2" customWidth="1"/>
    <col min="7744" max="7745" width="5.625" style="2" customWidth="1"/>
    <col min="7746" max="7746" width="6.625" style="2" customWidth="1"/>
    <col min="7747" max="7747" width="9.875" style="2" customWidth="1"/>
    <col min="7748" max="7749" width="8.625" style="2" customWidth="1"/>
    <col min="7750" max="7750" width="5.5" style="2" bestFit="1" customWidth="1"/>
    <col min="7751" max="7792" width="6.75" style="2" customWidth="1"/>
    <col min="7793" max="7793" width="9" style="2" customWidth="1"/>
    <col min="7794" max="7794" width="9.875" style="2" customWidth="1"/>
    <col min="7795" max="7795" width="2.875" style="2" customWidth="1"/>
    <col min="7796" max="7796" width="12.25" style="2" customWidth="1"/>
    <col min="7797" max="7797" width="6.375" style="2" customWidth="1"/>
    <col min="7798" max="7799" width="3.125" style="2" customWidth="1"/>
    <col min="7800" max="7800" width="1.125" style="2" customWidth="1"/>
    <col min="7801" max="7801" width="9" style="2" customWidth="1"/>
    <col min="7802" max="7802" width="2.375" style="2" customWidth="1"/>
    <col min="7803" max="7820" width="7.625" style="2" customWidth="1"/>
    <col min="7821" max="7983" width="9" style="2" customWidth="1"/>
    <col min="7984" max="7985" width="3.125" style="2" customWidth="1"/>
    <col min="7986" max="7986" width="5.875" style="2" bestFit="1" customWidth="1"/>
    <col min="7987" max="7987" width="5.625" style="2" customWidth="1"/>
    <col min="7988" max="7988" width="10.625" style="2" customWidth="1"/>
    <col min="7989" max="7989" width="12.625" style="2" customWidth="1"/>
    <col min="7990" max="7990" width="8.625" style="2" customWidth="1"/>
    <col min="7991" max="7991" width="5.625" style="2" customWidth="1"/>
    <col min="7992" max="7992" width="4.625" style="2" customWidth="1"/>
    <col min="7993" max="7993" width="5.625" style="2" customWidth="1"/>
    <col min="7994" max="7997" width="4.625" style="2" customWidth="1"/>
    <col min="7998" max="7998" width="7.625" style="2" customWidth="1"/>
    <col min="7999" max="7999" width="8.625" style="2" customWidth="1"/>
    <col min="8000" max="8001" width="5.625" style="2" customWidth="1"/>
    <col min="8002" max="8002" width="6.625" style="2" customWidth="1"/>
    <col min="8003" max="8003" width="9.875" style="2" customWidth="1"/>
    <col min="8004" max="8005" width="8.625" style="2" customWidth="1"/>
    <col min="8006" max="8006" width="5.5" style="2" bestFit="1" customWidth="1"/>
    <col min="8007" max="8048" width="6.75" style="2" customWidth="1"/>
    <col min="8049" max="8049" width="9" style="2" customWidth="1"/>
    <col min="8050" max="8050" width="9.875" style="2" customWidth="1"/>
    <col min="8051" max="8051" width="2.875" style="2" customWidth="1"/>
    <col min="8052" max="8052" width="12.25" style="2" customWidth="1"/>
    <col min="8053" max="8053" width="6.375" style="2" customWidth="1"/>
    <col min="8054" max="8055" width="3.125" style="2" customWidth="1"/>
    <col min="8056" max="8056" width="1.125" style="2" customWidth="1"/>
    <col min="8057" max="8057" width="9" style="2" customWidth="1"/>
    <col min="8058" max="8058" width="2.375" style="2" customWidth="1"/>
    <col min="8059" max="8076" width="7.625" style="2" customWidth="1"/>
    <col min="8077" max="8239" width="9" style="2" customWidth="1"/>
    <col min="8240" max="8241" width="3.125" style="2" customWidth="1"/>
    <col min="8242" max="8242" width="5.875" style="2" bestFit="1" customWidth="1"/>
    <col min="8243" max="8243" width="5.625" style="2" customWidth="1"/>
    <col min="8244" max="8244" width="10.625" style="2" customWidth="1"/>
    <col min="8245" max="8245" width="12.625" style="2" customWidth="1"/>
    <col min="8246" max="8246" width="8.625" style="2" customWidth="1"/>
    <col min="8247" max="8247" width="5.625" style="2" customWidth="1"/>
    <col min="8248" max="8248" width="4.625" style="2" customWidth="1"/>
    <col min="8249" max="8249" width="5.625" style="2" customWidth="1"/>
    <col min="8250" max="8253" width="4.625" style="2" customWidth="1"/>
    <col min="8254" max="8254" width="7.625" style="2" customWidth="1"/>
    <col min="8255" max="8255" width="8.625" style="2" customWidth="1"/>
    <col min="8256" max="8257" width="5.625" style="2" customWidth="1"/>
    <col min="8258" max="8258" width="6.625" style="2" customWidth="1"/>
    <col min="8259" max="8259" width="9.875" style="2" customWidth="1"/>
    <col min="8260" max="8261" width="8.625" style="2" customWidth="1"/>
    <col min="8262" max="8262" width="5.5" style="2" bestFit="1" customWidth="1"/>
    <col min="8263" max="8304" width="6.75" style="2" customWidth="1"/>
    <col min="8305" max="8305" width="9" style="2" customWidth="1"/>
    <col min="8306" max="8306" width="9.875" style="2" customWidth="1"/>
    <col min="8307" max="8307" width="2.875" style="2" customWidth="1"/>
    <col min="8308" max="8308" width="12.25" style="2" customWidth="1"/>
    <col min="8309" max="8309" width="6.375" style="2" customWidth="1"/>
    <col min="8310" max="8311" width="3.125" style="2" customWidth="1"/>
    <col min="8312" max="8312" width="1.125" style="2" customWidth="1"/>
    <col min="8313" max="8313" width="9" style="2" customWidth="1"/>
    <col min="8314" max="8314" width="2.375" style="2" customWidth="1"/>
    <col min="8315" max="8332" width="7.625" style="2" customWidth="1"/>
    <col min="8333" max="8495" width="9" style="2" customWidth="1"/>
    <col min="8496" max="8497" width="3.125" style="2" customWidth="1"/>
    <col min="8498" max="8498" width="5.875" style="2" bestFit="1" customWidth="1"/>
    <col min="8499" max="8499" width="5.625" style="2" customWidth="1"/>
    <col min="8500" max="8500" width="10.625" style="2" customWidth="1"/>
    <col min="8501" max="8501" width="12.625" style="2" customWidth="1"/>
    <col min="8502" max="8502" width="8.625" style="2" customWidth="1"/>
    <col min="8503" max="8503" width="5.625" style="2" customWidth="1"/>
    <col min="8504" max="8504" width="4.625" style="2" customWidth="1"/>
    <col min="8505" max="8505" width="5.625" style="2" customWidth="1"/>
    <col min="8506" max="8509" width="4.625" style="2" customWidth="1"/>
    <col min="8510" max="8510" width="7.625" style="2" customWidth="1"/>
    <col min="8511" max="8511" width="8.625" style="2" customWidth="1"/>
    <col min="8512" max="8513" width="5.625" style="2" customWidth="1"/>
    <col min="8514" max="8514" width="6.625" style="2" customWidth="1"/>
    <col min="8515" max="8515" width="9.875" style="2" customWidth="1"/>
    <col min="8516" max="8517" width="8.625" style="2" customWidth="1"/>
    <col min="8518" max="8518" width="5.5" style="2" bestFit="1" customWidth="1"/>
    <col min="8519" max="8560" width="6.75" style="2" customWidth="1"/>
    <col min="8561" max="8561" width="9" style="2" customWidth="1"/>
    <col min="8562" max="8562" width="9.875" style="2" customWidth="1"/>
    <col min="8563" max="8563" width="2.875" style="2" customWidth="1"/>
    <col min="8564" max="8564" width="12.25" style="2" customWidth="1"/>
    <col min="8565" max="8565" width="6.375" style="2" customWidth="1"/>
    <col min="8566" max="8567" width="3.125" style="2" customWidth="1"/>
    <col min="8568" max="8568" width="1.125" style="2" customWidth="1"/>
    <col min="8569" max="8569" width="9" style="2" customWidth="1"/>
    <col min="8570" max="8570" width="2.375" style="2" customWidth="1"/>
    <col min="8571" max="8588" width="7.625" style="2" customWidth="1"/>
    <col min="8589" max="8751" width="9" style="2" customWidth="1"/>
    <col min="8752" max="8753" width="3.125" style="2" customWidth="1"/>
    <col min="8754" max="8754" width="5.875" style="2" bestFit="1" customWidth="1"/>
    <col min="8755" max="8755" width="5.625" style="2" customWidth="1"/>
    <col min="8756" max="8756" width="10.625" style="2" customWidth="1"/>
    <col min="8757" max="8757" width="12.625" style="2" customWidth="1"/>
    <col min="8758" max="8758" width="8.625" style="2" customWidth="1"/>
    <col min="8759" max="8759" width="5.625" style="2" customWidth="1"/>
    <col min="8760" max="8760" width="4.625" style="2" customWidth="1"/>
    <col min="8761" max="8761" width="5.625" style="2" customWidth="1"/>
    <col min="8762" max="8765" width="4.625" style="2" customWidth="1"/>
    <col min="8766" max="8766" width="7.625" style="2" customWidth="1"/>
    <col min="8767" max="8767" width="8.625" style="2" customWidth="1"/>
    <col min="8768" max="8769" width="5.625" style="2" customWidth="1"/>
    <col min="8770" max="8770" width="6.625" style="2" customWidth="1"/>
    <col min="8771" max="8771" width="9.875" style="2" customWidth="1"/>
    <col min="8772" max="8773" width="8.625" style="2" customWidth="1"/>
    <col min="8774" max="8774" width="5.5" style="2" bestFit="1" customWidth="1"/>
    <col min="8775" max="8816" width="6.75" style="2" customWidth="1"/>
    <col min="8817" max="8817" width="9" style="2" customWidth="1"/>
    <col min="8818" max="8818" width="9.875" style="2" customWidth="1"/>
    <col min="8819" max="8819" width="2.875" style="2" customWidth="1"/>
    <col min="8820" max="8820" width="12.25" style="2" customWidth="1"/>
    <col min="8821" max="8821" width="6.375" style="2" customWidth="1"/>
    <col min="8822" max="8823" width="3.125" style="2" customWidth="1"/>
    <col min="8824" max="8824" width="1.125" style="2" customWidth="1"/>
    <col min="8825" max="8825" width="9" style="2" customWidth="1"/>
    <col min="8826" max="8826" width="2.375" style="2" customWidth="1"/>
    <col min="8827" max="8844" width="7.625" style="2" customWidth="1"/>
    <col min="8845" max="9007" width="9" style="2" customWidth="1"/>
    <col min="9008" max="9009" width="3.125" style="2" customWidth="1"/>
    <col min="9010" max="9010" width="5.875" style="2" bestFit="1" customWidth="1"/>
    <col min="9011" max="9011" width="5.625" style="2" customWidth="1"/>
    <col min="9012" max="9012" width="10.625" style="2" customWidth="1"/>
    <col min="9013" max="9013" width="12.625" style="2" customWidth="1"/>
    <col min="9014" max="9014" width="8.625" style="2" customWidth="1"/>
    <col min="9015" max="9015" width="5.625" style="2" customWidth="1"/>
    <col min="9016" max="9016" width="4.625" style="2" customWidth="1"/>
    <col min="9017" max="9017" width="5.625" style="2" customWidth="1"/>
    <col min="9018" max="9021" width="4.625" style="2" customWidth="1"/>
    <col min="9022" max="9022" width="7.625" style="2" customWidth="1"/>
    <col min="9023" max="9023" width="8.625" style="2" customWidth="1"/>
    <col min="9024" max="9025" width="5.625" style="2" customWidth="1"/>
    <col min="9026" max="9026" width="6.625" style="2" customWidth="1"/>
    <col min="9027" max="9027" width="9.875" style="2" customWidth="1"/>
    <col min="9028" max="9029" width="8.625" style="2" customWidth="1"/>
    <col min="9030" max="9030" width="5.5" style="2" bestFit="1" customWidth="1"/>
    <col min="9031" max="9072" width="6.75" style="2" customWidth="1"/>
    <col min="9073" max="9073" width="9" style="2" customWidth="1"/>
    <col min="9074" max="9074" width="9.875" style="2" customWidth="1"/>
    <col min="9075" max="9075" width="2.875" style="2" customWidth="1"/>
    <col min="9076" max="9076" width="12.25" style="2" customWidth="1"/>
    <col min="9077" max="9077" width="6.375" style="2" customWidth="1"/>
    <col min="9078" max="9079" width="3.125" style="2" customWidth="1"/>
    <col min="9080" max="9080" width="1.125" style="2" customWidth="1"/>
    <col min="9081" max="9081" width="9" style="2" customWidth="1"/>
    <col min="9082" max="9082" width="2.375" style="2" customWidth="1"/>
    <col min="9083" max="9100" width="7.625" style="2" customWidth="1"/>
    <col min="9101" max="9263" width="9" style="2" customWidth="1"/>
    <col min="9264" max="9265" width="3.125" style="2" customWidth="1"/>
    <col min="9266" max="9266" width="5.875" style="2" bestFit="1" customWidth="1"/>
    <col min="9267" max="9267" width="5.625" style="2" customWidth="1"/>
    <col min="9268" max="9268" width="10.625" style="2" customWidth="1"/>
    <col min="9269" max="9269" width="12.625" style="2" customWidth="1"/>
    <col min="9270" max="9270" width="8.625" style="2" customWidth="1"/>
    <col min="9271" max="9271" width="5.625" style="2" customWidth="1"/>
    <col min="9272" max="9272" width="4.625" style="2" customWidth="1"/>
    <col min="9273" max="9273" width="5.625" style="2" customWidth="1"/>
    <col min="9274" max="9277" width="4.625" style="2" customWidth="1"/>
    <col min="9278" max="9278" width="7.625" style="2" customWidth="1"/>
    <col min="9279" max="9279" width="8.625" style="2" customWidth="1"/>
    <col min="9280" max="9281" width="5.625" style="2" customWidth="1"/>
    <col min="9282" max="9282" width="6.625" style="2" customWidth="1"/>
    <col min="9283" max="9283" width="9.875" style="2" customWidth="1"/>
    <col min="9284" max="9285" width="8.625" style="2" customWidth="1"/>
    <col min="9286" max="9286" width="5.5" style="2" bestFit="1" customWidth="1"/>
    <col min="9287" max="9328" width="6.75" style="2" customWidth="1"/>
    <col min="9329" max="9329" width="9" style="2" customWidth="1"/>
    <col min="9330" max="9330" width="9.875" style="2" customWidth="1"/>
    <col min="9331" max="9331" width="2.875" style="2" customWidth="1"/>
    <col min="9332" max="9332" width="12.25" style="2" customWidth="1"/>
    <col min="9333" max="9333" width="6.375" style="2" customWidth="1"/>
    <col min="9334" max="9335" width="3.125" style="2" customWidth="1"/>
    <col min="9336" max="9336" width="1.125" style="2" customWidth="1"/>
    <col min="9337" max="9337" width="9" style="2" customWidth="1"/>
    <col min="9338" max="9338" width="2.375" style="2" customWidth="1"/>
    <col min="9339" max="9356" width="7.625" style="2" customWidth="1"/>
    <col min="9357" max="9519" width="9" style="2" customWidth="1"/>
    <col min="9520" max="9521" width="3.125" style="2" customWidth="1"/>
    <col min="9522" max="9522" width="5.875" style="2" bestFit="1" customWidth="1"/>
    <col min="9523" max="9523" width="5.625" style="2" customWidth="1"/>
    <col min="9524" max="9524" width="10.625" style="2" customWidth="1"/>
    <col min="9525" max="9525" width="12.625" style="2" customWidth="1"/>
    <col min="9526" max="9526" width="8.625" style="2" customWidth="1"/>
    <col min="9527" max="9527" width="5.625" style="2" customWidth="1"/>
    <col min="9528" max="9528" width="4.625" style="2" customWidth="1"/>
    <col min="9529" max="9529" width="5.625" style="2" customWidth="1"/>
    <col min="9530" max="9533" width="4.625" style="2" customWidth="1"/>
    <col min="9534" max="9534" width="7.625" style="2" customWidth="1"/>
    <col min="9535" max="9535" width="8.625" style="2" customWidth="1"/>
    <col min="9536" max="9537" width="5.625" style="2" customWidth="1"/>
    <col min="9538" max="9538" width="6.625" style="2" customWidth="1"/>
    <col min="9539" max="9539" width="9.875" style="2" customWidth="1"/>
    <col min="9540" max="9541" width="8.625" style="2" customWidth="1"/>
    <col min="9542" max="9542" width="5.5" style="2" bestFit="1" customWidth="1"/>
    <col min="9543" max="9584" width="6.75" style="2" customWidth="1"/>
    <col min="9585" max="9585" width="9" style="2" customWidth="1"/>
    <col min="9586" max="9586" width="9.875" style="2" customWidth="1"/>
    <col min="9587" max="9587" width="2.875" style="2" customWidth="1"/>
    <col min="9588" max="9588" width="12.25" style="2" customWidth="1"/>
    <col min="9589" max="9589" width="6.375" style="2" customWidth="1"/>
    <col min="9590" max="9591" width="3.125" style="2" customWidth="1"/>
    <col min="9592" max="9592" width="1.125" style="2" customWidth="1"/>
    <col min="9593" max="9593" width="9" style="2" customWidth="1"/>
    <col min="9594" max="9594" width="2.375" style="2" customWidth="1"/>
    <col min="9595" max="9612" width="7.625" style="2" customWidth="1"/>
    <col min="9613" max="9775" width="9" style="2" customWidth="1"/>
    <col min="9776" max="9777" width="3.125" style="2" customWidth="1"/>
    <col min="9778" max="9778" width="5.875" style="2" bestFit="1" customWidth="1"/>
    <col min="9779" max="9779" width="5.625" style="2" customWidth="1"/>
    <col min="9780" max="9780" width="10.625" style="2" customWidth="1"/>
    <col min="9781" max="9781" width="12.625" style="2" customWidth="1"/>
    <col min="9782" max="9782" width="8.625" style="2" customWidth="1"/>
    <col min="9783" max="9783" width="5.625" style="2" customWidth="1"/>
    <col min="9784" max="9784" width="4.625" style="2" customWidth="1"/>
    <col min="9785" max="9785" width="5.625" style="2" customWidth="1"/>
    <col min="9786" max="9789" width="4.625" style="2" customWidth="1"/>
    <col min="9790" max="9790" width="7.625" style="2" customWidth="1"/>
    <col min="9791" max="9791" width="8.625" style="2" customWidth="1"/>
    <col min="9792" max="9793" width="5.625" style="2" customWidth="1"/>
    <col min="9794" max="9794" width="6.625" style="2" customWidth="1"/>
    <col min="9795" max="9795" width="9.875" style="2" customWidth="1"/>
    <col min="9796" max="9797" width="8.625" style="2" customWidth="1"/>
    <col min="9798" max="9798" width="5.5" style="2" bestFit="1" customWidth="1"/>
    <col min="9799" max="9840" width="6.75" style="2" customWidth="1"/>
    <col min="9841" max="9841" width="9" style="2" customWidth="1"/>
    <col min="9842" max="9842" width="9.875" style="2" customWidth="1"/>
    <col min="9843" max="9843" width="2.875" style="2" customWidth="1"/>
    <col min="9844" max="9844" width="12.25" style="2" customWidth="1"/>
    <col min="9845" max="9845" width="6.375" style="2" customWidth="1"/>
    <col min="9846" max="9847" width="3.125" style="2" customWidth="1"/>
    <col min="9848" max="9848" width="1.125" style="2" customWidth="1"/>
    <col min="9849" max="9849" width="9" style="2" customWidth="1"/>
    <col min="9850" max="9850" width="2.375" style="2" customWidth="1"/>
    <col min="9851" max="9868" width="7.625" style="2" customWidth="1"/>
    <col min="9869" max="10031" width="9" style="2" customWidth="1"/>
    <col min="10032" max="10033" width="3.125" style="2" customWidth="1"/>
    <col min="10034" max="10034" width="5.875" style="2" bestFit="1" customWidth="1"/>
    <col min="10035" max="10035" width="5.625" style="2" customWidth="1"/>
    <col min="10036" max="10036" width="10.625" style="2" customWidth="1"/>
    <col min="10037" max="10037" width="12.625" style="2" customWidth="1"/>
    <col min="10038" max="10038" width="8.625" style="2" customWidth="1"/>
    <col min="10039" max="10039" width="5.625" style="2" customWidth="1"/>
    <col min="10040" max="10040" width="4.625" style="2" customWidth="1"/>
    <col min="10041" max="10041" width="5.625" style="2" customWidth="1"/>
    <col min="10042" max="10045" width="4.625" style="2" customWidth="1"/>
    <col min="10046" max="10046" width="7.625" style="2" customWidth="1"/>
    <col min="10047" max="10047" width="8.625" style="2" customWidth="1"/>
    <col min="10048" max="10049" width="5.625" style="2" customWidth="1"/>
    <col min="10050" max="10050" width="6.625" style="2" customWidth="1"/>
    <col min="10051" max="10051" width="9.875" style="2" customWidth="1"/>
    <col min="10052" max="10053" width="8.625" style="2" customWidth="1"/>
    <col min="10054" max="10054" width="5.5" style="2" bestFit="1" customWidth="1"/>
    <col min="10055" max="10096" width="6.75" style="2" customWidth="1"/>
    <col min="10097" max="10097" width="9" style="2" customWidth="1"/>
    <col min="10098" max="10098" width="9.875" style="2" customWidth="1"/>
    <col min="10099" max="10099" width="2.875" style="2" customWidth="1"/>
    <col min="10100" max="10100" width="12.25" style="2" customWidth="1"/>
    <col min="10101" max="10101" width="6.375" style="2" customWidth="1"/>
    <col min="10102" max="10103" width="3.125" style="2" customWidth="1"/>
    <col min="10104" max="10104" width="1.125" style="2" customWidth="1"/>
    <col min="10105" max="10105" width="9" style="2" customWidth="1"/>
    <col min="10106" max="10106" width="2.375" style="2" customWidth="1"/>
    <col min="10107" max="10124" width="7.625" style="2" customWidth="1"/>
    <col min="10125" max="10287" width="9" style="2" customWidth="1"/>
    <col min="10288" max="10289" width="3.125" style="2" customWidth="1"/>
    <col min="10290" max="10290" width="5.875" style="2" bestFit="1" customWidth="1"/>
    <col min="10291" max="10291" width="5.625" style="2" customWidth="1"/>
    <col min="10292" max="10292" width="10.625" style="2" customWidth="1"/>
    <col min="10293" max="10293" width="12.625" style="2" customWidth="1"/>
    <col min="10294" max="10294" width="8.625" style="2" customWidth="1"/>
    <col min="10295" max="10295" width="5.625" style="2" customWidth="1"/>
    <col min="10296" max="10296" width="4.625" style="2" customWidth="1"/>
    <col min="10297" max="10297" width="5.625" style="2" customWidth="1"/>
    <col min="10298" max="10301" width="4.625" style="2" customWidth="1"/>
    <col min="10302" max="10302" width="7.625" style="2" customWidth="1"/>
    <col min="10303" max="10303" width="8.625" style="2" customWidth="1"/>
    <col min="10304" max="10305" width="5.625" style="2" customWidth="1"/>
    <col min="10306" max="10306" width="6.625" style="2" customWidth="1"/>
    <col min="10307" max="10307" width="9.875" style="2" customWidth="1"/>
    <col min="10308" max="10309" width="8.625" style="2" customWidth="1"/>
    <col min="10310" max="10310" width="5.5" style="2" bestFit="1" customWidth="1"/>
    <col min="10311" max="10352" width="6.75" style="2" customWidth="1"/>
    <col min="10353" max="10353" width="9" style="2" customWidth="1"/>
    <col min="10354" max="10354" width="9.875" style="2" customWidth="1"/>
    <col min="10355" max="10355" width="2.875" style="2" customWidth="1"/>
    <col min="10356" max="10356" width="12.25" style="2" customWidth="1"/>
    <col min="10357" max="10357" width="6.375" style="2" customWidth="1"/>
    <col min="10358" max="10359" width="3.125" style="2" customWidth="1"/>
    <col min="10360" max="10360" width="1.125" style="2" customWidth="1"/>
    <col min="10361" max="10361" width="9" style="2" customWidth="1"/>
    <col min="10362" max="10362" width="2.375" style="2" customWidth="1"/>
    <col min="10363" max="10380" width="7.625" style="2" customWidth="1"/>
    <col min="10381" max="10543" width="9" style="2" customWidth="1"/>
    <col min="10544" max="10545" width="3.125" style="2" customWidth="1"/>
    <col min="10546" max="10546" width="5.875" style="2" bestFit="1" customWidth="1"/>
    <col min="10547" max="10547" width="5.625" style="2" customWidth="1"/>
    <col min="10548" max="10548" width="10.625" style="2" customWidth="1"/>
    <col min="10549" max="10549" width="12.625" style="2" customWidth="1"/>
    <col min="10550" max="10550" width="8.625" style="2" customWidth="1"/>
    <col min="10551" max="10551" width="5.625" style="2" customWidth="1"/>
    <col min="10552" max="10552" width="4.625" style="2" customWidth="1"/>
    <col min="10553" max="10553" width="5.625" style="2" customWidth="1"/>
    <col min="10554" max="10557" width="4.625" style="2" customWidth="1"/>
    <col min="10558" max="10558" width="7.625" style="2" customWidth="1"/>
    <col min="10559" max="10559" width="8.625" style="2" customWidth="1"/>
    <col min="10560" max="10561" width="5.625" style="2" customWidth="1"/>
    <col min="10562" max="10562" width="6.625" style="2" customWidth="1"/>
    <col min="10563" max="10563" width="9.875" style="2" customWidth="1"/>
    <col min="10564" max="10565" width="8.625" style="2" customWidth="1"/>
    <col min="10566" max="10566" width="5.5" style="2" bestFit="1" customWidth="1"/>
    <col min="10567" max="10608" width="6.75" style="2" customWidth="1"/>
    <col min="10609" max="10609" width="9" style="2" customWidth="1"/>
    <col min="10610" max="10610" width="9.875" style="2" customWidth="1"/>
    <col min="10611" max="10611" width="2.875" style="2" customWidth="1"/>
    <col min="10612" max="10612" width="12.25" style="2" customWidth="1"/>
    <col min="10613" max="10613" width="6.375" style="2" customWidth="1"/>
    <col min="10614" max="10615" width="3.125" style="2" customWidth="1"/>
    <col min="10616" max="10616" width="1.125" style="2" customWidth="1"/>
    <col min="10617" max="10617" width="9" style="2" customWidth="1"/>
    <col min="10618" max="10618" width="2.375" style="2" customWidth="1"/>
    <col min="10619" max="10636" width="7.625" style="2" customWidth="1"/>
    <col min="10637" max="10799" width="9" style="2" customWidth="1"/>
    <col min="10800" max="10801" width="3.125" style="2" customWidth="1"/>
    <col min="10802" max="10802" width="5.875" style="2" bestFit="1" customWidth="1"/>
    <col min="10803" max="10803" width="5.625" style="2" customWidth="1"/>
    <col min="10804" max="10804" width="10.625" style="2" customWidth="1"/>
    <col min="10805" max="10805" width="12.625" style="2" customWidth="1"/>
    <col min="10806" max="10806" width="8.625" style="2" customWidth="1"/>
    <col min="10807" max="10807" width="5.625" style="2" customWidth="1"/>
    <col min="10808" max="10808" width="4.625" style="2" customWidth="1"/>
    <col min="10809" max="10809" width="5.625" style="2" customWidth="1"/>
    <col min="10810" max="10813" width="4.625" style="2" customWidth="1"/>
    <col min="10814" max="10814" width="7.625" style="2" customWidth="1"/>
    <col min="10815" max="10815" width="8.625" style="2" customWidth="1"/>
    <col min="10816" max="10817" width="5.625" style="2" customWidth="1"/>
    <col min="10818" max="10818" width="6.625" style="2" customWidth="1"/>
    <col min="10819" max="10819" width="9.875" style="2" customWidth="1"/>
    <col min="10820" max="10821" width="8.625" style="2" customWidth="1"/>
    <col min="10822" max="10822" width="5.5" style="2" bestFit="1" customWidth="1"/>
    <col min="10823" max="10864" width="6.75" style="2" customWidth="1"/>
    <col min="10865" max="10865" width="9" style="2" customWidth="1"/>
    <col min="10866" max="10866" width="9.875" style="2" customWidth="1"/>
    <col min="10867" max="10867" width="2.875" style="2" customWidth="1"/>
    <col min="10868" max="10868" width="12.25" style="2" customWidth="1"/>
    <col min="10869" max="10869" width="6.375" style="2" customWidth="1"/>
    <col min="10870" max="10871" width="3.125" style="2" customWidth="1"/>
    <col min="10872" max="10872" width="1.125" style="2" customWidth="1"/>
    <col min="10873" max="10873" width="9" style="2" customWidth="1"/>
    <col min="10874" max="10874" width="2.375" style="2" customWidth="1"/>
    <col min="10875" max="10892" width="7.625" style="2" customWidth="1"/>
    <col min="10893" max="11055" width="9" style="2" customWidth="1"/>
    <col min="11056" max="11057" width="3.125" style="2" customWidth="1"/>
    <col min="11058" max="11058" width="5.875" style="2" bestFit="1" customWidth="1"/>
    <col min="11059" max="11059" width="5.625" style="2" customWidth="1"/>
    <col min="11060" max="11060" width="10.625" style="2" customWidth="1"/>
    <col min="11061" max="11061" width="12.625" style="2" customWidth="1"/>
    <col min="11062" max="11062" width="8.625" style="2" customWidth="1"/>
    <col min="11063" max="11063" width="5.625" style="2" customWidth="1"/>
    <col min="11064" max="11064" width="4.625" style="2" customWidth="1"/>
    <col min="11065" max="11065" width="5.625" style="2" customWidth="1"/>
    <col min="11066" max="11069" width="4.625" style="2" customWidth="1"/>
    <col min="11070" max="11070" width="7.625" style="2" customWidth="1"/>
    <col min="11071" max="11071" width="8.625" style="2" customWidth="1"/>
    <col min="11072" max="11073" width="5.625" style="2" customWidth="1"/>
    <col min="11074" max="11074" width="6.625" style="2" customWidth="1"/>
    <col min="11075" max="11075" width="9.875" style="2" customWidth="1"/>
    <col min="11076" max="11077" width="8.625" style="2" customWidth="1"/>
    <col min="11078" max="11078" width="5.5" style="2" bestFit="1" customWidth="1"/>
    <col min="11079" max="11120" width="6.75" style="2" customWidth="1"/>
    <col min="11121" max="11121" width="9" style="2" customWidth="1"/>
    <col min="11122" max="11122" width="9.875" style="2" customWidth="1"/>
    <col min="11123" max="11123" width="2.875" style="2" customWidth="1"/>
    <col min="11124" max="11124" width="12.25" style="2" customWidth="1"/>
    <col min="11125" max="11125" width="6.375" style="2" customWidth="1"/>
    <col min="11126" max="11127" width="3.125" style="2" customWidth="1"/>
    <col min="11128" max="11128" width="1.125" style="2" customWidth="1"/>
    <col min="11129" max="11129" width="9" style="2" customWidth="1"/>
    <col min="11130" max="11130" width="2.375" style="2" customWidth="1"/>
    <col min="11131" max="11148" width="7.625" style="2" customWidth="1"/>
    <col min="11149" max="11311" width="9" style="2" customWidth="1"/>
    <col min="11312" max="11313" width="3.125" style="2" customWidth="1"/>
    <col min="11314" max="11314" width="5.875" style="2" bestFit="1" customWidth="1"/>
    <col min="11315" max="11315" width="5.625" style="2" customWidth="1"/>
    <col min="11316" max="11316" width="10.625" style="2" customWidth="1"/>
    <col min="11317" max="11317" width="12.625" style="2" customWidth="1"/>
    <col min="11318" max="11318" width="8.625" style="2" customWidth="1"/>
    <col min="11319" max="11319" width="5.625" style="2" customWidth="1"/>
    <col min="11320" max="11320" width="4.625" style="2" customWidth="1"/>
    <col min="11321" max="11321" width="5.625" style="2" customWidth="1"/>
    <col min="11322" max="11325" width="4.625" style="2" customWidth="1"/>
    <col min="11326" max="11326" width="7.625" style="2" customWidth="1"/>
    <col min="11327" max="11327" width="8.625" style="2" customWidth="1"/>
    <col min="11328" max="11329" width="5.625" style="2" customWidth="1"/>
    <col min="11330" max="11330" width="6.625" style="2" customWidth="1"/>
    <col min="11331" max="11331" width="9.875" style="2" customWidth="1"/>
    <col min="11332" max="11333" width="8.625" style="2" customWidth="1"/>
    <col min="11334" max="11334" width="5.5" style="2" bestFit="1" customWidth="1"/>
    <col min="11335" max="11376" width="6.75" style="2" customWidth="1"/>
    <col min="11377" max="11377" width="9" style="2" customWidth="1"/>
    <col min="11378" max="11378" width="9.875" style="2" customWidth="1"/>
    <col min="11379" max="11379" width="2.875" style="2" customWidth="1"/>
    <col min="11380" max="11380" width="12.25" style="2" customWidth="1"/>
    <col min="11381" max="11381" width="6.375" style="2" customWidth="1"/>
    <col min="11382" max="11383" width="3.125" style="2" customWidth="1"/>
    <col min="11384" max="11384" width="1.125" style="2" customWidth="1"/>
    <col min="11385" max="11385" width="9" style="2" customWidth="1"/>
    <col min="11386" max="11386" width="2.375" style="2" customWidth="1"/>
    <col min="11387" max="11404" width="7.625" style="2" customWidth="1"/>
    <col min="11405" max="11567" width="9" style="2" customWidth="1"/>
    <col min="11568" max="11569" width="3.125" style="2" customWidth="1"/>
    <col min="11570" max="11570" width="5.875" style="2" bestFit="1" customWidth="1"/>
    <col min="11571" max="11571" width="5.625" style="2" customWidth="1"/>
    <col min="11572" max="11572" width="10.625" style="2" customWidth="1"/>
    <col min="11573" max="11573" width="12.625" style="2" customWidth="1"/>
    <col min="11574" max="11574" width="8.625" style="2" customWidth="1"/>
    <col min="11575" max="11575" width="5.625" style="2" customWidth="1"/>
    <col min="11576" max="11576" width="4.625" style="2" customWidth="1"/>
    <col min="11577" max="11577" width="5.625" style="2" customWidth="1"/>
    <col min="11578" max="11581" width="4.625" style="2" customWidth="1"/>
    <col min="11582" max="11582" width="7.625" style="2" customWidth="1"/>
    <col min="11583" max="11583" width="8.625" style="2" customWidth="1"/>
    <col min="11584" max="11585" width="5.625" style="2" customWidth="1"/>
    <col min="11586" max="11586" width="6.625" style="2" customWidth="1"/>
    <col min="11587" max="11587" width="9.875" style="2" customWidth="1"/>
    <col min="11588" max="11589" width="8.625" style="2" customWidth="1"/>
    <col min="11590" max="11590" width="5.5" style="2" bestFit="1" customWidth="1"/>
    <col min="11591" max="11632" width="6.75" style="2" customWidth="1"/>
    <col min="11633" max="11633" width="9" style="2" customWidth="1"/>
    <col min="11634" max="11634" width="9.875" style="2" customWidth="1"/>
    <col min="11635" max="11635" width="2.875" style="2" customWidth="1"/>
    <col min="11636" max="11636" width="12.25" style="2" customWidth="1"/>
    <col min="11637" max="11637" width="6.375" style="2" customWidth="1"/>
    <col min="11638" max="11639" width="3.125" style="2" customWidth="1"/>
    <col min="11640" max="11640" width="1.125" style="2" customWidth="1"/>
    <col min="11641" max="11641" width="9" style="2" customWidth="1"/>
    <col min="11642" max="11642" width="2.375" style="2" customWidth="1"/>
    <col min="11643" max="11660" width="7.625" style="2" customWidth="1"/>
    <col min="11661" max="11823" width="9" style="2" customWidth="1"/>
    <col min="11824" max="11825" width="3.125" style="2" customWidth="1"/>
    <col min="11826" max="11826" width="5.875" style="2" bestFit="1" customWidth="1"/>
    <col min="11827" max="11827" width="5.625" style="2" customWidth="1"/>
    <col min="11828" max="11828" width="10.625" style="2" customWidth="1"/>
    <col min="11829" max="11829" width="12.625" style="2" customWidth="1"/>
    <col min="11830" max="11830" width="8.625" style="2" customWidth="1"/>
    <col min="11831" max="11831" width="5.625" style="2" customWidth="1"/>
    <col min="11832" max="11832" width="4.625" style="2" customWidth="1"/>
    <col min="11833" max="11833" width="5.625" style="2" customWidth="1"/>
    <col min="11834" max="11837" width="4.625" style="2" customWidth="1"/>
    <col min="11838" max="11838" width="7.625" style="2" customWidth="1"/>
    <col min="11839" max="11839" width="8.625" style="2" customWidth="1"/>
    <col min="11840" max="11841" width="5.625" style="2" customWidth="1"/>
    <col min="11842" max="11842" width="6.625" style="2" customWidth="1"/>
    <col min="11843" max="11843" width="9.875" style="2" customWidth="1"/>
    <col min="11844" max="11845" width="8.625" style="2" customWidth="1"/>
    <col min="11846" max="11846" width="5.5" style="2" bestFit="1" customWidth="1"/>
    <col min="11847" max="11888" width="6.75" style="2" customWidth="1"/>
    <col min="11889" max="11889" width="9" style="2" customWidth="1"/>
    <col min="11890" max="11890" width="9.875" style="2" customWidth="1"/>
    <col min="11891" max="11891" width="2.875" style="2" customWidth="1"/>
    <col min="11892" max="11892" width="12.25" style="2" customWidth="1"/>
    <col min="11893" max="11893" width="6.375" style="2" customWidth="1"/>
    <col min="11894" max="11895" width="3.125" style="2" customWidth="1"/>
    <col min="11896" max="11896" width="1.125" style="2" customWidth="1"/>
    <col min="11897" max="11897" width="9" style="2" customWidth="1"/>
    <col min="11898" max="11898" width="2.375" style="2" customWidth="1"/>
    <col min="11899" max="11916" width="7.625" style="2" customWidth="1"/>
    <col min="11917" max="12079" width="9" style="2" customWidth="1"/>
    <col min="12080" max="12081" width="3.125" style="2" customWidth="1"/>
    <col min="12082" max="12082" width="5.875" style="2" bestFit="1" customWidth="1"/>
    <col min="12083" max="12083" width="5.625" style="2" customWidth="1"/>
    <col min="12084" max="12084" width="10.625" style="2" customWidth="1"/>
    <col min="12085" max="12085" width="12.625" style="2" customWidth="1"/>
    <col min="12086" max="12086" width="8.625" style="2" customWidth="1"/>
    <col min="12087" max="12087" width="5.625" style="2" customWidth="1"/>
    <col min="12088" max="12088" width="4.625" style="2" customWidth="1"/>
    <col min="12089" max="12089" width="5.625" style="2" customWidth="1"/>
    <col min="12090" max="12093" width="4.625" style="2" customWidth="1"/>
    <col min="12094" max="12094" width="7.625" style="2" customWidth="1"/>
    <col min="12095" max="12095" width="8.625" style="2" customWidth="1"/>
    <col min="12096" max="12097" width="5.625" style="2" customWidth="1"/>
    <col min="12098" max="12098" width="6.625" style="2" customWidth="1"/>
    <col min="12099" max="12099" width="9.875" style="2" customWidth="1"/>
    <col min="12100" max="12101" width="8.625" style="2" customWidth="1"/>
    <col min="12102" max="12102" width="5.5" style="2" bestFit="1" customWidth="1"/>
    <col min="12103" max="12144" width="6.75" style="2" customWidth="1"/>
    <col min="12145" max="12145" width="9" style="2" customWidth="1"/>
    <col min="12146" max="12146" width="9.875" style="2" customWidth="1"/>
    <col min="12147" max="12147" width="2.875" style="2" customWidth="1"/>
    <col min="12148" max="12148" width="12.25" style="2" customWidth="1"/>
    <col min="12149" max="12149" width="6.375" style="2" customWidth="1"/>
    <col min="12150" max="12151" width="3.125" style="2" customWidth="1"/>
    <col min="12152" max="12152" width="1.125" style="2" customWidth="1"/>
    <col min="12153" max="12153" width="9" style="2" customWidth="1"/>
    <col min="12154" max="12154" width="2.375" style="2" customWidth="1"/>
    <col min="12155" max="12172" width="7.625" style="2" customWidth="1"/>
    <col min="12173" max="12335" width="9" style="2" customWidth="1"/>
    <col min="12336" max="12337" width="3.125" style="2" customWidth="1"/>
    <col min="12338" max="12338" width="5.875" style="2" bestFit="1" customWidth="1"/>
    <col min="12339" max="12339" width="5.625" style="2" customWidth="1"/>
    <col min="12340" max="12340" width="10.625" style="2" customWidth="1"/>
    <col min="12341" max="12341" width="12.625" style="2" customWidth="1"/>
    <col min="12342" max="12342" width="8.625" style="2" customWidth="1"/>
    <col min="12343" max="12343" width="5.625" style="2" customWidth="1"/>
    <col min="12344" max="12344" width="4.625" style="2" customWidth="1"/>
    <col min="12345" max="12345" width="5.625" style="2" customWidth="1"/>
    <col min="12346" max="12349" width="4.625" style="2" customWidth="1"/>
    <col min="12350" max="12350" width="7.625" style="2" customWidth="1"/>
    <col min="12351" max="12351" width="8.625" style="2" customWidth="1"/>
    <col min="12352" max="12353" width="5.625" style="2" customWidth="1"/>
    <col min="12354" max="12354" width="6.625" style="2" customWidth="1"/>
    <col min="12355" max="12355" width="9.875" style="2" customWidth="1"/>
    <col min="12356" max="12357" width="8.625" style="2" customWidth="1"/>
    <col min="12358" max="12358" width="5.5" style="2" bestFit="1" customWidth="1"/>
    <col min="12359" max="12400" width="6.75" style="2" customWidth="1"/>
    <col min="12401" max="12401" width="9" style="2" customWidth="1"/>
    <col min="12402" max="12402" width="9.875" style="2" customWidth="1"/>
    <col min="12403" max="12403" width="2.875" style="2" customWidth="1"/>
    <col min="12404" max="12404" width="12.25" style="2" customWidth="1"/>
    <col min="12405" max="12405" width="6.375" style="2" customWidth="1"/>
    <col min="12406" max="12407" width="3.125" style="2" customWidth="1"/>
    <col min="12408" max="12408" width="1.125" style="2" customWidth="1"/>
    <col min="12409" max="12409" width="9" style="2" customWidth="1"/>
    <col min="12410" max="12410" width="2.375" style="2" customWidth="1"/>
    <col min="12411" max="12428" width="7.625" style="2" customWidth="1"/>
    <col min="12429" max="12591" width="9" style="2" customWidth="1"/>
    <col min="12592" max="12593" width="3.125" style="2" customWidth="1"/>
    <col min="12594" max="12594" width="5.875" style="2" bestFit="1" customWidth="1"/>
    <col min="12595" max="12595" width="5.625" style="2" customWidth="1"/>
    <col min="12596" max="12596" width="10.625" style="2" customWidth="1"/>
    <col min="12597" max="12597" width="12.625" style="2" customWidth="1"/>
    <col min="12598" max="12598" width="8.625" style="2" customWidth="1"/>
    <col min="12599" max="12599" width="5.625" style="2" customWidth="1"/>
    <col min="12600" max="12600" width="4.625" style="2" customWidth="1"/>
    <col min="12601" max="12601" width="5.625" style="2" customWidth="1"/>
    <col min="12602" max="12605" width="4.625" style="2" customWidth="1"/>
    <col min="12606" max="12606" width="7.625" style="2" customWidth="1"/>
    <col min="12607" max="12607" width="8.625" style="2" customWidth="1"/>
    <col min="12608" max="12609" width="5.625" style="2" customWidth="1"/>
    <col min="12610" max="12610" width="6.625" style="2" customWidth="1"/>
    <col min="12611" max="12611" width="9.875" style="2" customWidth="1"/>
    <col min="12612" max="12613" width="8.625" style="2" customWidth="1"/>
    <col min="12614" max="12614" width="5.5" style="2" bestFit="1" customWidth="1"/>
    <col min="12615" max="12656" width="6.75" style="2" customWidth="1"/>
    <col min="12657" max="12657" width="9" style="2" customWidth="1"/>
    <col min="12658" max="12658" width="9.875" style="2" customWidth="1"/>
    <col min="12659" max="12659" width="2.875" style="2" customWidth="1"/>
    <col min="12660" max="12660" width="12.25" style="2" customWidth="1"/>
    <col min="12661" max="12661" width="6.375" style="2" customWidth="1"/>
    <col min="12662" max="12663" width="3.125" style="2" customWidth="1"/>
    <col min="12664" max="12664" width="1.125" style="2" customWidth="1"/>
    <col min="12665" max="12665" width="9" style="2" customWidth="1"/>
    <col min="12666" max="12666" width="2.375" style="2" customWidth="1"/>
    <col min="12667" max="12684" width="7.625" style="2" customWidth="1"/>
    <col min="12685" max="12847" width="9" style="2" customWidth="1"/>
    <col min="12848" max="12849" width="3.125" style="2" customWidth="1"/>
    <col min="12850" max="12850" width="5.875" style="2" bestFit="1" customWidth="1"/>
    <col min="12851" max="12851" width="5.625" style="2" customWidth="1"/>
    <col min="12852" max="12852" width="10.625" style="2" customWidth="1"/>
    <col min="12853" max="12853" width="12.625" style="2" customWidth="1"/>
    <col min="12854" max="12854" width="8.625" style="2" customWidth="1"/>
    <col min="12855" max="12855" width="5.625" style="2" customWidth="1"/>
    <col min="12856" max="12856" width="4.625" style="2" customWidth="1"/>
    <col min="12857" max="12857" width="5.625" style="2" customWidth="1"/>
    <col min="12858" max="12861" width="4.625" style="2" customWidth="1"/>
    <col min="12862" max="12862" width="7.625" style="2" customWidth="1"/>
    <col min="12863" max="12863" width="8.625" style="2" customWidth="1"/>
    <col min="12864" max="12865" width="5.625" style="2" customWidth="1"/>
    <col min="12866" max="12866" width="6.625" style="2" customWidth="1"/>
    <col min="12867" max="12867" width="9.875" style="2" customWidth="1"/>
    <col min="12868" max="12869" width="8.625" style="2" customWidth="1"/>
    <col min="12870" max="12870" width="5.5" style="2" bestFit="1" customWidth="1"/>
    <col min="12871" max="12912" width="6.75" style="2" customWidth="1"/>
    <col min="12913" max="12913" width="9" style="2" customWidth="1"/>
    <col min="12914" max="12914" width="9.875" style="2" customWidth="1"/>
    <col min="12915" max="12915" width="2.875" style="2" customWidth="1"/>
    <col min="12916" max="12916" width="12.25" style="2" customWidth="1"/>
    <col min="12917" max="12917" width="6.375" style="2" customWidth="1"/>
    <col min="12918" max="12919" width="3.125" style="2" customWidth="1"/>
    <col min="12920" max="12920" width="1.125" style="2" customWidth="1"/>
    <col min="12921" max="12921" width="9" style="2" customWidth="1"/>
    <col min="12922" max="12922" width="2.375" style="2" customWidth="1"/>
    <col min="12923" max="12940" width="7.625" style="2" customWidth="1"/>
    <col min="12941" max="13103" width="9" style="2" customWidth="1"/>
    <col min="13104" max="13105" width="3.125" style="2" customWidth="1"/>
    <col min="13106" max="13106" width="5.875" style="2" bestFit="1" customWidth="1"/>
    <col min="13107" max="13107" width="5.625" style="2" customWidth="1"/>
    <col min="13108" max="13108" width="10.625" style="2" customWidth="1"/>
    <col min="13109" max="13109" width="12.625" style="2" customWidth="1"/>
    <col min="13110" max="13110" width="8.625" style="2" customWidth="1"/>
    <col min="13111" max="13111" width="5.625" style="2" customWidth="1"/>
    <col min="13112" max="13112" width="4.625" style="2" customWidth="1"/>
    <col min="13113" max="13113" width="5.625" style="2" customWidth="1"/>
    <col min="13114" max="13117" width="4.625" style="2" customWidth="1"/>
    <col min="13118" max="13118" width="7.625" style="2" customWidth="1"/>
    <col min="13119" max="13119" width="8.625" style="2" customWidth="1"/>
    <col min="13120" max="13121" width="5.625" style="2" customWidth="1"/>
    <col min="13122" max="13122" width="6.625" style="2" customWidth="1"/>
    <col min="13123" max="13123" width="9.875" style="2" customWidth="1"/>
    <col min="13124" max="13125" width="8.625" style="2" customWidth="1"/>
    <col min="13126" max="13126" width="5.5" style="2" bestFit="1" customWidth="1"/>
    <col min="13127" max="13168" width="6.75" style="2" customWidth="1"/>
    <col min="13169" max="13169" width="9" style="2" customWidth="1"/>
    <col min="13170" max="13170" width="9.875" style="2" customWidth="1"/>
    <col min="13171" max="13171" width="2.875" style="2" customWidth="1"/>
    <col min="13172" max="13172" width="12.25" style="2" customWidth="1"/>
    <col min="13173" max="13173" width="6.375" style="2" customWidth="1"/>
    <col min="13174" max="13175" width="3.125" style="2" customWidth="1"/>
    <col min="13176" max="13176" width="1.125" style="2" customWidth="1"/>
    <col min="13177" max="13177" width="9" style="2" customWidth="1"/>
    <col min="13178" max="13178" width="2.375" style="2" customWidth="1"/>
    <col min="13179" max="13196" width="7.625" style="2" customWidth="1"/>
    <col min="13197" max="13359" width="9" style="2" customWidth="1"/>
    <col min="13360" max="13361" width="3.125" style="2" customWidth="1"/>
    <col min="13362" max="13362" width="5.875" style="2" bestFit="1" customWidth="1"/>
    <col min="13363" max="13363" width="5.625" style="2" customWidth="1"/>
    <col min="13364" max="13364" width="10.625" style="2" customWidth="1"/>
    <col min="13365" max="13365" width="12.625" style="2" customWidth="1"/>
    <col min="13366" max="13366" width="8.625" style="2" customWidth="1"/>
    <col min="13367" max="13367" width="5.625" style="2" customWidth="1"/>
    <col min="13368" max="13368" width="4.625" style="2" customWidth="1"/>
    <col min="13369" max="13369" width="5.625" style="2" customWidth="1"/>
    <col min="13370" max="13373" width="4.625" style="2" customWidth="1"/>
    <col min="13374" max="13374" width="7.625" style="2" customWidth="1"/>
    <col min="13375" max="13375" width="8.625" style="2" customWidth="1"/>
    <col min="13376" max="13377" width="5.625" style="2" customWidth="1"/>
    <col min="13378" max="13378" width="6.625" style="2" customWidth="1"/>
    <col min="13379" max="13379" width="9.875" style="2" customWidth="1"/>
    <col min="13380" max="13381" width="8.625" style="2" customWidth="1"/>
    <col min="13382" max="13382" width="5.5" style="2" bestFit="1" customWidth="1"/>
    <col min="13383" max="13424" width="6.75" style="2" customWidth="1"/>
    <col min="13425" max="13425" width="9" style="2" customWidth="1"/>
    <col min="13426" max="13426" width="9.875" style="2" customWidth="1"/>
    <col min="13427" max="13427" width="2.875" style="2" customWidth="1"/>
    <col min="13428" max="13428" width="12.25" style="2" customWidth="1"/>
    <col min="13429" max="13429" width="6.375" style="2" customWidth="1"/>
    <col min="13430" max="13431" width="3.125" style="2" customWidth="1"/>
    <col min="13432" max="13432" width="1.125" style="2" customWidth="1"/>
    <col min="13433" max="13433" width="9" style="2" customWidth="1"/>
    <col min="13434" max="13434" width="2.375" style="2" customWidth="1"/>
    <col min="13435" max="13452" width="7.625" style="2" customWidth="1"/>
    <col min="13453" max="13615" width="9" style="2" customWidth="1"/>
    <col min="13616" max="13617" width="3.125" style="2" customWidth="1"/>
    <col min="13618" max="13618" width="5.875" style="2" bestFit="1" customWidth="1"/>
    <col min="13619" max="13619" width="5.625" style="2" customWidth="1"/>
    <col min="13620" max="13620" width="10.625" style="2" customWidth="1"/>
    <col min="13621" max="13621" width="12.625" style="2" customWidth="1"/>
    <col min="13622" max="13622" width="8.625" style="2" customWidth="1"/>
    <col min="13623" max="13623" width="5.625" style="2" customWidth="1"/>
    <col min="13624" max="13624" width="4.625" style="2" customWidth="1"/>
    <col min="13625" max="13625" width="5.625" style="2" customWidth="1"/>
    <col min="13626" max="13629" width="4.625" style="2" customWidth="1"/>
    <col min="13630" max="13630" width="7.625" style="2" customWidth="1"/>
    <col min="13631" max="13631" width="8.625" style="2" customWidth="1"/>
    <col min="13632" max="13633" width="5.625" style="2" customWidth="1"/>
    <col min="13634" max="13634" width="6.625" style="2" customWidth="1"/>
    <col min="13635" max="13635" width="9.875" style="2" customWidth="1"/>
    <col min="13636" max="13637" width="8.625" style="2" customWidth="1"/>
    <col min="13638" max="13638" width="5.5" style="2" bestFit="1" customWidth="1"/>
    <col min="13639" max="13680" width="6.75" style="2" customWidth="1"/>
    <col min="13681" max="13681" width="9" style="2" customWidth="1"/>
    <col min="13682" max="13682" width="9.875" style="2" customWidth="1"/>
    <col min="13683" max="13683" width="2.875" style="2" customWidth="1"/>
    <col min="13684" max="13684" width="12.25" style="2" customWidth="1"/>
    <col min="13685" max="13685" width="6.375" style="2" customWidth="1"/>
    <col min="13686" max="13687" width="3.125" style="2" customWidth="1"/>
    <col min="13688" max="13688" width="1.125" style="2" customWidth="1"/>
    <col min="13689" max="13689" width="9" style="2" customWidth="1"/>
    <col min="13690" max="13690" width="2.375" style="2" customWidth="1"/>
    <col min="13691" max="13708" width="7.625" style="2" customWidth="1"/>
    <col min="13709" max="13871" width="9" style="2" customWidth="1"/>
    <col min="13872" max="13873" width="3.125" style="2" customWidth="1"/>
    <col min="13874" max="13874" width="5.875" style="2" bestFit="1" customWidth="1"/>
    <col min="13875" max="13875" width="5.625" style="2" customWidth="1"/>
    <col min="13876" max="13876" width="10.625" style="2" customWidth="1"/>
    <col min="13877" max="13877" width="12.625" style="2" customWidth="1"/>
    <col min="13878" max="13878" width="8.625" style="2" customWidth="1"/>
    <col min="13879" max="13879" width="5.625" style="2" customWidth="1"/>
    <col min="13880" max="13880" width="4.625" style="2" customWidth="1"/>
    <col min="13881" max="13881" width="5.625" style="2" customWidth="1"/>
    <col min="13882" max="13885" width="4.625" style="2" customWidth="1"/>
    <col min="13886" max="13886" width="7.625" style="2" customWidth="1"/>
    <col min="13887" max="13887" width="8.625" style="2" customWidth="1"/>
    <col min="13888" max="13889" width="5.625" style="2" customWidth="1"/>
    <col min="13890" max="13890" width="6.625" style="2" customWidth="1"/>
    <col min="13891" max="13891" width="9.875" style="2" customWidth="1"/>
    <col min="13892" max="13893" width="8.625" style="2" customWidth="1"/>
    <col min="13894" max="13894" width="5.5" style="2" bestFit="1" customWidth="1"/>
    <col min="13895" max="13936" width="6.75" style="2" customWidth="1"/>
    <col min="13937" max="13937" width="9" style="2" customWidth="1"/>
    <col min="13938" max="13938" width="9.875" style="2" customWidth="1"/>
    <col min="13939" max="13939" width="2.875" style="2" customWidth="1"/>
    <col min="13940" max="13940" width="12.25" style="2" customWidth="1"/>
    <col min="13941" max="13941" width="6.375" style="2" customWidth="1"/>
    <col min="13942" max="13943" width="3.125" style="2" customWidth="1"/>
    <col min="13944" max="13944" width="1.125" style="2" customWidth="1"/>
    <col min="13945" max="13945" width="9" style="2" customWidth="1"/>
    <col min="13946" max="13946" width="2.375" style="2" customWidth="1"/>
    <col min="13947" max="13964" width="7.625" style="2" customWidth="1"/>
    <col min="13965" max="14127" width="9" style="2" customWidth="1"/>
    <col min="14128" max="14129" width="3.125" style="2" customWidth="1"/>
    <col min="14130" max="14130" width="5.875" style="2" bestFit="1" customWidth="1"/>
    <col min="14131" max="14131" width="5.625" style="2" customWidth="1"/>
    <col min="14132" max="14132" width="10.625" style="2" customWidth="1"/>
    <col min="14133" max="14133" width="12.625" style="2" customWidth="1"/>
    <col min="14134" max="14134" width="8.625" style="2" customWidth="1"/>
    <col min="14135" max="14135" width="5.625" style="2" customWidth="1"/>
    <col min="14136" max="14136" width="4.625" style="2" customWidth="1"/>
    <col min="14137" max="14137" width="5.625" style="2" customWidth="1"/>
    <col min="14138" max="14141" width="4.625" style="2" customWidth="1"/>
    <col min="14142" max="14142" width="7.625" style="2" customWidth="1"/>
    <col min="14143" max="14143" width="8.625" style="2" customWidth="1"/>
    <col min="14144" max="14145" width="5.625" style="2" customWidth="1"/>
    <col min="14146" max="14146" width="6.625" style="2" customWidth="1"/>
    <col min="14147" max="14147" width="9.875" style="2" customWidth="1"/>
    <col min="14148" max="14149" width="8.625" style="2" customWidth="1"/>
    <col min="14150" max="14150" width="5.5" style="2" bestFit="1" customWidth="1"/>
    <col min="14151" max="14192" width="6.75" style="2" customWidth="1"/>
    <col min="14193" max="14193" width="9" style="2" customWidth="1"/>
    <col min="14194" max="14194" width="9.875" style="2" customWidth="1"/>
    <col min="14195" max="14195" width="2.875" style="2" customWidth="1"/>
    <col min="14196" max="14196" width="12.25" style="2" customWidth="1"/>
    <col min="14197" max="14197" width="6.375" style="2" customWidth="1"/>
    <col min="14198" max="14199" width="3.125" style="2" customWidth="1"/>
    <col min="14200" max="14200" width="1.125" style="2" customWidth="1"/>
    <col min="14201" max="14201" width="9" style="2" customWidth="1"/>
    <col min="14202" max="14202" width="2.375" style="2" customWidth="1"/>
    <col min="14203" max="14220" width="7.625" style="2" customWidth="1"/>
    <col min="14221" max="14383" width="9" style="2" customWidth="1"/>
    <col min="14384" max="14385" width="3.125" style="2" customWidth="1"/>
    <col min="14386" max="14386" width="5.875" style="2" bestFit="1" customWidth="1"/>
    <col min="14387" max="14387" width="5.625" style="2" customWidth="1"/>
    <col min="14388" max="14388" width="10.625" style="2" customWidth="1"/>
    <col min="14389" max="14389" width="12.625" style="2" customWidth="1"/>
    <col min="14390" max="14390" width="8.625" style="2" customWidth="1"/>
    <col min="14391" max="14391" width="5.625" style="2" customWidth="1"/>
    <col min="14392" max="14392" width="4.625" style="2" customWidth="1"/>
    <col min="14393" max="14393" width="5.625" style="2" customWidth="1"/>
    <col min="14394" max="14397" width="4.625" style="2" customWidth="1"/>
    <col min="14398" max="14398" width="7.625" style="2" customWidth="1"/>
    <col min="14399" max="14399" width="8.625" style="2" customWidth="1"/>
    <col min="14400" max="14401" width="5.625" style="2" customWidth="1"/>
    <col min="14402" max="14402" width="6.625" style="2" customWidth="1"/>
    <col min="14403" max="14403" width="9.875" style="2" customWidth="1"/>
    <col min="14404" max="14405" width="8.625" style="2" customWidth="1"/>
    <col min="14406" max="14406" width="5.5" style="2" bestFit="1" customWidth="1"/>
    <col min="14407" max="14448" width="6.75" style="2" customWidth="1"/>
    <col min="14449" max="14449" width="9" style="2" customWidth="1"/>
    <col min="14450" max="14450" width="9.875" style="2" customWidth="1"/>
    <col min="14451" max="14451" width="2.875" style="2" customWidth="1"/>
    <col min="14452" max="14452" width="12.25" style="2" customWidth="1"/>
    <col min="14453" max="14453" width="6.375" style="2" customWidth="1"/>
    <col min="14454" max="14455" width="3.125" style="2" customWidth="1"/>
    <col min="14456" max="14456" width="1.125" style="2" customWidth="1"/>
    <col min="14457" max="14457" width="9" style="2" customWidth="1"/>
    <col min="14458" max="14458" width="2.375" style="2" customWidth="1"/>
    <col min="14459" max="14476" width="7.625" style="2" customWidth="1"/>
    <col min="14477" max="14639" width="9" style="2" customWidth="1"/>
    <col min="14640" max="14641" width="3.125" style="2" customWidth="1"/>
    <col min="14642" max="14642" width="5.875" style="2" bestFit="1" customWidth="1"/>
    <col min="14643" max="14643" width="5.625" style="2" customWidth="1"/>
    <col min="14644" max="14644" width="10.625" style="2" customWidth="1"/>
    <col min="14645" max="14645" width="12.625" style="2" customWidth="1"/>
    <col min="14646" max="14646" width="8.625" style="2" customWidth="1"/>
    <col min="14647" max="14647" width="5.625" style="2" customWidth="1"/>
    <col min="14648" max="14648" width="4.625" style="2" customWidth="1"/>
    <col min="14649" max="14649" width="5.625" style="2" customWidth="1"/>
    <col min="14650" max="14653" width="4.625" style="2" customWidth="1"/>
    <col min="14654" max="14654" width="7.625" style="2" customWidth="1"/>
    <col min="14655" max="14655" width="8.625" style="2" customWidth="1"/>
    <col min="14656" max="14657" width="5.625" style="2" customWidth="1"/>
    <col min="14658" max="14658" width="6.625" style="2" customWidth="1"/>
    <col min="14659" max="14659" width="9.875" style="2" customWidth="1"/>
    <col min="14660" max="14661" width="8.625" style="2" customWidth="1"/>
    <col min="14662" max="14662" width="5.5" style="2" bestFit="1" customWidth="1"/>
    <col min="14663" max="14704" width="6.75" style="2" customWidth="1"/>
    <col min="14705" max="14705" width="9" style="2" customWidth="1"/>
    <col min="14706" max="14706" width="9.875" style="2" customWidth="1"/>
    <col min="14707" max="14707" width="2.875" style="2" customWidth="1"/>
    <col min="14708" max="14708" width="12.25" style="2" customWidth="1"/>
    <col min="14709" max="14709" width="6.375" style="2" customWidth="1"/>
    <col min="14710" max="14711" width="3.125" style="2" customWidth="1"/>
    <col min="14712" max="14712" width="1.125" style="2" customWidth="1"/>
    <col min="14713" max="14713" width="9" style="2" customWidth="1"/>
    <col min="14714" max="14714" width="2.375" style="2" customWidth="1"/>
    <col min="14715" max="14732" width="7.625" style="2" customWidth="1"/>
    <col min="14733" max="14895" width="9" style="2" customWidth="1"/>
    <col min="14896" max="14897" width="3.125" style="2" customWidth="1"/>
    <col min="14898" max="14898" width="5.875" style="2" bestFit="1" customWidth="1"/>
    <col min="14899" max="14899" width="5.625" style="2" customWidth="1"/>
    <col min="14900" max="14900" width="10.625" style="2" customWidth="1"/>
    <col min="14901" max="14901" width="12.625" style="2" customWidth="1"/>
    <col min="14902" max="14902" width="8.625" style="2" customWidth="1"/>
    <col min="14903" max="14903" width="5.625" style="2" customWidth="1"/>
    <col min="14904" max="14904" width="4.625" style="2" customWidth="1"/>
    <col min="14905" max="14905" width="5.625" style="2" customWidth="1"/>
    <col min="14906" max="14909" width="4.625" style="2" customWidth="1"/>
    <col min="14910" max="14910" width="7.625" style="2" customWidth="1"/>
    <col min="14911" max="14911" width="8.625" style="2" customWidth="1"/>
    <col min="14912" max="14913" width="5.625" style="2" customWidth="1"/>
    <col min="14914" max="14914" width="6.625" style="2" customWidth="1"/>
    <col min="14915" max="14915" width="9.875" style="2" customWidth="1"/>
    <col min="14916" max="14917" width="8.625" style="2" customWidth="1"/>
    <col min="14918" max="14918" width="5.5" style="2" bestFit="1" customWidth="1"/>
    <col min="14919" max="14960" width="6.75" style="2" customWidth="1"/>
    <col min="14961" max="14961" width="9" style="2" customWidth="1"/>
    <col min="14962" max="14962" width="9.875" style="2" customWidth="1"/>
    <col min="14963" max="14963" width="2.875" style="2" customWidth="1"/>
    <col min="14964" max="14964" width="12.25" style="2" customWidth="1"/>
    <col min="14965" max="14965" width="6.375" style="2" customWidth="1"/>
    <col min="14966" max="14967" width="3.125" style="2" customWidth="1"/>
    <col min="14968" max="14968" width="1.125" style="2" customWidth="1"/>
    <col min="14969" max="14969" width="9" style="2" customWidth="1"/>
    <col min="14970" max="14970" width="2.375" style="2" customWidth="1"/>
    <col min="14971" max="14988" width="7.625" style="2" customWidth="1"/>
    <col min="14989" max="15151" width="9" style="2" customWidth="1"/>
    <col min="15152" max="15153" width="3.125" style="2" customWidth="1"/>
    <col min="15154" max="15154" width="5.875" style="2" bestFit="1" customWidth="1"/>
    <col min="15155" max="15155" width="5.625" style="2" customWidth="1"/>
    <col min="15156" max="15156" width="10.625" style="2" customWidth="1"/>
    <col min="15157" max="15157" width="12.625" style="2" customWidth="1"/>
    <col min="15158" max="15158" width="8.625" style="2" customWidth="1"/>
    <col min="15159" max="15159" width="5.625" style="2" customWidth="1"/>
    <col min="15160" max="15160" width="4.625" style="2" customWidth="1"/>
    <col min="15161" max="15161" width="5.625" style="2" customWidth="1"/>
    <col min="15162" max="15165" width="4.625" style="2" customWidth="1"/>
    <col min="15166" max="15166" width="7.625" style="2" customWidth="1"/>
    <col min="15167" max="15167" width="8.625" style="2" customWidth="1"/>
    <col min="15168" max="15169" width="5.625" style="2" customWidth="1"/>
    <col min="15170" max="15170" width="6.625" style="2" customWidth="1"/>
    <col min="15171" max="15171" width="9.875" style="2" customWidth="1"/>
    <col min="15172" max="15173" width="8.625" style="2" customWidth="1"/>
    <col min="15174" max="15174" width="5.5" style="2" bestFit="1" customWidth="1"/>
    <col min="15175" max="15216" width="6.75" style="2" customWidth="1"/>
    <col min="15217" max="15217" width="9" style="2" customWidth="1"/>
    <col min="15218" max="15218" width="9.875" style="2" customWidth="1"/>
    <col min="15219" max="15219" width="2.875" style="2" customWidth="1"/>
    <col min="15220" max="15220" width="12.25" style="2" customWidth="1"/>
    <col min="15221" max="15221" width="6.375" style="2" customWidth="1"/>
    <col min="15222" max="15223" width="3.125" style="2" customWidth="1"/>
    <col min="15224" max="15224" width="1.125" style="2" customWidth="1"/>
    <col min="15225" max="15225" width="9" style="2" customWidth="1"/>
    <col min="15226" max="15226" width="2.375" style="2" customWidth="1"/>
    <col min="15227" max="15244" width="7.625" style="2" customWidth="1"/>
    <col min="15245" max="15407" width="9" style="2" customWidth="1"/>
    <col min="15408" max="15409" width="3.125" style="2" customWidth="1"/>
    <col min="15410" max="15410" width="5.875" style="2" bestFit="1" customWidth="1"/>
    <col min="15411" max="15411" width="5.625" style="2" customWidth="1"/>
    <col min="15412" max="15412" width="10.625" style="2" customWidth="1"/>
    <col min="15413" max="15413" width="12.625" style="2" customWidth="1"/>
    <col min="15414" max="15414" width="8.625" style="2" customWidth="1"/>
    <col min="15415" max="15415" width="5.625" style="2" customWidth="1"/>
    <col min="15416" max="15416" width="4.625" style="2" customWidth="1"/>
    <col min="15417" max="15417" width="5.625" style="2" customWidth="1"/>
    <col min="15418" max="15421" width="4.625" style="2" customWidth="1"/>
    <col min="15422" max="15422" width="7.625" style="2" customWidth="1"/>
    <col min="15423" max="15423" width="8.625" style="2" customWidth="1"/>
    <col min="15424" max="15425" width="5.625" style="2" customWidth="1"/>
    <col min="15426" max="15426" width="6.625" style="2" customWidth="1"/>
    <col min="15427" max="15427" width="9.875" style="2" customWidth="1"/>
    <col min="15428" max="15429" width="8.625" style="2" customWidth="1"/>
    <col min="15430" max="15430" width="5.5" style="2" bestFit="1" customWidth="1"/>
    <col min="15431" max="15472" width="6.75" style="2" customWidth="1"/>
    <col min="15473" max="15473" width="9" style="2" customWidth="1"/>
    <col min="15474" max="15474" width="9.875" style="2" customWidth="1"/>
    <col min="15475" max="15475" width="2.875" style="2" customWidth="1"/>
    <col min="15476" max="15476" width="12.25" style="2" customWidth="1"/>
    <col min="15477" max="15477" width="6.375" style="2" customWidth="1"/>
    <col min="15478" max="15479" width="3.125" style="2" customWidth="1"/>
    <col min="15480" max="15480" width="1.125" style="2" customWidth="1"/>
    <col min="15481" max="15481" width="9" style="2" customWidth="1"/>
    <col min="15482" max="15482" width="2.375" style="2" customWidth="1"/>
    <col min="15483" max="15500" width="7.625" style="2" customWidth="1"/>
    <col min="15501" max="15663" width="9" style="2" customWidth="1"/>
    <col min="15664" max="15665" width="3.125" style="2" customWidth="1"/>
    <col min="15666" max="15666" width="5.875" style="2" bestFit="1" customWidth="1"/>
    <col min="15667" max="15667" width="5.625" style="2" customWidth="1"/>
    <col min="15668" max="15668" width="10.625" style="2" customWidth="1"/>
    <col min="15669" max="15669" width="12.625" style="2" customWidth="1"/>
    <col min="15670" max="15670" width="8.625" style="2" customWidth="1"/>
    <col min="15671" max="15671" width="5.625" style="2" customWidth="1"/>
    <col min="15672" max="15672" width="4.625" style="2" customWidth="1"/>
    <col min="15673" max="15673" width="5.625" style="2" customWidth="1"/>
    <col min="15674" max="15677" width="4.625" style="2" customWidth="1"/>
    <col min="15678" max="15678" width="7.625" style="2" customWidth="1"/>
    <col min="15679" max="15679" width="8.625" style="2" customWidth="1"/>
    <col min="15680" max="15681" width="5.625" style="2" customWidth="1"/>
    <col min="15682" max="15682" width="6.625" style="2" customWidth="1"/>
    <col min="15683" max="15683" width="9.875" style="2" customWidth="1"/>
    <col min="15684" max="15685" width="8.625" style="2" customWidth="1"/>
    <col min="15686" max="15686" width="5.5" style="2" bestFit="1" customWidth="1"/>
    <col min="15687" max="15728" width="6.75" style="2" customWidth="1"/>
    <col min="15729" max="15729" width="9" style="2" customWidth="1"/>
    <col min="15730" max="15730" width="9.875" style="2" customWidth="1"/>
    <col min="15731" max="15731" width="2.875" style="2" customWidth="1"/>
    <col min="15732" max="15732" width="12.25" style="2" customWidth="1"/>
    <col min="15733" max="15733" width="6.375" style="2" customWidth="1"/>
    <col min="15734" max="15735" width="3.125" style="2" customWidth="1"/>
    <col min="15736" max="15736" width="1.125" style="2" customWidth="1"/>
    <col min="15737" max="15737" width="9" style="2" customWidth="1"/>
    <col min="15738" max="15738" width="2.375" style="2" customWidth="1"/>
    <col min="15739" max="15756" width="7.625" style="2" customWidth="1"/>
    <col min="15757" max="15919" width="9" style="2" customWidth="1"/>
    <col min="15920" max="15921" width="3.125" style="2" customWidth="1"/>
    <col min="15922" max="15922" width="5.875" style="2" bestFit="1" customWidth="1"/>
    <col min="15923" max="15923" width="5.625" style="2" customWidth="1"/>
    <col min="15924" max="15924" width="10.625" style="2" customWidth="1"/>
    <col min="15925" max="15925" width="12.625" style="2" customWidth="1"/>
    <col min="15926" max="15926" width="8.625" style="2" customWidth="1"/>
    <col min="15927" max="15927" width="5.625" style="2" customWidth="1"/>
    <col min="15928" max="15928" width="4.625" style="2" customWidth="1"/>
    <col min="15929" max="15929" width="5.625" style="2" customWidth="1"/>
    <col min="15930" max="15933" width="4.625" style="2" customWidth="1"/>
    <col min="15934" max="15934" width="7.625" style="2" customWidth="1"/>
    <col min="15935" max="15935" width="8.625" style="2" customWidth="1"/>
    <col min="15936" max="15937" width="5.625" style="2" customWidth="1"/>
    <col min="15938" max="15938" width="6.625" style="2" customWidth="1"/>
    <col min="15939" max="15939" width="9.875" style="2" customWidth="1"/>
    <col min="15940" max="15941" width="8.625" style="2" customWidth="1"/>
    <col min="15942" max="15942" width="5.5" style="2" bestFit="1" customWidth="1"/>
    <col min="15943" max="15984" width="6.75" style="2" customWidth="1"/>
    <col min="15985" max="15985" width="9" style="2" customWidth="1"/>
    <col min="15986" max="15986" width="9.875" style="2" customWidth="1"/>
    <col min="15987" max="15987" width="2.875" style="2" customWidth="1"/>
    <col min="15988" max="15988" width="12.25" style="2" customWidth="1"/>
    <col min="15989" max="15989" width="6.375" style="2" customWidth="1"/>
    <col min="15990" max="15991" width="3.125" style="2" customWidth="1"/>
    <col min="15992" max="15992" width="1.125" style="2" customWidth="1"/>
    <col min="15993" max="15993" width="9" style="2" customWidth="1"/>
    <col min="15994" max="15994" width="2.375" style="2" customWidth="1"/>
    <col min="15995" max="16012" width="7.625" style="2" customWidth="1"/>
    <col min="16013" max="16175" width="9" style="2" customWidth="1"/>
    <col min="16176" max="16177" width="3.125" style="2" customWidth="1"/>
    <col min="16178" max="16178" width="5.875" style="2" bestFit="1" customWidth="1"/>
    <col min="16179" max="16179" width="5.625" style="2" customWidth="1"/>
    <col min="16180" max="16180" width="10.625" style="2" customWidth="1"/>
    <col min="16181" max="16181" width="12.625" style="2" customWidth="1"/>
    <col min="16182" max="16182" width="8.625" style="2" customWidth="1"/>
    <col min="16183" max="16183" width="5.625" style="2" customWidth="1"/>
    <col min="16184" max="16184" width="4.625" style="2" customWidth="1"/>
    <col min="16185" max="16185" width="5.625" style="2" customWidth="1"/>
    <col min="16186" max="16189" width="4.625" style="2" customWidth="1"/>
    <col min="16190" max="16190" width="7.625" style="2" customWidth="1"/>
    <col min="16191" max="16191" width="8.625" style="2" customWidth="1"/>
    <col min="16192" max="16193" width="5.625" style="2" customWidth="1"/>
    <col min="16194" max="16194" width="6.625" style="2" customWidth="1"/>
    <col min="16195" max="16195" width="9.875" style="2" customWidth="1"/>
    <col min="16196" max="16197" width="8.625" style="2" customWidth="1"/>
    <col min="16198" max="16198" width="5.5" style="2" bestFit="1" customWidth="1"/>
    <col min="16199" max="16240" width="6.75" style="2" customWidth="1"/>
    <col min="16241" max="16241" width="9" style="2" customWidth="1"/>
    <col min="16242" max="16242" width="9.875" style="2" customWidth="1"/>
    <col min="16243" max="16243" width="2.875" style="2" customWidth="1"/>
    <col min="16244" max="16244" width="12.25" style="2" customWidth="1"/>
    <col min="16245" max="16245" width="6.375" style="2" customWidth="1"/>
    <col min="16246" max="16247" width="3.125" style="2" customWidth="1"/>
    <col min="16248" max="16248" width="1.125" style="2" customWidth="1"/>
    <col min="16249" max="16249" width="9" style="2" customWidth="1"/>
    <col min="16250" max="16250" width="2.375" style="2" customWidth="1"/>
    <col min="16251" max="16268" width="7.625" style="2" customWidth="1"/>
    <col min="16269" max="16384" width="9" style="2" customWidth="1"/>
  </cols>
  <sheetData>
    <row r="1" spans="1:132" ht="13.5" customHeight="1" x14ac:dyDescent="0.4">
      <c r="A1" s="203" t="str">
        <f>令和8年7月!$A$1</f>
        <v>天理</v>
      </c>
      <c r="B1" s="193"/>
      <c r="C1" s="193"/>
      <c r="D1" s="193"/>
      <c r="E1" s="193"/>
      <c r="F1" s="192" t="s">
        <v>0</v>
      </c>
      <c r="G1" s="195" t="s">
        <v>1</v>
      </c>
      <c r="H1" s="194" t="s">
        <v>138</v>
      </c>
      <c r="I1" s="193"/>
      <c r="J1" s="193"/>
      <c r="K1" s="193"/>
      <c r="L1" s="159"/>
      <c r="M1" s="194" t="s">
        <v>140</v>
      </c>
      <c r="N1" s="159"/>
      <c r="O1" s="159"/>
      <c r="P1" s="159"/>
      <c r="Q1" s="159"/>
      <c r="R1" s="159"/>
      <c r="S1" s="159"/>
      <c r="T1" s="159"/>
      <c r="U1" s="1"/>
      <c r="V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U1" s="162"/>
      <c r="AX1" s="204" t="s">
        <v>4</v>
      </c>
      <c r="AY1" s="199"/>
      <c r="AZ1" s="199"/>
      <c r="BA1" s="199"/>
      <c r="BB1" s="199"/>
      <c r="BC1" s="199"/>
      <c r="BD1" s="4"/>
    </row>
    <row r="2" spans="1:132" ht="13.5" customHeight="1" x14ac:dyDescent="0.4">
      <c r="A2" s="193"/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59"/>
      <c r="M2" s="193"/>
      <c r="N2" s="159"/>
      <c r="O2" s="159"/>
      <c r="P2" s="159"/>
      <c r="Q2" s="159"/>
      <c r="R2" s="159"/>
      <c r="S2" s="159"/>
      <c r="T2" s="159"/>
      <c r="U2" s="1"/>
      <c r="V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U2" s="162"/>
      <c r="AX2" s="199"/>
      <c r="AY2" s="199"/>
      <c r="AZ2" s="199"/>
      <c r="BA2" s="199"/>
      <c r="BB2" s="199"/>
      <c r="BC2" s="199"/>
      <c r="BD2" s="4"/>
    </row>
    <row r="3" spans="1:132" ht="13.9" customHeight="1" thickBot="1" x14ac:dyDescent="0.45">
      <c r="AC3" s="7"/>
      <c r="AT3" s="2">
        <v>217350</v>
      </c>
      <c r="AV3" s="2">
        <v>95</v>
      </c>
      <c r="AW3" s="2">
        <v>1</v>
      </c>
      <c r="AY3" s="2">
        <v>2</v>
      </c>
      <c r="BA3" s="2">
        <v>3</v>
      </c>
      <c r="BC3" s="2">
        <v>4</v>
      </c>
      <c r="BE3" s="2">
        <v>6</v>
      </c>
      <c r="BG3" s="2">
        <v>7</v>
      </c>
      <c r="BI3" s="2">
        <v>8</v>
      </c>
      <c r="BK3" s="2">
        <v>9</v>
      </c>
      <c r="BM3" s="2">
        <v>10</v>
      </c>
      <c r="BO3" s="2">
        <v>11</v>
      </c>
      <c r="BQ3" s="2">
        <v>12</v>
      </c>
      <c r="BS3" s="2">
        <v>15</v>
      </c>
      <c r="BU3" s="2">
        <v>28</v>
      </c>
      <c r="BW3" s="2">
        <v>33</v>
      </c>
      <c r="BY3" s="2">
        <v>40</v>
      </c>
      <c r="CA3" s="2">
        <v>41</v>
      </c>
      <c r="CC3" s="2">
        <v>45</v>
      </c>
      <c r="CE3" s="2">
        <v>46</v>
      </c>
      <c r="CG3" s="2">
        <v>36</v>
      </c>
      <c r="CI3" s="2">
        <v>47</v>
      </c>
      <c r="CK3" s="2">
        <v>31</v>
      </c>
      <c r="CM3" s="2">
        <v>48</v>
      </c>
    </row>
    <row r="4" spans="1:132" ht="26.45" customHeight="1" thickTop="1" thickBot="1" x14ac:dyDescent="0.45">
      <c r="A4" s="106" t="s">
        <v>5</v>
      </c>
      <c r="B4" s="94" t="s">
        <v>6</v>
      </c>
      <c r="C4" s="131" t="s">
        <v>7</v>
      </c>
      <c r="D4" s="131" t="s">
        <v>8</v>
      </c>
      <c r="E4" s="107" t="s">
        <v>9</v>
      </c>
      <c r="F4" s="108" t="s">
        <v>10</v>
      </c>
      <c r="G4" s="109" t="s">
        <v>11</v>
      </c>
      <c r="H4" s="110" t="s">
        <v>12</v>
      </c>
      <c r="I4" s="147" t="s">
        <v>13</v>
      </c>
      <c r="J4" s="111" t="s">
        <v>14</v>
      </c>
      <c r="K4" s="112" t="s">
        <v>15</v>
      </c>
      <c r="L4" s="113" t="s">
        <v>16</v>
      </c>
      <c r="M4" s="114" t="s">
        <v>17</v>
      </c>
      <c r="N4" s="115" t="s">
        <v>16</v>
      </c>
      <c r="O4" s="116" t="s">
        <v>18</v>
      </c>
      <c r="P4" s="117" t="s">
        <v>19</v>
      </c>
      <c r="Q4" s="118" t="s">
        <v>20</v>
      </c>
      <c r="R4" s="129" t="s">
        <v>21</v>
      </c>
      <c r="S4" s="130" t="s">
        <v>22</v>
      </c>
      <c r="T4" s="8" t="s">
        <v>23</v>
      </c>
      <c r="U4" s="9" t="s">
        <v>24</v>
      </c>
      <c r="V4" s="10" t="s">
        <v>25</v>
      </c>
      <c r="W4" s="11" t="s">
        <v>26</v>
      </c>
      <c r="X4" s="12" t="s">
        <v>27</v>
      </c>
      <c r="Y4" s="13" t="s">
        <v>28</v>
      </c>
      <c r="Z4" s="119" t="s">
        <v>29</v>
      </c>
      <c r="AA4" s="14" t="s">
        <v>30</v>
      </c>
      <c r="AB4" s="15" t="s">
        <v>31</v>
      </c>
      <c r="AC4" s="16" t="s">
        <v>32</v>
      </c>
      <c r="AD4" s="17" t="s">
        <v>33</v>
      </c>
      <c r="AE4" s="18" t="s">
        <v>34</v>
      </c>
      <c r="AF4" s="18" t="s">
        <v>35</v>
      </c>
      <c r="AG4" s="18" t="s">
        <v>36</v>
      </c>
      <c r="AH4" s="18" t="s">
        <v>37</v>
      </c>
      <c r="AI4" s="18" t="s">
        <v>38</v>
      </c>
      <c r="AJ4" s="18" t="s">
        <v>39</v>
      </c>
      <c r="AK4" s="18" t="s">
        <v>40</v>
      </c>
      <c r="AL4" s="17" t="s">
        <v>41</v>
      </c>
      <c r="AM4" s="18" t="str">
        <f>令和8年7月!$AM$4</f>
        <v>フリー①</v>
      </c>
      <c r="AN4" s="132" t="str">
        <f>令和8年7月!$AN$4</f>
        <v>フリー②</v>
      </c>
      <c r="AO4" s="18" t="str">
        <f>令和8年7月!$AO$4</f>
        <v>フリー③</v>
      </c>
      <c r="AP4" s="18" t="str">
        <f>令和8年7月!$AP$4</f>
        <v>フリー④</v>
      </c>
      <c r="AQ4" s="78" t="str">
        <f>令和8年7月!$AQ$4</f>
        <v>フリー⑤</v>
      </c>
      <c r="AR4" s="19" t="s">
        <v>47</v>
      </c>
      <c r="AS4" s="20" t="s">
        <v>48</v>
      </c>
      <c r="AT4" s="21" t="s">
        <v>49</v>
      </c>
      <c r="AU4" s="163"/>
      <c r="AV4" s="80" t="s">
        <v>144</v>
      </c>
      <c r="AW4" s="76" t="s">
        <v>145</v>
      </c>
      <c r="AX4" s="75" t="s">
        <v>146</v>
      </c>
      <c r="AY4" s="76" t="s">
        <v>147</v>
      </c>
      <c r="AZ4" s="75" t="s">
        <v>146</v>
      </c>
      <c r="BA4" s="76" t="s">
        <v>52</v>
      </c>
      <c r="BB4" s="75" t="s">
        <v>146</v>
      </c>
      <c r="BC4" s="76" t="s">
        <v>53</v>
      </c>
      <c r="BD4" s="75" t="s">
        <v>146</v>
      </c>
      <c r="BE4" s="76" t="s">
        <v>148</v>
      </c>
      <c r="BF4" s="75" t="s">
        <v>146</v>
      </c>
      <c r="BG4" s="76" t="s">
        <v>149</v>
      </c>
      <c r="BH4" s="75" t="s">
        <v>146</v>
      </c>
      <c r="BI4" s="76" t="s">
        <v>150</v>
      </c>
      <c r="BJ4" s="75" t="s">
        <v>146</v>
      </c>
      <c r="BK4" s="76" t="s">
        <v>57</v>
      </c>
      <c r="BL4" s="75" t="s">
        <v>146</v>
      </c>
      <c r="BM4" s="76" t="s">
        <v>58</v>
      </c>
      <c r="BN4" s="75" t="s">
        <v>146</v>
      </c>
      <c r="BO4" s="76" t="s">
        <v>151</v>
      </c>
      <c r="BP4" s="75" t="s">
        <v>146</v>
      </c>
      <c r="BQ4" s="76" t="s">
        <v>60</v>
      </c>
      <c r="BR4" s="75" t="s">
        <v>146</v>
      </c>
      <c r="BS4" s="76" t="s">
        <v>152</v>
      </c>
      <c r="BT4" s="75" t="s">
        <v>146</v>
      </c>
      <c r="BU4" s="76" t="s">
        <v>153</v>
      </c>
      <c r="BV4" s="75" t="s">
        <v>146</v>
      </c>
      <c r="BW4" s="76" t="s">
        <v>154</v>
      </c>
      <c r="BX4" s="75" t="s">
        <v>48</v>
      </c>
      <c r="BY4" s="76" t="s">
        <v>155</v>
      </c>
      <c r="BZ4" s="75" t="s">
        <v>156</v>
      </c>
      <c r="CA4" s="76" t="s">
        <v>157</v>
      </c>
      <c r="CB4" s="75" t="s">
        <v>48</v>
      </c>
      <c r="CC4" s="76" t="s">
        <v>158</v>
      </c>
      <c r="CD4" s="81" t="s">
        <v>48</v>
      </c>
      <c r="CE4" s="76" t="s">
        <v>159</v>
      </c>
      <c r="CF4" s="81" t="s">
        <v>48</v>
      </c>
      <c r="CG4" s="76" t="s">
        <v>160</v>
      </c>
      <c r="CH4" s="75" t="s">
        <v>48</v>
      </c>
      <c r="CI4" s="76" t="s">
        <v>161</v>
      </c>
      <c r="CJ4" s="81" t="s">
        <v>48</v>
      </c>
      <c r="CK4" s="76" t="s">
        <v>162</v>
      </c>
      <c r="CL4" s="81" t="s">
        <v>48</v>
      </c>
      <c r="CM4" s="76" t="s">
        <v>163</v>
      </c>
      <c r="CN4" s="75" t="s">
        <v>48</v>
      </c>
      <c r="CO4" s="76" t="s">
        <v>67</v>
      </c>
      <c r="CP4" s="81" t="s">
        <v>48</v>
      </c>
      <c r="CQ4" s="76" t="s">
        <v>68</v>
      </c>
      <c r="CR4" s="81" t="s">
        <v>48</v>
      </c>
      <c r="CS4" s="76" t="s">
        <v>69</v>
      </c>
      <c r="CT4" s="20" t="s">
        <v>48</v>
      </c>
      <c r="CU4" s="85" t="s">
        <v>70</v>
      </c>
      <c r="CV4" s="86" t="s">
        <v>71</v>
      </c>
      <c r="CW4" s="89"/>
      <c r="CX4" s="85" t="s">
        <v>104</v>
      </c>
      <c r="CY4" s="153" t="s">
        <v>15</v>
      </c>
      <c r="CZ4" s="155" t="s">
        <v>105</v>
      </c>
      <c r="DA4" s="93" t="s">
        <v>15</v>
      </c>
      <c r="DB4" s="94" t="s">
        <v>5</v>
      </c>
      <c r="DC4" s="95" t="s">
        <v>6</v>
      </c>
      <c r="DD4" s="2" t="s">
        <v>164</v>
      </c>
      <c r="DF4" s="121" t="s">
        <v>74</v>
      </c>
      <c r="DG4" s="122" t="s">
        <v>75</v>
      </c>
      <c r="DH4" s="122" t="s">
        <v>76</v>
      </c>
      <c r="DI4" s="122" t="s">
        <v>77</v>
      </c>
      <c r="DJ4" s="122" t="s">
        <v>78</v>
      </c>
      <c r="DK4" s="122" t="s">
        <v>42</v>
      </c>
      <c r="DL4" s="122" t="s">
        <v>43</v>
      </c>
      <c r="DM4" s="122" t="s">
        <v>44</v>
      </c>
      <c r="DN4" s="122" t="s">
        <v>45</v>
      </c>
      <c r="DO4" s="122" t="s">
        <v>46</v>
      </c>
      <c r="DP4" s="123" t="s">
        <v>79</v>
      </c>
      <c r="DQ4" s="124" t="s">
        <v>48</v>
      </c>
      <c r="DS4" s="205" t="s">
        <v>80</v>
      </c>
      <c r="DT4" s="206"/>
      <c r="DU4" s="206"/>
      <c r="DV4" s="207"/>
      <c r="DW4" s="160" t="s">
        <v>81</v>
      </c>
      <c r="DX4" s="160" t="s">
        <v>82</v>
      </c>
      <c r="DY4" s="22"/>
      <c r="DZ4" s="22"/>
      <c r="EA4" s="22"/>
    </row>
    <row r="5" spans="1:132" ht="13.5" customHeight="1" x14ac:dyDescent="0.4">
      <c r="A5" s="104">
        <v>1</v>
      </c>
      <c r="B5" s="23" t="s">
        <v>91</v>
      </c>
      <c r="C5" s="164"/>
      <c r="D5" s="164"/>
      <c r="E5" s="24"/>
      <c r="F5" s="29"/>
      <c r="G5" s="25" t="str">
        <f>IF(SUM($F$5:F5)=0,"",SUM($F$5:F5))</f>
        <v/>
      </c>
      <c r="H5" s="43" t="str">
        <f t="shared" ref="H5:H35" si="0">IF(ISERROR(G5/V5),"",(G5/V5))</f>
        <v/>
      </c>
      <c r="I5" s="148" t="e">
        <f t="array" aca="1" ref="I5" ca="1">IF($A6="",$G5/($V5-$U$5+INDIRECT(IF(_xlfn.SHEET()&lt;6,"令和8年"&amp;_xlfn.SHEET()+7&amp;"月","令和9年"&amp;_xlfn.SHEET()-5&amp;"月")&amp;"!$U$5")),$G5/($V6-$U$5))</f>
        <v>#VALUE!</v>
      </c>
      <c r="J5" s="26" t="str">
        <f t="shared" ref="J5:J35" si="1">IFERROR(G5/AC5,"")</f>
        <v/>
      </c>
      <c r="K5" s="27"/>
      <c r="L5" s="165">
        <f t="shared" ref="L5:L37" si="2">IF(ISERROR(K5/W5),"",(K5/W5))</f>
        <v>0</v>
      </c>
      <c r="M5" s="28" t="str">
        <f t="shared" ref="M5:M35" si="3">IF(ISERROR(F5/K5),"",(F5/K5))</f>
        <v/>
      </c>
      <c r="N5" s="166" t="str">
        <f t="shared" ref="N5:N37" si="4">IF(ISERROR(M5/X5),"",(M5/X5))</f>
        <v/>
      </c>
      <c r="O5" s="167" t="str">
        <f t="shared" ref="O5:O35" si="5">IF(ISERROR(F5/P5),"",(F5/P5))</f>
        <v/>
      </c>
      <c r="P5" s="168"/>
      <c r="Q5" s="169" t="str">
        <f t="shared" ref="Q5:Q35" si="6">IF(ISERROR(P5/K5),"",(P5/K5))</f>
        <v/>
      </c>
      <c r="R5" s="170">
        <v>33</v>
      </c>
      <c r="S5" s="171">
        <v>18</v>
      </c>
      <c r="T5" s="24" t="s">
        <v>84</v>
      </c>
      <c r="U5" s="29">
        <v>280103</v>
      </c>
      <c r="V5" s="30">
        <f>SUM(U5)</f>
        <v>280103</v>
      </c>
      <c r="W5" s="27">
        <v>106</v>
      </c>
      <c r="X5" s="31">
        <f t="shared" ref="X5:X35" si="7">IF(ISERROR(U5/W5),"",(U5/W5))</f>
        <v>2642.4811320754716</v>
      </c>
      <c r="Y5" s="29">
        <v>714192</v>
      </c>
      <c r="Z5" s="32">
        <f>SUM(Y5)</f>
        <v>714192</v>
      </c>
      <c r="AA5" s="33">
        <f t="shared" ref="AA5:AA35" si="8">IF(ISERROR(V5/Z5),"",(V5/Z5))</f>
        <v>0.39219565607007639</v>
      </c>
      <c r="AB5" s="158">
        <v>200000</v>
      </c>
      <c r="AC5" s="34">
        <f>AB5</f>
        <v>200000</v>
      </c>
      <c r="AD5" s="158">
        <v>10</v>
      </c>
      <c r="AE5" s="25"/>
      <c r="AF5" s="25"/>
      <c r="AG5" s="25"/>
      <c r="AH5" s="25"/>
      <c r="AI5" s="25"/>
      <c r="AJ5" s="25"/>
      <c r="AK5" s="25"/>
      <c r="AL5" s="158"/>
      <c r="AM5" s="25"/>
      <c r="AN5" s="158"/>
      <c r="AO5" s="25"/>
      <c r="AP5" s="25"/>
      <c r="AQ5" s="158"/>
      <c r="AR5" s="35">
        <f t="shared" ref="AR5:AR35" si="9">SUM(AD5:AQ5)</f>
        <v>10</v>
      </c>
      <c r="AS5" s="172" t="str">
        <f t="shared" ref="AS5:AS35" si="10">IF(ISERROR((AR5/F5)),"",AR5/F5)</f>
        <v/>
      </c>
      <c r="AT5" s="36">
        <f t="shared" ref="AT5:AT35" si="11">F5-AR5+DW5</f>
        <v>-10</v>
      </c>
      <c r="AU5" s="173"/>
      <c r="AV5" s="82">
        <f t="shared" ref="AV5:AV35" si="12">A5</f>
        <v>1</v>
      </c>
      <c r="AW5" s="37"/>
      <c r="AX5" s="174" t="str">
        <f t="shared" ref="AX5:AX35" si="13">IF(ISERROR((AW5/$F5)),"",AW5/$F5)</f>
        <v/>
      </c>
      <c r="AY5" s="37"/>
      <c r="AZ5" s="174" t="str">
        <f t="shared" ref="AZ5:AZ35" si="14">IF(ISERROR((AY5/$F5)),"",AY5/$F5)</f>
        <v/>
      </c>
      <c r="BA5" s="37"/>
      <c r="BB5" s="174" t="str">
        <f t="shared" ref="BB5:BB35" si="15">IF(ISERROR((BA5/$F5)),"",BA5/$F5)</f>
        <v/>
      </c>
      <c r="BC5" s="37"/>
      <c r="BD5" s="174" t="str">
        <f t="shared" ref="BD5:BD35" si="16">IF(ISERROR((BC5/$F5)),"",BC5/$F5)</f>
        <v/>
      </c>
      <c r="BE5" s="37"/>
      <c r="BF5" s="174" t="str">
        <f t="shared" ref="BF5:BF35" si="17">IF(ISERROR((BE5/$F5)),"",BE5/$F5)</f>
        <v/>
      </c>
      <c r="BG5" s="37"/>
      <c r="BH5" s="174" t="str">
        <f t="shared" ref="BH5:BH35" si="18">IF(ISERROR((BG5/$F5)),"",BG5/$F5)</f>
        <v/>
      </c>
      <c r="BI5" s="37"/>
      <c r="BJ5" s="174" t="str">
        <f t="shared" ref="BJ5:BJ35" si="19">IF(ISERROR((BI5/$F5)),"",BI5/$F5)</f>
        <v/>
      </c>
      <c r="BK5" s="37"/>
      <c r="BL5" s="174" t="str">
        <f t="shared" ref="BL5:BL35" si="20">IF(ISERROR((BK5/$F5)),"",BK5/$F5)</f>
        <v/>
      </c>
      <c r="BM5" s="37"/>
      <c r="BN5" s="174" t="str">
        <f t="shared" ref="BN5:BN35" si="21">IF(ISERROR((BM5/$F5)),"",BM5/$F5)</f>
        <v/>
      </c>
      <c r="BO5" s="37"/>
      <c r="BP5" s="174" t="str">
        <f t="shared" ref="BP5:BP35" si="22">IF(ISERROR((BO5/$F5)),"",BO5/$F5)</f>
        <v/>
      </c>
      <c r="BQ5" s="37"/>
      <c r="BR5" s="174" t="str">
        <f t="shared" ref="BR5:BR35" si="23">IF(ISERROR((BQ5/$F5)),"",BQ5/$F5)</f>
        <v/>
      </c>
      <c r="BS5" s="37"/>
      <c r="BT5" s="174" t="str">
        <f t="shared" ref="BT5:BT35" si="24">IF(ISERROR((BS5/$F5)),"",BS5/$F5)</f>
        <v/>
      </c>
      <c r="BU5" s="37"/>
      <c r="BV5" s="174" t="str">
        <f t="shared" ref="BV5:BV35" si="25">IF(ISERROR((BU5/$F5)),"",BU5/$F5)</f>
        <v/>
      </c>
      <c r="BW5" s="37"/>
      <c r="BX5" s="174" t="str">
        <f t="shared" ref="BX5:BX35" si="26">IF(ISERROR((BW5/$F5)),"",BW5/$F5)</f>
        <v/>
      </c>
      <c r="BY5" s="37"/>
      <c r="BZ5" s="174" t="str">
        <f t="shared" ref="BZ5:BZ35" si="27">IF(ISERROR((BY5/$F5)),"",BY5/$F5)</f>
        <v/>
      </c>
      <c r="CA5" s="37"/>
      <c r="CB5" s="174" t="str">
        <f t="shared" ref="CB5:CB35" si="28">IF(ISERROR((CA5/$F5)),"",CA5/$F5)</f>
        <v/>
      </c>
      <c r="CC5" s="37"/>
      <c r="CD5" s="174" t="str">
        <f t="shared" ref="CD5:CD35" si="29">IF(ISERROR((CC5/$F5)),"",CC5/$F5)</f>
        <v/>
      </c>
      <c r="CE5" s="37"/>
      <c r="CF5" s="174" t="str">
        <f t="shared" ref="CF5:CF35" si="30">IF(ISERROR((CE5/$F5)),"",CE5/$F5)</f>
        <v/>
      </c>
      <c r="CG5" s="37"/>
      <c r="CH5" s="174" t="str">
        <f t="shared" ref="CH5:CH35" si="31">IF(ISERROR((CG5/$F5)),"",CG5/$F5)</f>
        <v/>
      </c>
      <c r="CI5" s="37"/>
      <c r="CJ5" s="174" t="str">
        <f t="shared" ref="CJ5:CJ35" si="32">IF(ISERROR((CI5/$F5)),"",CI5/$F5)</f>
        <v/>
      </c>
      <c r="CK5" s="37"/>
      <c r="CL5" s="174" t="str">
        <f t="shared" ref="CL5:CL35" si="33">IF(ISERROR((CK5/$F5)),"",CK5/$F5)</f>
        <v/>
      </c>
      <c r="CM5" s="37"/>
      <c r="CN5" s="174" t="str">
        <f t="shared" ref="CN5:CN35" si="34">IF(ISERROR((CM5/$F5)),"",CM5/$F5)</f>
        <v/>
      </c>
      <c r="CO5" s="37"/>
      <c r="CP5" s="174" t="str">
        <f t="shared" ref="CP5:CP35" si="35">IF(ISERROR((CO5/$F5)),"",CO5/$F5)</f>
        <v/>
      </c>
      <c r="CQ5" s="37"/>
      <c r="CR5" s="174" t="str">
        <f t="shared" ref="CR5:CR35" si="36">IF(ISERROR((CQ5/$F5)),"",CQ5/$F5)</f>
        <v/>
      </c>
      <c r="CS5" s="37"/>
      <c r="CT5" s="174" t="str">
        <f t="shared" ref="CT5:CT35" si="37">IF(ISERROR((CS5/$F5)),"",CS5/$F5)</f>
        <v/>
      </c>
      <c r="CU5" s="38"/>
      <c r="CV5" s="87"/>
      <c r="CW5" s="90"/>
      <c r="CX5" s="38"/>
      <c r="CY5" s="39"/>
      <c r="CZ5" s="37"/>
      <c r="DA5" s="39"/>
      <c r="DB5" s="24">
        <v>1</v>
      </c>
      <c r="DC5" s="96" t="str">
        <f t="shared" ref="DC5:DC35" si="38">B5</f>
        <v>火</v>
      </c>
      <c r="DF5" s="125"/>
      <c r="DG5" s="40"/>
      <c r="DH5" s="40"/>
      <c r="DI5" s="40"/>
      <c r="DJ5" s="40"/>
      <c r="DK5" s="40"/>
      <c r="DL5" s="40"/>
      <c r="DM5" s="40"/>
      <c r="DN5" s="40"/>
      <c r="DO5" s="40"/>
      <c r="DP5" s="40">
        <f t="shared" ref="DP5:DP35" si="39">SUM(DF5:DO5)</f>
        <v>0</v>
      </c>
      <c r="DQ5" s="172" t="str">
        <f t="shared" ref="DQ5:DQ35" si="40">IF(ISERROR((DP5/F5)),"",DP5/F5)</f>
        <v/>
      </c>
      <c r="DS5" s="189"/>
      <c r="DT5" s="190"/>
      <c r="DU5" s="190"/>
      <c r="DV5" s="191"/>
      <c r="DW5" s="41"/>
      <c r="DX5" s="42"/>
      <c r="DY5" s="22"/>
      <c r="DZ5" s="22"/>
      <c r="EA5" s="22"/>
    </row>
    <row r="6" spans="1:132" ht="13.5" customHeight="1" x14ac:dyDescent="0.4">
      <c r="A6" s="104">
        <v>2</v>
      </c>
      <c r="B6" s="23" t="s">
        <v>83</v>
      </c>
      <c r="C6" s="164"/>
      <c r="D6" s="164"/>
      <c r="E6" s="24"/>
      <c r="F6" s="29"/>
      <c r="G6" s="25" t="str">
        <f>IF(SUM($F$5:F6)=0,"",SUM($F$5:F6))</f>
        <v/>
      </c>
      <c r="H6" s="43" t="str">
        <f t="shared" si="0"/>
        <v/>
      </c>
      <c r="I6" s="148" t="e">
        <f t="array" aca="1" ref="I6" ca="1">IF($A7="",$G6/($V6-$U$5+INDIRECT(IF(_xlfn.SHEET()&lt;6,"令和8年"&amp;_xlfn.SHEET()+7&amp;"月","令和9年"&amp;_xlfn.SHEET()-5&amp;"月")&amp;"!$U$5")),$G6/($V7-$U$5))</f>
        <v>#VALUE!</v>
      </c>
      <c r="J6" s="26" t="str">
        <f t="shared" si="1"/>
        <v/>
      </c>
      <c r="K6" s="27"/>
      <c r="L6" s="165">
        <f t="shared" si="2"/>
        <v>0</v>
      </c>
      <c r="M6" s="28" t="str">
        <f t="shared" si="3"/>
        <v/>
      </c>
      <c r="N6" s="166" t="str">
        <f t="shared" si="4"/>
        <v/>
      </c>
      <c r="O6" s="167" t="str">
        <f t="shared" si="5"/>
        <v/>
      </c>
      <c r="P6" s="168"/>
      <c r="Q6" s="169" t="str">
        <f t="shared" si="6"/>
        <v/>
      </c>
      <c r="R6" s="170">
        <v>28</v>
      </c>
      <c r="S6" s="171">
        <v>15</v>
      </c>
      <c r="T6" s="24" t="s">
        <v>93</v>
      </c>
      <c r="U6" s="29">
        <v>133927</v>
      </c>
      <c r="V6" s="30">
        <f t="shared" ref="V6:V35" si="41">SUM(V5+U6)</f>
        <v>414030</v>
      </c>
      <c r="W6" s="27">
        <v>72</v>
      </c>
      <c r="X6" s="31">
        <f t="shared" si="7"/>
        <v>1860.0972222222222</v>
      </c>
      <c r="Y6" s="29">
        <v>132972</v>
      </c>
      <c r="Z6" s="32">
        <f t="shared" ref="Z6:Z35" si="42">SUM(Z5+Y6)</f>
        <v>847164</v>
      </c>
      <c r="AA6" s="33">
        <f t="shared" si="8"/>
        <v>0.48872473334560956</v>
      </c>
      <c r="AB6" s="158">
        <v>200000</v>
      </c>
      <c r="AC6" s="34">
        <f t="shared" ref="AC6:AC35" si="43">AB6+AC5</f>
        <v>400000</v>
      </c>
      <c r="AD6" s="158"/>
      <c r="AE6" s="25"/>
      <c r="AF6" s="25"/>
      <c r="AG6" s="25"/>
      <c r="AH6" s="25"/>
      <c r="AI6" s="25"/>
      <c r="AJ6" s="25"/>
      <c r="AK6" s="25"/>
      <c r="AL6" s="158"/>
      <c r="AM6" s="25"/>
      <c r="AN6" s="158"/>
      <c r="AO6" s="25"/>
      <c r="AP6" s="25"/>
      <c r="AQ6" s="158"/>
      <c r="AR6" s="35">
        <f t="shared" si="9"/>
        <v>0</v>
      </c>
      <c r="AS6" s="172" t="str">
        <f t="shared" si="10"/>
        <v/>
      </c>
      <c r="AT6" s="36">
        <f t="shared" si="11"/>
        <v>0</v>
      </c>
      <c r="AU6" s="173"/>
      <c r="AV6" s="82">
        <f t="shared" si="12"/>
        <v>2</v>
      </c>
      <c r="AW6" s="37"/>
      <c r="AX6" s="174" t="str">
        <f t="shared" si="13"/>
        <v/>
      </c>
      <c r="AY6" s="37"/>
      <c r="AZ6" s="174" t="str">
        <f t="shared" si="14"/>
        <v/>
      </c>
      <c r="BA6" s="37"/>
      <c r="BB6" s="174" t="str">
        <f t="shared" si="15"/>
        <v/>
      </c>
      <c r="BC6" s="37"/>
      <c r="BD6" s="174" t="str">
        <f t="shared" si="16"/>
        <v/>
      </c>
      <c r="BE6" s="37"/>
      <c r="BF6" s="174" t="str">
        <f t="shared" si="17"/>
        <v/>
      </c>
      <c r="BG6" s="37"/>
      <c r="BH6" s="174" t="str">
        <f t="shared" si="18"/>
        <v/>
      </c>
      <c r="BI6" s="37"/>
      <c r="BJ6" s="174" t="str">
        <f t="shared" si="19"/>
        <v/>
      </c>
      <c r="BK6" s="37"/>
      <c r="BL6" s="174" t="str">
        <f t="shared" si="20"/>
        <v/>
      </c>
      <c r="BM6" s="37"/>
      <c r="BN6" s="174" t="str">
        <f t="shared" si="21"/>
        <v/>
      </c>
      <c r="BO6" s="37"/>
      <c r="BP6" s="174" t="str">
        <f t="shared" si="22"/>
        <v/>
      </c>
      <c r="BQ6" s="37"/>
      <c r="BR6" s="174" t="str">
        <f t="shared" si="23"/>
        <v/>
      </c>
      <c r="BS6" s="37"/>
      <c r="BT6" s="174" t="str">
        <f t="shared" si="24"/>
        <v/>
      </c>
      <c r="BU6" s="37"/>
      <c r="BV6" s="174" t="str">
        <f t="shared" si="25"/>
        <v/>
      </c>
      <c r="BW6" s="37"/>
      <c r="BX6" s="174" t="str">
        <f t="shared" si="26"/>
        <v/>
      </c>
      <c r="BY6" s="37"/>
      <c r="BZ6" s="174" t="str">
        <f t="shared" si="27"/>
        <v/>
      </c>
      <c r="CA6" s="37"/>
      <c r="CB6" s="174" t="str">
        <f t="shared" si="28"/>
        <v/>
      </c>
      <c r="CC6" s="37"/>
      <c r="CD6" s="174" t="str">
        <f t="shared" si="29"/>
        <v/>
      </c>
      <c r="CE6" s="37"/>
      <c r="CF6" s="174" t="str">
        <f t="shared" si="30"/>
        <v/>
      </c>
      <c r="CG6" s="37"/>
      <c r="CH6" s="174" t="str">
        <f t="shared" si="31"/>
        <v/>
      </c>
      <c r="CI6" s="37"/>
      <c r="CJ6" s="174" t="str">
        <f t="shared" si="32"/>
        <v/>
      </c>
      <c r="CK6" s="37"/>
      <c r="CL6" s="174" t="str">
        <f t="shared" si="33"/>
        <v/>
      </c>
      <c r="CM6" s="37"/>
      <c r="CN6" s="174" t="str">
        <f t="shared" si="34"/>
        <v/>
      </c>
      <c r="CO6" s="37"/>
      <c r="CP6" s="174" t="str">
        <f t="shared" si="35"/>
        <v/>
      </c>
      <c r="CQ6" s="37"/>
      <c r="CR6" s="174" t="str">
        <f t="shared" si="36"/>
        <v/>
      </c>
      <c r="CS6" s="37"/>
      <c r="CT6" s="174" t="str">
        <f t="shared" si="37"/>
        <v/>
      </c>
      <c r="CU6" s="38"/>
      <c r="CV6" s="87"/>
      <c r="CW6" s="90"/>
      <c r="CX6" s="38"/>
      <c r="CY6" s="39"/>
      <c r="CZ6" s="37"/>
      <c r="DA6" s="39"/>
      <c r="DB6" s="24">
        <v>2</v>
      </c>
      <c r="DC6" s="96" t="str">
        <f t="shared" si="38"/>
        <v>水</v>
      </c>
      <c r="DF6" s="125"/>
      <c r="DG6" s="40"/>
      <c r="DH6" s="40"/>
      <c r="DI6" s="40"/>
      <c r="DJ6" s="40"/>
      <c r="DK6" s="40"/>
      <c r="DL6" s="40"/>
      <c r="DM6" s="40"/>
      <c r="DN6" s="40"/>
      <c r="DO6" s="40"/>
      <c r="DP6" s="40">
        <f t="shared" si="39"/>
        <v>0</v>
      </c>
      <c r="DQ6" s="172" t="str">
        <f t="shared" si="40"/>
        <v/>
      </c>
      <c r="DS6" s="189"/>
      <c r="DT6" s="190"/>
      <c r="DU6" s="190"/>
      <c r="DV6" s="191"/>
      <c r="DW6" s="41"/>
      <c r="DX6" s="42"/>
      <c r="DY6" s="22"/>
      <c r="DZ6" s="22"/>
      <c r="EA6" s="22"/>
    </row>
    <row r="7" spans="1:132" ht="13.5" customHeight="1" x14ac:dyDescent="0.4">
      <c r="A7" s="104">
        <v>3</v>
      </c>
      <c r="B7" s="23" t="s">
        <v>85</v>
      </c>
      <c r="C7" s="164"/>
      <c r="D7" s="164"/>
      <c r="E7" s="24"/>
      <c r="F7" s="29"/>
      <c r="G7" s="25" t="str">
        <f>IF(SUM($F$5:F7)=0,"",SUM($F$5:F7))</f>
        <v/>
      </c>
      <c r="H7" s="43" t="str">
        <f t="shared" si="0"/>
        <v/>
      </c>
      <c r="I7" s="148" t="e">
        <f t="array" aca="1" ref="I7" ca="1">IF($A8="",$G7/($V7-$U$5+INDIRECT(IF(_xlfn.SHEET()&lt;6,"令和8年"&amp;_xlfn.SHEET()+7&amp;"月","令和9年"&amp;_xlfn.SHEET()-5&amp;"月")&amp;"!$U$5")),$G7/($V8-$U$5))</f>
        <v>#VALUE!</v>
      </c>
      <c r="J7" s="26" t="str">
        <f t="shared" si="1"/>
        <v/>
      </c>
      <c r="K7" s="27"/>
      <c r="L7" s="165">
        <f t="shared" si="2"/>
        <v>0</v>
      </c>
      <c r="M7" s="28" t="str">
        <f t="shared" si="3"/>
        <v/>
      </c>
      <c r="N7" s="166" t="str">
        <f t="shared" si="4"/>
        <v/>
      </c>
      <c r="O7" s="167" t="str">
        <f t="shared" si="5"/>
        <v/>
      </c>
      <c r="P7" s="168"/>
      <c r="Q7" s="169" t="str">
        <f t="shared" si="6"/>
        <v/>
      </c>
      <c r="R7" s="170">
        <v>25</v>
      </c>
      <c r="S7" s="171">
        <v>19</v>
      </c>
      <c r="T7" s="24" t="s">
        <v>93</v>
      </c>
      <c r="U7" s="29">
        <v>144243</v>
      </c>
      <c r="V7" s="30">
        <f t="shared" si="41"/>
        <v>558273</v>
      </c>
      <c r="W7" s="27">
        <v>94</v>
      </c>
      <c r="X7" s="31">
        <f t="shared" si="7"/>
        <v>1534.5</v>
      </c>
      <c r="Y7" s="29">
        <v>113989</v>
      </c>
      <c r="Z7" s="32">
        <f t="shared" si="42"/>
        <v>961153</v>
      </c>
      <c r="AA7" s="33">
        <f t="shared" si="8"/>
        <v>0.58083676584269106</v>
      </c>
      <c r="AB7" s="158">
        <v>200000</v>
      </c>
      <c r="AC7" s="34">
        <f t="shared" si="43"/>
        <v>600000</v>
      </c>
      <c r="AD7" s="158"/>
      <c r="AE7" s="25"/>
      <c r="AF7" s="25"/>
      <c r="AG7" s="25"/>
      <c r="AH7" s="25"/>
      <c r="AI7" s="25"/>
      <c r="AJ7" s="25"/>
      <c r="AK7" s="25"/>
      <c r="AL7" s="158"/>
      <c r="AM7" s="25"/>
      <c r="AN7" s="158"/>
      <c r="AO7" s="25"/>
      <c r="AP7" s="25"/>
      <c r="AQ7" s="158"/>
      <c r="AR7" s="35">
        <f t="shared" si="9"/>
        <v>0</v>
      </c>
      <c r="AS7" s="172" t="str">
        <f t="shared" si="10"/>
        <v/>
      </c>
      <c r="AT7" s="36">
        <f t="shared" si="11"/>
        <v>0</v>
      </c>
      <c r="AU7" s="173"/>
      <c r="AV7" s="82">
        <f t="shared" si="12"/>
        <v>3</v>
      </c>
      <c r="AW7" s="37"/>
      <c r="AX7" s="174" t="str">
        <f t="shared" si="13"/>
        <v/>
      </c>
      <c r="AY7" s="37"/>
      <c r="AZ7" s="174" t="str">
        <f t="shared" si="14"/>
        <v/>
      </c>
      <c r="BA7" s="37"/>
      <c r="BB7" s="174" t="str">
        <f t="shared" si="15"/>
        <v/>
      </c>
      <c r="BC7" s="37"/>
      <c r="BD7" s="174" t="str">
        <f t="shared" si="16"/>
        <v/>
      </c>
      <c r="BE7" s="37"/>
      <c r="BF7" s="174" t="str">
        <f t="shared" si="17"/>
        <v/>
      </c>
      <c r="BG7" s="37"/>
      <c r="BH7" s="174" t="str">
        <f t="shared" si="18"/>
        <v/>
      </c>
      <c r="BI7" s="37"/>
      <c r="BJ7" s="174" t="str">
        <f t="shared" si="19"/>
        <v/>
      </c>
      <c r="BK7" s="37"/>
      <c r="BL7" s="174" t="str">
        <f t="shared" si="20"/>
        <v/>
      </c>
      <c r="BM7" s="37"/>
      <c r="BN7" s="174" t="str">
        <f t="shared" si="21"/>
        <v/>
      </c>
      <c r="BO7" s="37"/>
      <c r="BP7" s="174" t="str">
        <f t="shared" si="22"/>
        <v/>
      </c>
      <c r="BQ7" s="37"/>
      <c r="BR7" s="174" t="str">
        <f t="shared" si="23"/>
        <v/>
      </c>
      <c r="BS7" s="37"/>
      <c r="BT7" s="174" t="str">
        <f t="shared" si="24"/>
        <v/>
      </c>
      <c r="BU7" s="37"/>
      <c r="BV7" s="174" t="str">
        <f t="shared" si="25"/>
        <v/>
      </c>
      <c r="BW7" s="37"/>
      <c r="BX7" s="174" t="str">
        <f t="shared" si="26"/>
        <v/>
      </c>
      <c r="BY7" s="37"/>
      <c r="BZ7" s="174" t="str">
        <f t="shared" si="27"/>
        <v/>
      </c>
      <c r="CA7" s="37"/>
      <c r="CB7" s="174" t="str">
        <f t="shared" si="28"/>
        <v/>
      </c>
      <c r="CC7" s="37"/>
      <c r="CD7" s="174" t="str">
        <f t="shared" si="29"/>
        <v/>
      </c>
      <c r="CE7" s="37"/>
      <c r="CF7" s="174" t="str">
        <f t="shared" si="30"/>
        <v/>
      </c>
      <c r="CG7" s="37"/>
      <c r="CH7" s="174" t="str">
        <f t="shared" si="31"/>
        <v/>
      </c>
      <c r="CI7" s="37"/>
      <c r="CJ7" s="174" t="str">
        <f t="shared" si="32"/>
        <v/>
      </c>
      <c r="CK7" s="37"/>
      <c r="CL7" s="174" t="str">
        <f t="shared" si="33"/>
        <v/>
      </c>
      <c r="CM7" s="37"/>
      <c r="CN7" s="174" t="str">
        <f t="shared" si="34"/>
        <v/>
      </c>
      <c r="CO7" s="37"/>
      <c r="CP7" s="174" t="str">
        <f t="shared" si="35"/>
        <v/>
      </c>
      <c r="CQ7" s="37"/>
      <c r="CR7" s="174" t="str">
        <f t="shared" si="36"/>
        <v/>
      </c>
      <c r="CS7" s="37"/>
      <c r="CT7" s="174" t="str">
        <f t="shared" si="37"/>
        <v/>
      </c>
      <c r="CU7" s="38"/>
      <c r="CV7" s="87"/>
      <c r="CW7" s="90"/>
      <c r="CX7" s="38"/>
      <c r="CY7" s="39"/>
      <c r="CZ7" s="37"/>
      <c r="DA7" s="39"/>
      <c r="DB7" s="24">
        <v>3</v>
      </c>
      <c r="DC7" s="96" t="str">
        <f t="shared" si="38"/>
        <v>木</v>
      </c>
      <c r="DF7" s="125"/>
      <c r="DG7" s="40"/>
      <c r="DH7" s="40"/>
      <c r="DI7" s="40"/>
      <c r="DJ7" s="40"/>
      <c r="DK7" s="40"/>
      <c r="DL7" s="40"/>
      <c r="DM7" s="40"/>
      <c r="DN7" s="40"/>
      <c r="DO7" s="40"/>
      <c r="DP7" s="40">
        <f t="shared" si="39"/>
        <v>0</v>
      </c>
      <c r="DQ7" s="172" t="str">
        <f t="shared" si="40"/>
        <v/>
      </c>
      <c r="DS7" s="189"/>
      <c r="DT7" s="190"/>
      <c r="DU7" s="190"/>
      <c r="DV7" s="191"/>
      <c r="DW7" s="138"/>
      <c r="DX7" s="42"/>
      <c r="DY7" s="139"/>
      <c r="DZ7" s="139"/>
      <c r="EA7" s="139"/>
      <c r="EB7" s="139"/>
    </row>
    <row r="8" spans="1:132" ht="13.5" customHeight="1" x14ac:dyDescent="0.4">
      <c r="A8" s="104">
        <v>4</v>
      </c>
      <c r="B8" s="23" t="s">
        <v>86</v>
      </c>
      <c r="C8" s="164"/>
      <c r="D8" s="164"/>
      <c r="E8" s="24"/>
      <c r="F8" s="29"/>
      <c r="G8" s="25" t="str">
        <f>IF(SUM($F$5:F8)=0,"",SUM($F$5:F8))</f>
        <v/>
      </c>
      <c r="H8" s="43" t="str">
        <f t="shared" si="0"/>
        <v/>
      </c>
      <c r="I8" s="148" t="e">
        <f t="array" aca="1" ref="I8" ca="1">IF($A9="",$G8/($V8-$U$5+INDIRECT(IF(_xlfn.SHEET()&lt;6,"令和8年"&amp;_xlfn.SHEET()+7&amp;"月","令和9年"&amp;_xlfn.SHEET()-5&amp;"月")&amp;"!$U$5")),$G8/($V9-$U$5))</f>
        <v>#VALUE!</v>
      </c>
      <c r="J8" s="26" t="str">
        <f t="shared" si="1"/>
        <v/>
      </c>
      <c r="K8" s="27"/>
      <c r="L8" s="165">
        <f t="shared" si="2"/>
        <v>0</v>
      </c>
      <c r="M8" s="28" t="str">
        <f t="shared" si="3"/>
        <v/>
      </c>
      <c r="N8" s="166" t="str">
        <f t="shared" si="4"/>
        <v/>
      </c>
      <c r="O8" s="167" t="str">
        <f t="shared" si="5"/>
        <v/>
      </c>
      <c r="P8" s="168"/>
      <c r="Q8" s="169" t="str">
        <f t="shared" si="6"/>
        <v/>
      </c>
      <c r="R8" s="170">
        <v>23</v>
      </c>
      <c r="S8" s="171">
        <v>17</v>
      </c>
      <c r="T8" s="24" t="s">
        <v>114</v>
      </c>
      <c r="U8" s="29">
        <v>222518</v>
      </c>
      <c r="V8" s="30">
        <f t="shared" si="41"/>
        <v>780791</v>
      </c>
      <c r="W8" s="27">
        <v>119</v>
      </c>
      <c r="X8" s="31">
        <f t="shared" si="7"/>
        <v>1869.8991596638655</v>
      </c>
      <c r="Y8" s="29">
        <v>158304</v>
      </c>
      <c r="Z8" s="32">
        <f t="shared" si="42"/>
        <v>1119457</v>
      </c>
      <c r="AA8" s="33">
        <f t="shared" si="8"/>
        <v>0.69747297127089292</v>
      </c>
      <c r="AB8" s="158">
        <v>200000</v>
      </c>
      <c r="AC8" s="34">
        <f t="shared" si="43"/>
        <v>800000</v>
      </c>
      <c r="AD8" s="158"/>
      <c r="AE8" s="25"/>
      <c r="AF8" s="25"/>
      <c r="AG8" s="25"/>
      <c r="AH8" s="25"/>
      <c r="AI8" s="25"/>
      <c r="AJ8" s="25"/>
      <c r="AK8" s="79"/>
      <c r="AL8" s="120"/>
      <c r="AM8" s="79"/>
      <c r="AN8" s="120"/>
      <c r="AO8" s="79"/>
      <c r="AP8" s="79"/>
      <c r="AQ8" s="158"/>
      <c r="AR8" s="35">
        <f t="shared" si="9"/>
        <v>0</v>
      </c>
      <c r="AS8" s="172" t="str">
        <f t="shared" si="10"/>
        <v/>
      </c>
      <c r="AT8" s="36">
        <f t="shared" si="11"/>
        <v>0</v>
      </c>
      <c r="AU8" s="173"/>
      <c r="AV8" s="82">
        <f t="shared" si="12"/>
        <v>4</v>
      </c>
      <c r="AW8" s="37"/>
      <c r="AX8" s="174" t="str">
        <f t="shared" si="13"/>
        <v/>
      </c>
      <c r="AY8" s="37"/>
      <c r="AZ8" s="174" t="str">
        <f t="shared" si="14"/>
        <v/>
      </c>
      <c r="BA8" s="37"/>
      <c r="BB8" s="174" t="str">
        <f t="shared" si="15"/>
        <v/>
      </c>
      <c r="BC8" s="37"/>
      <c r="BD8" s="174" t="str">
        <f t="shared" si="16"/>
        <v/>
      </c>
      <c r="BE8" s="37"/>
      <c r="BF8" s="174" t="str">
        <f t="shared" si="17"/>
        <v/>
      </c>
      <c r="BG8" s="37"/>
      <c r="BH8" s="174" t="str">
        <f t="shared" si="18"/>
        <v/>
      </c>
      <c r="BI8" s="37"/>
      <c r="BJ8" s="174" t="str">
        <f t="shared" si="19"/>
        <v/>
      </c>
      <c r="BK8" s="37"/>
      <c r="BL8" s="174" t="str">
        <f t="shared" si="20"/>
        <v/>
      </c>
      <c r="BM8" s="37"/>
      <c r="BN8" s="174" t="str">
        <f t="shared" si="21"/>
        <v/>
      </c>
      <c r="BO8" s="37"/>
      <c r="BP8" s="174" t="str">
        <f t="shared" si="22"/>
        <v/>
      </c>
      <c r="BQ8" s="37"/>
      <c r="BR8" s="174" t="str">
        <f t="shared" si="23"/>
        <v/>
      </c>
      <c r="BS8" s="37"/>
      <c r="BT8" s="174" t="str">
        <f t="shared" si="24"/>
        <v/>
      </c>
      <c r="BU8" s="37"/>
      <c r="BV8" s="174" t="str">
        <f t="shared" si="25"/>
        <v/>
      </c>
      <c r="BW8" s="37"/>
      <c r="BX8" s="174" t="str">
        <f t="shared" si="26"/>
        <v/>
      </c>
      <c r="BY8" s="37"/>
      <c r="BZ8" s="174" t="str">
        <f t="shared" si="27"/>
        <v/>
      </c>
      <c r="CA8" s="37"/>
      <c r="CB8" s="174" t="str">
        <f t="shared" si="28"/>
        <v/>
      </c>
      <c r="CC8" s="37"/>
      <c r="CD8" s="174" t="str">
        <f t="shared" si="29"/>
        <v/>
      </c>
      <c r="CE8" s="37"/>
      <c r="CF8" s="174" t="str">
        <f t="shared" si="30"/>
        <v/>
      </c>
      <c r="CG8" s="37"/>
      <c r="CH8" s="174" t="str">
        <f t="shared" si="31"/>
        <v/>
      </c>
      <c r="CI8" s="37"/>
      <c r="CJ8" s="174" t="str">
        <f t="shared" si="32"/>
        <v/>
      </c>
      <c r="CK8" s="37"/>
      <c r="CL8" s="174" t="str">
        <f t="shared" si="33"/>
        <v/>
      </c>
      <c r="CM8" s="37"/>
      <c r="CN8" s="174" t="str">
        <f t="shared" si="34"/>
        <v/>
      </c>
      <c r="CO8" s="37"/>
      <c r="CP8" s="174" t="str">
        <f t="shared" si="35"/>
        <v/>
      </c>
      <c r="CQ8" s="37"/>
      <c r="CR8" s="174" t="str">
        <f t="shared" si="36"/>
        <v/>
      </c>
      <c r="CS8" s="37"/>
      <c r="CT8" s="174" t="str">
        <f t="shared" si="37"/>
        <v/>
      </c>
      <c r="CU8" s="38"/>
      <c r="CV8" s="87"/>
      <c r="CW8" s="90"/>
      <c r="CX8" s="38"/>
      <c r="CY8" s="39"/>
      <c r="CZ8" s="37"/>
      <c r="DA8" s="39"/>
      <c r="DB8" s="24">
        <v>4</v>
      </c>
      <c r="DC8" s="96" t="str">
        <f t="shared" si="38"/>
        <v>金</v>
      </c>
      <c r="DF8" s="125"/>
      <c r="DG8" s="40"/>
      <c r="DH8" s="40"/>
      <c r="DI8" s="40"/>
      <c r="DJ8" s="40"/>
      <c r="DK8" s="40"/>
      <c r="DL8" s="40"/>
      <c r="DM8" s="40"/>
      <c r="DN8" s="40"/>
      <c r="DO8" s="40"/>
      <c r="DP8" s="40">
        <f t="shared" si="39"/>
        <v>0</v>
      </c>
      <c r="DQ8" s="172" t="str">
        <f t="shared" si="40"/>
        <v/>
      </c>
      <c r="DS8" s="189"/>
      <c r="DT8" s="190"/>
      <c r="DU8" s="190"/>
      <c r="DV8" s="191"/>
      <c r="DW8" s="41"/>
      <c r="DX8" s="42"/>
      <c r="DY8" s="139"/>
      <c r="DZ8" s="139"/>
      <c r="EA8" s="139"/>
      <c r="EB8" s="139"/>
    </row>
    <row r="9" spans="1:132" ht="13.5" customHeight="1" x14ac:dyDescent="0.4">
      <c r="A9" s="104">
        <v>5</v>
      </c>
      <c r="B9" s="140" t="s">
        <v>88</v>
      </c>
      <c r="C9" s="164"/>
      <c r="D9" s="164"/>
      <c r="E9" s="24"/>
      <c r="F9" s="29"/>
      <c r="G9" s="25" t="str">
        <f>IF(SUM($F$5:F9)=0,"",SUM($F$5:F9))</f>
        <v/>
      </c>
      <c r="H9" s="43" t="str">
        <f t="shared" si="0"/>
        <v/>
      </c>
      <c r="I9" s="148" t="e">
        <f t="array" aca="1" ref="I9" ca="1">IF($A10="",$G9/($V9-$U$5+INDIRECT(IF(_xlfn.SHEET()&lt;6,"令和8年"&amp;_xlfn.SHEET()+7&amp;"月","令和9年"&amp;_xlfn.SHEET()-5&amp;"月")&amp;"!$U$5")),$G9/($V10-$U$5))</f>
        <v>#VALUE!</v>
      </c>
      <c r="J9" s="26" t="str">
        <f t="shared" si="1"/>
        <v/>
      </c>
      <c r="K9" s="27"/>
      <c r="L9" s="165">
        <f t="shared" si="2"/>
        <v>0</v>
      </c>
      <c r="M9" s="28" t="str">
        <f t="shared" si="3"/>
        <v/>
      </c>
      <c r="N9" s="166" t="str">
        <f t="shared" si="4"/>
        <v/>
      </c>
      <c r="O9" s="167" t="str">
        <f t="shared" si="5"/>
        <v/>
      </c>
      <c r="P9" s="168"/>
      <c r="Q9" s="169" t="str">
        <f t="shared" si="6"/>
        <v/>
      </c>
      <c r="R9" s="170">
        <v>28</v>
      </c>
      <c r="S9" s="171">
        <v>15</v>
      </c>
      <c r="T9" s="24" t="s">
        <v>114</v>
      </c>
      <c r="U9" s="29">
        <v>192176</v>
      </c>
      <c r="V9" s="30">
        <f t="shared" si="41"/>
        <v>972967</v>
      </c>
      <c r="W9" s="27">
        <v>91</v>
      </c>
      <c r="X9" s="31">
        <f t="shared" si="7"/>
        <v>2111.8241758241757</v>
      </c>
      <c r="Y9" s="29">
        <v>156681</v>
      </c>
      <c r="Z9" s="32">
        <f t="shared" si="42"/>
        <v>1276138</v>
      </c>
      <c r="AA9" s="33">
        <f t="shared" si="8"/>
        <v>0.76243086562738516</v>
      </c>
      <c r="AB9" s="158">
        <v>630000</v>
      </c>
      <c r="AC9" s="34">
        <f t="shared" si="43"/>
        <v>1430000</v>
      </c>
      <c r="AD9" s="158"/>
      <c r="AE9" s="25"/>
      <c r="AF9" s="25"/>
      <c r="AG9" s="25"/>
      <c r="AH9" s="25"/>
      <c r="AI9" s="25"/>
      <c r="AJ9" s="25"/>
      <c r="AK9" s="25"/>
      <c r="AL9" s="158"/>
      <c r="AM9" s="25"/>
      <c r="AN9" s="158"/>
      <c r="AO9" s="25"/>
      <c r="AP9" s="25"/>
      <c r="AQ9" s="158"/>
      <c r="AR9" s="35">
        <f t="shared" si="9"/>
        <v>0</v>
      </c>
      <c r="AS9" s="172" t="str">
        <f t="shared" si="10"/>
        <v/>
      </c>
      <c r="AT9" s="36">
        <f t="shared" si="11"/>
        <v>0</v>
      </c>
      <c r="AU9" s="173"/>
      <c r="AV9" s="82">
        <f t="shared" si="12"/>
        <v>5</v>
      </c>
      <c r="AW9" s="37"/>
      <c r="AX9" s="174" t="str">
        <f t="shared" si="13"/>
        <v/>
      </c>
      <c r="AY9" s="37"/>
      <c r="AZ9" s="174" t="str">
        <f t="shared" si="14"/>
        <v/>
      </c>
      <c r="BA9" s="37"/>
      <c r="BB9" s="174" t="str">
        <f t="shared" si="15"/>
        <v/>
      </c>
      <c r="BC9" s="37"/>
      <c r="BD9" s="174" t="str">
        <f t="shared" si="16"/>
        <v/>
      </c>
      <c r="BE9" s="37"/>
      <c r="BF9" s="174" t="str">
        <f t="shared" si="17"/>
        <v/>
      </c>
      <c r="BG9" s="37"/>
      <c r="BH9" s="174" t="str">
        <f t="shared" si="18"/>
        <v/>
      </c>
      <c r="BI9" s="37"/>
      <c r="BJ9" s="174" t="str">
        <f t="shared" si="19"/>
        <v/>
      </c>
      <c r="BK9" s="37"/>
      <c r="BL9" s="174" t="str">
        <f t="shared" si="20"/>
        <v/>
      </c>
      <c r="BM9" s="37"/>
      <c r="BN9" s="174" t="str">
        <f t="shared" si="21"/>
        <v/>
      </c>
      <c r="BO9" s="37"/>
      <c r="BP9" s="174" t="str">
        <f t="shared" si="22"/>
        <v/>
      </c>
      <c r="BQ9" s="37"/>
      <c r="BR9" s="174" t="str">
        <f t="shared" si="23"/>
        <v/>
      </c>
      <c r="BS9" s="37"/>
      <c r="BT9" s="174" t="str">
        <f t="shared" si="24"/>
        <v/>
      </c>
      <c r="BU9" s="37"/>
      <c r="BV9" s="174" t="str">
        <f t="shared" si="25"/>
        <v/>
      </c>
      <c r="BW9" s="37"/>
      <c r="BX9" s="174" t="str">
        <f t="shared" si="26"/>
        <v/>
      </c>
      <c r="BY9" s="37"/>
      <c r="BZ9" s="174" t="str">
        <f t="shared" si="27"/>
        <v/>
      </c>
      <c r="CA9" s="37"/>
      <c r="CB9" s="174" t="str">
        <f t="shared" si="28"/>
        <v/>
      </c>
      <c r="CC9" s="37"/>
      <c r="CD9" s="174" t="str">
        <f t="shared" si="29"/>
        <v/>
      </c>
      <c r="CE9" s="37"/>
      <c r="CF9" s="174" t="str">
        <f t="shared" si="30"/>
        <v/>
      </c>
      <c r="CG9" s="37"/>
      <c r="CH9" s="174" t="str">
        <f t="shared" si="31"/>
        <v/>
      </c>
      <c r="CI9" s="37"/>
      <c r="CJ9" s="174" t="str">
        <f t="shared" si="32"/>
        <v/>
      </c>
      <c r="CK9" s="37"/>
      <c r="CL9" s="174" t="str">
        <f t="shared" si="33"/>
        <v/>
      </c>
      <c r="CM9" s="37"/>
      <c r="CN9" s="174" t="str">
        <f t="shared" si="34"/>
        <v/>
      </c>
      <c r="CO9" s="37"/>
      <c r="CP9" s="174" t="str">
        <f t="shared" si="35"/>
        <v/>
      </c>
      <c r="CQ9" s="37"/>
      <c r="CR9" s="174" t="str">
        <f t="shared" si="36"/>
        <v/>
      </c>
      <c r="CS9" s="37"/>
      <c r="CT9" s="174" t="str">
        <f t="shared" si="37"/>
        <v/>
      </c>
      <c r="CU9" s="38"/>
      <c r="CV9" s="87"/>
      <c r="CW9" s="90"/>
      <c r="CX9" s="38"/>
      <c r="CY9" s="39"/>
      <c r="CZ9" s="37"/>
      <c r="DA9" s="39"/>
      <c r="DB9" s="24">
        <v>5</v>
      </c>
      <c r="DC9" s="96" t="str">
        <f t="shared" si="38"/>
        <v>土</v>
      </c>
      <c r="DF9" s="125"/>
      <c r="DG9" s="40"/>
      <c r="DH9" s="40"/>
      <c r="DI9" s="40"/>
      <c r="DJ9" s="40"/>
      <c r="DK9" s="40"/>
      <c r="DL9" s="40"/>
      <c r="DM9" s="40"/>
      <c r="DN9" s="40"/>
      <c r="DO9" s="40"/>
      <c r="DP9" s="40">
        <f t="shared" si="39"/>
        <v>0</v>
      </c>
      <c r="DQ9" s="172" t="str">
        <f t="shared" si="40"/>
        <v/>
      </c>
      <c r="DS9" s="189"/>
      <c r="DT9" s="190"/>
      <c r="DU9" s="190"/>
      <c r="DV9" s="191"/>
      <c r="DW9" s="41"/>
      <c r="DX9" s="42"/>
      <c r="DY9" s="139"/>
      <c r="DZ9" s="139"/>
      <c r="EA9" s="139"/>
      <c r="EB9" s="139"/>
    </row>
    <row r="10" spans="1:132" ht="13.5" customHeight="1" x14ac:dyDescent="0.4">
      <c r="A10" s="104">
        <v>6</v>
      </c>
      <c r="B10" s="23" t="s">
        <v>89</v>
      </c>
      <c r="C10" s="164"/>
      <c r="D10" s="164"/>
      <c r="E10" s="24"/>
      <c r="F10" s="29"/>
      <c r="G10" s="25" t="str">
        <f>IF(SUM($F$5:F10)=0,"",SUM($F$5:F10))</f>
        <v/>
      </c>
      <c r="H10" s="43" t="str">
        <f t="shared" si="0"/>
        <v/>
      </c>
      <c r="I10" s="148" t="e">
        <f t="array" aca="1" ref="I10" ca="1">IF($A11="",$G10/($V10-$U$5+INDIRECT(IF(_xlfn.SHEET()&lt;6,"令和8年"&amp;_xlfn.SHEET()+7&amp;"月","令和9年"&amp;_xlfn.SHEET()-5&amp;"月")&amp;"!$U$5")),$G10/($V11-$U$5))</f>
        <v>#VALUE!</v>
      </c>
      <c r="J10" s="26" t="str">
        <f t="shared" si="1"/>
        <v/>
      </c>
      <c r="K10" s="27"/>
      <c r="L10" s="165">
        <f t="shared" si="2"/>
        <v>0</v>
      </c>
      <c r="M10" s="28" t="str">
        <f t="shared" si="3"/>
        <v/>
      </c>
      <c r="N10" s="166" t="str">
        <f t="shared" si="4"/>
        <v/>
      </c>
      <c r="O10" s="167" t="str">
        <f t="shared" si="5"/>
        <v/>
      </c>
      <c r="P10" s="168"/>
      <c r="Q10" s="169" t="str">
        <f t="shared" si="6"/>
        <v/>
      </c>
      <c r="R10" s="170">
        <v>25</v>
      </c>
      <c r="S10" s="171">
        <v>17</v>
      </c>
      <c r="T10" s="24" t="s">
        <v>84</v>
      </c>
      <c r="U10" s="29">
        <v>476145</v>
      </c>
      <c r="V10" s="30">
        <f t="shared" si="41"/>
        <v>1449112</v>
      </c>
      <c r="W10" s="27">
        <v>302</v>
      </c>
      <c r="X10" s="31">
        <f t="shared" si="7"/>
        <v>1576.6390728476822</v>
      </c>
      <c r="Y10" s="29">
        <v>379765</v>
      </c>
      <c r="Z10" s="32">
        <f t="shared" si="42"/>
        <v>1655903</v>
      </c>
      <c r="AA10" s="33">
        <f t="shared" si="8"/>
        <v>0.87511889283369859</v>
      </c>
      <c r="AB10" s="158">
        <v>630000</v>
      </c>
      <c r="AC10" s="34">
        <f t="shared" si="43"/>
        <v>2060000</v>
      </c>
      <c r="AD10" s="158"/>
      <c r="AE10" s="25"/>
      <c r="AF10" s="25"/>
      <c r="AG10" s="25"/>
      <c r="AH10" s="25"/>
      <c r="AI10" s="25"/>
      <c r="AJ10" s="25"/>
      <c r="AK10" s="25"/>
      <c r="AL10" s="158"/>
      <c r="AM10" s="25"/>
      <c r="AN10" s="158"/>
      <c r="AO10" s="25"/>
      <c r="AP10" s="25"/>
      <c r="AQ10" s="158"/>
      <c r="AR10" s="35">
        <f t="shared" si="9"/>
        <v>0</v>
      </c>
      <c r="AS10" s="172" t="str">
        <f t="shared" si="10"/>
        <v/>
      </c>
      <c r="AT10" s="36">
        <f t="shared" si="11"/>
        <v>0</v>
      </c>
      <c r="AU10" s="173"/>
      <c r="AV10" s="82">
        <f t="shared" si="12"/>
        <v>6</v>
      </c>
      <c r="AW10" s="37"/>
      <c r="AX10" s="174" t="str">
        <f t="shared" si="13"/>
        <v/>
      </c>
      <c r="AY10" s="37"/>
      <c r="AZ10" s="174" t="str">
        <f t="shared" si="14"/>
        <v/>
      </c>
      <c r="BA10" s="37"/>
      <c r="BB10" s="174" t="str">
        <f t="shared" si="15"/>
        <v/>
      </c>
      <c r="BC10" s="37"/>
      <c r="BD10" s="174" t="str">
        <f t="shared" si="16"/>
        <v/>
      </c>
      <c r="BE10" s="37"/>
      <c r="BF10" s="174" t="str">
        <f t="shared" si="17"/>
        <v/>
      </c>
      <c r="BG10" s="37"/>
      <c r="BH10" s="174" t="str">
        <f t="shared" si="18"/>
        <v/>
      </c>
      <c r="BI10" s="37"/>
      <c r="BJ10" s="174" t="str">
        <f t="shared" si="19"/>
        <v/>
      </c>
      <c r="BK10" s="37"/>
      <c r="BL10" s="174" t="str">
        <f t="shared" si="20"/>
        <v/>
      </c>
      <c r="BM10" s="37"/>
      <c r="BN10" s="174" t="str">
        <f t="shared" si="21"/>
        <v/>
      </c>
      <c r="BO10" s="37"/>
      <c r="BP10" s="174" t="str">
        <f t="shared" si="22"/>
        <v/>
      </c>
      <c r="BQ10" s="37"/>
      <c r="BR10" s="174" t="str">
        <f t="shared" si="23"/>
        <v/>
      </c>
      <c r="BS10" s="37"/>
      <c r="BT10" s="174" t="str">
        <f t="shared" si="24"/>
        <v/>
      </c>
      <c r="BU10" s="37"/>
      <c r="BV10" s="174" t="str">
        <f t="shared" si="25"/>
        <v/>
      </c>
      <c r="BW10" s="37"/>
      <c r="BX10" s="174" t="str">
        <f t="shared" si="26"/>
        <v/>
      </c>
      <c r="BY10" s="37"/>
      <c r="BZ10" s="174" t="str">
        <f t="shared" si="27"/>
        <v/>
      </c>
      <c r="CA10" s="37"/>
      <c r="CB10" s="174" t="str">
        <f t="shared" si="28"/>
        <v/>
      </c>
      <c r="CC10" s="37"/>
      <c r="CD10" s="174" t="str">
        <f t="shared" si="29"/>
        <v/>
      </c>
      <c r="CE10" s="37"/>
      <c r="CF10" s="174" t="str">
        <f t="shared" si="30"/>
        <v/>
      </c>
      <c r="CG10" s="37"/>
      <c r="CH10" s="174" t="str">
        <f t="shared" si="31"/>
        <v/>
      </c>
      <c r="CI10" s="37"/>
      <c r="CJ10" s="174" t="str">
        <f t="shared" si="32"/>
        <v/>
      </c>
      <c r="CK10" s="37"/>
      <c r="CL10" s="174" t="str">
        <f t="shared" si="33"/>
        <v/>
      </c>
      <c r="CM10" s="37"/>
      <c r="CN10" s="174" t="str">
        <f t="shared" si="34"/>
        <v/>
      </c>
      <c r="CO10" s="37"/>
      <c r="CP10" s="174" t="str">
        <f t="shared" si="35"/>
        <v/>
      </c>
      <c r="CQ10" s="37"/>
      <c r="CR10" s="174" t="str">
        <f t="shared" si="36"/>
        <v/>
      </c>
      <c r="CS10" s="37"/>
      <c r="CT10" s="174" t="str">
        <f t="shared" si="37"/>
        <v/>
      </c>
      <c r="CU10" s="38"/>
      <c r="CV10" s="87"/>
      <c r="CW10" s="90"/>
      <c r="CX10" s="38"/>
      <c r="CY10" s="39"/>
      <c r="CZ10" s="37"/>
      <c r="DA10" s="39"/>
      <c r="DB10" s="24">
        <v>6</v>
      </c>
      <c r="DC10" s="96" t="str">
        <f t="shared" si="38"/>
        <v>日</v>
      </c>
      <c r="DF10" s="125"/>
      <c r="DG10" s="40"/>
      <c r="DH10" s="40"/>
      <c r="DI10" s="40"/>
      <c r="DJ10" s="40"/>
      <c r="DK10" s="40"/>
      <c r="DL10" s="40"/>
      <c r="DM10" s="40"/>
      <c r="DN10" s="40"/>
      <c r="DO10" s="40"/>
      <c r="DP10" s="40">
        <f t="shared" si="39"/>
        <v>0</v>
      </c>
      <c r="DQ10" s="172" t="str">
        <f t="shared" si="40"/>
        <v/>
      </c>
      <c r="DS10" s="189"/>
      <c r="DT10" s="190"/>
      <c r="DU10" s="190"/>
      <c r="DV10" s="191"/>
      <c r="DW10" s="138"/>
      <c r="DX10" s="42"/>
      <c r="DY10" s="139"/>
      <c r="DZ10" s="139"/>
      <c r="EA10" s="139"/>
      <c r="EB10" s="139"/>
    </row>
    <row r="11" spans="1:132" ht="13.5" customHeight="1" x14ac:dyDescent="0.4">
      <c r="A11" s="104">
        <v>7</v>
      </c>
      <c r="B11" s="141" t="s">
        <v>90</v>
      </c>
      <c r="C11" s="164"/>
      <c r="D11" s="164"/>
      <c r="E11" s="24"/>
      <c r="F11" s="29"/>
      <c r="G11" s="25" t="str">
        <f>IF(SUM($F$5:F11)=0,"",SUM($F$5:F11))</f>
        <v/>
      </c>
      <c r="H11" s="43" t="str">
        <f t="shared" si="0"/>
        <v/>
      </c>
      <c r="I11" s="148" t="e">
        <f t="array" aca="1" ref="I11" ca="1">IF($A12="",$G11/($V11-$U$5+INDIRECT(IF(_xlfn.SHEET()&lt;6,"令和8年"&amp;_xlfn.SHEET()+7&amp;"月","令和9年"&amp;_xlfn.SHEET()-5&amp;"月")&amp;"!$U$5")),$G11/($V12-$U$5))</f>
        <v>#VALUE!</v>
      </c>
      <c r="J11" s="26" t="str">
        <f t="shared" si="1"/>
        <v/>
      </c>
      <c r="K11" s="27"/>
      <c r="L11" s="165">
        <f t="shared" si="2"/>
        <v>0</v>
      </c>
      <c r="M11" s="28" t="str">
        <f t="shared" si="3"/>
        <v/>
      </c>
      <c r="N11" s="166" t="str">
        <f t="shared" si="4"/>
        <v/>
      </c>
      <c r="O11" s="167" t="str">
        <f t="shared" si="5"/>
        <v/>
      </c>
      <c r="P11" s="168"/>
      <c r="Q11" s="169" t="str">
        <f t="shared" si="6"/>
        <v/>
      </c>
      <c r="R11" s="170">
        <v>24</v>
      </c>
      <c r="S11" s="171">
        <v>16</v>
      </c>
      <c r="T11" s="24" t="s">
        <v>56</v>
      </c>
      <c r="U11" s="29">
        <v>671160</v>
      </c>
      <c r="V11" s="30">
        <f t="shared" si="41"/>
        <v>2120272</v>
      </c>
      <c r="W11" s="27">
        <v>379</v>
      </c>
      <c r="X11" s="31">
        <f t="shared" si="7"/>
        <v>1770.8707124010555</v>
      </c>
      <c r="Y11" s="29">
        <v>506860</v>
      </c>
      <c r="Z11" s="32">
        <f t="shared" si="42"/>
        <v>2162763</v>
      </c>
      <c r="AA11" s="33">
        <f t="shared" si="8"/>
        <v>0.98035337205232376</v>
      </c>
      <c r="AB11" s="158">
        <v>200000</v>
      </c>
      <c r="AC11" s="34">
        <f t="shared" si="43"/>
        <v>2260000</v>
      </c>
      <c r="AD11" s="158"/>
      <c r="AE11" s="25"/>
      <c r="AF11" s="25"/>
      <c r="AG11" s="25"/>
      <c r="AH11" s="25"/>
      <c r="AI11" s="25"/>
      <c r="AJ11" s="25"/>
      <c r="AK11" s="25"/>
      <c r="AL11" s="158"/>
      <c r="AM11" s="25"/>
      <c r="AN11" s="158"/>
      <c r="AO11" s="25"/>
      <c r="AP11" s="25"/>
      <c r="AQ11" s="158"/>
      <c r="AR11" s="35">
        <f t="shared" si="9"/>
        <v>0</v>
      </c>
      <c r="AS11" s="172" t="str">
        <f t="shared" si="10"/>
        <v/>
      </c>
      <c r="AT11" s="36">
        <f t="shared" si="11"/>
        <v>0</v>
      </c>
      <c r="AU11" s="173"/>
      <c r="AV11" s="82">
        <f t="shared" si="12"/>
        <v>7</v>
      </c>
      <c r="AW11" s="37"/>
      <c r="AX11" s="174" t="str">
        <f t="shared" si="13"/>
        <v/>
      </c>
      <c r="AY11" s="37"/>
      <c r="AZ11" s="174" t="str">
        <f t="shared" si="14"/>
        <v/>
      </c>
      <c r="BA11" s="37"/>
      <c r="BB11" s="174" t="str">
        <f t="shared" si="15"/>
        <v/>
      </c>
      <c r="BC11" s="37"/>
      <c r="BD11" s="174" t="str">
        <f t="shared" si="16"/>
        <v/>
      </c>
      <c r="BE11" s="37"/>
      <c r="BF11" s="174" t="str">
        <f t="shared" si="17"/>
        <v/>
      </c>
      <c r="BG11" s="37"/>
      <c r="BH11" s="174" t="str">
        <f t="shared" si="18"/>
        <v/>
      </c>
      <c r="BI11" s="37"/>
      <c r="BJ11" s="174" t="str">
        <f t="shared" si="19"/>
        <v/>
      </c>
      <c r="BK11" s="37"/>
      <c r="BL11" s="174" t="str">
        <f t="shared" si="20"/>
        <v/>
      </c>
      <c r="BM11" s="37"/>
      <c r="BN11" s="174" t="str">
        <f t="shared" si="21"/>
        <v/>
      </c>
      <c r="BO11" s="37"/>
      <c r="BP11" s="174" t="str">
        <f t="shared" si="22"/>
        <v/>
      </c>
      <c r="BQ11" s="37"/>
      <c r="BR11" s="174" t="str">
        <f t="shared" si="23"/>
        <v/>
      </c>
      <c r="BS11" s="37"/>
      <c r="BT11" s="174" t="str">
        <f t="shared" si="24"/>
        <v/>
      </c>
      <c r="BU11" s="37"/>
      <c r="BV11" s="174" t="str">
        <f t="shared" si="25"/>
        <v/>
      </c>
      <c r="BW11" s="37"/>
      <c r="BX11" s="174" t="str">
        <f t="shared" si="26"/>
        <v/>
      </c>
      <c r="BY11" s="37"/>
      <c r="BZ11" s="174" t="str">
        <f t="shared" si="27"/>
        <v/>
      </c>
      <c r="CA11" s="37"/>
      <c r="CB11" s="174" t="str">
        <f t="shared" si="28"/>
        <v/>
      </c>
      <c r="CC11" s="37"/>
      <c r="CD11" s="174" t="str">
        <f t="shared" si="29"/>
        <v/>
      </c>
      <c r="CE11" s="37"/>
      <c r="CF11" s="174" t="str">
        <f t="shared" si="30"/>
        <v/>
      </c>
      <c r="CG11" s="37"/>
      <c r="CH11" s="174" t="str">
        <f t="shared" si="31"/>
        <v/>
      </c>
      <c r="CI11" s="37"/>
      <c r="CJ11" s="174" t="str">
        <f t="shared" si="32"/>
        <v/>
      </c>
      <c r="CK11" s="37"/>
      <c r="CL11" s="174" t="str">
        <f t="shared" si="33"/>
        <v/>
      </c>
      <c r="CM11" s="37"/>
      <c r="CN11" s="174" t="str">
        <f t="shared" si="34"/>
        <v/>
      </c>
      <c r="CO11" s="37"/>
      <c r="CP11" s="174" t="str">
        <f t="shared" si="35"/>
        <v/>
      </c>
      <c r="CQ11" s="37"/>
      <c r="CR11" s="174" t="str">
        <f t="shared" si="36"/>
        <v/>
      </c>
      <c r="CS11" s="37"/>
      <c r="CT11" s="174" t="str">
        <f t="shared" si="37"/>
        <v/>
      </c>
      <c r="CU11" s="38"/>
      <c r="CV11" s="87"/>
      <c r="CW11" s="90"/>
      <c r="CX11" s="38"/>
      <c r="CY11" s="39"/>
      <c r="CZ11" s="37"/>
      <c r="DA11" s="39"/>
      <c r="DB11" s="24">
        <v>7</v>
      </c>
      <c r="DC11" s="96" t="str">
        <f t="shared" si="38"/>
        <v>月</v>
      </c>
      <c r="DF11" s="125"/>
      <c r="DG11" s="40"/>
      <c r="DH11" s="40"/>
      <c r="DI11" s="40"/>
      <c r="DJ11" s="40"/>
      <c r="DK11" s="40"/>
      <c r="DL11" s="40"/>
      <c r="DM11" s="40"/>
      <c r="DN11" s="40"/>
      <c r="DO11" s="40"/>
      <c r="DP11" s="40">
        <f t="shared" si="39"/>
        <v>0</v>
      </c>
      <c r="DQ11" s="172" t="str">
        <f t="shared" si="40"/>
        <v/>
      </c>
      <c r="DS11" s="189"/>
      <c r="DT11" s="190"/>
      <c r="DU11" s="190"/>
      <c r="DV11" s="191"/>
      <c r="DW11" s="41"/>
      <c r="DX11" s="42"/>
    </row>
    <row r="12" spans="1:132" ht="13.5" customHeight="1" x14ac:dyDescent="0.4">
      <c r="A12" s="104">
        <v>8</v>
      </c>
      <c r="B12" s="23" t="s">
        <v>91</v>
      </c>
      <c r="C12" s="164"/>
      <c r="D12" s="164"/>
      <c r="E12" s="24"/>
      <c r="F12" s="29"/>
      <c r="G12" s="25" t="str">
        <f>IF(SUM($F$5:F12)=0,"",SUM($F$5:F12))</f>
        <v/>
      </c>
      <c r="H12" s="43" t="str">
        <f t="shared" si="0"/>
        <v/>
      </c>
      <c r="I12" s="148" t="e">
        <f t="array" aca="1" ref="I12" ca="1">IF($A13="",$G12/($V12-$U$5+INDIRECT(IF(_xlfn.SHEET()&lt;6,"令和8年"&amp;_xlfn.SHEET()+7&amp;"月","令和9年"&amp;_xlfn.SHEET()-5&amp;"月")&amp;"!$U$5")),$G12/($V13-$U$5))</f>
        <v>#VALUE!</v>
      </c>
      <c r="J12" s="26" t="str">
        <f t="shared" si="1"/>
        <v/>
      </c>
      <c r="K12" s="27"/>
      <c r="L12" s="165">
        <f t="shared" si="2"/>
        <v>0</v>
      </c>
      <c r="M12" s="28" t="str">
        <f t="shared" si="3"/>
        <v/>
      </c>
      <c r="N12" s="166" t="str">
        <f t="shared" si="4"/>
        <v/>
      </c>
      <c r="O12" s="167" t="str">
        <f t="shared" si="5"/>
        <v/>
      </c>
      <c r="P12" s="168"/>
      <c r="Q12" s="169" t="str">
        <f t="shared" si="6"/>
        <v/>
      </c>
      <c r="R12" s="170">
        <v>23</v>
      </c>
      <c r="S12" s="171">
        <v>13</v>
      </c>
      <c r="T12" s="24" t="s">
        <v>114</v>
      </c>
      <c r="U12" s="29">
        <v>129158</v>
      </c>
      <c r="V12" s="30">
        <f t="shared" si="41"/>
        <v>2249430</v>
      </c>
      <c r="W12" s="27">
        <v>87</v>
      </c>
      <c r="X12" s="31">
        <f t="shared" si="7"/>
        <v>1484.5747126436781</v>
      </c>
      <c r="Y12" s="29">
        <v>573079</v>
      </c>
      <c r="Z12" s="32">
        <f t="shared" si="42"/>
        <v>2735842</v>
      </c>
      <c r="AA12" s="33">
        <f t="shared" si="8"/>
        <v>0.82220756900435044</v>
      </c>
      <c r="AB12" s="158">
        <v>200000</v>
      </c>
      <c r="AC12" s="34">
        <f t="shared" si="43"/>
        <v>2460000</v>
      </c>
      <c r="AD12" s="158"/>
      <c r="AE12" s="25"/>
      <c r="AF12" s="25"/>
      <c r="AG12" s="25"/>
      <c r="AH12" s="25"/>
      <c r="AI12" s="25"/>
      <c r="AJ12" s="25"/>
      <c r="AK12" s="25"/>
      <c r="AL12" s="158"/>
      <c r="AM12" s="25"/>
      <c r="AN12" s="158"/>
      <c r="AO12" s="25"/>
      <c r="AP12" s="25"/>
      <c r="AQ12" s="158"/>
      <c r="AR12" s="35">
        <f t="shared" si="9"/>
        <v>0</v>
      </c>
      <c r="AS12" s="172" t="str">
        <f t="shared" si="10"/>
        <v/>
      </c>
      <c r="AT12" s="36">
        <f t="shared" si="11"/>
        <v>0</v>
      </c>
      <c r="AU12" s="173"/>
      <c r="AV12" s="82">
        <f t="shared" si="12"/>
        <v>8</v>
      </c>
      <c r="AW12" s="37"/>
      <c r="AX12" s="174" t="str">
        <f t="shared" si="13"/>
        <v/>
      </c>
      <c r="AY12" s="37"/>
      <c r="AZ12" s="174" t="str">
        <f t="shared" si="14"/>
        <v/>
      </c>
      <c r="BA12" s="37"/>
      <c r="BB12" s="174" t="str">
        <f t="shared" si="15"/>
        <v/>
      </c>
      <c r="BC12" s="37"/>
      <c r="BD12" s="174" t="str">
        <f t="shared" si="16"/>
        <v/>
      </c>
      <c r="BE12" s="37"/>
      <c r="BF12" s="174" t="str">
        <f t="shared" si="17"/>
        <v/>
      </c>
      <c r="BG12" s="37"/>
      <c r="BH12" s="174" t="str">
        <f t="shared" si="18"/>
        <v/>
      </c>
      <c r="BI12" s="37"/>
      <c r="BJ12" s="174" t="str">
        <f t="shared" si="19"/>
        <v/>
      </c>
      <c r="BK12" s="37"/>
      <c r="BL12" s="174" t="str">
        <f t="shared" si="20"/>
        <v/>
      </c>
      <c r="BM12" s="37"/>
      <c r="BN12" s="174" t="str">
        <f t="shared" si="21"/>
        <v/>
      </c>
      <c r="BO12" s="37"/>
      <c r="BP12" s="174" t="str">
        <f t="shared" si="22"/>
        <v/>
      </c>
      <c r="BQ12" s="37"/>
      <c r="BR12" s="174" t="str">
        <f t="shared" si="23"/>
        <v/>
      </c>
      <c r="BS12" s="37"/>
      <c r="BT12" s="174" t="str">
        <f t="shared" si="24"/>
        <v/>
      </c>
      <c r="BU12" s="37"/>
      <c r="BV12" s="174" t="str">
        <f t="shared" si="25"/>
        <v/>
      </c>
      <c r="BW12" s="37"/>
      <c r="BX12" s="174" t="str">
        <f t="shared" si="26"/>
        <v/>
      </c>
      <c r="BY12" s="37"/>
      <c r="BZ12" s="174" t="str">
        <f t="shared" si="27"/>
        <v/>
      </c>
      <c r="CA12" s="37"/>
      <c r="CB12" s="174" t="str">
        <f t="shared" si="28"/>
        <v/>
      </c>
      <c r="CC12" s="37"/>
      <c r="CD12" s="174" t="str">
        <f t="shared" si="29"/>
        <v/>
      </c>
      <c r="CE12" s="37"/>
      <c r="CF12" s="174" t="str">
        <f t="shared" si="30"/>
        <v/>
      </c>
      <c r="CG12" s="37"/>
      <c r="CH12" s="174" t="str">
        <f t="shared" si="31"/>
        <v/>
      </c>
      <c r="CI12" s="37"/>
      <c r="CJ12" s="174" t="str">
        <f t="shared" si="32"/>
        <v/>
      </c>
      <c r="CK12" s="37"/>
      <c r="CL12" s="174" t="str">
        <f t="shared" si="33"/>
        <v/>
      </c>
      <c r="CM12" s="37"/>
      <c r="CN12" s="174" t="str">
        <f t="shared" si="34"/>
        <v/>
      </c>
      <c r="CO12" s="37"/>
      <c r="CP12" s="174" t="str">
        <f t="shared" si="35"/>
        <v/>
      </c>
      <c r="CQ12" s="37"/>
      <c r="CR12" s="174" t="str">
        <f t="shared" si="36"/>
        <v/>
      </c>
      <c r="CS12" s="37"/>
      <c r="CT12" s="174" t="str">
        <f t="shared" si="37"/>
        <v/>
      </c>
      <c r="CU12" s="38"/>
      <c r="CV12" s="87"/>
      <c r="CW12" s="90"/>
      <c r="CX12" s="38"/>
      <c r="CY12" s="39"/>
      <c r="CZ12" s="37"/>
      <c r="DA12" s="39"/>
      <c r="DB12" s="24">
        <v>8</v>
      </c>
      <c r="DC12" s="96" t="str">
        <f t="shared" si="38"/>
        <v>火</v>
      </c>
      <c r="DF12" s="125"/>
      <c r="DG12" s="40"/>
      <c r="DH12" s="40"/>
      <c r="DI12" s="40"/>
      <c r="DJ12" s="40"/>
      <c r="DK12" s="40"/>
      <c r="DL12" s="40"/>
      <c r="DM12" s="40"/>
      <c r="DN12" s="40"/>
      <c r="DO12" s="40"/>
      <c r="DP12" s="40">
        <f t="shared" si="39"/>
        <v>0</v>
      </c>
      <c r="DQ12" s="172" t="str">
        <f t="shared" si="40"/>
        <v/>
      </c>
      <c r="DS12" s="189"/>
      <c r="DT12" s="190"/>
      <c r="DU12" s="190"/>
      <c r="DV12" s="191"/>
      <c r="DW12" s="41"/>
      <c r="DX12" s="42"/>
    </row>
    <row r="13" spans="1:132" ht="13.5" customHeight="1" x14ac:dyDescent="0.4">
      <c r="A13" s="104">
        <v>9</v>
      </c>
      <c r="B13" s="23" t="s">
        <v>83</v>
      </c>
      <c r="C13" s="164"/>
      <c r="D13" s="164"/>
      <c r="E13" s="24"/>
      <c r="F13" s="29"/>
      <c r="G13" s="25" t="str">
        <f>IF(SUM($F$5:F13)=0,"",SUM($F$5:F13))</f>
        <v/>
      </c>
      <c r="H13" s="43" t="str">
        <f t="shared" si="0"/>
        <v/>
      </c>
      <c r="I13" s="148" t="e">
        <f t="array" aca="1" ref="I13" ca="1">IF($A14="",$G13/($V13-$U$5+INDIRECT(IF(_xlfn.SHEET()&lt;6,"令和8年"&amp;_xlfn.SHEET()+7&amp;"月","令和9年"&amp;_xlfn.SHEET()-5&amp;"月")&amp;"!$U$5")),$G13/($V14-$U$5))</f>
        <v>#VALUE!</v>
      </c>
      <c r="J13" s="26" t="str">
        <f t="shared" si="1"/>
        <v/>
      </c>
      <c r="K13" s="27"/>
      <c r="L13" s="165">
        <f t="shared" si="2"/>
        <v>0</v>
      </c>
      <c r="M13" s="28" t="str">
        <f t="shared" si="3"/>
        <v/>
      </c>
      <c r="N13" s="166" t="str">
        <f t="shared" si="4"/>
        <v/>
      </c>
      <c r="O13" s="167" t="str">
        <f t="shared" si="5"/>
        <v/>
      </c>
      <c r="P13" s="168"/>
      <c r="Q13" s="169" t="str">
        <f t="shared" si="6"/>
        <v/>
      </c>
      <c r="R13" s="170">
        <v>23</v>
      </c>
      <c r="S13" s="171">
        <v>13</v>
      </c>
      <c r="T13" s="24" t="s">
        <v>114</v>
      </c>
      <c r="U13" s="29">
        <v>173923</v>
      </c>
      <c r="V13" s="30">
        <f t="shared" si="41"/>
        <v>2423353</v>
      </c>
      <c r="W13" s="27">
        <v>111</v>
      </c>
      <c r="X13" s="31">
        <f t="shared" si="7"/>
        <v>1566.8738738738739</v>
      </c>
      <c r="Y13" s="29">
        <v>192146</v>
      </c>
      <c r="Z13" s="32">
        <f t="shared" si="42"/>
        <v>2927988</v>
      </c>
      <c r="AA13" s="33">
        <f t="shared" si="8"/>
        <v>0.82765127452708143</v>
      </c>
      <c r="AB13" s="158">
        <v>200000</v>
      </c>
      <c r="AC13" s="34">
        <f t="shared" si="43"/>
        <v>2660000</v>
      </c>
      <c r="AD13" s="158"/>
      <c r="AE13" s="25"/>
      <c r="AF13" s="25"/>
      <c r="AG13" s="25"/>
      <c r="AH13" s="25"/>
      <c r="AI13" s="25"/>
      <c r="AJ13" s="25"/>
      <c r="AK13" s="25"/>
      <c r="AL13" s="158"/>
      <c r="AM13" s="25"/>
      <c r="AN13" s="158"/>
      <c r="AO13" s="25"/>
      <c r="AP13" s="25"/>
      <c r="AQ13" s="158"/>
      <c r="AR13" s="35">
        <f t="shared" si="9"/>
        <v>0</v>
      </c>
      <c r="AS13" s="172" t="str">
        <f t="shared" si="10"/>
        <v/>
      </c>
      <c r="AT13" s="36">
        <f t="shared" si="11"/>
        <v>0</v>
      </c>
      <c r="AU13" s="173"/>
      <c r="AV13" s="82">
        <f t="shared" si="12"/>
        <v>9</v>
      </c>
      <c r="AW13" s="37"/>
      <c r="AX13" s="174" t="str">
        <f t="shared" si="13"/>
        <v/>
      </c>
      <c r="AY13" s="37"/>
      <c r="AZ13" s="174" t="str">
        <f t="shared" si="14"/>
        <v/>
      </c>
      <c r="BA13" s="37"/>
      <c r="BB13" s="174" t="str">
        <f t="shared" si="15"/>
        <v/>
      </c>
      <c r="BC13" s="37"/>
      <c r="BD13" s="174" t="str">
        <f t="shared" si="16"/>
        <v/>
      </c>
      <c r="BE13" s="37"/>
      <c r="BF13" s="174" t="str">
        <f t="shared" si="17"/>
        <v/>
      </c>
      <c r="BG13" s="37"/>
      <c r="BH13" s="174" t="str">
        <f t="shared" si="18"/>
        <v/>
      </c>
      <c r="BI13" s="37"/>
      <c r="BJ13" s="174" t="str">
        <f t="shared" si="19"/>
        <v/>
      </c>
      <c r="BK13" s="37"/>
      <c r="BL13" s="174" t="str">
        <f t="shared" si="20"/>
        <v/>
      </c>
      <c r="BM13" s="37"/>
      <c r="BN13" s="174" t="str">
        <f t="shared" si="21"/>
        <v/>
      </c>
      <c r="BO13" s="37"/>
      <c r="BP13" s="174" t="str">
        <f t="shared" si="22"/>
        <v/>
      </c>
      <c r="BQ13" s="37"/>
      <c r="BR13" s="174" t="str">
        <f t="shared" si="23"/>
        <v/>
      </c>
      <c r="BS13" s="37"/>
      <c r="BT13" s="174" t="str">
        <f t="shared" si="24"/>
        <v/>
      </c>
      <c r="BU13" s="37"/>
      <c r="BV13" s="174" t="str">
        <f t="shared" si="25"/>
        <v/>
      </c>
      <c r="BW13" s="37"/>
      <c r="BX13" s="174" t="str">
        <f t="shared" si="26"/>
        <v/>
      </c>
      <c r="BY13" s="37"/>
      <c r="BZ13" s="174" t="str">
        <f t="shared" si="27"/>
        <v/>
      </c>
      <c r="CA13" s="37"/>
      <c r="CB13" s="174" t="str">
        <f t="shared" si="28"/>
        <v/>
      </c>
      <c r="CC13" s="37"/>
      <c r="CD13" s="174" t="str">
        <f t="shared" si="29"/>
        <v/>
      </c>
      <c r="CE13" s="37"/>
      <c r="CF13" s="174" t="str">
        <f t="shared" si="30"/>
        <v/>
      </c>
      <c r="CG13" s="37"/>
      <c r="CH13" s="174" t="str">
        <f t="shared" si="31"/>
        <v/>
      </c>
      <c r="CI13" s="37"/>
      <c r="CJ13" s="174" t="str">
        <f t="shared" si="32"/>
        <v/>
      </c>
      <c r="CK13" s="37"/>
      <c r="CL13" s="174" t="str">
        <f t="shared" si="33"/>
        <v/>
      </c>
      <c r="CM13" s="37"/>
      <c r="CN13" s="174" t="str">
        <f t="shared" si="34"/>
        <v/>
      </c>
      <c r="CO13" s="37"/>
      <c r="CP13" s="174" t="str">
        <f t="shared" si="35"/>
        <v/>
      </c>
      <c r="CQ13" s="37"/>
      <c r="CR13" s="174" t="str">
        <f t="shared" si="36"/>
        <v/>
      </c>
      <c r="CS13" s="37"/>
      <c r="CT13" s="174" t="str">
        <f t="shared" si="37"/>
        <v/>
      </c>
      <c r="CU13" s="38"/>
      <c r="CV13" s="87"/>
      <c r="CW13" s="90"/>
      <c r="CX13" s="38"/>
      <c r="CY13" s="39"/>
      <c r="CZ13" s="37"/>
      <c r="DA13" s="39"/>
      <c r="DB13" s="24">
        <v>9</v>
      </c>
      <c r="DC13" s="96" t="str">
        <f t="shared" si="38"/>
        <v>水</v>
      </c>
      <c r="DF13" s="125"/>
      <c r="DG13" s="40"/>
      <c r="DH13" s="40"/>
      <c r="DI13" s="40"/>
      <c r="DJ13" s="40"/>
      <c r="DK13" s="40"/>
      <c r="DL13" s="40"/>
      <c r="DM13" s="40"/>
      <c r="DN13" s="40"/>
      <c r="DO13" s="40"/>
      <c r="DP13" s="40">
        <f t="shared" si="39"/>
        <v>0</v>
      </c>
      <c r="DQ13" s="172" t="str">
        <f t="shared" si="40"/>
        <v/>
      </c>
      <c r="DS13" s="189"/>
      <c r="DT13" s="190"/>
      <c r="DU13" s="190"/>
      <c r="DV13" s="191"/>
      <c r="DW13" s="138"/>
      <c r="DX13" s="42"/>
    </row>
    <row r="14" spans="1:132" ht="13.5" customHeight="1" x14ac:dyDescent="0.4">
      <c r="A14" s="104">
        <v>10</v>
      </c>
      <c r="B14" s="23" t="s">
        <v>85</v>
      </c>
      <c r="C14" s="164"/>
      <c r="D14" s="164"/>
      <c r="E14" s="24"/>
      <c r="F14" s="29"/>
      <c r="G14" s="25" t="str">
        <f>IF(SUM($F$5:F14)=0,"",SUM($F$5:F14))</f>
        <v/>
      </c>
      <c r="H14" s="43" t="str">
        <f t="shared" si="0"/>
        <v/>
      </c>
      <c r="I14" s="148" t="e">
        <f t="array" aca="1" ref="I14" ca="1">IF($A15="",$G14/($V14-$U$5+INDIRECT(IF(_xlfn.SHEET()&lt;6,"令和8年"&amp;_xlfn.SHEET()+7&amp;"月","令和9年"&amp;_xlfn.SHEET()-5&amp;"月")&amp;"!$U$5")),$G14/($V15-$U$5))</f>
        <v>#VALUE!</v>
      </c>
      <c r="J14" s="26" t="str">
        <f t="shared" si="1"/>
        <v/>
      </c>
      <c r="K14" s="27"/>
      <c r="L14" s="165">
        <f t="shared" si="2"/>
        <v>0</v>
      </c>
      <c r="M14" s="28" t="str">
        <f t="shared" si="3"/>
        <v/>
      </c>
      <c r="N14" s="166" t="str">
        <f t="shared" si="4"/>
        <v/>
      </c>
      <c r="O14" s="167" t="str">
        <f t="shared" si="5"/>
        <v/>
      </c>
      <c r="P14" s="168"/>
      <c r="Q14" s="169" t="str">
        <f t="shared" si="6"/>
        <v/>
      </c>
      <c r="R14" s="170">
        <v>26</v>
      </c>
      <c r="S14" s="171">
        <v>14</v>
      </c>
      <c r="T14" s="24" t="s">
        <v>84</v>
      </c>
      <c r="U14" s="29">
        <v>184228</v>
      </c>
      <c r="V14" s="30">
        <f t="shared" si="41"/>
        <v>2607581</v>
      </c>
      <c r="W14" s="27">
        <v>135</v>
      </c>
      <c r="X14" s="31">
        <f t="shared" si="7"/>
        <v>1364.6518518518519</v>
      </c>
      <c r="Y14" s="29">
        <v>149565</v>
      </c>
      <c r="Z14" s="32">
        <f t="shared" si="42"/>
        <v>3077553</v>
      </c>
      <c r="AA14" s="33">
        <f t="shared" si="8"/>
        <v>0.84729036348033648</v>
      </c>
      <c r="AB14" s="158">
        <v>200000</v>
      </c>
      <c r="AC14" s="34">
        <f t="shared" si="43"/>
        <v>2860000</v>
      </c>
      <c r="AD14" s="158"/>
      <c r="AE14" s="25"/>
      <c r="AF14" s="25"/>
      <c r="AG14" s="25"/>
      <c r="AH14" s="25"/>
      <c r="AI14" s="25"/>
      <c r="AJ14" s="25"/>
      <c r="AK14" s="25"/>
      <c r="AL14" s="158"/>
      <c r="AM14" s="25"/>
      <c r="AN14" s="158"/>
      <c r="AO14" s="25"/>
      <c r="AP14" s="25"/>
      <c r="AQ14" s="158"/>
      <c r="AR14" s="35">
        <f t="shared" si="9"/>
        <v>0</v>
      </c>
      <c r="AS14" s="172" t="str">
        <f t="shared" si="10"/>
        <v/>
      </c>
      <c r="AT14" s="36">
        <f t="shared" si="11"/>
        <v>0</v>
      </c>
      <c r="AU14" s="173"/>
      <c r="AV14" s="82">
        <f t="shared" si="12"/>
        <v>10</v>
      </c>
      <c r="AW14" s="37"/>
      <c r="AX14" s="174" t="str">
        <f t="shared" si="13"/>
        <v/>
      </c>
      <c r="AY14" s="37"/>
      <c r="AZ14" s="174" t="str">
        <f t="shared" si="14"/>
        <v/>
      </c>
      <c r="BA14" s="37"/>
      <c r="BB14" s="174" t="str">
        <f t="shared" si="15"/>
        <v/>
      </c>
      <c r="BC14" s="37"/>
      <c r="BD14" s="174" t="str">
        <f t="shared" si="16"/>
        <v/>
      </c>
      <c r="BE14" s="37"/>
      <c r="BF14" s="174" t="str">
        <f t="shared" si="17"/>
        <v/>
      </c>
      <c r="BG14" s="37"/>
      <c r="BH14" s="174" t="str">
        <f t="shared" si="18"/>
        <v/>
      </c>
      <c r="BI14" s="37"/>
      <c r="BJ14" s="174" t="str">
        <f t="shared" si="19"/>
        <v/>
      </c>
      <c r="BK14" s="37"/>
      <c r="BL14" s="174" t="str">
        <f t="shared" si="20"/>
        <v/>
      </c>
      <c r="BM14" s="37"/>
      <c r="BN14" s="174" t="str">
        <f t="shared" si="21"/>
        <v/>
      </c>
      <c r="BO14" s="37"/>
      <c r="BP14" s="174" t="str">
        <f t="shared" si="22"/>
        <v/>
      </c>
      <c r="BQ14" s="37"/>
      <c r="BR14" s="174" t="str">
        <f t="shared" si="23"/>
        <v/>
      </c>
      <c r="BS14" s="37"/>
      <c r="BT14" s="174" t="str">
        <f t="shared" si="24"/>
        <v/>
      </c>
      <c r="BU14" s="37"/>
      <c r="BV14" s="174" t="str">
        <f t="shared" si="25"/>
        <v/>
      </c>
      <c r="BW14" s="37"/>
      <c r="BX14" s="174" t="str">
        <f t="shared" si="26"/>
        <v/>
      </c>
      <c r="BY14" s="37"/>
      <c r="BZ14" s="174" t="str">
        <f t="shared" si="27"/>
        <v/>
      </c>
      <c r="CA14" s="37"/>
      <c r="CB14" s="174" t="str">
        <f t="shared" si="28"/>
        <v/>
      </c>
      <c r="CC14" s="37"/>
      <c r="CD14" s="174" t="str">
        <f t="shared" si="29"/>
        <v/>
      </c>
      <c r="CE14" s="37"/>
      <c r="CF14" s="174" t="str">
        <f t="shared" si="30"/>
        <v/>
      </c>
      <c r="CG14" s="37"/>
      <c r="CH14" s="174" t="str">
        <f t="shared" si="31"/>
        <v/>
      </c>
      <c r="CI14" s="37"/>
      <c r="CJ14" s="174" t="str">
        <f t="shared" si="32"/>
        <v/>
      </c>
      <c r="CK14" s="37"/>
      <c r="CL14" s="174" t="str">
        <f t="shared" si="33"/>
        <v/>
      </c>
      <c r="CM14" s="37"/>
      <c r="CN14" s="174" t="str">
        <f t="shared" si="34"/>
        <v/>
      </c>
      <c r="CO14" s="37"/>
      <c r="CP14" s="174" t="str">
        <f t="shared" si="35"/>
        <v/>
      </c>
      <c r="CQ14" s="37"/>
      <c r="CR14" s="174" t="str">
        <f t="shared" si="36"/>
        <v/>
      </c>
      <c r="CS14" s="37"/>
      <c r="CT14" s="174" t="str">
        <f t="shared" si="37"/>
        <v/>
      </c>
      <c r="CU14" s="38"/>
      <c r="CV14" s="87"/>
      <c r="CW14" s="90"/>
      <c r="CX14" s="38"/>
      <c r="CY14" s="39"/>
      <c r="CZ14" s="37"/>
      <c r="DA14" s="39"/>
      <c r="DB14" s="24">
        <v>10</v>
      </c>
      <c r="DC14" s="96" t="str">
        <f t="shared" si="38"/>
        <v>木</v>
      </c>
      <c r="DF14" s="125"/>
      <c r="DG14" s="40"/>
      <c r="DH14" s="40"/>
      <c r="DI14" s="40"/>
      <c r="DJ14" s="40"/>
      <c r="DK14" s="40"/>
      <c r="DL14" s="40"/>
      <c r="DM14" s="40"/>
      <c r="DN14" s="40"/>
      <c r="DO14" s="40"/>
      <c r="DP14" s="40">
        <f t="shared" si="39"/>
        <v>0</v>
      </c>
      <c r="DQ14" s="172" t="str">
        <f t="shared" si="40"/>
        <v/>
      </c>
      <c r="DS14" s="189"/>
      <c r="DT14" s="190"/>
      <c r="DU14" s="190"/>
      <c r="DV14" s="191"/>
      <c r="DW14" s="41"/>
      <c r="DX14" s="42"/>
    </row>
    <row r="15" spans="1:132" ht="13.5" customHeight="1" x14ac:dyDescent="0.4">
      <c r="A15" s="104">
        <v>11</v>
      </c>
      <c r="B15" s="23" t="s">
        <v>86</v>
      </c>
      <c r="C15" s="164"/>
      <c r="D15" s="164"/>
      <c r="E15" s="24"/>
      <c r="F15" s="29"/>
      <c r="G15" s="25" t="str">
        <f>IF(SUM($F$5:F15)=0,"",SUM($F$5:F15))</f>
        <v/>
      </c>
      <c r="H15" s="43" t="str">
        <f t="shared" si="0"/>
        <v/>
      </c>
      <c r="I15" s="148" t="e">
        <f t="array" aca="1" ref="I15" ca="1">IF($A16="",$G15/($V15-$U$5+INDIRECT(IF(_xlfn.SHEET()&lt;6,"令和8年"&amp;_xlfn.SHEET()+7&amp;"月","令和9年"&amp;_xlfn.SHEET()-5&amp;"月")&amp;"!$U$5")),$G15/($V16-$U$5))</f>
        <v>#VALUE!</v>
      </c>
      <c r="J15" s="26" t="str">
        <f t="shared" si="1"/>
        <v/>
      </c>
      <c r="K15" s="27"/>
      <c r="L15" s="165">
        <f t="shared" si="2"/>
        <v>0</v>
      </c>
      <c r="M15" s="28" t="str">
        <f t="shared" si="3"/>
        <v/>
      </c>
      <c r="N15" s="166" t="str">
        <f t="shared" si="4"/>
        <v/>
      </c>
      <c r="O15" s="167" t="str">
        <f t="shared" si="5"/>
        <v/>
      </c>
      <c r="P15" s="168"/>
      <c r="Q15" s="169" t="str">
        <f t="shared" si="6"/>
        <v/>
      </c>
      <c r="R15" s="170">
        <v>28</v>
      </c>
      <c r="S15" s="171">
        <v>15</v>
      </c>
      <c r="T15" s="24" t="s">
        <v>84</v>
      </c>
      <c r="U15" s="29">
        <v>190265</v>
      </c>
      <c r="V15" s="30">
        <f t="shared" si="41"/>
        <v>2797846</v>
      </c>
      <c r="W15" s="27">
        <v>104</v>
      </c>
      <c r="X15" s="31">
        <f t="shared" si="7"/>
        <v>1829.4711538461538</v>
      </c>
      <c r="Y15" s="29">
        <v>180285</v>
      </c>
      <c r="Z15" s="32">
        <f t="shared" si="42"/>
        <v>3257838</v>
      </c>
      <c r="AA15" s="33">
        <f t="shared" si="8"/>
        <v>0.85880452005286945</v>
      </c>
      <c r="AB15" s="158">
        <v>200000</v>
      </c>
      <c r="AC15" s="34">
        <f t="shared" si="43"/>
        <v>3060000</v>
      </c>
      <c r="AD15" s="158"/>
      <c r="AE15" s="25"/>
      <c r="AF15" s="25"/>
      <c r="AG15" s="25"/>
      <c r="AH15" s="25"/>
      <c r="AI15" s="25"/>
      <c r="AJ15" s="25"/>
      <c r="AK15" s="25"/>
      <c r="AL15" s="158"/>
      <c r="AM15" s="25"/>
      <c r="AN15" s="158"/>
      <c r="AO15" s="25"/>
      <c r="AP15" s="25"/>
      <c r="AQ15" s="158"/>
      <c r="AR15" s="35">
        <f t="shared" si="9"/>
        <v>0</v>
      </c>
      <c r="AS15" s="172" t="str">
        <f t="shared" si="10"/>
        <v/>
      </c>
      <c r="AT15" s="36">
        <f t="shared" si="11"/>
        <v>0</v>
      </c>
      <c r="AU15" s="173"/>
      <c r="AV15" s="82">
        <f t="shared" si="12"/>
        <v>11</v>
      </c>
      <c r="AW15" s="37"/>
      <c r="AX15" s="174" t="str">
        <f t="shared" si="13"/>
        <v/>
      </c>
      <c r="AY15" s="37"/>
      <c r="AZ15" s="174" t="str">
        <f t="shared" si="14"/>
        <v/>
      </c>
      <c r="BA15" s="37"/>
      <c r="BB15" s="174" t="str">
        <f t="shared" si="15"/>
        <v/>
      </c>
      <c r="BC15" s="37"/>
      <c r="BD15" s="174" t="str">
        <f t="shared" si="16"/>
        <v/>
      </c>
      <c r="BE15" s="37"/>
      <c r="BF15" s="174" t="str">
        <f t="shared" si="17"/>
        <v/>
      </c>
      <c r="BG15" s="37"/>
      <c r="BH15" s="174" t="str">
        <f t="shared" si="18"/>
        <v/>
      </c>
      <c r="BI15" s="37"/>
      <c r="BJ15" s="174" t="str">
        <f t="shared" si="19"/>
        <v/>
      </c>
      <c r="BK15" s="37"/>
      <c r="BL15" s="174" t="str">
        <f t="shared" si="20"/>
        <v/>
      </c>
      <c r="BM15" s="37"/>
      <c r="BN15" s="174" t="str">
        <f t="shared" si="21"/>
        <v/>
      </c>
      <c r="BO15" s="37"/>
      <c r="BP15" s="174" t="str">
        <f t="shared" si="22"/>
        <v/>
      </c>
      <c r="BQ15" s="37"/>
      <c r="BR15" s="174" t="str">
        <f t="shared" si="23"/>
        <v/>
      </c>
      <c r="BS15" s="37"/>
      <c r="BT15" s="174" t="str">
        <f t="shared" si="24"/>
        <v/>
      </c>
      <c r="BU15" s="37"/>
      <c r="BV15" s="174" t="str">
        <f t="shared" si="25"/>
        <v/>
      </c>
      <c r="BW15" s="37"/>
      <c r="BX15" s="174" t="str">
        <f t="shared" si="26"/>
        <v/>
      </c>
      <c r="BY15" s="37"/>
      <c r="BZ15" s="174" t="str">
        <f t="shared" si="27"/>
        <v/>
      </c>
      <c r="CA15" s="37"/>
      <c r="CB15" s="174" t="str">
        <f t="shared" si="28"/>
        <v/>
      </c>
      <c r="CC15" s="37"/>
      <c r="CD15" s="174" t="str">
        <f t="shared" si="29"/>
        <v/>
      </c>
      <c r="CE15" s="37"/>
      <c r="CF15" s="174" t="str">
        <f t="shared" si="30"/>
        <v/>
      </c>
      <c r="CG15" s="37"/>
      <c r="CH15" s="174" t="str">
        <f t="shared" si="31"/>
        <v/>
      </c>
      <c r="CI15" s="37"/>
      <c r="CJ15" s="174" t="str">
        <f t="shared" si="32"/>
        <v/>
      </c>
      <c r="CK15" s="37"/>
      <c r="CL15" s="174" t="str">
        <f t="shared" si="33"/>
        <v/>
      </c>
      <c r="CM15" s="37"/>
      <c r="CN15" s="174" t="str">
        <f t="shared" si="34"/>
        <v/>
      </c>
      <c r="CO15" s="37"/>
      <c r="CP15" s="174" t="str">
        <f t="shared" si="35"/>
        <v/>
      </c>
      <c r="CQ15" s="37"/>
      <c r="CR15" s="174" t="str">
        <f t="shared" si="36"/>
        <v/>
      </c>
      <c r="CS15" s="37"/>
      <c r="CT15" s="174" t="str">
        <f t="shared" si="37"/>
        <v/>
      </c>
      <c r="CU15" s="38"/>
      <c r="CV15" s="87"/>
      <c r="CW15" s="90"/>
      <c r="CX15" s="38"/>
      <c r="CY15" s="39"/>
      <c r="CZ15" s="37"/>
      <c r="DA15" s="39"/>
      <c r="DB15" s="24">
        <v>11</v>
      </c>
      <c r="DC15" s="96" t="str">
        <f t="shared" si="38"/>
        <v>金</v>
      </c>
      <c r="DF15" s="125"/>
      <c r="DG15" s="40"/>
      <c r="DH15" s="40"/>
      <c r="DI15" s="40"/>
      <c r="DJ15" s="40"/>
      <c r="DK15" s="40"/>
      <c r="DL15" s="40"/>
      <c r="DM15" s="40"/>
      <c r="DN15" s="40"/>
      <c r="DO15" s="40"/>
      <c r="DP15" s="40">
        <f t="shared" si="39"/>
        <v>0</v>
      </c>
      <c r="DQ15" s="172" t="str">
        <f t="shared" si="40"/>
        <v/>
      </c>
      <c r="DS15" s="189"/>
      <c r="DT15" s="190"/>
      <c r="DU15" s="190"/>
      <c r="DV15" s="191"/>
      <c r="DW15" s="41"/>
      <c r="DX15" s="42"/>
    </row>
    <row r="16" spans="1:132" ht="13.5" customHeight="1" x14ac:dyDescent="0.4">
      <c r="A16" s="104">
        <v>12</v>
      </c>
      <c r="B16" s="164" t="s">
        <v>88</v>
      </c>
      <c r="C16" s="164"/>
      <c r="D16" s="164"/>
      <c r="E16" s="24"/>
      <c r="F16" s="29"/>
      <c r="G16" s="25" t="str">
        <f>IF(SUM($F$5:F16)=0,"",SUM($F$5:F16))</f>
        <v/>
      </c>
      <c r="H16" s="43" t="str">
        <f t="shared" si="0"/>
        <v/>
      </c>
      <c r="I16" s="148" t="e">
        <f t="array" aca="1" ref="I16" ca="1">IF($A17="",$G16/($V16-$U$5+INDIRECT(IF(_xlfn.SHEET()&lt;6,"令和8年"&amp;_xlfn.SHEET()+7&amp;"月","令和9年"&amp;_xlfn.SHEET()-5&amp;"月")&amp;"!$U$5")),$G16/($V17-$U$5))</f>
        <v>#VALUE!</v>
      </c>
      <c r="J16" s="26" t="str">
        <f t="shared" si="1"/>
        <v/>
      </c>
      <c r="K16" s="27"/>
      <c r="L16" s="165">
        <f t="shared" si="2"/>
        <v>0</v>
      </c>
      <c r="M16" s="28" t="str">
        <f t="shared" si="3"/>
        <v/>
      </c>
      <c r="N16" s="166" t="str">
        <f t="shared" si="4"/>
        <v/>
      </c>
      <c r="O16" s="167" t="str">
        <f t="shared" si="5"/>
        <v/>
      </c>
      <c r="P16" s="168"/>
      <c r="Q16" s="169" t="str">
        <f t="shared" si="6"/>
        <v/>
      </c>
      <c r="R16" s="170">
        <v>28</v>
      </c>
      <c r="S16" s="171">
        <v>20</v>
      </c>
      <c r="T16" s="24" t="s">
        <v>84</v>
      </c>
      <c r="U16" s="29">
        <v>150382</v>
      </c>
      <c r="V16" s="30">
        <f t="shared" si="41"/>
        <v>2948228</v>
      </c>
      <c r="W16" s="27">
        <v>91</v>
      </c>
      <c r="X16" s="31">
        <f t="shared" si="7"/>
        <v>1652.5494505494505</v>
      </c>
      <c r="Y16" s="29">
        <v>175144</v>
      </c>
      <c r="Z16" s="32">
        <f t="shared" si="42"/>
        <v>3432982</v>
      </c>
      <c r="AA16" s="33">
        <f t="shared" si="8"/>
        <v>0.85879506504840397</v>
      </c>
      <c r="AB16" s="158">
        <v>630000</v>
      </c>
      <c r="AC16" s="34">
        <f t="shared" si="43"/>
        <v>3690000</v>
      </c>
      <c r="AD16" s="158"/>
      <c r="AE16" s="25"/>
      <c r="AF16" s="25"/>
      <c r="AG16" s="25"/>
      <c r="AH16" s="25"/>
      <c r="AI16" s="25"/>
      <c r="AJ16" s="25"/>
      <c r="AK16" s="25"/>
      <c r="AL16" s="158"/>
      <c r="AM16" s="25"/>
      <c r="AN16" s="158"/>
      <c r="AO16" s="25"/>
      <c r="AP16" s="25"/>
      <c r="AQ16" s="158"/>
      <c r="AR16" s="35">
        <f t="shared" si="9"/>
        <v>0</v>
      </c>
      <c r="AS16" s="172" t="str">
        <f t="shared" si="10"/>
        <v/>
      </c>
      <c r="AT16" s="36">
        <f t="shared" si="11"/>
        <v>0</v>
      </c>
      <c r="AU16" s="173"/>
      <c r="AV16" s="82">
        <f t="shared" si="12"/>
        <v>12</v>
      </c>
      <c r="AW16" s="37"/>
      <c r="AX16" s="174" t="str">
        <f t="shared" si="13"/>
        <v/>
      </c>
      <c r="AY16" s="37"/>
      <c r="AZ16" s="174" t="str">
        <f t="shared" si="14"/>
        <v/>
      </c>
      <c r="BA16" s="37"/>
      <c r="BB16" s="174" t="str">
        <f t="shared" si="15"/>
        <v/>
      </c>
      <c r="BC16" s="37"/>
      <c r="BD16" s="174" t="str">
        <f t="shared" si="16"/>
        <v/>
      </c>
      <c r="BE16" s="37"/>
      <c r="BF16" s="174" t="str">
        <f t="shared" si="17"/>
        <v/>
      </c>
      <c r="BG16" s="37"/>
      <c r="BH16" s="174" t="str">
        <f t="shared" si="18"/>
        <v/>
      </c>
      <c r="BI16" s="37"/>
      <c r="BJ16" s="174" t="str">
        <f t="shared" si="19"/>
        <v/>
      </c>
      <c r="BK16" s="37"/>
      <c r="BL16" s="174" t="str">
        <f t="shared" si="20"/>
        <v/>
      </c>
      <c r="BM16" s="37"/>
      <c r="BN16" s="174" t="str">
        <f t="shared" si="21"/>
        <v/>
      </c>
      <c r="BO16" s="37"/>
      <c r="BP16" s="174" t="str">
        <f t="shared" si="22"/>
        <v/>
      </c>
      <c r="BQ16" s="37"/>
      <c r="BR16" s="174" t="str">
        <f t="shared" si="23"/>
        <v/>
      </c>
      <c r="BS16" s="37"/>
      <c r="BT16" s="174" t="str">
        <f t="shared" si="24"/>
        <v/>
      </c>
      <c r="BU16" s="37"/>
      <c r="BV16" s="174" t="str">
        <f t="shared" si="25"/>
        <v/>
      </c>
      <c r="BW16" s="37"/>
      <c r="BX16" s="174" t="str">
        <f t="shared" si="26"/>
        <v/>
      </c>
      <c r="BY16" s="37"/>
      <c r="BZ16" s="174" t="str">
        <f t="shared" si="27"/>
        <v/>
      </c>
      <c r="CA16" s="37"/>
      <c r="CB16" s="174" t="str">
        <f t="shared" si="28"/>
        <v/>
      </c>
      <c r="CC16" s="37"/>
      <c r="CD16" s="174" t="str">
        <f t="shared" si="29"/>
        <v/>
      </c>
      <c r="CE16" s="37"/>
      <c r="CF16" s="174" t="str">
        <f t="shared" si="30"/>
        <v/>
      </c>
      <c r="CG16" s="37"/>
      <c r="CH16" s="174" t="str">
        <f t="shared" si="31"/>
        <v/>
      </c>
      <c r="CI16" s="37"/>
      <c r="CJ16" s="174" t="str">
        <f t="shared" si="32"/>
        <v/>
      </c>
      <c r="CK16" s="37"/>
      <c r="CL16" s="174" t="str">
        <f t="shared" si="33"/>
        <v/>
      </c>
      <c r="CM16" s="37"/>
      <c r="CN16" s="174" t="str">
        <f t="shared" si="34"/>
        <v/>
      </c>
      <c r="CO16" s="37"/>
      <c r="CP16" s="174" t="str">
        <f t="shared" si="35"/>
        <v/>
      </c>
      <c r="CQ16" s="37"/>
      <c r="CR16" s="174" t="str">
        <f t="shared" si="36"/>
        <v/>
      </c>
      <c r="CS16" s="37"/>
      <c r="CT16" s="174" t="str">
        <f t="shared" si="37"/>
        <v/>
      </c>
      <c r="CU16" s="38"/>
      <c r="CV16" s="87"/>
      <c r="CW16" s="90"/>
      <c r="CX16" s="38"/>
      <c r="CY16" s="39"/>
      <c r="CZ16" s="37"/>
      <c r="DA16" s="39"/>
      <c r="DB16" s="24">
        <v>12</v>
      </c>
      <c r="DC16" s="96" t="str">
        <f t="shared" si="38"/>
        <v>土</v>
      </c>
      <c r="DF16" s="125"/>
      <c r="DG16" s="40"/>
      <c r="DH16" s="40"/>
      <c r="DI16" s="40"/>
      <c r="DJ16" s="40"/>
      <c r="DK16" s="40"/>
      <c r="DL16" s="40"/>
      <c r="DM16" s="40"/>
      <c r="DN16" s="40"/>
      <c r="DO16" s="40"/>
      <c r="DP16" s="40">
        <f t="shared" si="39"/>
        <v>0</v>
      </c>
      <c r="DQ16" s="172" t="str">
        <f t="shared" si="40"/>
        <v/>
      </c>
      <c r="DS16" s="189"/>
      <c r="DT16" s="190"/>
      <c r="DU16" s="190"/>
      <c r="DV16" s="191"/>
      <c r="DW16" s="138"/>
      <c r="DX16" s="42"/>
    </row>
    <row r="17" spans="1:128" ht="13.5" customHeight="1" x14ac:dyDescent="0.4">
      <c r="A17" s="104">
        <v>13</v>
      </c>
      <c r="B17" s="23" t="s">
        <v>89</v>
      </c>
      <c r="C17" s="164"/>
      <c r="D17" s="164"/>
      <c r="E17" s="24"/>
      <c r="F17" s="29"/>
      <c r="G17" s="25" t="str">
        <f>IF(SUM($F$5:F17)=0,"",SUM($F$5:F17))</f>
        <v/>
      </c>
      <c r="H17" s="43" t="str">
        <f t="shared" si="0"/>
        <v/>
      </c>
      <c r="I17" s="148" t="e">
        <f t="array" aca="1" ref="I17" ca="1">IF($A18="",$G17/($V17-$U$5+INDIRECT(IF(_xlfn.SHEET()&lt;6,"令和8年"&amp;_xlfn.SHEET()+7&amp;"月","令和9年"&amp;_xlfn.SHEET()-5&amp;"月")&amp;"!$U$5")),$G17/($V18-$U$5))</f>
        <v>#VALUE!</v>
      </c>
      <c r="J17" s="26" t="str">
        <f t="shared" si="1"/>
        <v/>
      </c>
      <c r="K17" s="27"/>
      <c r="L17" s="165">
        <f t="shared" si="2"/>
        <v>0</v>
      </c>
      <c r="M17" s="28" t="str">
        <f t="shared" si="3"/>
        <v/>
      </c>
      <c r="N17" s="166" t="str">
        <f t="shared" si="4"/>
        <v/>
      </c>
      <c r="O17" s="167" t="str">
        <f t="shared" si="5"/>
        <v/>
      </c>
      <c r="P17" s="168"/>
      <c r="Q17" s="169" t="str">
        <f t="shared" si="6"/>
        <v/>
      </c>
      <c r="R17" s="170">
        <v>31</v>
      </c>
      <c r="S17" s="171">
        <v>18</v>
      </c>
      <c r="T17" s="24" t="s">
        <v>84</v>
      </c>
      <c r="U17" s="29">
        <v>451703</v>
      </c>
      <c r="V17" s="30">
        <f t="shared" si="41"/>
        <v>3399931</v>
      </c>
      <c r="W17" s="27">
        <v>297</v>
      </c>
      <c r="X17" s="31">
        <f t="shared" si="7"/>
        <v>1520.8855218855219</v>
      </c>
      <c r="Y17" s="29">
        <v>126978</v>
      </c>
      <c r="Z17" s="32">
        <f t="shared" si="42"/>
        <v>3559960</v>
      </c>
      <c r="AA17" s="33">
        <f t="shared" si="8"/>
        <v>0.95504752862391717</v>
      </c>
      <c r="AB17" s="158">
        <v>630000</v>
      </c>
      <c r="AC17" s="34">
        <f t="shared" si="43"/>
        <v>4320000</v>
      </c>
      <c r="AD17" s="158"/>
      <c r="AE17" s="25"/>
      <c r="AF17" s="25"/>
      <c r="AG17" s="25"/>
      <c r="AH17" s="25"/>
      <c r="AI17" s="25"/>
      <c r="AJ17" s="25"/>
      <c r="AK17" s="25"/>
      <c r="AL17" s="158"/>
      <c r="AM17" s="25"/>
      <c r="AN17" s="158"/>
      <c r="AO17" s="25"/>
      <c r="AP17" s="25"/>
      <c r="AQ17" s="158"/>
      <c r="AR17" s="35">
        <f t="shared" si="9"/>
        <v>0</v>
      </c>
      <c r="AS17" s="172" t="str">
        <f t="shared" si="10"/>
        <v/>
      </c>
      <c r="AT17" s="36">
        <f t="shared" si="11"/>
        <v>0</v>
      </c>
      <c r="AU17" s="173"/>
      <c r="AV17" s="82">
        <f t="shared" si="12"/>
        <v>13</v>
      </c>
      <c r="AW17" s="37"/>
      <c r="AX17" s="174" t="str">
        <f t="shared" si="13"/>
        <v/>
      </c>
      <c r="AY17" s="37"/>
      <c r="AZ17" s="174" t="str">
        <f t="shared" si="14"/>
        <v/>
      </c>
      <c r="BA17" s="37"/>
      <c r="BB17" s="174" t="str">
        <f t="shared" si="15"/>
        <v/>
      </c>
      <c r="BC17" s="37"/>
      <c r="BD17" s="174" t="str">
        <f t="shared" si="16"/>
        <v/>
      </c>
      <c r="BE17" s="37"/>
      <c r="BF17" s="174" t="str">
        <f t="shared" si="17"/>
        <v/>
      </c>
      <c r="BG17" s="37"/>
      <c r="BH17" s="174" t="str">
        <f t="shared" si="18"/>
        <v/>
      </c>
      <c r="BI17" s="37"/>
      <c r="BJ17" s="174" t="str">
        <f t="shared" si="19"/>
        <v/>
      </c>
      <c r="BK17" s="37"/>
      <c r="BL17" s="174" t="str">
        <f t="shared" si="20"/>
        <v/>
      </c>
      <c r="BM17" s="37"/>
      <c r="BN17" s="174" t="str">
        <f t="shared" si="21"/>
        <v/>
      </c>
      <c r="BO17" s="37"/>
      <c r="BP17" s="174" t="str">
        <f t="shared" si="22"/>
        <v/>
      </c>
      <c r="BQ17" s="37"/>
      <c r="BR17" s="174" t="str">
        <f t="shared" si="23"/>
        <v/>
      </c>
      <c r="BS17" s="37"/>
      <c r="BT17" s="174" t="str">
        <f t="shared" si="24"/>
        <v/>
      </c>
      <c r="BU17" s="37"/>
      <c r="BV17" s="174" t="str">
        <f t="shared" si="25"/>
        <v/>
      </c>
      <c r="BW17" s="37"/>
      <c r="BX17" s="174" t="str">
        <f t="shared" si="26"/>
        <v/>
      </c>
      <c r="BY17" s="37"/>
      <c r="BZ17" s="174" t="str">
        <f t="shared" si="27"/>
        <v/>
      </c>
      <c r="CA17" s="37"/>
      <c r="CB17" s="174" t="str">
        <f t="shared" si="28"/>
        <v/>
      </c>
      <c r="CC17" s="37"/>
      <c r="CD17" s="174" t="str">
        <f t="shared" si="29"/>
        <v/>
      </c>
      <c r="CE17" s="37"/>
      <c r="CF17" s="174" t="str">
        <f t="shared" si="30"/>
        <v/>
      </c>
      <c r="CG17" s="37"/>
      <c r="CH17" s="174" t="str">
        <f t="shared" si="31"/>
        <v/>
      </c>
      <c r="CI17" s="37"/>
      <c r="CJ17" s="174" t="str">
        <f t="shared" si="32"/>
        <v/>
      </c>
      <c r="CK17" s="37"/>
      <c r="CL17" s="174" t="str">
        <f t="shared" si="33"/>
        <v/>
      </c>
      <c r="CM17" s="37"/>
      <c r="CN17" s="174" t="str">
        <f t="shared" si="34"/>
        <v/>
      </c>
      <c r="CO17" s="37"/>
      <c r="CP17" s="174" t="str">
        <f t="shared" si="35"/>
        <v/>
      </c>
      <c r="CQ17" s="37"/>
      <c r="CR17" s="174" t="str">
        <f t="shared" si="36"/>
        <v/>
      </c>
      <c r="CS17" s="37"/>
      <c r="CT17" s="174" t="str">
        <f t="shared" si="37"/>
        <v/>
      </c>
      <c r="CU17" s="38"/>
      <c r="CV17" s="87"/>
      <c r="CW17" s="90"/>
      <c r="CX17" s="38"/>
      <c r="CY17" s="39"/>
      <c r="CZ17" s="37"/>
      <c r="DA17" s="39"/>
      <c r="DB17" s="24">
        <v>13</v>
      </c>
      <c r="DC17" s="96" t="str">
        <f t="shared" si="38"/>
        <v>日</v>
      </c>
      <c r="DF17" s="125"/>
      <c r="DG17" s="40"/>
      <c r="DH17" s="40"/>
      <c r="DI17" s="40"/>
      <c r="DJ17" s="40"/>
      <c r="DK17" s="40"/>
      <c r="DL17" s="40"/>
      <c r="DM17" s="40"/>
      <c r="DN17" s="40"/>
      <c r="DO17" s="40"/>
      <c r="DP17" s="40">
        <f t="shared" si="39"/>
        <v>0</v>
      </c>
      <c r="DQ17" s="172" t="str">
        <f t="shared" si="40"/>
        <v/>
      </c>
      <c r="DS17" s="189"/>
      <c r="DT17" s="190"/>
      <c r="DU17" s="190"/>
      <c r="DV17" s="191"/>
      <c r="DW17" s="41"/>
      <c r="DX17" s="42"/>
    </row>
    <row r="18" spans="1:128" ht="13.5" customHeight="1" x14ac:dyDescent="0.4">
      <c r="A18" s="104">
        <v>14</v>
      </c>
      <c r="B18" s="141" t="s">
        <v>90</v>
      </c>
      <c r="C18" s="164"/>
      <c r="D18" s="164"/>
      <c r="E18" s="24"/>
      <c r="F18" s="29"/>
      <c r="G18" s="25" t="str">
        <f>IF(SUM($F$5:F18)=0,"",SUM($F$5:F18))</f>
        <v/>
      </c>
      <c r="H18" s="43" t="str">
        <f t="shared" si="0"/>
        <v/>
      </c>
      <c r="I18" s="148" t="e">
        <f t="array" aca="1" ref="I18" ca="1">IF($A19="",$G18/($V18-$U$5+INDIRECT(IF(_xlfn.SHEET()&lt;6,"令和8年"&amp;_xlfn.SHEET()+7&amp;"月","令和9年"&amp;_xlfn.SHEET()-5&amp;"月")&amp;"!$U$5")),$G18/($V19-$U$5))</f>
        <v>#VALUE!</v>
      </c>
      <c r="J18" s="26" t="str">
        <f t="shared" si="1"/>
        <v/>
      </c>
      <c r="K18" s="27"/>
      <c r="L18" s="165">
        <f t="shared" si="2"/>
        <v>0</v>
      </c>
      <c r="M18" s="28" t="str">
        <f t="shared" si="3"/>
        <v/>
      </c>
      <c r="N18" s="166" t="str">
        <f t="shared" si="4"/>
        <v/>
      </c>
      <c r="O18" s="167" t="str">
        <f t="shared" si="5"/>
        <v/>
      </c>
      <c r="P18" s="168"/>
      <c r="Q18" s="169" t="str">
        <f t="shared" si="6"/>
        <v/>
      </c>
      <c r="R18" s="170">
        <v>28</v>
      </c>
      <c r="S18" s="171">
        <v>20</v>
      </c>
      <c r="T18" s="24" t="s">
        <v>134</v>
      </c>
      <c r="U18" s="29">
        <v>636827</v>
      </c>
      <c r="V18" s="30">
        <f t="shared" si="41"/>
        <v>4036758</v>
      </c>
      <c r="W18" s="27">
        <v>345</v>
      </c>
      <c r="X18" s="31">
        <f t="shared" si="7"/>
        <v>1845.8753623188406</v>
      </c>
      <c r="Y18" s="29">
        <v>660535</v>
      </c>
      <c r="Z18" s="32">
        <f t="shared" si="42"/>
        <v>4220495</v>
      </c>
      <c r="AA18" s="33">
        <f t="shared" si="8"/>
        <v>0.95646553307135773</v>
      </c>
      <c r="AB18" s="158">
        <v>200000</v>
      </c>
      <c r="AC18" s="34">
        <f t="shared" si="43"/>
        <v>4520000</v>
      </c>
      <c r="AD18" s="158"/>
      <c r="AE18" s="25"/>
      <c r="AF18" s="25"/>
      <c r="AG18" s="25"/>
      <c r="AH18" s="25"/>
      <c r="AI18" s="25"/>
      <c r="AJ18" s="25"/>
      <c r="AK18" s="25"/>
      <c r="AL18" s="158"/>
      <c r="AM18" s="25"/>
      <c r="AN18" s="158"/>
      <c r="AO18" s="25"/>
      <c r="AP18" s="25"/>
      <c r="AQ18" s="158"/>
      <c r="AR18" s="35">
        <f t="shared" si="9"/>
        <v>0</v>
      </c>
      <c r="AS18" s="172" t="str">
        <f t="shared" si="10"/>
        <v/>
      </c>
      <c r="AT18" s="36">
        <f t="shared" si="11"/>
        <v>0</v>
      </c>
      <c r="AU18" s="173"/>
      <c r="AV18" s="82">
        <f t="shared" si="12"/>
        <v>14</v>
      </c>
      <c r="AW18" s="37"/>
      <c r="AX18" s="174" t="str">
        <f t="shared" si="13"/>
        <v/>
      </c>
      <c r="AY18" s="37"/>
      <c r="AZ18" s="174" t="str">
        <f t="shared" si="14"/>
        <v/>
      </c>
      <c r="BA18" s="37"/>
      <c r="BB18" s="174" t="str">
        <f t="shared" si="15"/>
        <v/>
      </c>
      <c r="BC18" s="37"/>
      <c r="BD18" s="174" t="str">
        <f t="shared" si="16"/>
        <v/>
      </c>
      <c r="BE18" s="37"/>
      <c r="BF18" s="174" t="str">
        <f t="shared" si="17"/>
        <v/>
      </c>
      <c r="BG18" s="37"/>
      <c r="BH18" s="174" t="str">
        <f t="shared" si="18"/>
        <v/>
      </c>
      <c r="BI18" s="37"/>
      <c r="BJ18" s="174" t="str">
        <f t="shared" si="19"/>
        <v/>
      </c>
      <c r="BK18" s="37"/>
      <c r="BL18" s="174" t="str">
        <f t="shared" si="20"/>
        <v/>
      </c>
      <c r="BM18" s="37"/>
      <c r="BN18" s="174" t="str">
        <f t="shared" si="21"/>
        <v/>
      </c>
      <c r="BO18" s="37"/>
      <c r="BP18" s="174" t="str">
        <f t="shared" si="22"/>
        <v/>
      </c>
      <c r="BQ18" s="37"/>
      <c r="BR18" s="174" t="str">
        <f t="shared" si="23"/>
        <v/>
      </c>
      <c r="BS18" s="37"/>
      <c r="BT18" s="174" t="str">
        <f t="shared" si="24"/>
        <v/>
      </c>
      <c r="BU18" s="37"/>
      <c r="BV18" s="174" t="str">
        <f t="shared" si="25"/>
        <v/>
      </c>
      <c r="BW18" s="37"/>
      <c r="BX18" s="174" t="str">
        <f t="shared" si="26"/>
        <v/>
      </c>
      <c r="BY18" s="37"/>
      <c r="BZ18" s="174" t="str">
        <f t="shared" si="27"/>
        <v/>
      </c>
      <c r="CA18" s="37"/>
      <c r="CB18" s="174" t="str">
        <f t="shared" si="28"/>
        <v/>
      </c>
      <c r="CC18" s="37"/>
      <c r="CD18" s="174" t="str">
        <f t="shared" si="29"/>
        <v/>
      </c>
      <c r="CE18" s="37"/>
      <c r="CF18" s="174" t="str">
        <f t="shared" si="30"/>
        <v/>
      </c>
      <c r="CG18" s="37"/>
      <c r="CH18" s="174" t="str">
        <f t="shared" si="31"/>
        <v/>
      </c>
      <c r="CI18" s="37"/>
      <c r="CJ18" s="174" t="str">
        <f t="shared" si="32"/>
        <v/>
      </c>
      <c r="CK18" s="37"/>
      <c r="CL18" s="174" t="str">
        <f t="shared" si="33"/>
        <v/>
      </c>
      <c r="CM18" s="37"/>
      <c r="CN18" s="174" t="str">
        <f t="shared" si="34"/>
        <v/>
      </c>
      <c r="CO18" s="37"/>
      <c r="CP18" s="174" t="str">
        <f t="shared" si="35"/>
        <v/>
      </c>
      <c r="CQ18" s="37"/>
      <c r="CR18" s="174" t="str">
        <f t="shared" si="36"/>
        <v/>
      </c>
      <c r="CS18" s="37"/>
      <c r="CT18" s="174" t="str">
        <f t="shared" si="37"/>
        <v/>
      </c>
      <c r="CU18" s="38"/>
      <c r="CV18" s="87"/>
      <c r="CW18" s="90"/>
      <c r="CX18" s="38"/>
      <c r="CY18" s="39"/>
      <c r="CZ18" s="37"/>
      <c r="DA18" s="39"/>
      <c r="DB18" s="24">
        <v>14</v>
      </c>
      <c r="DC18" s="96" t="str">
        <f t="shared" si="38"/>
        <v>月</v>
      </c>
      <c r="DF18" s="125"/>
      <c r="DG18" s="40"/>
      <c r="DH18" s="40"/>
      <c r="DI18" s="40"/>
      <c r="DJ18" s="40"/>
      <c r="DK18" s="40"/>
      <c r="DL18" s="40"/>
      <c r="DM18" s="40"/>
      <c r="DN18" s="40"/>
      <c r="DO18" s="40"/>
      <c r="DP18" s="40">
        <f t="shared" si="39"/>
        <v>0</v>
      </c>
      <c r="DQ18" s="172" t="str">
        <f t="shared" si="40"/>
        <v/>
      </c>
      <c r="DS18" s="189"/>
      <c r="DT18" s="190"/>
      <c r="DU18" s="190"/>
      <c r="DV18" s="191"/>
      <c r="DW18" s="41"/>
      <c r="DX18" s="42"/>
    </row>
    <row r="19" spans="1:128" ht="13.5" customHeight="1" x14ac:dyDescent="0.4">
      <c r="A19" s="104">
        <v>15</v>
      </c>
      <c r="B19" s="23" t="s">
        <v>91</v>
      </c>
      <c r="C19" s="164"/>
      <c r="D19" s="164"/>
      <c r="E19" s="24"/>
      <c r="F19" s="29"/>
      <c r="G19" s="25" t="str">
        <f>IF(SUM($F$5:F19)=0,"",SUM($F$5:F19))</f>
        <v/>
      </c>
      <c r="H19" s="43" t="str">
        <f t="shared" si="0"/>
        <v/>
      </c>
      <c r="I19" s="148" t="e">
        <f t="array" aca="1" ref="I19" ca="1">IF($A20="",$G19/($V19-$U$5+INDIRECT(IF(_xlfn.SHEET()&lt;6,"令和8年"&amp;_xlfn.SHEET()+7&amp;"月","令和9年"&amp;_xlfn.SHEET()-5&amp;"月")&amp;"!$U$5")),$G19/($V20-$U$5))</f>
        <v>#VALUE!</v>
      </c>
      <c r="J19" s="26" t="str">
        <f t="shared" si="1"/>
        <v/>
      </c>
      <c r="K19" s="27"/>
      <c r="L19" s="165">
        <f t="shared" si="2"/>
        <v>0</v>
      </c>
      <c r="M19" s="28" t="str">
        <f t="shared" si="3"/>
        <v/>
      </c>
      <c r="N19" s="166" t="str">
        <f t="shared" si="4"/>
        <v/>
      </c>
      <c r="O19" s="167" t="str">
        <f t="shared" si="5"/>
        <v/>
      </c>
      <c r="P19" s="168"/>
      <c r="Q19" s="169" t="str">
        <f t="shared" si="6"/>
        <v/>
      </c>
      <c r="R19" s="170">
        <v>27</v>
      </c>
      <c r="S19" s="171">
        <v>18</v>
      </c>
      <c r="T19" s="24" t="s">
        <v>84</v>
      </c>
      <c r="U19" s="29">
        <v>175570</v>
      </c>
      <c r="V19" s="30">
        <f t="shared" si="41"/>
        <v>4212328</v>
      </c>
      <c r="W19" s="27">
        <v>120</v>
      </c>
      <c r="X19" s="31">
        <f t="shared" si="7"/>
        <v>1463.0833333333333</v>
      </c>
      <c r="Y19" s="29">
        <v>631035</v>
      </c>
      <c r="Z19" s="32">
        <f t="shared" si="42"/>
        <v>4851530</v>
      </c>
      <c r="AA19" s="33">
        <f t="shared" si="8"/>
        <v>0.86824733640727769</v>
      </c>
      <c r="AB19" s="158">
        <v>200000</v>
      </c>
      <c r="AC19" s="34">
        <f t="shared" si="43"/>
        <v>4720000</v>
      </c>
      <c r="AD19" s="158"/>
      <c r="AE19" s="25"/>
      <c r="AF19" s="25"/>
      <c r="AG19" s="25"/>
      <c r="AH19" s="25"/>
      <c r="AI19" s="25"/>
      <c r="AJ19" s="25"/>
      <c r="AK19" s="25"/>
      <c r="AL19" s="158"/>
      <c r="AM19" s="25"/>
      <c r="AN19" s="158"/>
      <c r="AO19" s="25"/>
      <c r="AP19" s="25"/>
      <c r="AQ19" s="158"/>
      <c r="AR19" s="35">
        <f t="shared" si="9"/>
        <v>0</v>
      </c>
      <c r="AS19" s="172" t="str">
        <f t="shared" si="10"/>
        <v/>
      </c>
      <c r="AT19" s="36">
        <f t="shared" si="11"/>
        <v>0</v>
      </c>
      <c r="AU19" s="173"/>
      <c r="AV19" s="82">
        <f t="shared" si="12"/>
        <v>15</v>
      </c>
      <c r="AW19" s="37"/>
      <c r="AX19" s="174" t="str">
        <f t="shared" si="13"/>
        <v/>
      </c>
      <c r="AY19" s="37"/>
      <c r="AZ19" s="174" t="str">
        <f t="shared" si="14"/>
        <v/>
      </c>
      <c r="BA19" s="37"/>
      <c r="BB19" s="174" t="str">
        <f t="shared" si="15"/>
        <v/>
      </c>
      <c r="BC19" s="37"/>
      <c r="BD19" s="174" t="str">
        <f t="shared" si="16"/>
        <v/>
      </c>
      <c r="BE19" s="37"/>
      <c r="BF19" s="174" t="str">
        <f t="shared" si="17"/>
        <v/>
      </c>
      <c r="BG19" s="37"/>
      <c r="BH19" s="174" t="str">
        <f t="shared" si="18"/>
        <v/>
      </c>
      <c r="BI19" s="37"/>
      <c r="BJ19" s="174" t="str">
        <f t="shared" si="19"/>
        <v/>
      </c>
      <c r="BK19" s="37"/>
      <c r="BL19" s="174" t="str">
        <f t="shared" si="20"/>
        <v/>
      </c>
      <c r="BM19" s="37"/>
      <c r="BN19" s="174" t="str">
        <f t="shared" si="21"/>
        <v/>
      </c>
      <c r="BO19" s="37"/>
      <c r="BP19" s="174" t="str">
        <f t="shared" si="22"/>
        <v/>
      </c>
      <c r="BQ19" s="37"/>
      <c r="BR19" s="174" t="str">
        <f t="shared" si="23"/>
        <v/>
      </c>
      <c r="BS19" s="37"/>
      <c r="BT19" s="174" t="str">
        <f t="shared" si="24"/>
        <v/>
      </c>
      <c r="BU19" s="37"/>
      <c r="BV19" s="174" t="str">
        <f t="shared" si="25"/>
        <v/>
      </c>
      <c r="BW19" s="37"/>
      <c r="BX19" s="174" t="str">
        <f t="shared" si="26"/>
        <v/>
      </c>
      <c r="BY19" s="37"/>
      <c r="BZ19" s="174" t="str">
        <f t="shared" si="27"/>
        <v/>
      </c>
      <c r="CA19" s="37"/>
      <c r="CB19" s="174" t="str">
        <f t="shared" si="28"/>
        <v/>
      </c>
      <c r="CC19" s="37"/>
      <c r="CD19" s="174" t="str">
        <f t="shared" si="29"/>
        <v/>
      </c>
      <c r="CE19" s="37"/>
      <c r="CF19" s="174" t="str">
        <f t="shared" si="30"/>
        <v/>
      </c>
      <c r="CG19" s="37"/>
      <c r="CH19" s="174" t="str">
        <f t="shared" si="31"/>
        <v/>
      </c>
      <c r="CI19" s="37"/>
      <c r="CJ19" s="174" t="str">
        <f t="shared" si="32"/>
        <v/>
      </c>
      <c r="CK19" s="37"/>
      <c r="CL19" s="174" t="str">
        <f t="shared" si="33"/>
        <v/>
      </c>
      <c r="CM19" s="37"/>
      <c r="CN19" s="174" t="str">
        <f t="shared" si="34"/>
        <v/>
      </c>
      <c r="CO19" s="37"/>
      <c r="CP19" s="174" t="str">
        <f t="shared" si="35"/>
        <v/>
      </c>
      <c r="CQ19" s="37"/>
      <c r="CR19" s="174" t="str">
        <f t="shared" si="36"/>
        <v/>
      </c>
      <c r="CS19" s="37"/>
      <c r="CT19" s="174" t="str">
        <f t="shared" si="37"/>
        <v/>
      </c>
      <c r="CU19" s="38"/>
      <c r="CV19" s="87"/>
      <c r="CW19" s="90"/>
      <c r="CX19" s="38"/>
      <c r="CY19" s="39"/>
      <c r="CZ19" s="37"/>
      <c r="DA19" s="39"/>
      <c r="DB19" s="24">
        <v>15</v>
      </c>
      <c r="DC19" s="96" t="str">
        <f t="shared" si="38"/>
        <v>火</v>
      </c>
      <c r="DF19" s="125"/>
      <c r="DG19" s="40"/>
      <c r="DH19" s="40"/>
      <c r="DI19" s="40"/>
      <c r="DJ19" s="40"/>
      <c r="DK19" s="40"/>
      <c r="DL19" s="40"/>
      <c r="DM19" s="40"/>
      <c r="DN19" s="40"/>
      <c r="DO19" s="40"/>
      <c r="DP19" s="40">
        <f t="shared" si="39"/>
        <v>0</v>
      </c>
      <c r="DQ19" s="172" t="str">
        <f t="shared" si="40"/>
        <v/>
      </c>
      <c r="DS19" s="189"/>
      <c r="DT19" s="190"/>
      <c r="DU19" s="190"/>
      <c r="DV19" s="191"/>
      <c r="DW19" s="138"/>
      <c r="DX19" s="42"/>
    </row>
    <row r="20" spans="1:128" ht="13.5" customHeight="1" x14ac:dyDescent="0.4">
      <c r="A20" s="104">
        <v>16</v>
      </c>
      <c r="B20" s="23" t="s">
        <v>83</v>
      </c>
      <c r="C20" s="164"/>
      <c r="D20" s="164"/>
      <c r="E20" s="24"/>
      <c r="F20" s="29"/>
      <c r="G20" s="25" t="str">
        <f>IF(SUM($F$5:F20)=0,"",SUM($F$5:F20))</f>
        <v/>
      </c>
      <c r="H20" s="43" t="str">
        <f t="shared" si="0"/>
        <v/>
      </c>
      <c r="I20" s="148" t="e">
        <f t="array" aca="1" ref="I20" ca="1">IF($A21="",$G20/($V20-$U$5+INDIRECT(IF(_xlfn.SHEET()&lt;6,"令和8年"&amp;_xlfn.SHEET()+7&amp;"月","令和9年"&amp;_xlfn.SHEET()-5&amp;"月")&amp;"!$U$5")),$G20/($V21-$U$5))</f>
        <v>#VALUE!</v>
      </c>
      <c r="J20" s="26" t="str">
        <f t="shared" si="1"/>
        <v/>
      </c>
      <c r="K20" s="27"/>
      <c r="L20" s="165">
        <f t="shared" si="2"/>
        <v>0</v>
      </c>
      <c r="M20" s="28" t="str">
        <f t="shared" si="3"/>
        <v/>
      </c>
      <c r="N20" s="166" t="str">
        <f t="shared" si="4"/>
        <v/>
      </c>
      <c r="O20" s="167" t="str">
        <f t="shared" si="5"/>
        <v/>
      </c>
      <c r="P20" s="168"/>
      <c r="Q20" s="169" t="str">
        <f t="shared" si="6"/>
        <v/>
      </c>
      <c r="R20" s="170">
        <v>31</v>
      </c>
      <c r="S20" s="171">
        <v>25</v>
      </c>
      <c r="T20" s="24" t="s">
        <v>84</v>
      </c>
      <c r="U20" s="29">
        <v>133118</v>
      </c>
      <c r="V20" s="30">
        <f t="shared" si="41"/>
        <v>4345446</v>
      </c>
      <c r="W20" s="27">
        <v>91</v>
      </c>
      <c r="X20" s="31">
        <f t="shared" si="7"/>
        <v>1462.8351648351647</v>
      </c>
      <c r="Y20" s="29">
        <v>126242</v>
      </c>
      <c r="Z20" s="32">
        <f t="shared" si="42"/>
        <v>4977772</v>
      </c>
      <c r="AA20" s="33">
        <f t="shared" si="8"/>
        <v>0.87297007576883789</v>
      </c>
      <c r="AB20" s="158">
        <v>200000</v>
      </c>
      <c r="AC20" s="34">
        <f t="shared" si="43"/>
        <v>4920000</v>
      </c>
      <c r="AD20" s="158"/>
      <c r="AE20" s="25"/>
      <c r="AF20" s="25"/>
      <c r="AG20" s="25"/>
      <c r="AH20" s="25"/>
      <c r="AI20" s="25"/>
      <c r="AJ20" s="25"/>
      <c r="AK20" s="25"/>
      <c r="AL20" s="158"/>
      <c r="AM20" s="25"/>
      <c r="AN20" s="158"/>
      <c r="AO20" s="25"/>
      <c r="AP20" s="25"/>
      <c r="AQ20" s="158"/>
      <c r="AR20" s="35">
        <f t="shared" si="9"/>
        <v>0</v>
      </c>
      <c r="AS20" s="172" t="str">
        <f t="shared" si="10"/>
        <v/>
      </c>
      <c r="AT20" s="36">
        <f t="shared" si="11"/>
        <v>0</v>
      </c>
      <c r="AU20" s="173"/>
      <c r="AV20" s="82">
        <f t="shared" si="12"/>
        <v>16</v>
      </c>
      <c r="AW20" s="37"/>
      <c r="AX20" s="174" t="str">
        <f t="shared" si="13"/>
        <v/>
      </c>
      <c r="AY20" s="37"/>
      <c r="AZ20" s="174" t="str">
        <f t="shared" si="14"/>
        <v/>
      </c>
      <c r="BA20" s="37"/>
      <c r="BB20" s="174" t="str">
        <f t="shared" si="15"/>
        <v/>
      </c>
      <c r="BC20" s="37"/>
      <c r="BD20" s="174" t="str">
        <f t="shared" si="16"/>
        <v/>
      </c>
      <c r="BE20" s="37"/>
      <c r="BF20" s="174" t="str">
        <f t="shared" si="17"/>
        <v/>
      </c>
      <c r="BG20" s="37"/>
      <c r="BH20" s="174" t="str">
        <f t="shared" si="18"/>
        <v/>
      </c>
      <c r="BI20" s="37"/>
      <c r="BJ20" s="174" t="str">
        <f t="shared" si="19"/>
        <v/>
      </c>
      <c r="BK20" s="37"/>
      <c r="BL20" s="174" t="str">
        <f t="shared" si="20"/>
        <v/>
      </c>
      <c r="BM20" s="37"/>
      <c r="BN20" s="174" t="str">
        <f t="shared" si="21"/>
        <v/>
      </c>
      <c r="BO20" s="37"/>
      <c r="BP20" s="174" t="str">
        <f t="shared" si="22"/>
        <v/>
      </c>
      <c r="BQ20" s="37"/>
      <c r="BR20" s="174" t="str">
        <f t="shared" si="23"/>
        <v/>
      </c>
      <c r="BS20" s="37"/>
      <c r="BT20" s="174" t="str">
        <f t="shared" si="24"/>
        <v/>
      </c>
      <c r="BU20" s="37"/>
      <c r="BV20" s="174" t="str">
        <f t="shared" si="25"/>
        <v/>
      </c>
      <c r="BW20" s="37"/>
      <c r="BX20" s="174" t="str">
        <f t="shared" si="26"/>
        <v/>
      </c>
      <c r="BY20" s="37"/>
      <c r="BZ20" s="174" t="str">
        <f t="shared" si="27"/>
        <v/>
      </c>
      <c r="CA20" s="37"/>
      <c r="CB20" s="174" t="str">
        <f t="shared" si="28"/>
        <v/>
      </c>
      <c r="CC20" s="37"/>
      <c r="CD20" s="174" t="str">
        <f t="shared" si="29"/>
        <v/>
      </c>
      <c r="CE20" s="37"/>
      <c r="CF20" s="174" t="str">
        <f t="shared" si="30"/>
        <v/>
      </c>
      <c r="CG20" s="37"/>
      <c r="CH20" s="174" t="str">
        <f t="shared" si="31"/>
        <v/>
      </c>
      <c r="CI20" s="37"/>
      <c r="CJ20" s="174" t="str">
        <f t="shared" si="32"/>
        <v/>
      </c>
      <c r="CK20" s="37"/>
      <c r="CL20" s="174" t="str">
        <f t="shared" si="33"/>
        <v/>
      </c>
      <c r="CM20" s="37"/>
      <c r="CN20" s="174" t="str">
        <f t="shared" si="34"/>
        <v/>
      </c>
      <c r="CO20" s="37"/>
      <c r="CP20" s="174" t="str">
        <f t="shared" si="35"/>
        <v/>
      </c>
      <c r="CQ20" s="37"/>
      <c r="CR20" s="174" t="str">
        <f t="shared" si="36"/>
        <v/>
      </c>
      <c r="CS20" s="37"/>
      <c r="CT20" s="174" t="str">
        <f t="shared" si="37"/>
        <v/>
      </c>
      <c r="CU20" s="38"/>
      <c r="CV20" s="87"/>
      <c r="CW20" s="90"/>
      <c r="CX20" s="38"/>
      <c r="CY20" s="39"/>
      <c r="CZ20" s="37"/>
      <c r="DA20" s="39"/>
      <c r="DB20" s="24">
        <v>16</v>
      </c>
      <c r="DC20" s="96" t="str">
        <f t="shared" si="38"/>
        <v>水</v>
      </c>
      <c r="DF20" s="125"/>
      <c r="DG20" s="40"/>
      <c r="DH20" s="40"/>
      <c r="DI20" s="40"/>
      <c r="DJ20" s="40"/>
      <c r="DK20" s="40"/>
      <c r="DL20" s="40"/>
      <c r="DM20" s="40"/>
      <c r="DN20" s="40"/>
      <c r="DO20" s="40"/>
      <c r="DP20" s="40">
        <f t="shared" si="39"/>
        <v>0</v>
      </c>
      <c r="DQ20" s="172" t="str">
        <f t="shared" si="40"/>
        <v/>
      </c>
      <c r="DS20" s="189"/>
      <c r="DT20" s="190"/>
      <c r="DU20" s="190"/>
      <c r="DV20" s="191"/>
      <c r="DW20" s="41"/>
      <c r="DX20" s="42"/>
    </row>
    <row r="21" spans="1:128" ht="13.5" customHeight="1" x14ac:dyDescent="0.4">
      <c r="A21" s="104">
        <v>17</v>
      </c>
      <c r="B21" s="23" t="s">
        <v>85</v>
      </c>
      <c r="C21" s="164"/>
      <c r="D21" s="164"/>
      <c r="E21" s="24"/>
      <c r="F21" s="29"/>
      <c r="G21" s="25" t="str">
        <f>IF(SUM($F$5:F21)=0,"",SUM($F$5:F21))</f>
        <v/>
      </c>
      <c r="H21" s="43" t="str">
        <f t="shared" si="0"/>
        <v/>
      </c>
      <c r="I21" s="148" t="e">
        <f t="array" aca="1" ref="I21" ca="1">IF($A22="",$G21/($V21-$U$5+INDIRECT(IF(_xlfn.SHEET()&lt;6,"令和8年"&amp;_xlfn.SHEET()+7&amp;"月","令和9年"&amp;_xlfn.SHEET()-5&amp;"月")&amp;"!$U$5")),$G21/($V22-$U$5))</f>
        <v>#VALUE!</v>
      </c>
      <c r="J21" s="26" t="str">
        <f t="shared" si="1"/>
        <v/>
      </c>
      <c r="K21" s="27"/>
      <c r="L21" s="165">
        <f t="shared" si="2"/>
        <v>0</v>
      </c>
      <c r="M21" s="28" t="str">
        <f t="shared" si="3"/>
        <v/>
      </c>
      <c r="N21" s="166" t="str">
        <f t="shared" si="4"/>
        <v/>
      </c>
      <c r="O21" s="167" t="str">
        <f t="shared" si="5"/>
        <v/>
      </c>
      <c r="P21" s="168"/>
      <c r="Q21" s="169" t="str">
        <f t="shared" si="6"/>
        <v/>
      </c>
      <c r="R21" s="170">
        <v>26</v>
      </c>
      <c r="S21" s="171">
        <v>20</v>
      </c>
      <c r="T21" s="24" t="s">
        <v>93</v>
      </c>
      <c r="U21" s="29">
        <v>162362</v>
      </c>
      <c r="V21" s="30">
        <f t="shared" si="41"/>
        <v>4507808</v>
      </c>
      <c r="W21" s="27">
        <v>112</v>
      </c>
      <c r="X21" s="31">
        <f t="shared" si="7"/>
        <v>1449.6607142857142</v>
      </c>
      <c r="Y21" s="29">
        <v>146035</v>
      </c>
      <c r="Z21" s="32">
        <f t="shared" si="42"/>
        <v>5123807</v>
      </c>
      <c r="AA21" s="33">
        <f t="shared" si="8"/>
        <v>0.87977708762254314</v>
      </c>
      <c r="AB21" s="158">
        <v>200000</v>
      </c>
      <c r="AC21" s="34">
        <f t="shared" si="43"/>
        <v>5120000</v>
      </c>
      <c r="AD21" s="158"/>
      <c r="AE21" s="25"/>
      <c r="AF21" s="25"/>
      <c r="AG21" s="25"/>
      <c r="AH21" s="25"/>
      <c r="AI21" s="25"/>
      <c r="AJ21" s="25"/>
      <c r="AK21" s="25"/>
      <c r="AL21" s="158"/>
      <c r="AM21" s="25"/>
      <c r="AN21" s="158"/>
      <c r="AO21" s="25"/>
      <c r="AP21" s="25"/>
      <c r="AQ21" s="158"/>
      <c r="AR21" s="35">
        <f t="shared" si="9"/>
        <v>0</v>
      </c>
      <c r="AS21" s="172" t="str">
        <f t="shared" si="10"/>
        <v/>
      </c>
      <c r="AT21" s="36">
        <f t="shared" si="11"/>
        <v>0</v>
      </c>
      <c r="AU21" s="173"/>
      <c r="AV21" s="82">
        <f t="shared" si="12"/>
        <v>17</v>
      </c>
      <c r="AW21" s="37"/>
      <c r="AX21" s="174" t="str">
        <f t="shared" si="13"/>
        <v/>
      </c>
      <c r="AY21" s="37"/>
      <c r="AZ21" s="174" t="str">
        <f t="shared" si="14"/>
        <v/>
      </c>
      <c r="BA21" s="37"/>
      <c r="BB21" s="174" t="str">
        <f t="shared" si="15"/>
        <v/>
      </c>
      <c r="BC21" s="37"/>
      <c r="BD21" s="174" t="str">
        <f t="shared" si="16"/>
        <v/>
      </c>
      <c r="BE21" s="37"/>
      <c r="BF21" s="174" t="str">
        <f t="shared" si="17"/>
        <v/>
      </c>
      <c r="BG21" s="37"/>
      <c r="BH21" s="174" t="str">
        <f t="shared" si="18"/>
        <v/>
      </c>
      <c r="BI21" s="37"/>
      <c r="BJ21" s="174" t="str">
        <f t="shared" si="19"/>
        <v/>
      </c>
      <c r="BK21" s="37"/>
      <c r="BL21" s="174" t="str">
        <f t="shared" si="20"/>
        <v/>
      </c>
      <c r="BM21" s="37"/>
      <c r="BN21" s="174" t="str">
        <f t="shared" si="21"/>
        <v/>
      </c>
      <c r="BO21" s="37"/>
      <c r="BP21" s="174" t="str">
        <f t="shared" si="22"/>
        <v/>
      </c>
      <c r="BQ21" s="37"/>
      <c r="BR21" s="174" t="str">
        <f t="shared" si="23"/>
        <v/>
      </c>
      <c r="BS21" s="37"/>
      <c r="BT21" s="174" t="str">
        <f t="shared" si="24"/>
        <v/>
      </c>
      <c r="BU21" s="37"/>
      <c r="BV21" s="174" t="str">
        <f t="shared" si="25"/>
        <v/>
      </c>
      <c r="BW21" s="37"/>
      <c r="BX21" s="174" t="str">
        <f t="shared" si="26"/>
        <v/>
      </c>
      <c r="BY21" s="37"/>
      <c r="BZ21" s="174" t="str">
        <f t="shared" si="27"/>
        <v/>
      </c>
      <c r="CA21" s="37"/>
      <c r="CB21" s="174" t="str">
        <f t="shared" si="28"/>
        <v/>
      </c>
      <c r="CC21" s="37"/>
      <c r="CD21" s="174" t="str">
        <f t="shared" si="29"/>
        <v/>
      </c>
      <c r="CE21" s="37"/>
      <c r="CF21" s="174" t="str">
        <f t="shared" si="30"/>
        <v/>
      </c>
      <c r="CG21" s="37"/>
      <c r="CH21" s="174" t="str">
        <f t="shared" si="31"/>
        <v/>
      </c>
      <c r="CI21" s="37"/>
      <c r="CJ21" s="174" t="str">
        <f t="shared" si="32"/>
        <v/>
      </c>
      <c r="CK21" s="37"/>
      <c r="CL21" s="174" t="str">
        <f t="shared" si="33"/>
        <v/>
      </c>
      <c r="CM21" s="37"/>
      <c r="CN21" s="174" t="str">
        <f t="shared" si="34"/>
        <v/>
      </c>
      <c r="CO21" s="37"/>
      <c r="CP21" s="174" t="str">
        <f t="shared" si="35"/>
        <v/>
      </c>
      <c r="CQ21" s="37"/>
      <c r="CR21" s="174" t="str">
        <f t="shared" si="36"/>
        <v/>
      </c>
      <c r="CS21" s="37"/>
      <c r="CT21" s="174" t="str">
        <f t="shared" si="37"/>
        <v/>
      </c>
      <c r="CU21" s="38"/>
      <c r="CV21" s="87"/>
      <c r="CW21" s="90"/>
      <c r="CX21" s="38"/>
      <c r="CY21" s="39"/>
      <c r="CZ21" s="37"/>
      <c r="DA21" s="39"/>
      <c r="DB21" s="24">
        <v>17</v>
      </c>
      <c r="DC21" s="96" t="str">
        <f t="shared" si="38"/>
        <v>木</v>
      </c>
      <c r="DF21" s="125"/>
      <c r="DG21" s="40"/>
      <c r="DH21" s="40"/>
      <c r="DI21" s="40"/>
      <c r="DJ21" s="40"/>
      <c r="DK21" s="40"/>
      <c r="DL21" s="40"/>
      <c r="DM21" s="40"/>
      <c r="DN21" s="40"/>
      <c r="DO21" s="40"/>
      <c r="DP21" s="40">
        <f t="shared" si="39"/>
        <v>0</v>
      </c>
      <c r="DQ21" s="172" t="str">
        <f t="shared" si="40"/>
        <v/>
      </c>
      <c r="DS21" s="189"/>
      <c r="DT21" s="190"/>
      <c r="DU21" s="190"/>
      <c r="DV21" s="191"/>
      <c r="DW21" s="41"/>
      <c r="DX21" s="42"/>
    </row>
    <row r="22" spans="1:128" ht="13.5" customHeight="1" x14ac:dyDescent="0.4">
      <c r="A22" s="104">
        <v>18</v>
      </c>
      <c r="B22" s="23" t="s">
        <v>86</v>
      </c>
      <c r="C22" s="164"/>
      <c r="D22" s="164"/>
      <c r="E22" s="24"/>
      <c r="F22" s="29"/>
      <c r="G22" s="25" t="str">
        <f>IF(SUM($F$5:F22)=0,"",SUM($F$5:F22))</f>
        <v/>
      </c>
      <c r="H22" s="43" t="str">
        <f t="shared" si="0"/>
        <v/>
      </c>
      <c r="I22" s="148" t="e">
        <f t="array" aca="1" ref="I22" ca="1">IF($A23="",$G22/($V22-$U$5+INDIRECT(IF(_xlfn.SHEET()&lt;6,"令和8年"&amp;_xlfn.SHEET()+7&amp;"月","令和9年"&amp;_xlfn.SHEET()-5&amp;"月")&amp;"!$U$5")),$G22/($V23-$U$5))</f>
        <v>#VALUE!</v>
      </c>
      <c r="J22" s="26" t="str">
        <f t="shared" si="1"/>
        <v/>
      </c>
      <c r="K22" s="27"/>
      <c r="L22" s="165">
        <f t="shared" si="2"/>
        <v>0</v>
      </c>
      <c r="M22" s="28" t="str">
        <f t="shared" si="3"/>
        <v/>
      </c>
      <c r="N22" s="166" t="str">
        <f t="shared" si="4"/>
        <v/>
      </c>
      <c r="O22" s="167" t="str">
        <f t="shared" si="5"/>
        <v/>
      </c>
      <c r="P22" s="168"/>
      <c r="Q22" s="169" t="str">
        <f t="shared" si="6"/>
        <v/>
      </c>
      <c r="R22" s="170">
        <v>30</v>
      </c>
      <c r="S22" s="171">
        <v>21</v>
      </c>
      <c r="T22" s="24" t="s">
        <v>106</v>
      </c>
      <c r="U22" s="29">
        <v>186557</v>
      </c>
      <c r="V22" s="30">
        <f t="shared" si="41"/>
        <v>4694365</v>
      </c>
      <c r="W22" s="27">
        <v>89</v>
      </c>
      <c r="X22" s="31">
        <f t="shared" si="7"/>
        <v>2096.1460674157302</v>
      </c>
      <c r="Y22" s="29">
        <v>102471</v>
      </c>
      <c r="Z22" s="32">
        <f t="shared" si="42"/>
        <v>5226278</v>
      </c>
      <c r="AA22" s="33">
        <f t="shared" si="8"/>
        <v>0.89822336278322734</v>
      </c>
      <c r="AB22" s="158">
        <v>200000</v>
      </c>
      <c r="AC22" s="34">
        <f t="shared" si="43"/>
        <v>5320000</v>
      </c>
      <c r="AD22" s="158"/>
      <c r="AE22" s="25"/>
      <c r="AF22" s="25"/>
      <c r="AG22" s="25"/>
      <c r="AH22" s="25"/>
      <c r="AI22" s="25"/>
      <c r="AJ22" s="25"/>
      <c r="AK22" s="25"/>
      <c r="AL22" s="158"/>
      <c r="AM22" s="25"/>
      <c r="AN22" s="158"/>
      <c r="AO22" s="25"/>
      <c r="AP22" s="25"/>
      <c r="AQ22" s="158"/>
      <c r="AR22" s="35">
        <f t="shared" si="9"/>
        <v>0</v>
      </c>
      <c r="AS22" s="172" t="str">
        <f t="shared" si="10"/>
        <v/>
      </c>
      <c r="AT22" s="36">
        <f t="shared" si="11"/>
        <v>0</v>
      </c>
      <c r="AU22" s="173"/>
      <c r="AV22" s="82">
        <f t="shared" si="12"/>
        <v>18</v>
      </c>
      <c r="AW22" s="37"/>
      <c r="AX22" s="174" t="str">
        <f t="shared" si="13"/>
        <v/>
      </c>
      <c r="AY22" s="37"/>
      <c r="AZ22" s="174" t="str">
        <f t="shared" si="14"/>
        <v/>
      </c>
      <c r="BA22" s="37"/>
      <c r="BB22" s="174" t="str">
        <f t="shared" si="15"/>
        <v/>
      </c>
      <c r="BC22" s="37"/>
      <c r="BD22" s="174" t="str">
        <f t="shared" si="16"/>
        <v/>
      </c>
      <c r="BE22" s="37"/>
      <c r="BF22" s="174" t="str">
        <f t="shared" si="17"/>
        <v/>
      </c>
      <c r="BG22" s="37"/>
      <c r="BH22" s="174" t="str">
        <f t="shared" si="18"/>
        <v/>
      </c>
      <c r="BI22" s="37"/>
      <c r="BJ22" s="174" t="str">
        <f t="shared" si="19"/>
        <v/>
      </c>
      <c r="BK22" s="37"/>
      <c r="BL22" s="174" t="str">
        <f t="shared" si="20"/>
        <v/>
      </c>
      <c r="BM22" s="37"/>
      <c r="BN22" s="174" t="str">
        <f t="shared" si="21"/>
        <v/>
      </c>
      <c r="BO22" s="37"/>
      <c r="BP22" s="174" t="str">
        <f t="shared" si="22"/>
        <v/>
      </c>
      <c r="BQ22" s="37"/>
      <c r="BR22" s="174" t="str">
        <f t="shared" si="23"/>
        <v/>
      </c>
      <c r="BS22" s="37"/>
      <c r="BT22" s="174" t="str">
        <f t="shared" si="24"/>
        <v/>
      </c>
      <c r="BU22" s="37"/>
      <c r="BV22" s="174" t="str">
        <f t="shared" si="25"/>
        <v/>
      </c>
      <c r="BW22" s="37"/>
      <c r="BX22" s="174" t="str">
        <f t="shared" si="26"/>
        <v/>
      </c>
      <c r="BY22" s="37"/>
      <c r="BZ22" s="174" t="str">
        <f t="shared" si="27"/>
        <v/>
      </c>
      <c r="CA22" s="37"/>
      <c r="CB22" s="174" t="str">
        <f t="shared" si="28"/>
        <v/>
      </c>
      <c r="CC22" s="37"/>
      <c r="CD22" s="174" t="str">
        <f t="shared" si="29"/>
        <v/>
      </c>
      <c r="CE22" s="37"/>
      <c r="CF22" s="174" t="str">
        <f t="shared" si="30"/>
        <v/>
      </c>
      <c r="CG22" s="37"/>
      <c r="CH22" s="174" t="str">
        <f t="shared" si="31"/>
        <v/>
      </c>
      <c r="CI22" s="37"/>
      <c r="CJ22" s="174" t="str">
        <f t="shared" si="32"/>
        <v/>
      </c>
      <c r="CK22" s="37"/>
      <c r="CL22" s="174" t="str">
        <f t="shared" si="33"/>
        <v/>
      </c>
      <c r="CM22" s="37"/>
      <c r="CN22" s="174" t="str">
        <f t="shared" si="34"/>
        <v/>
      </c>
      <c r="CO22" s="37"/>
      <c r="CP22" s="174" t="str">
        <f t="shared" si="35"/>
        <v/>
      </c>
      <c r="CQ22" s="37"/>
      <c r="CR22" s="174" t="str">
        <f t="shared" si="36"/>
        <v/>
      </c>
      <c r="CS22" s="37"/>
      <c r="CT22" s="174" t="str">
        <f t="shared" si="37"/>
        <v/>
      </c>
      <c r="CU22" s="38"/>
      <c r="CV22" s="87"/>
      <c r="CW22" s="90"/>
      <c r="CX22" s="38"/>
      <c r="CY22" s="39"/>
      <c r="CZ22" s="37"/>
      <c r="DA22" s="39"/>
      <c r="DB22" s="24">
        <v>18</v>
      </c>
      <c r="DC22" s="96" t="str">
        <f t="shared" si="38"/>
        <v>金</v>
      </c>
      <c r="DF22" s="125"/>
      <c r="DG22" s="40"/>
      <c r="DH22" s="40"/>
      <c r="DI22" s="40"/>
      <c r="DJ22" s="40"/>
      <c r="DK22" s="40"/>
      <c r="DL22" s="40"/>
      <c r="DM22" s="40"/>
      <c r="DN22" s="40"/>
      <c r="DO22" s="40"/>
      <c r="DP22" s="40">
        <f t="shared" si="39"/>
        <v>0</v>
      </c>
      <c r="DQ22" s="172" t="str">
        <f t="shared" si="40"/>
        <v/>
      </c>
      <c r="DS22" s="189"/>
      <c r="DT22" s="190"/>
      <c r="DU22" s="190"/>
      <c r="DV22" s="191"/>
      <c r="DW22" s="138"/>
      <c r="DX22" s="42"/>
    </row>
    <row r="23" spans="1:128" ht="13.5" customHeight="1" x14ac:dyDescent="0.4">
      <c r="A23" s="104">
        <v>19</v>
      </c>
      <c r="B23" s="23" t="s">
        <v>88</v>
      </c>
      <c r="C23" s="164"/>
      <c r="D23" s="164"/>
      <c r="E23" s="24"/>
      <c r="F23" s="29"/>
      <c r="G23" s="25" t="str">
        <f>IF(SUM($F$5:F23)=0,"",SUM($F$5:F23))</f>
        <v/>
      </c>
      <c r="H23" s="43" t="str">
        <f t="shared" si="0"/>
        <v/>
      </c>
      <c r="I23" s="148" t="e">
        <f t="array" aca="1" ref="I23" ca="1">IF($A24="",$G23/($V23-$U$5+INDIRECT(IF(_xlfn.SHEET()&lt;6,"令和8年"&amp;_xlfn.SHEET()+7&amp;"月","令和9年"&amp;_xlfn.SHEET()-5&amp;"月")&amp;"!$U$5")),$G23/($V24-$U$5))</f>
        <v>#VALUE!</v>
      </c>
      <c r="J23" s="26" t="str">
        <f t="shared" si="1"/>
        <v/>
      </c>
      <c r="K23" s="27"/>
      <c r="L23" s="165">
        <f t="shared" si="2"/>
        <v>0</v>
      </c>
      <c r="M23" s="28" t="str">
        <f t="shared" si="3"/>
        <v/>
      </c>
      <c r="N23" s="166" t="str">
        <f t="shared" si="4"/>
        <v/>
      </c>
      <c r="O23" s="167" t="str">
        <f t="shared" si="5"/>
        <v/>
      </c>
      <c r="P23" s="168"/>
      <c r="Q23" s="169" t="str">
        <f t="shared" si="6"/>
        <v/>
      </c>
      <c r="R23" s="170">
        <v>31</v>
      </c>
      <c r="S23" s="171">
        <v>21</v>
      </c>
      <c r="T23" s="24" t="s">
        <v>84</v>
      </c>
      <c r="U23" s="29">
        <v>196884</v>
      </c>
      <c r="V23" s="30">
        <f t="shared" si="41"/>
        <v>4891249</v>
      </c>
      <c r="W23" s="27">
        <v>101</v>
      </c>
      <c r="X23" s="31">
        <f t="shared" si="7"/>
        <v>1949.3465346534654</v>
      </c>
      <c r="Y23" s="29">
        <v>88697</v>
      </c>
      <c r="Z23" s="32">
        <f t="shared" si="42"/>
        <v>5314975</v>
      </c>
      <c r="AA23" s="33">
        <f t="shared" si="8"/>
        <v>0.92027695332527437</v>
      </c>
      <c r="AB23" s="158">
        <v>630000</v>
      </c>
      <c r="AC23" s="34">
        <f t="shared" si="43"/>
        <v>5950000</v>
      </c>
      <c r="AD23" s="158"/>
      <c r="AE23" s="25"/>
      <c r="AF23" s="25"/>
      <c r="AG23" s="25"/>
      <c r="AH23" s="25"/>
      <c r="AI23" s="25"/>
      <c r="AJ23" s="25"/>
      <c r="AK23" s="25"/>
      <c r="AL23" s="158"/>
      <c r="AM23" s="25"/>
      <c r="AN23" s="158"/>
      <c r="AO23" s="25"/>
      <c r="AP23" s="25"/>
      <c r="AQ23" s="158"/>
      <c r="AR23" s="35">
        <f t="shared" si="9"/>
        <v>0</v>
      </c>
      <c r="AS23" s="172" t="str">
        <f t="shared" si="10"/>
        <v/>
      </c>
      <c r="AT23" s="36">
        <f t="shared" si="11"/>
        <v>0</v>
      </c>
      <c r="AU23" s="173"/>
      <c r="AV23" s="82">
        <f t="shared" si="12"/>
        <v>19</v>
      </c>
      <c r="AW23" s="37"/>
      <c r="AX23" s="174" t="str">
        <f t="shared" si="13"/>
        <v/>
      </c>
      <c r="AY23" s="37"/>
      <c r="AZ23" s="174" t="str">
        <f t="shared" si="14"/>
        <v/>
      </c>
      <c r="BA23" s="37"/>
      <c r="BB23" s="174" t="str">
        <f t="shared" si="15"/>
        <v/>
      </c>
      <c r="BC23" s="37"/>
      <c r="BD23" s="174" t="str">
        <f t="shared" si="16"/>
        <v/>
      </c>
      <c r="BE23" s="37"/>
      <c r="BF23" s="174" t="str">
        <f t="shared" si="17"/>
        <v/>
      </c>
      <c r="BG23" s="37"/>
      <c r="BH23" s="174" t="str">
        <f t="shared" si="18"/>
        <v/>
      </c>
      <c r="BI23" s="37"/>
      <c r="BJ23" s="174" t="str">
        <f t="shared" si="19"/>
        <v/>
      </c>
      <c r="BK23" s="37"/>
      <c r="BL23" s="174" t="str">
        <f t="shared" si="20"/>
        <v/>
      </c>
      <c r="BM23" s="37"/>
      <c r="BN23" s="174" t="str">
        <f t="shared" si="21"/>
        <v/>
      </c>
      <c r="BO23" s="37"/>
      <c r="BP23" s="174" t="str">
        <f t="shared" si="22"/>
        <v/>
      </c>
      <c r="BQ23" s="37"/>
      <c r="BR23" s="174" t="str">
        <f t="shared" si="23"/>
        <v/>
      </c>
      <c r="BS23" s="37"/>
      <c r="BT23" s="174" t="str">
        <f t="shared" si="24"/>
        <v/>
      </c>
      <c r="BU23" s="37"/>
      <c r="BV23" s="174" t="str">
        <f t="shared" si="25"/>
        <v/>
      </c>
      <c r="BW23" s="37"/>
      <c r="BX23" s="174" t="str">
        <f t="shared" si="26"/>
        <v/>
      </c>
      <c r="BY23" s="37"/>
      <c r="BZ23" s="174" t="str">
        <f t="shared" si="27"/>
        <v/>
      </c>
      <c r="CA23" s="37"/>
      <c r="CB23" s="174" t="str">
        <f t="shared" si="28"/>
        <v/>
      </c>
      <c r="CC23" s="37"/>
      <c r="CD23" s="174" t="str">
        <f t="shared" si="29"/>
        <v/>
      </c>
      <c r="CE23" s="37"/>
      <c r="CF23" s="174" t="str">
        <f t="shared" si="30"/>
        <v/>
      </c>
      <c r="CG23" s="37"/>
      <c r="CH23" s="174" t="str">
        <f t="shared" si="31"/>
        <v/>
      </c>
      <c r="CI23" s="37"/>
      <c r="CJ23" s="174" t="str">
        <f t="shared" si="32"/>
        <v/>
      </c>
      <c r="CK23" s="37"/>
      <c r="CL23" s="174" t="str">
        <f t="shared" si="33"/>
        <v/>
      </c>
      <c r="CM23" s="37"/>
      <c r="CN23" s="174" t="str">
        <f t="shared" si="34"/>
        <v/>
      </c>
      <c r="CO23" s="37"/>
      <c r="CP23" s="174" t="str">
        <f t="shared" si="35"/>
        <v/>
      </c>
      <c r="CQ23" s="37"/>
      <c r="CR23" s="174" t="str">
        <f t="shared" si="36"/>
        <v/>
      </c>
      <c r="CS23" s="37"/>
      <c r="CT23" s="174" t="str">
        <f t="shared" si="37"/>
        <v/>
      </c>
      <c r="CU23" s="38"/>
      <c r="CV23" s="87"/>
      <c r="CW23" s="90"/>
      <c r="CX23" s="38"/>
      <c r="CY23" s="39"/>
      <c r="CZ23" s="37"/>
      <c r="DA23" s="39"/>
      <c r="DB23" s="24">
        <v>19</v>
      </c>
      <c r="DC23" s="96" t="str">
        <f t="shared" si="38"/>
        <v>土</v>
      </c>
      <c r="DF23" s="125"/>
      <c r="DG23" s="40"/>
      <c r="DH23" s="40"/>
      <c r="DI23" s="40"/>
      <c r="DJ23" s="40"/>
      <c r="DK23" s="40"/>
      <c r="DL23" s="40"/>
      <c r="DM23" s="40"/>
      <c r="DN23" s="40"/>
      <c r="DO23" s="40"/>
      <c r="DP23" s="40">
        <f t="shared" si="39"/>
        <v>0</v>
      </c>
      <c r="DQ23" s="172" t="str">
        <f t="shared" si="40"/>
        <v/>
      </c>
      <c r="DS23" s="189"/>
      <c r="DT23" s="190"/>
      <c r="DU23" s="190"/>
      <c r="DV23" s="191"/>
      <c r="DW23" s="41"/>
      <c r="DX23" s="42"/>
    </row>
    <row r="24" spans="1:128" ht="13.5" customHeight="1" x14ac:dyDescent="0.4">
      <c r="A24" s="104">
        <v>20</v>
      </c>
      <c r="B24" s="23" t="s">
        <v>89</v>
      </c>
      <c r="C24" s="164"/>
      <c r="D24" s="164"/>
      <c r="E24" s="24"/>
      <c r="F24" s="29"/>
      <c r="G24" s="25" t="str">
        <f>IF(SUM($F$5:F24)=0,"",SUM($F$5:F24))</f>
        <v/>
      </c>
      <c r="H24" s="43" t="str">
        <f t="shared" si="0"/>
        <v/>
      </c>
      <c r="I24" s="148" t="e">
        <f t="array" aca="1" ref="I24" ca="1">IF($A25="",$G24/($V24-$U$5+INDIRECT(IF(_xlfn.SHEET()&lt;6,"令和8年"&amp;_xlfn.SHEET()+7&amp;"月","令和9年"&amp;_xlfn.SHEET()-5&amp;"月")&amp;"!$U$5")),$G24/($V25-$U$5))</f>
        <v>#VALUE!</v>
      </c>
      <c r="J24" s="26" t="str">
        <f t="shared" si="1"/>
        <v/>
      </c>
      <c r="K24" s="27"/>
      <c r="L24" s="165">
        <f t="shared" si="2"/>
        <v>0</v>
      </c>
      <c r="M24" s="28" t="str">
        <f t="shared" si="3"/>
        <v/>
      </c>
      <c r="N24" s="166" t="str">
        <f t="shared" si="4"/>
        <v/>
      </c>
      <c r="O24" s="167" t="str">
        <f t="shared" si="5"/>
        <v/>
      </c>
      <c r="P24" s="168"/>
      <c r="Q24" s="169" t="str">
        <f t="shared" si="6"/>
        <v/>
      </c>
      <c r="R24" s="170">
        <v>27</v>
      </c>
      <c r="S24" s="171">
        <v>23</v>
      </c>
      <c r="T24" s="24" t="s">
        <v>93</v>
      </c>
      <c r="U24" s="29">
        <v>540589</v>
      </c>
      <c r="V24" s="30">
        <f t="shared" si="41"/>
        <v>5431838</v>
      </c>
      <c r="W24" s="27">
        <v>296</v>
      </c>
      <c r="X24" s="31">
        <f t="shared" si="7"/>
        <v>1826.3141891891892</v>
      </c>
      <c r="Y24" s="29">
        <v>130953</v>
      </c>
      <c r="Z24" s="32">
        <f t="shared" si="42"/>
        <v>5445928</v>
      </c>
      <c r="AA24" s="33">
        <f t="shared" si="8"/>
        <v>0.99741274581669093</v>
      </c>
      <c r="AB24" s="158">
        <v>630000</v>
      </c>
      <c r="AC24" s="34">
        <f t="shared" si="43"/>
        <v>6580000</v>
      </c>
      <c r="AD24" s="158"/>
      <c r="AE24" s="25"/>
      <c r="AF24" s="25"/>
      <c r="AG24" s="25"/>
      <c r="AH24" s="25"/>
      <c r="AI24" s="25"/>
      <c r="AJ24" s="25"/>
      <c r="AK24" s="25"/>
      <c r="AL24" s="158"/>
      <c r="AM24" s="25"/>
      <c r="AN24" s="158"/>
      <c r="AO24" s="25"/>
      <c r="AP24" s="25"/>
      <c r="AQ24" s="158"/>
      <c r="AR24" s="35">
        <f t="shared" si="9"/>
        <v>0</v>
      </c>
      <c r="AS24" s="172" t="str">
        <f t="shared" si="10"/>
        <v/>
      </c>
      <c r="AT24" s="36">
        <f t="shared" si="11"/>
        <v>0</v>
      </c>
      <c r="AU24" s="173"/>
      <c r="AV24" s="82">
        <f t="shared" si="12"/>
        <v>20</v>
      </c>
      <c r="AW24" s="37"/>
      <c r="AX24" s="174" t="str">
        <f t="shared" si="13"/>
        <v/>
      </c>
      <c r="AY24" s="37"/>
      <c r="AZ24" s="174" t="str">
        <f t="shared" si="14"/>
        <v/>
      </c>
      <c r="BA24" s="37"/>
      <c r="BB24" s="174" t="str">
        <f t="shared" si="15"/>
        <v/>
      </c>
      <c r="BC24" s="37"/>
      <c r="BD24" s="174" t="str">
        <f t="shared" si="16"/>
        <v/>
      </c>
      <c r="BE24" s="37"/>
      <c r="BF24" s="174" t="str">
        <f t="shared" si="17"/>
        <v/>
      </c>
      <c r="BG24" s="37"/>
      <c r="BH24" s="174" t="str">
        <f t="shared" si="18"/>
        <v/>
      </c>
      <c r="BI24" s="37"/>
      <c r="BJ24" s="174" t="str">
        <f t="shared" si="19"/>
        <v/>
      </c>
      <c r="BK24" s="37"/>
      <c r="BL24" s="174" t="str">
        <f t="shared" si="20"/>
        <v/>
      </c>
      <c r="BM24" s="37"/>
      <c r="BN24" s="174" t="str">
        <f t="shared" si="21"/>
        <v/>
      </c>
      <c r="BO24" s="37"/>
      <c r="BP24" s="174" t="str">
        <f t="shared" si="22"/>
        <v/>
      </c>
      <c r="BQ24" s="37"/>
      <c r="BR24" s="174" t="str">
        <f t="shared" si="23"/>
        <v/>
      </c>
      <c r="BS24" s="37"/>
      <c r="BT24" s="174" t="str">
        <f t="shared" si="24"/>
        <v/>
      </c>
      <c r="BU24" s="37"/>
      <c r="BV24" s="174" t="str">
        <f t="shared" si="25"/>
        <v/>
      </c>
      <c r="BW24" s="37"/>
      <c r="BX24" s="174" t="str">
        <f t="shared" si="26"/>
        <v/>
      </c>
      <c r="BY24" s="37"/>
      <c r="BZ24" s="174" t="str">
        <f t="shared" si="27"/>
        <v/>
      </c>
      <c r="CA24" s="37"/>
      <c r="CB24" s="174" t="str">
        <f t="shared" si="28"/>
        <v/>
      </c>
      <c r="CC24" s="37"/>
      <c r="CD24" s="174" t="str">
        <f t="shared" si="29"/>
        <v/>
      </c>
      <c r="CE24" s="37"/>
      <c r="CF24" s="174" t="str">
        <f t="shared" si="30"/>
        <v/>
      </c>
      <c r="CG24" s="37"/>
      <c r="CH24" s="174" t="str">
        <f t="shared" si="31"/>
        <v/>
      </c>
      <c r="CI24" s="37"/>
      <c r="CJ24" s="174" t="str">
        <f t="shared" si="32"/>
        <v/>
      </c>
      <c r="CK24" s="37"/>
      <c r="CL24" s="174" t="str">
        <f t="shared" si="33"/>
        <v/>
      </c>
      <c r="CM24" s="37"/>
      <c r="CN24" s="174" t="str">
        <f t="shared" si="34"/>
        <v/>
      </c>
      <c r="CO24" s="37"/>
      <c r="CP24" s="174" t="str">
        <f t="shared" si="35"/>
        <v/>
      </c>
      <c r="CQ24" s="37"/>
      <c r="CR24" s="174" t="str">
        <f t="shared" si="36"/>
        <v/>
      </c>
      <c r="CS24" s="37"/>
      <c r="CT24" s="174" t="str">
        <f t="shared" si="37"/>
        <v/>
      </c>
      <c r="CU24" s="38"/>
      <c r="CV24" s="87"/>
      <c r="CW24" s="90"/>
      <c r="CX24" s="38"/>
      <c r="CY24" s="39"/>
      <c r="CZ24" s="37"/>
      <c r="DA24" s="39"/>
      <c r="DB24" s="24">
        <v>20</v>
      </c>
      <c r="DC24" s="96" t="str">
        <f t="shared" si="38"/>
        <v>日</v>
      </c>
      <c r="DF24" s="125"/>
      <c r="DG24" s="40"/>
      <c r="DH24" s="40"/>
      <c r="DI24" s="40"/>
      <c r="DJ24" s="40"/>
      <c r="DK24" s="40"/>
      <c r="DL24" s="40"/>
      <c r="DM24" s="40"/>
      <c r="DN24" s="40"/>
      <c r="DO24" s="40"/>
      <c r="DP24" s="40">
        <f t="shared" si="39"/>
        <v>0</v>
      </c>
      <c r="DQ24" s="172" t="str">
        <f t="shared" si="40"/>
        <v/>
      </c>
      <c r="DS24" s="189"/>
      <c r="DT24" s="190"/>
      <c r="DU24" s="190"/>
      <c r="DV24" s="191"/>
      <c r="DW24" s="41"/>
      <c r="DX24" s="42"/>
    </row>
    <row r="25" spans="1:128" ht="13.5" customHeight="1" x14ac:dyDescent="0.4">
      <c r="A25" s="104">
        <v>21</v>
      </c>
      <c r="B25" s="141" t="s">
        <v>90</v>
      </c>
      <c r="C25" s="164"/>
      <c r="D25" s="164"/>
      <c r="E25" s="24"/>
      <c r="F25" s="29"/>
      <c r="G25" s="25" t="str">
        <f>IF(SUM($F$5:F25)=0,"",SUM($F$5:F25))</f>
        <v/>
      </c>
      <c r="H25" s="43" t="str">
        <f t="shared" si="0"/>
        <v/>
      </c>
      <c r="I25" s="148" t="e">
        <f t="array" aca="1" ref="I25" ca="1">IF($A26="",$G25/($V25-$U$5+INDIRECT(IF(_xlfn.SHEET()&lt;6,"令和8年"&amp;_xlfn.SHEET()+7&amp;"月","令和9年"&amp;_xlfn.SHEET()-5&amp;"月")&amp;"!$U$5")),$G25/($V26-$U$5))</f>
        <v>#VALUE!</v>
      </c>
      <c r="J25" s="26" t="str">
        <f t="shared" si="1"/>
        <v/>
      </c>
      <c r="K25" s="27"/>
      <c r="L25" s="165">
        <f t="shared" si="2"/>
        <v>0</v>
      </c>
      <c r="M25" s="28" t="str">
        <f t="shared" si="3"/>
        <v/>
      </c>
      <c r="N25" s="166" t="str">
        <f t="shared" si="4"/>
        <v/>
      </c>
      <c r="O25" s="167" t="str">
        <f t="shared" si="5"/>
        <v/>
      </c>
      <c r="P25" s="168"/>
      <c r="Q25" s="169" t="str">
        <f t="shared" si="6"/>
        <v/>
      </c>
      <c r="R25" s="170">
        <v>28</v>
      </c>
      <c r="S25" s="171">
        <v>22</v>
      </c>
      <c r="T25" s="24" t="s">
        <v>84</v>
      </c>
      <c r="U25" s="29">
        <v>604903</v>
      </c>
      <c r="V25" s="30">
        <f t="shared" si="41"/>
        <v>6036741</v>
      </c>
      <c r="W25" s="27">
        <v>321</v>
      </c>
      <c r="X25" s="31">
        <f t="shared" si="7"/>
        <v>1884.4330218068535</v>
      </c>
      <c r="Y25" s="29">
        <v>455884</v>
      </c>
      <c r="Z25" s="32">
        <f t="shared" si="42"/>
        <v>5901812</v>
      </c>
      <c r="AA25" s="33">
        <f t="shared" si="8"/>
        <v>1.0228623005951392</v>
      </c>
      <c r="AB25" s="158">
        <v>200000</v>
      </c>
      <c r="AC25" s="34">
        <f t="shared" si="43"/>
        <v>6780000</v>
      </c>
      <c r="AD25" s="158"/>
      <c r="AE25" s="25"/>
      <c r="AF25" s="25"/>
      <c r="AG25" s="25"/>
      <c r="AH25" s="25"/>
      <c r="AI25" s="25"/>
      <c r="AJ25" s="25"/>
      <c r="AK25" s="25"/>
      <c r="AL25" s="158"/>
      <c r="AM25" s="25"/>
      <c r="AN25" s="158"/>
      <c r="AO25" s="25"/>
      <c r="AP25" s="25"/>
      <c r="AQ25" s="158"/>
      <c r="AR25" s="35">
        <f t="shared" si="9"/>
        <v>0</v>
      </c>
      <c r="AS25" s="172" t="str">
        <f t="shared" si="10"/>
        <v/>
      </c>
      <c r="AT25" s="36">
        <f t="shared" si="11"/>
        <v>0</v>
      </c>
      <c r="AU25" s="173"/>
      <c r="AV25" s="82">
        <f t="shared" si="12"/>
        <v>21</v>
      </c>
      <c r="AW25" s="37"/>
      <c r="AX25" s="174" t="str">
        <f t="shared" si="13"/>
        <v/>
      </c>
      <c r="AY25" s="37"/>
      <c r="AZ25" s="174" t="str">
        <f t="shared" si="14"/>
        <v/>
      </c>
      <c r="BA25" s="37"/>
      <c r="BB25" s="174" t="str">
        <f t="shared" si="15"/>
        <v/>
      </c>
      <c r="BC25" s="37"/>
      <c r="BD25" s="174" t="str">
        <f t="shared" si="16"/>
        <v/>
      </c>
      <c r="BE25" s="37"/>
      <c r="BF25" s="174" t="str">
        <f t="shared" si="17"/>
        <v/>
      </c>
      <c r="BG25" s="37"/>
      <c r="BH25" s="174" t="str">
        <f t="shared" si="18"/>
        <v/>
      </c>
      <c r="BI25" s="37"/>
      <c r="BJ25" s="174" t="str">
        <f t="shared" si="19"/>
        <v/>
      </c>
      <c r="BK25" s="37"/>
      <c r="BL25" s="174" t="str">
        <f t="shared" si="20"/>
        <v/>
      </c>
      <c r="BM25" s="37"/>
      <c r="BN25" s="174" t="str">
        <f t="shared" si="21"/>
        <v/>
      </c>
      <c r="BO25" s="37"/>
      <c r="BP25" s="174" t="str">
        <f t="shared" si="22"/>
        <v/>
      </c>
      <c r="BQ25" s="37"/>
      <c r="BR25" s="174" t="str">
        <f t="shared" si="23"/>
        <v/>
      </c>
      <c r="BS25" s="37"/>
      <c r="BT25" s="174" t="str">
        <f t="shared" si="24"/>
        <v/>
      </c>
      <c r="BU25" s="37"/>
      <c r="BV25" s="174" t="str">
        <f t="shared" si="25"/>
        <v/>
      </c>
      <c r="BW25" s="37"/>
      <c r="BX25" s="174" t="str">
        <f t="shared" si="26"/>
        <v/>
      </c>
      <c r="BY25" s="37"/>
      <c r="BZ25" s="174" t="str">
        <f t="shared" si="27"/>
        <v/>
      </c>
      <c r="CA25" s="37"/>
      <c r="CB25" s="174" t="str">
        <f t="shared" si="28"/>
        <v/>
      </c>
      <c r="CC25" s="37"/>
      <c r="CD25" s="174" t="str">
        <f t="shared" si="29"/>
        <v/>
      </c>
      <c r="CE25" s="37"/>
      <c r="CF25" s="174" t="str">
        <f t="shared" si="30"/>
        <v/>
      </c>
      <c r="CG25" s="37"/>
      <c r="CH25" s="174" t="str">
        <f t="shared" si="31"/>
        <v/>
      </c>
      <c r="CI25" s="37"/>
      <c r="CJ25" s="174" t="str">
        <f t="shared" si="32"/>
        <v/>
      </c>
      <c r="CK25" s="37"/>
      <c r="CL25" s="174" t="str">
        <f t="shared" si="33"/>
        <v/>
      </c>
      <c r="CM25" s="37"/>
      <c r="CN25" s="174" t="str">
        <f t="shared" si="34"/>
        <v/>
      </c>
      <c r="CO25" s="37"/>
      <c r="CP25" s="174" t="str">
        <f t="shared" si="35"/>
        <v/>
      </c>
      <c r="CQ25" s="37"/>
      <c r="CR25" s="174" t="str">
        <f t="shared" si="36"/>
        <v/>
      </c>
      <c r="CS25" s="37"/>
      <c r="CT25" s="174" t="str">
        <f t="shared" si="37"/>
        <v/>
      </c>
      <c r="CU25" s="38"/>
      <c r="CV25" s="87"/>
      <c r="CW25" s="90"/>
      <c r="CX25" s="38"/>
      <c r="CY25" s="39"/>
      <c r="CZ25" s="37"/>
      <c r="DA25" s="39"/>
      <c r="DB25" s="24">
        <v>21</v>
      </c>
      <c r="DC25" s="96" t="str">
        <f t="shared" si="38"/>
        <v>月</v>
      </c>
      <c r="DF25" s="125"/>
      <c r="DG25" s="40"/>
      <c r="DH25" s="40"/>
      <c r="DI25" s="40"/>
      <c r="DJ25" s="40"/>
      <c r="DK25" s="40"/>
      <c r="DL25" s="40"/>
      <c r="DM25" s="40"/>
      <c r="DN25" s="40"/>
      <c r="DO25" s="40"/>
      <c r="DP25" s="40">
        <f t="shared" si="39"/>
        <v>0</v>
      </c>
      <c r="DQ25" s="172" t="str">
        <f t="shared" si="40"/>
        <v/>
      </c>
      <c r="DS25" s="189"/>
      <c r="DT25" s="190"/>
      <c r="DU25" s="190"/>
      <c r="DV25" s="191"/>
      <c r="DW25" s="138"/>
      <c r="DX25" s="42"/>
    </row>
    <row r="26" spans="1:128" ht="13.5" customHeight="1" x14ac:dyDescent="0.4">
      <c r="A26" s="104">
        <v>22</v>
      </c>
      <c r="B26" s="23" t="s">
        <v>91</v>
      </c>
      <c r="C26" s="164"/>
      <c r="D26" s="164"/>
      <c r="E26" s="24"/>
      <c r="F26" s="29"/>
      <c r="G26" s="25" t="str">
        <f>IF(SUM($F$5:F26)=0,"",SUM($F$5:F26))</f>
        <v/>
      </c>
      <c r="H26" s="43" t="str">
        <f t="shared" si="0"/>
        <v/>
      </c>
      <c r="I26" s="148" t="e">
        <f t="array" aca="1" ref="I26" ca="1">IF($A27="",$G26/($V26-$U$5+INDIRECT(IF(_xlfn.SHEET()&lt;6,"令和8年"&amp;_xlfn.SHEET()+7&amp;"月","令和9年"&amp;_xlfn.SHEET()-5&amp;"月")&amp;"!$U$5")),$G26/($V27-$U$5))</f>
        <v>#VALUE!</v>
      </c>
      <c r="J26" s="26" t="str">
        <f t="shared" si="1"/>
        <v/>
      </c>
      <c r="K26" s="27"/>
      <c r="L26" s="165">
        <f t="shared" si="2"/>
        <v>0</v>
      </c>
      <c r="M26" s="28" t="str">
        <f t="shared" si="3"/>
        <v/>
      </c>
      <c r="N26" s="166" t="str">
        <f t="shared" si="4"/>
        <v/>
      </c>
      <c r="O26" s="167" t="str">
        <f t="shared" si="5"/>
        <v/>
      </c>
      <c r="P26" s="168"/>
      <c r="Q26" s="169" t="str">
        <f t="shared" si="6"/>
        <v/>
      </c>
      <c r="R26" s="170">
        <v>29</v>
      </c>
      <c r="S26" s="171">
        <v>20</v>
      </c>
      <c r="T26" s="24" t="s">
        <v>141</v>
      </c>
      <c r="U26" s="29">
        <v>135761</v>
      </c>
      <c r="V26" s="30">
        <f t="shared" si="41"/>
        <v>6172502</v>
      </c>
      <c r="W26" s="27">
        <v>92</v>
      </c>
      <c r="X26" s="31">
        <f t="shared" si="7"/>
        <v>1475.6630434782608</v>
      </c>
      <c r="Y26" s="29">
        <v>580997</v>
      </c>
      <c r="Z26" s="32">
        <f t="shared" si="42"/>
        <v>6482809</v>
      </c>
      <c r="AA26" s="33">
        <f t="shared" si="8"/>
        <v>0.95213386666181277</v>
      </c>
      <c r="AB26" s="158">
        <v>200000</v>
      </c>
      <c r="AC26" s="34">
        <f t="shared" si="43"/>
        <v>6980000</v>
      </c>
      <c r="AD26" s="158"/>
      <c r="AE26" s="25"/>
      <c r="AF26" s="25"/>
      <c r="AG26" s="25"/>
      <c r="AH26" s="25"/>
      <c r="AI26" s="25"/>
      <c r="AJ26" s="25"/>
      <c r="AK26" s="25"/>
      <c r="AL26" s="158"/>
      <c r="AM26" s="25"/>
      <c r="AN26" s="158"/>
      <c r="AO26" s="25"/>
      <c r="AP26" s="25"/>
      <c r="AQ26" s="158"/>
      <c r="AR26" s="35">
        <f t="shared" si="9"/>
        <v>0</v>
      </c>
      <c r="AS26" s="172" t="str">
        <f t="shared" si="10"/>
        <v/>
      </c>
      <c r="AT26" s="36">
        <f t="shared" si="11"/>
        <v>0</v>
      </c>
      <c r="AU26" s="173"/>
      <c r="AV26" s="82">
        <f t="shared" si="12"/>
        <v>22</v>
      </c>
      <c r="AW26" s="37"/>
      <c r="AX26" s="174" t="str">
        <f t="shared" si="13"/>
        <v/>
      </c>
      <c r="AY26" s="37"/>
      <c r="AZ26" s="174" t="str">
        <f t="shared" si="14"/>
        <v/>
      </c>
      <c r="BA26" s="37"/>
      <c r="BB26" s="174" t="str">
        <f t="shared" si="15"/>
        <v/>
      </c>
      <c r="BC26" s="37"/>
      <c r="BD26" s="174" t="str">
        <f t="shared" si="16"/>
        <v/>
      </c>
      <c r="BE26" s="37"/>
      <c r="BF26" s="174" t="str">
        <f t="shared" si="17"/>
        <v/>
      </c>
      <c r="BG26" s="37"/>
      <c r="BH26" s="174" t="str">
        <f t="shared" si="18"/>
        <v/>
      </c>
      <c r="BI26" s="37"/>
      <c r="BJ26" s="174" t="str">
        <f t="shared" si="19"/>
        <v/>
      </c>
      <c r="BK26" s="37"/>
      <c r="BL26" s="174" t="str">
        <f t="shared" si="20"/>
        <v/>
      </c>
      <c r="BM26" s="37"/>
      <c r="BN26" s="174" t="str">
        <f t="shared" si="21"/>
        <v/>
      </c>
      <c r="BO26" s="37"/>
      <c r="BP26" s="174" t="str">
        <f t="shared" si="22"/>
        <v/>
      </c>
      <c r="BQ26" s="37"/>
      <c r="BR26" s="174" t="str">
        <f t="shared" si="23"/>
        <v/>
      </c>
      <c r="BS26" s="37"/>
      <c r="BT26" s="174" t="str">
        <f t="shared" si="24"/>
        <v/>
      </c>
      <c r="BU26" s="37"/>
      <c r="BV26" s="174" t="str">
        <f t="shared" si="25"/>
        <v/>
      </c>
      <c r="BW26" s="37"/>
      <c r="BX26" s="174" t="str">
        <f t="shared" si="26"/>
        <v/>
      </c>
      <c r="BY26" s="37"/>
      <c r="BZ26" s="174" t="str">
        <f t="shared" si="27"/>
        <v/>
      </c>
      <c r="CA26" s="37"/>
      <c r="CB26" s="174" t="str">
        <f t="shared" si="28"/>
        <v/>
      </c>
      <c r="CC26" s="37"/>
      <c r="CD26" s="174" t="str">
        <f t="shared" si="29"/>
        <v/>
      </c>
      <c r="CE26" s="37"/>
      <c r="CF26" s="174" t="str">
        <f t="shared" si="30"/>
        <v/>
      </c>
      <c r="CG26" s="37"/>
      <c r="CH26" s="174" t="str">
        <f t="shared" si="31"/>
        <v/>
      </c>
      <c r="CI26" s="37"/>
      <c r="CJ26" s="174" t="str">
        <f t="shared" si="32"/>
        <v/>
      </c>
      <c r="CK26" s="37"/>
      <c r="CL26" s="174" t="str">
        <f t="shared" si="33"/>
        <v/>
      </c>
      <c r="CM26" s="37"/>
      <c r="CN26" s="174" t="str">
        <f t="shared" si="34"/>
        <v/>
      </c>
      <c r="CO26" s="37"/>
      <c r="CP26" s="174" t="str">
        <f t="shared" si="35"/>
        <v/>
      </c>
      <c r="CQ26" s="37"/>
      <c r="CR26" s="174" t="str">
        <f t="shared" si="36"/>
        <v/>
      </c>
      <c r="CS26" s="37"/>
      <c r="CT26" s="174" t="str">
        <f t="shared" si="37"/>
        <v/>
      </c>
      <c r="CU26" s="38"/>
      <c r="CV26" s="87"/>
      <c r="CW26" s="90"/>
      <c r="CX26" s="38"/>
      <c r="CY26" s="39"/>
      <c r="CZ26" s="37"/>
      <c r="DA26" s="39"/>
      <c r="DB26" s="24">
        <v>22</v>
      </c>
      <c r="DC26" s="96" t="str">
        <f t="shared" si="38"/>
        <v>火</v>
      </c>
      <c r="DF26" s="125"/>
      <c r="DG26" s="40"/>
      <c r="DH26" s="40"/>
      <c r="DI26" s="40"/>
      <c r="DJ26" s="40"/>
      <c r="DK26" s="40"/>
      <c r="DL26" s="40"/>
      <c r="DM26" s="40"/>
      <c r="DN26" s="40"/>
      <c r="DO26" s="40"/>
      <c r="DP26" s="40">
        <f t="shared" si="39"/>
        <v>0</v>
      </c>
      <c r="DQ26" s="172" t="str">
        <f t="shared" si="40"/>
        <v/>
      </c>
      <c r="DS26" s="189"/>
      <c r="DT26" s="190"/>
      <c r="DU26" s="190"/>
      <c r="DV26" s="191"/>
      <c r="DW26" s="41"/>
      <c r="DX26" s="42"/>
    </row>
    <row r="27" spans="1:128" ht="13.5" customHeight="1" x14ac:dyDescent="0.4">
      <c r="A27" s="104">
        <v>23</v>
      </c>
      <c r="B27" s="23" t="s">
        <v>83</v>
      </c>
      <c r="C27" s="164"/>
      <c r="D27" s="164"/>
      <c r="E27" s="24"/>
      <c r="F27" s="29"/>
      <c r="G27" s="25" t="str">
        <f>IF(SUM($F$5:F27)=0,"",SUM($F$5:F27))</f>
        <v/>
      </c>
      <c r="H27" s="43" t="str">
        <f t="shared" si="0"/>
        <v/>
      </c>
      <c r="I27" s="148" t="e">
        <f t="array" aca="1" ref="I27" ca="1">IF($A28="",$G27/($V27-$U$5+INDIRECT(IF(_xlfn.SHEET()&lt;6,"令和8年"&amp;_xlfn.SHEET()+7&amp;"月","令和9年"&amp;_xlfn.SHEET()-5&amp;"月")&amp;"!$U$5")),$G27/($V28-$U$5))</f>
        <v>#VALUE!</v>
      </c>
      <c r="J27" s="26" t="str">
        <f t="shared" si="1"/>
        <v/>
      </c>
      <c r="K27" s="27"/>
      <c r="L27" s="165">
        <f t="shared" si="2"/>
        <v>0</v>
      </c>
      <c r="M27" s="28" t="str">
        <f t="shared" si="3"/>
        <v/>
      </c>
      <c r="N27" s="166" t="str">
        <f t="shared" si="4"/>
        <v/>
      </c>
      <c r="O27" s="167" t="str">
        <f t="shared" si="5"/>
        <v/>
      </c>
      <c r="P27" s="168"/>
      <c r="Q27" s="169" t="str">
        <f t="shared" si="6"/>
        <v/>
      </c>
      <c r="R27" s="170">
        <v>25</v>
      </c>
      <c r="S27" s="171">
        <v>19</v>
      </c>
      <c r="T27" s="24" t="s">
        <v>114</v>
      </c>
      <c r="U27" s="29">
        <v>145181</v>
      </c>
      <c r="V27" s="30">
        <f t="shared" si="41"/>
        <v>6317683</v>
      </c>
      <c r="W27" s="27">
        <v>90</v>
      </c>
      <c r="X27" s="31">
        <f t="shared" si="7"/>
        <v>1613.1222222222223</v>
      </c>
      <c r="Y27" s="29">
        <v>113400</v>
      </c>
      <c r="Z27" s="32">
        <f t="shared" si="42"/>
        <v>6596209</v>
      </c>
      <c r="AA27" s="33">
        <f t="shared" si="8"/>
        <v>0.95777483703139177</v>
      </c>
      <c r="AB27" s="158">
        <v>200000</v>
      </c>
      <c r="AC27" s="34">
        <f t="shared" si="43"/>
        <v>7180000</v>
      </c>
      <c r="AD27" s="158"/>
      <c r="AE27" s="25"/>
      <c r="AF27" s="25"/>
      <c r="AG27" s="25"/>
      <c r="AH27" s="25"/>
      <c r="AI27" s="25"/>
      <c r="AJ27" s="25"/>
      <c r="AK27" s="25"/>
      <c r="AL27" s="158"/>
      <c r="AM27" s="25"/>
      <c r="AN27" s="158"/>
      <c r="AO27" s="25"/>
      <c r="AP27" s="25"/>
      <c r="AQ27" s="158"/>
      <c r="AR27" s="35">
        <f t="shared" si="9"/>
        <v>0</v>
      </c>
      <c r="AS27" s="172" t="str">
        <f t="shared" si="10"/>
        <v/>
      </c>
      <c r="AT27" s="36">
        <f t="shared" si="11"/>
        <v>0</v>
      </c>
      <c r="AU27" s="173"/>
      <c r="AV27" s="82">
        <f t="shared" si="12"/>
        <v>23</v>
      </c>
      <c r="AW27" s="37"/>
      <c r="AX27" s="174" t="str">
        <f t="shared" si="13"/>
        <v/>
      </c>
      <c r="AY27" s="37"/>
      <c r="AZ27" s="174" t="str">
        <f t="shared" si="14"/>
        <v/>
      </c>
      <c r="BA27" s="37"/>
      <c r="BB27" s="174" t="str">
        <f t="shared" si="15"/>
        <v/>
      </c>
      <c r="BC27" s="37"/>
      <c r="BD27" s="174" t="str">
        <f t="shared" si="16"/>
        <v/>
      </c>
      <c r="BE27" s="37"/>
      <c r="BF27" s="174" t="str">
        <f t="shared" si="17"/>
        <v/>
      </c>
      <c r="BG27" s="37"/>
      <c r="BH27" s="174" t="str">
        <f t="shared" si="18"/>
        <v/>
      </c>
      <c r="BI27" s="37"/>
      <c r="BJ27" s="174" t="str">
        <f t="shared" si="19"/>
        <v/>
      </c>
      <c r="BK27" s="37"/>
      <c r="BL27" s="174" t="str">
        <f t="shared" si="20"/>
        <v/>
      </c>
      <c r="BM27" s="37"/>
      <c r="BN27" s="174" t="str">
        <f t="shared" si="21"/>
        <v/>
      </c>
      <c r="BO27" s="37"/>
      <c r="BP27" s="174" t="str">
        <f t="shared" si="22"/>
        <v/>
      </c>
      <c r="BQ27" s="37"/>
      <c r="BR27" s="174" t="str">
        <f t="shared" si="23"/>
        <v/>
      </c>
      <c r="BS27" s="37"/>
      <c r="BT27" s="174" t="str">
        <f t="shared" si="24"/>
        <v/>
      </c>
      <c r="BU27" s="37"/>
      <c r="BV27" s="174" t="str">
        <f t="shared" si="25"/>
        <v/>
      </c>
      <c r="BW27" s="37"/>
      <c r="BX27" s="174" t="str">
        <f t="shared" si="26"/>
        <v/>
      </c>
      <c r="BY27" s="37"/>
      <c r="BZ27" s="174" t="str">
        <f t="shared" si="27"/>
        <v/>
      </c>
      <c r="CA27" s="37"/>
      <c r="CB27" s="174" t="str">
        <f t="shared" si="28"/>
        <v/>
      </c>
      <c r="CC27" s="37"/>
      <c r="CD27" s="174" t="str">
        <f t="shared" si="29"/>
        <v/>
      </c>
      <c r="CE27" s="37"/>
      <c r="CF27" s="174" t="str">
        <f t="shared" si="30"/>
        <v/>
      </c>
      <c r="CG27" s="37"/>
      <c r="CH27" s="174" t="str">
        <f t="shared" si="31"/>
        <v/>
      </c>
      <c r="CI27" s="37"/>
      <c r="CJ27" s="174" t="str">
        <f t="shared" si="32"/>
        <v/>
      </c>
      <c r="CK27" s="37"/>
      <c r="CL27" s="174" t="str">
        <f t="shared" si="33"/>
        <v/>
      </c>
      <c r="CM27" s="37"/>
      <c r="CN27" s="174" t="str">
        <f t="shared" si="34"/>
        <v/>
      </c>
      <c r="CO27" s="37"/>
      <c r="CP27" s="174" t="str">
        <f t="shared" si="35"/>
        <v/>
      </c>
      <c r="CQ27" s="37"/>
      <c r="CR27" s="174" t="str">
        <f t="shared" si="36"/>
        <v/>
      </c>
      <c r="CS27" s="37"/>
      <c r="CT27" s="174" t="str">
        <f t="shared" si="37"/>
        <v/>
      </c>
      <c r="CU27" s="38"/>
      <c r="CV27" s="87"/>
      <c r="CW27" s="90"/>
      <c r="CX27" s="38"/>
      <c r="CY27" s="39"/>
      <c r="CZ27" s="37"/>
      <c r="DA27" s="39"/>
      <c r="DB27" s="24">
        <v>23</v>
      </c>
      <c r="DC27" s="96" t="str">
        <f t="shared" si="38"/>
        <v>水</v>
      </c>
      <c r="DF27" s="125"/>
      <c r="DG27" s="40"/>
      <c r="DH27" s="40"/>
      <c r="DI27" s="40"/>
      <c r="DJ27" s="40"/>
      <c r="DK27" s="40"/>
      <c r="DL27" s="40"/>
      <c r="DM27" s="40"/>
      <c r="DN27" s="40"/>
      <c r="DO27" s="40"/>
      <c r="DP27" s="40">
        <f t="shared" si="39"/>
        <v>0</v>
      </c>
      <c r="DQ27" s="172" t="str">
        <f t="shared" si="40"/>
        <v/>
      </c>
      <c r="DS27" s="189"/>
      <c r="DT27" s="190"/>
      <c r="DU27" s="190"/>
      <c r="DV27" s="191"/>
      <c r="DW27" s="41"/>
      <c r="DX27" s="42"/>
    </row>
    <row r="28" spans="1:128" ht="13.5" customHeight="1" x14ac:dyDescent="0.4">
      <c r="A28" s="104">
        <v>24</v>
      </c>
      <c r="B28" s="23" t="s">
        <v>85</v>
      </c>
      <c r="C28" s="164"/>
      <c r="D28" s="164"/>
      <c r="E28" s="24"/>
      <c r="F28" s="29"/>
      <c r="G28" s="25" t="str">
        <f>IF(SUM($F$5:F28)=0,"",SUM($F$5:F28))</f>
        <v/>
      </c>
      <c r="H28" s="43" t="str">
        <f t="shared" si="0"/>
        <v/>
      </c>
      <c r="I28" s="148" t="e">
        <f t="array" aca="1" ref="I28" ca="1">IF($A29="",$G28/($V28-$U$5+INDIRECT(IF(_xlfn.SHEET()&lt;6,"令和8年"&amp;_xlfn.SHEET()+7&amp;"月","令和9年"&amp;_xlfn.SHEET()-5&amp;"月")&amp;"!$U$5")),$G28/($V29-$U$5))</f>
        <v>#VALUE!</v>
      </c>
      <c r="J28" s="26" t="str">
        <f t="shared" si="1"/>
        <v/>
      </c>
      <c r="K28" s="27"/>
      <c r="L28" s="165">
        <f t="shared" si="2"/>
        <v>0</v>
      </c>
      <c r="M28" s="28" t="str">
        <f t="shared" si="3"/>
        <v/>
      </c>
      <c r="N28" s="166" t="str">
        <f t="shared" si="4"/>
        <v/>
      </c>
      <c r="O28" s="167" t="str">
        <f t="shared" si="5"/>
        <v/>
      </c>
      <c r="P28" s="168"/>
      <c r="Q28" s="169" t="str">
        <f t="shared" si="6"/>
        <v/>
      </c>
      <c r="R28" s="170">
        <v>24</v>
      </c>
      <c r="S28" s="171">
        <v>16</v>
      </c>
      <c r="T28" s="24" t="s">
        <v>141</v>
      </c>
      <c r="U28" s="29">
        <v>242020</v>
      </c>
      <c r="V28" s="30">
        <f t="shared" si="41"/>
        <v>6559703</v>
      </c>
      <c r="W28" s="27">
        <v>123</v>
      </c>
      <c r="X28" s="31">
        <f t="shared" si="7"/>
        <v>1967.6422764227643</v>
      </c>
      <c r="Y28" s="29">
        <v>137257</v>
      </c>
      <c r="Z28" s="32">
        <f t="shared" si="42"/>
        <v>6733466</v>
      </c>
      <c r="AA28" s="33">
        <f t="shared" si="8"/>
        <v>0.97419412231382763</v>
      </c>
      <c r="AB28" s="158">
        <v>200000</v>
      </c>
      <c r="AC28" s="34">
        <f t="shared" si="43"/>
        <v>7380000</v>
      </c>
      <c r="AD28" s="158"/>
      <c r="AE28" s="25"/>
      <c r="AF28" s="25"/>
      <c r="AG28" s="25"/>
      <c r="AH28" s="25"/>
      <c r="AI28" s="25"/>
      <c r="AJ28" s="25"/>
      <c r="AK28" s="25"/>
      <c r="AL28" s="158"/>
      <c r="AM28" s="25"/>
      <c r="AN28" s="158"/>
      <c r="AO28" s="25"/>
      <c r="AP28" s="25"/>
      <c r="AQ28" s="158"/>
      <c r="AR28" s="35">
        <f t="shared" si="9"/>
        <v>0</v>
      </c>
      <c r="AS28" s="172" t="str">
        <f t="shared" si="10"/>
        <v/>
      </c>
      <c r="AT28" s="36">
        <f t="shared" si="11"/>
        <v>0</v>
      </c>
      <c r="AU28" s="173"/>
      <c r="AV28" s="82">
        <f t="shared" si="12"/>
        <v>24</v>
      </c>
      <c r="AW28" s="37"/>
      <c r="AX28" s="174" t="str">
        <f t="shared" si="13"/>
        <v/>
      </c>
      <c r="AY28" s="37"/>
      <c r="AZ28" s="174" t="str">
        <f t="shared" si="14"/>
        <v/>
      </c>
      <c r="BA28" s="37"/>
      <c r="BB28" s="174" t="str">
        <f t="shared" si="15"/>
        <v/>
      </c>
      <c r="BC28" s="37"/>
      <c r="BD28" s="174" t="str">
        <f t="shared" si="16"/>
        <v/>
      </c>
      <c r="BE28" s="37"/>
      <c r="BF28" s="174" t="str">
        <f t="shared" si="17"/>
        <v/>
      </c>
      <c r="BG28" s="37"/>
      <c r="BH28" s="174" t="str">
        <f t="shared" si="18"/>
        <v/>
      </c>
      <c r="BI28" s="37"/>
      <c r="BJ28" s="174" t="str">
        <f t="shared" si="19"/>
        <v/>
      </c>
      <c r="BK28" s="37"/>
      <c r="BL28" s="174" t="str">
        <f t="shared" si="20"/>
        <v/>
      </c>
      <c r="BM28" s="37"/>
      <c r="BN28" s="174" t="str">
        <f t="shared" si="21"/>
        <v/>
      </c>
      <c r="BO28" s="37"/>
      <c r="BP28" s="174" t="str">
        <f t="shared" si="22"/>
        <v/>
      </c>
      <c r="BQ28" s="37"/>
      <c r="BR28" s="174" t="str">
        <f t="shared" si="23"/>
        <v/>
      </c>
      <c r="BS28" s="37"/>
      <c r="BT28" s="174" t="str">
        <f t="shared" si="24"/>
        <v/>
      </c>
      <c r="BU28" s="37"/>
      <c r="BV28" s="174" t="str">
        <f t="shared" si="25"/>
        <v/>
      </c>
      <c r="BW28" s="37"/>
      <c r="BX28" s="174" t="str">
        <f t="shared" si="26"/>
        <v/>
      </c>
      <c r="BY28" s="37"/>
      <c r="BZ28" s="174" t="str">
        <f t="shared" si="27"/>
        <v/>
      </c>
      <c r="CA28" s="37"/>
      <c r="CB28" s="174" t="str">
        <f t="shared" si="28"/>
        <v/>
      </c>
      <c r="CC28" s="37"/>
      <c r="CD28" s="174" t="str">
        <f t="shared" si="29"/>
        <v/>
      </c>
      <c r="CE28" s="37"/>
      <c r="CF28" s="174" t="str">
        <f t="shared" si="30"/>
        <v/>
      </c>
      <c r="CG28" s="37"/>
      <c r="CH28" s="174" t="str">
        <f t="shared" si="31"/>
        <v/>
      </c>
      <c r="CI28" s="37"/>
      <c r="CJ28" s="174" t="str">
        <f t="shared" si="32"/>
        <v/>
      </c>
      <c r="CK28" s="37"/>
      <c r="CL28" s="174" t="str">
        <f t="shared" si="33"/>
        <v/>
      </c>
      <c r="CM28" s="37"/>
      <c r="CN28" s="174" t="str">
        <f t="shared" si="34"/>
        <v/>
      </c>
      <c r="CO28" s="37"/>
      <c r="CP28" s="174" t="str">
        <f t="shared" si="35"/>
        <v/>
      </c>
      <c r="CQ28" s="37"/>
      <c r="CR28" s="174" t="str">
        <f t="shared" si="36"/>
        <v/>
      </c>
      <c r="CS28" s="37"/>
      <c r="CT28" s="174" t="str">
        <f t="shared" si="37"/>
        <v/>
      </c>
      <c r="CU28" s="38"/>
      <c r="CV28" s="87"/>
      <c r="CW28" s="90"/>
      <c r="CX28" s="38"/>
      <c r="CY28" s="39"/>
      <c r="CZ28" s="37"/>
      <c r="DA28" s="39"/>
      <c r="DB28" s="24">
        <v>24</v>
      </c>
      <c r="DC28" s="96" t="str">
        <f t="shared" si="38"/>
        <v>木</v>
      </c>
      <c r="DF28" s="125"/>
      <c r="DG28" s="40"/>
      <c r="DH28" s="40"/>
      <c r="DI28" s="40"/>
      <c r="DJ28" s="40"/>
      <c r="DK28" s="40"/>
      <c r="DL28" s="40"/>
      <c r="DM28" s="40"/>
      <c r="DN28" s="40"/>
      <c r="DO28" s="40"/>
      <c r="DP28" s="40">
        <f t="shared" si="39"/>
        <v>0</v>
      </c>
      <c r="DQ28" s="172" t="str">
        <f t="shared" si="40"/>
        <v/>
      </c>
      <c r="DS28" s="189"/>
      <c r="DT28" s="190"/>
      <c r="DU28" s="190"/>
      <c r="DV28" s="191"/>
      <c r="DW28" s="138"/>
      <c r="DX28" s="42"/>
    </row>
    <row r="29" spans="1:128" ht="13.5" customHeight="1" x14ac:dyDescent="0.4">
      <c r="A29" s="104">
        <v>25</v>
      </c>
      <c r="B29" s="23" t="s">
        <v>86</v>
      </c>
      <c r="C29" s="164"/>
      <c r="D29" s="164"/>
      <c r="E29" s="24"/>
      <c r="F29" s="29"/>
      <c r="G29" s="25" t="str">
        <f>IF(SUM($F$5:F29)=0,"",SUM($F$5:F29))</f>
        <v/>
      </c>
      <c r="H29" s="43" t="str">
        <f t="shared" si="0"/>
        <v/>
      </c>
      <c r="I29" s="148" t="e">
        <f t="array" aca="1" ref="I29" ca="1">IF($A30="",$G29/($V29-$U$5+INDIRECT(IF(_xlfn.SHEET()&lt;6,"令和8年"&amp;_xlfn.SHEET()+7&amp;"月","令和9年"&amp;_xlfn.SHEET()-5&amp;"月")&amp;"!$U$5")),$G29/($V30-$U$5))</f>
        <v>#VALUE!</v>
      </c>
      <c r="J29" s="26" t="str">
        <f t="shared" si="1"/>
        <v/>
      </c>
      <c r="K29" s="27"/>
      <c r="L29" s="165">
        <f t="shared" si="2"/>
        <v>0</v>
      </c>
      <c r="M29" s="28" t="str">
        <f t="shared" si="3"/>
        <v/>
      </c>
      <c r="N29" s="166" t="str">
        <f t="shared" si="4"/>
        <v/>
      </c>
      <c r="O29" s="167" t="str">
        <f t="shared" si="5"/>
        <v/>
      </c>
      <c r="P29" s="168"/>
      <c r="Q29" s="169" t="str">
        <f t="shared" si="6"/>
        <v/>
      </c>
      <c r="R29" s="170">
        <v>22</v>
      </c>
      <c r="S29" s="171">
        <v>17</v>
      </c>
      <c r="T29" s="24" t="s">
        <v>142</v>
      </c>
      <c r="U29" s="29">
        <v>207325</v>
      </c>
      <c r="V29" s="30">
        <f t="shared" si="41"/>
        <v>6767028</v>
      </c>
      <c r="W29" s="27">
        <v>96</v>
      </c>
      <c r="X29" s="31">
        <f t="shared" si="7"/>
        <v>2159.6354166666665</v>
      </c>
      <c r="Y29" s="29">
        <v>152673</v>
      </c>
      <c r="Z29" s="32">
        <f t="shared" si="42"/>
        <v>6886139</v>
      </c>
      <c r="AA29" s="33">
        <f t="shared" si="8"/>
        <v>0.98270278889229512</v>
      </c>
      <c r="AB29" s="158">
        <v>200000</v>
      </c>
      <c r="AC29" s="34">
        <f t="shared" si="43"/>
        <v>7580000</v>
      </c>
      <c r="AD29" s="158"/>
      <c r="AE29" s="25"/>
      <c r="AF29" s="25"/>
      <c r="AG29" s="25"/>
      <c r="AH29" s="25"/>
      <c r="AI29" s="25"/>
      <c r="AJ29" s="25"/>
      <c r="AK29" s="25"/>
      <c r="AL29" s="158"/>
      <c r="AM29" s="25"/>
      <c r="AN29" s="158"/>
      <c r="AO29" s="25"/>
      <c r="AP29" s="25"/>
      <c r="AQ29" s="158"/>
      <c r="AR29" s="35">
        <f t="shared" si="9"/>
        <v>0</v>
      </c>
      <c r="AS29" s="172" t="str">
        <f t="shared" si="10"/>
        <v/>
      </c>
      <c r="AT29" s="36">
        <f t="shared" si="11"/>
        <v>0</v>
      </c>
      <c r="AU29" s="173"/>
      <c r="AV29" s="82">
        <f t="shared" si="12"/>
        <v>25</v>
      </c>
      <c r="AW29" s="37"/>
      <c r="AX29" s="174" t="str">
        <f t="shared" si="13"/>
        <v/>
      </c>
      <c r="AY29" s="37"/>
      <c r="AZ29" s="174" t="str">
        <f t="shared" si="14"/>
        <v/>
      </c>
      <c r="BA29" s="37"/>
      <c r="BB29" s="174" t="str">
        <f t="shared" si="15"/>
        <v/>
      </c>
      <c r="BC29" s="37"/>
      <c r="BD29" s="174" t="str">
        <f t="shared" si="16"/>
        <v/>
      </c>
      <c r="BE29" s="37"/>
      <c r="BF29" s="174" t="str">
        <f t="shared" si="17"/>
        <v/>
      </c>
      <c r="BG29" s="37"/>
      <c r="BH29" s="174" t="str">
        <f t="shared" si="18"/>
        <v/>
      </c>
      <c r="BI29" s="37"/>
      <c r="BJ29" s="174" t="str">
        <f t="shared" si="19"/>
        <v/>
      </c>
      <c r="BK29" s="37"/>
      <c r="BL29" s="174" t="str">
        <f t="shared" si="20"/>
        <v/>
      </c>
      <c r="BM29" s="37"/>
      <c r="BN29" s="174" t="str">
        <f t="shared" si="21"/>
        <v/>
      </c>
      <c r="BO29" s="37"/>
      <c r="BP29" s="174" t="str">
        <f t="shared" si="22"/>
        <v/>
      </c>
      <c r="BQ29" s="37"/>
      <c r="BR29" s="174" t="str">
        <f t="shared" si="23"/>
        <v/>
      </c>
      <c r="BS29" s="37"/>
      <c r="BT29" s="174" t="str">
        <f t="shared" si="24"/>
        <v/>
      </c>
      <c r="BU29" s="37"/>
      <c r="BV29" s="174" t="str">
        <f t="shared" si="25"/>
        <v/>
      </c>
      <c r="BW29" s="37"/>
      <c r="BX29" s="174" t="str">
        <f t="shared" si="26"/>
        <v/>
      </c>
      <c r="BY29" s="37"/>
      <c r="BZ29" s="174" t="str">
        <f t="shared" si="27"/>
        <v/>
      </c>
      <c r="CA29" s="37"/>
      <c r="CB29" s="174" t="str">
        <f t="shared" si="28"/>
        <v/>
      </c>
      <c r="CC29" s="37"/>
      <c r="CD29" s="174" t="str">
        <f t="shared" si="29"/>
        <v/>
      </c>
      <c r="CE29" s="37"/>
      <c r="CF29" s="174" t="str">
        <f t="shared" si="30"/>
        <v/>
      </c>
      <c r="CG29" s="37"/>
      <c r="CH29" s="174" t="str">
        <f t="shared" si="31"/>
        <v/>
      </c>
      <c r="CI29" s="37"/>
      <c r="CJ29" s="174" t="str">
        <f t="shared" si="32"/>
        <v/>
      </c>
      <c r="CK29" s="37"/>
      <c r="CL29" s="174" t="str">
        <f t="shared" si="33"/>
        <v/>
      </c>
      <c r="CM29" s="37"/>
      <c r="CN29" s="174" t="str">
        <f t="shared" si="34"/>
        <v/>
      </c>
      <c r="CO29" s="37"/>
      <c r="CP29" s="174" t="str">
        <f t="shared" si="35"/>
        <v/>
      </c>
      <c r="CQ29" s="37"/>
      <c r="CR29" s="174" t="str">
        <f t="shared" si="36"/>
        <v/>
      </c>
      <c r="CS29" s="37"/>
      <c r="CT29" s="174" t="str">
        <f t="shared" si="37"/>
        <v/>
      </c>
      <c r="CU29" s="38"/>
      <c r="CV29" s="87"/>
      <c r="CW29" s="90"/>
      <c r="CX29" s="38"/>
      <c r="CY29" s="39"/>
      <c r="CZ29" s="37"/>
      <c r="DA29" s="39"/>
      <c r="DB29" s="24">
        <v>25</v>
      </c>
      <c r="DC29" s="96" t="str">
        <f t="shared" si="38"/>
        <v>金</v>
      </c>
      <c r="DF29" s="125"/>
      <c r="DG29" s="40"/>
      <c r="DH29" s="40"/>
      <c r="DI29" s="40"/>
      <c r="DJ29" s="40"/>
      <c r="DK29" s="40"/>
      <c r="DL29" s="40"/>
      <c r="DM29" s="40"/>
      <c r="DN29" s="40"/>
      <c r="DO29" s="40"/>
      <c r="DP29" s="40">
        <f t="shared" si="39"/>
        <v>0</v>
      </c>
      <c r="DQ29" s="172" t="str">
        <f t="shared" si="40"/>
        <v/>
      </c>
      <c r="DS29" s="189"/>
      <c r="DT29" s="190"/>
      <c r="DU29" s="190"/>
      <c r="DV29" s="191"/>
      <c r="DW29" s="41"/>
      <c r="DX29" s="42"/>
    </row>
    <row r="30" spans="1:128" ht="13.5" customHeight="1" x14ac:dyDescent="0.4">
      <c r="A30" s="104">
        <v>26</v>
      </c>
      <c r="B30" s="164" t="s">
        <v>88</v>
      </c>
      <c r="C30" s="164"/>
      <c r="D30" s="164"/>
      <c r="E30" s="24"/>
      <c r="F30" s="29"/>
      <c r="G30" s="25" t="str">
        <f>IF(SUM($F$5:F30)=0,"",SUM($F$5:F30))</f>
        <v/>
      </c>
      <c r="H30" s="43" t="str">
        <f t="shared" si="0"/>
        <v/>
      </c>
      <c r="I30" s="148" t="e">
        <f t="array" aca="1" ref="I30" ca="1">IF($A31="",$G30/($V30-$U$5+INDIRECT(IF(_xlfn.SHEET()&lt;6,"令和8年"&amp;_xlfn.SHEET()+7&amp;"月","令和9年"&amp;_xlfn.SHEET()-5&amp;"月")&amp;"!$U$5")),$G30/($V31-$U$5))</f>
        <v>#VALUE!</v>
      </c>
      <c r="J30" s="26" t="str">
        <f t="shared" si="1"/>
        <v/>
      </c>
      <c r="K30" s="27"/>
      <c r="L30" s="165">
        <f t="shared" si="2"/>
        <v>0</v>
      </c>
      <c r="M30" s="28" t="str">
        <f t="shared" si="3"/>
        <v/>
      </c>
      <c r="N30" s="166" t="str">
        <f t="shared" si="4"/>
        <v/>
      </c>
      <c r="O30" s="167" t="str">
        <f t="shared" si="5"/>
        <v/>
      </c>
      <c r="P30" s="168"/>
      <c r="Q30" s="169" t="str">
        <f t="shared" si="6"/>
        <v/>
      </c>
      <c r="R30" s="170">
        <v>25</v>
      </c>
      <c r="S30" s="171">
        <v>13</v>
      </c>
      <c r="T30" s="24" t="s">
        <v>93</v>
      </c>
      <c r="U30" s="29">
        <v>319551</v>
      </c>
      <c r="V30" s="30">
        <f t="shared" si="41"/>
        <v>7086579</v>
      </c>
      <c r="W30" s="27">
        <v>130</v>
      </c>
      <c r="X30" s="31">
        <f t="shared" si="7"/>
        <v>2458.0846153846155</v>
      </c>
      <c r="Y30" s="29">
        <v>122361</v>
      </c>
      <c r="Z30" s="32">
        <f t="shared" si="42"/>
        <v>7008500</v>
      </c>
      <c r="AA30" s="33">
        <f t="shared" si="8"/>
        <v>1.0111406149675395</v>
      </c>
      <c r="AB30" s="158">
        <v>630000</v>
      </c>
      <c r="AC30" s="34">
        <f t="shared" si="43"/>
        <v>8210000</v>
      </c>
      <c r="AD30" s="158"/>
      <c r="AE30" s="25"/>
      <c r="AF30" s="25"/>
      <c r="AG30" s="25"/>
      <c r="AH30" s="25"/>
      <c r="AI30" s="25"/>
      <c r="AJ30" s="25"/>
      <c r="AK30" s="25"/>
      <c r="AL30" s="158"/>
      <c r="AM30" s="25"/>
      <c r="AN30" s="158"/>
      <c r="AO30" s="25"/>
      <c r="AP30" s="25"/>
      <c r="AQ30" s="158"/>
      <c r="AR30" s="35">
        <f t="shared" si="9"/>
        <v>0</v>
      </c>
      <c r="AS30" s="172" t="str">
        <f t="shared" si="10"/>
        <v/>
      </c>
      <c r="AT30" s="36">
        <f t="shared" si="11"/>
        <v>0</v>
      </c>
      <c r="AU30" s="173"/>
      <c r="AV30" s="82">
        <f t="shared" si="12"/>
        <v>26</v>
      </c>
      <c r="AW30" s="37"/>
      <c r="AX30" s="174" t="str">
        <f t="shared" si="13"/>
        <v/>
      </c>
      <c r="AY30" s="37"/>
      <c r="AZ30" s="174" t="str">
        <f t="shared" si="14"/>
        <v/>
      </c>
      <c r="BA30" s="37"/>
      <c r="BB30" s="174" t="str">
        <f t="shared" si="15"/>
        <v/>
      </c>
      <c r="BC30" s="37"/>
      <c r="BD30" s="174" t="str">
        <f t="shared" si="16"/>
        <v/>
      </c>
      <c r="BE30" s="37"/>
      <c r="BF30" s="174" t="str">
        <f t="shared" si="17"/>
        <v/>
      </c>
      <c r="BG30" s="37"/>
      <c r="BH30" s="174" t="str">
        <f t="shared" si="18"/>
        <v/>
      </c>
      <c r="BI30" s="37"/>
      <c r="BJ30" s="174" t="str">
        <f t="shared" si="19"/>
        <v/>
      </c>
      <c r="BK30" s="37"/>
      <c r="BL30" s="174" t="str">
        <f t="shared" si="20"/>
        <v/>
      </c>
      <c r="BM30" s="37"/>
      <c r="BN30" s="174" t="str">
        <f t="shared" si="21"/>
        <v/>
      </c>
      <c r="BO30" s="37"/>
      <c r="BP30" s="174" t="str">
        <f t="shared" si="22"/>
        <v/>
      </c>
      <c r="BQ30" s="37"/>
      <c r="BR30" s="174" t="str">
        <f t="shared" si="23"/>
        <v/>
      </c>
      <c r="BS30" s="37"/>
      <c r="BT30" s="174" t="str">
        <f t="shared" si="24"/>
        <v/>
      </c>
      <c r="BU30" s="37"/>
      <c r="BV30" s="174" t="str">
        <f t="shared" si="25"/>
        <v/>
      </c>
      <c r="BW30" s="37"/>
      <c r="BX30" s="174" t="str">
        <f t="shared" si="26"/>
        <v/>
      </c>
      <c r="BY30" s="37"/>
      <c r="BZ30" s="174" t="str">
        <f t="shared" si="27"/>
        <v/>
      </c>
      <c r="CA30" s="37"/>
      <c r="CB30" s="174" t="str">
        <f t="shared" si="28"/>
        <v/>
      </c>
      <c r="CC30" s="37"/>
      <c r="CD30" s="174" t="str">
        <f t="shared" si="29"/>
        <v/>
      </c>
      <c r="CE30" s="37"/>
      <c r="CF30" s="174" t="str">
        <f t="shared" si="30"/>
        <v/>
      </c>
      <c r="CG30" s="37"/>
      <c r="CH30" s="174" t="str">
        <f t="shared" si="31"/>
        <v/>
      </c>
      <c r="CI30" s="37"/>
      <c r="CJ30" s="174" t="str">
        <f t="shared" si="32"/>
        <v/>
      </c>
      <c r="CK30" s="37"/>
      <c r="CL30" s="174" t="str">
        <f t="shared" si="33"/>
        <v/>
      </c>
      <c r="CM30" s="37"/>
      <c r="CN30" s="174" t="str">
        <f t="shared" si="34"/>
        <v/>
      </c>
      <c r="CO30" s="37"/>
      <c r="CP30" s="174" t="str">
        <f t="shared" si="35"/>
        <v/>
      </c>
      <c r="CQ30" s="37"/>
      <c r="CR30" s="174" t="str">
        <f t="shared" si="36"/>
        <v/>
      </c>
      <c r="CS30" s="37"/>
      <c r="CT30" s="174" t="str">
        <f t="shared" si="37"/>
        <v/>
      </c>
      <c r="CU30" s="38"/>
      <c r="CV30" s="87"/>
      <c r="CW30" s="90"/>
      <c r="CX30" s="38"/>
      <c r="CY30" s="39"/>
      <c r="CZ30" s="37"/>
      <c r="DA30" s="39"/>
      <c r="DB30" s="24">
        <v>26</v>
      </c>
      <c r="DC30" s="96" t="str">
        <f t="shared" si="38"/>
        <v>土</v>
      </c>
      <c r="DF30" s="125"/>
      <c r="DG30" s="40"/>
      <c r="DH30" s="40"/>
      <c r="DI30" s="40"/>
      <c r="DJ30" s="40"/>
      <c r="DK30" s="40"/>
      <c r="DL30" s="40"/>
      <c r="DM30" s="40"/>
      <c r="DN30" s="40"/>
      <c r="DO30" s="40"/>
      <c r="DP30" s="40">
        <f t="shared" si="39"/>
        <v>0</v>
      </c>
      <c r="DQ30" s="172" t="str">
        <f t="shared" si="40"/>
        <v/>
      </c>
      <c r="DS30" s="189"/>
      <c r="DT30" s="190"/>
      <c r="DU30" s="190"/>
      <c r="DV30" s="191"/>
      <c r="DW30" s="41"/>
      <c r="DX30" s="42"/>
    </row>
    <row r="31" spans="1:128" ht="13.5" customHeight="1" x14ac:dyDescent="0.4">
      <c r="A31" s="104">
        <v>27</v>
      </c>
      <c r="B31" s="23" t="s">
        <v>89</v>
      </c>
      <c r="C31" s="164"/>
      <c r="D31" s="164"/>
      <c r="E31" s="24"/>
      <c r="F31" s="29"/>
      <c r="G31" s="25" t="str">
        <f>IF(SUM($F$5:F31)=0,"",SUM($F$5:F31))</f>
        <v/>
      </c>
      <c r="H31" s="43" t="str">
        <f t="shared" si="0"/>
        <v/>
      </c>
      <c r="I31" s="148" t="e">
        <f t="array" aca="1" ref="I31" ca="1">IF($A32="",$G31/($V31-$U$5+INDIRECT(IF(_xlfn.SHEET()&lt;6,"令和8年"&amp;_xlfn.SHEET()+7&amp;"月","令和9年"&amp;_xlfn.SHEET()-5&amp;"月")&amp;"!$U$5")),$G31/($V32-$U$5))</f>
        <v>#VALUE!</v>
      </c>
      <c r="J31" s="26" t="str">
        <f t="shared" si="1"/>
        <v/>
      </c>
      <c r="K31" s="27"/>
      <c r="L31" s="165">
        <f t="shared" si="2"/>
        <v>0</v>
      </c>
      <c r="M31" s="28" t="str">
        <f t="shared" si="3"/>
        <v/>
      </c>
      <c r="N31" s="166" t="str">
        <f t="shared" si="4"/>
        <v/>
      </c>
      <c r="O31" s="167" t="str">
        <f t="shared" si="5"/>
        <v/>
      </c>
      <c r="P31" s="168"/>
      <c r="Q31" s="169" t="str">
        <f t="shared" si="6"/>
        <v/>
      </c>
      <c r="R31" s="170">
        <v>23</v>
      </c>
      <c r="S31" s="171">
        <v>18</v>
      </c>
      <c r="T31" s="24" t="s">
        <v>93</v>
      </c>
      <c r="U31" s="29">
        <v>682162</v>
      </c>
      <c r="V31" s="30">
        <f t="shared" si="41"/>
        <v>7768741</v>
      </c>
      <c r="W31" s="27">
        <v>344</v>
      </c>
      <c r="X31" s="31">
        <f t="shared" si="7"/>
        <v>1983.0290697674418</v>
      </c>
      <c r="Y31" s="29">
        <v>212234</v>
      </c>
      <c r="Z31" s="32">
        <f t="shared" si="42"/>
        <v>7220734</v>
      </c>
      <c r="AA31" s="33">
        <f t="shared" si="8"/>
        <v>1.0758935310454587</v>
      </c>
      <c r="AB31" s="158">
        <v>630000</v>
      </c>
      <c r="AC31" s="34">
        <f t="shared" si="43"/>
        <v>8840000</v>
      </c>
      <c r="AD31" s="158"/>
      <c r="AE31" s="25"/>
      <c r="AF31" s="25"/>
      <c r="AG31" s="25"/>
      <c r="AH31" s="25"/>
      <c r="AI31" s="25"/>
      <c r="AJ31" s="25"/>
      <c r="AK31" s="25"/>
      <c r="AL31" s="158"/>
      <c r="AM31" s="25"/>
      <c r="AN31" s="158"/>
      <c r="AO31" s="25"/>
      <c r="AP31" s="25"/>
      <c r="AQ31" s="158"/>
      <c r="AR31" s="35">
        <f t="shared" si="9"/>
        <v>0</v>
      </c>
      <c r="AS31" s="172" t="str">
        <f t="shared" si="10"/>
        <v/>
      </c>
      <c r="AT31" s="36">
        <f t="shared" si="11"/>
        <v>0</v>
      </c>
      <c r="AU31" s="173"/>
      <c r="AV31" s="82">
        <f t="shared" si="12"/>
        <v>27</v>
      </c>
      <c r="AW31" s="37"/>
      <c r="AX31" s="174" t="str">
        <f t="shared" si="13"/>
        <v/>
      </c>
      <c r="AY31" s="37"/>
      <c r="AZ31" s="174" t="str">
        <f t="shared" si="14"/>
        <v/>
      </c>
      <c r="BA31" s="37"/>
      <c r="BB31" s="174" t="str">
        <f t="shared" si="15"/>
        <v/>
      </c>
      <c r="BC31" s="37"/>
      <c r="BD31" s="174" t="str">
        <f t="shared" si="16"/>
        <v/>
      </c>
      <c r="BE31" s="37"/>
      <c r="BF31" s="174" t="str">
        <f t="shared" si="17"/>
        <v/>
      </c>
      <c r="BG31" s="37"/>
      <c r="BH31" s="174" t="str">
        <f t="shared" si="18"/>
        <v/>
      </c>
      <c r="BI31" s="37"/>
      <c r="BJ31" s="174" t="str">
        <f t="shared" si="19"/>
        <v/>
      </c>
      <c r="BK31" s="37"/>
      <c r="BL31" s="174" t="str">
        <f t="shared" si="20"/>
        <v/>
      </c>
      <c r="BM31" s="37"/>
      <c r="BN31" s="174" t="str">
        <f t="shared" si="21"/>
        <v/>
      </c>
      <c r="BO31" s="37"/>
      <c r="BP31" s="174" t="str">
        <f t="shared" si="22"/>
        <v/>
      </c>
      <c r="BQ31" s="37"/>
      <c r="BR31" s="174" t="str">
        <f t="shared" si="23"/>
        <v/>
      </c>
      <c r="BS31" s="37"/>
      <c r="BT31" s="174" t="str">
        <f t="shared" si="24"/>
        <v/>
      </c>
      <c r="BU31" s="37"/>
      <c r="BV31" s="174" t="str">
        <f t="shared" si="25"/>
        <v/>
      </c>
      <c r="BW31" s="37"/>
      <c r="BX31" s="174" t="str">
        <f t="shared" si="26"/>
        <v/>
      </c>
      <c r="BY31" s="37"/>
      <c r="BZ31" s="174" t="str">
        <f t="shared" si="27"/>
        <v/>
      </c>
      <c r="CA31" s="37"/>
      <c r="CB31" s="174" t="str">
        <f t="shared" si="28"/>
        <v/>
      </c>
      <c r="CC31" s="37"/>
      <c r="CD31" s="174" t="str">
        <f t="shared" si="29"/>
        <v/>
      </c>
      <c r="CE31" s="37"/>
      <c r="CF31" s="174" t="str">
        <f t="shared" si="30"/>
        <v/>
      </c>
      <c r="CG31" s="37"/>
      <c r="CH31" s="174" t="str">
        <f t="shared" si="31"/>
        <v/>
      </c>
      <c r="CI31" s="37"/>
      <c r="CJ31" s="174" t="str">
        <f t="shared" si="32"/>
        <v/>
      </c>
      <c r="CK31" s="37"/>
      <c r="CL31" s="174" t="str">
        <f t="shared" si="33"/>
        <v/>
      </c>
      <c r="CM31" s="37"/>
      <c r="CN31" s="174" t="str">
        <f t="shared" si="34"/>
        <v/>
      </c>
      <c r="CO31" s="37"/>
      <c r="CP31" s="174" t="str">
        <f t="shared" si="35"/>
        <v/>
      </c>
      <c r="CQ31" s="37"/>
      <c r="CR31" s="174" t="str">
        <f t="shared" si="36"/>
        <v/>
      </c>
      <c r="CS31" s="37"/>
      <c r="CT31" s="174" t="str">
        <f t="shared" si="37"/>
        <v/>
      </c>
      <c r="CU31" s="38"/>
      <c r="CV31" s="87"/>
      <c r="CW31" s="90"/>
      <c r="CX31" s="38"/>
      <c r="CY31" s="39"/>
      <c r="CZ31" s="37"/>
      <c r="DA31" s="39"/>
      <c r="DB31" s="24">
        <v>27</v>
      </c>
      <c r="DC31" s="96" t="str">
        <f t="shared" si="38"/>
        <v>日</v>
      </c>
      <c r="DF31" s="125"/>
      <c r="DG31" s="40"/>
      <c r="DH31" s="40"/>
      <c r="DI31" s="40"/>
      <c r="DJ31" s="40"/>
      <c r="DK31" s="40"/>
      <c r="DL31" s="40"/>
      <c r="DM31" s="40"/>
      <c r="DN31" s="40"/>
      <c r="DO31" s="40"/>
      <c r="DP31" s="40">
        <f t="shared" si="39"/>
        <v>0</v>
      </c>
      <c r="DQ31" s="172" t="str">
        <f t="shared" si="40"/>
        <v/>
      </c>
      <c r="DS31" s="189"/>
      <c r="DT31" s="190"/>
      <c r="DU31" s="190"/>
      <c r="DV31" s="191"/>
      <c r="DW31" s="138"/>
      <c r="DX31" s="42"/>
    </row>
    <row r="32" spans="1:128" ht="13.5" customHeight="1" x14ac:dyDescent="0.4">
      <c r="A32" s="104">
        <v>28</v>
      </c>
      <c r="B32" s="141" t="s">
        <v>90</v>
      </c>
      <c r="C32" s="164"/>
      <c r="D32" s="164"/>
      <c r="E32" s="24"/>
      <c r="F32" s="29"/>
      <c r="G32" s="25" t="str">
        <f>IF(SUM($F$5:F32)=0,"",SUM($F$5:F32))</f>
        <v/>
      </c>
      <c r="H32" s="43" t="str">
        <f t="shared" si="0"/>
        <v/>
      </c>
      <c r="I32" s="148" t="e">
        <f t="array" aca="1" ref="I32" ca="1">IF($A33="",$G32/($V32-$U$5+INDIRECT(IF(_xlfn.SHEET()&lt;6,"令和8年"&amp;_xlfn.SHEET()+7&amp;"月","令和9年"&amp;_xlfn.SHEET()-5&amp;"月")&amp;"!$U$5")),$G32/($V33-$U$5))</f>
        <v>#VALUE!</v>
      </c>
      <c r="J32" s="26" t="str">
        <f t="shared" si="1"/>
        <v/>
      </c>
      <c r="K32" s="27"/>
      <c r="L32" s="165">
        <f t="shared" si="2"/>
        <v>0</v>
      </c>
      <c r="M32" s="28" t="str">
        <f t="shared" si="3"/>
        <v/>
      </c>
      <c r="N32" s="166" t="str">
        <f t="shared" si="4"/>
        <v/>
      </c>
      <c r="O32" s="167" t="str">
        <f t="shared" si="5"/>
        <v/>
      </c>
      <c r="P32" s="168"/>
      <c r="Q32" s="169" t="str">
        <f t="shared" si="6"/>
        <v/>
      </c>
      <c r="R32" s="170">
        <v>27</v>
      </c>
      <c r="S32" s="171">
        <v>20</v>
      </c>
      <c r="T32" s="24" t="s">
        <v>141</v>
      </c>
      <c r="U32" s="29">
        <v>782604</v>
      </c>
      <c r="V32" s="30">
        <f t="shared" si="41"/>
        <v>8551345</v>
      </c>
      <c r="W32" s="27">
        <v>409</v>
      </c>
      <c r="X32" s="31">
        <f t="shared" si="7"/>
        <v>1913.4572127139365</v>
      </c>
      <c r="Y32" s="29">
        <v>467372</v>
      </c>
      <c r="Z32" s="32">
        <f t="shared" si="42"/>
        <v>7688106</v>
      </c>
      <c r="AA32" s="33">
        <f t="shared" si="8"/>
        <v>1.1122824008930159</v>
      </c>
      <c r="AB32" s="158">
        <v>200000</v>
      </c>
      <c r="AC32" s="34">
        <f t="shared" si="43"/>
        <v>9040000</v>
      </c>
      <c r="AD32" s="158"/>
      <c r="AE32" s="25"/>
      <c r="AF32" s="25"/>
      <c r="AG32" s="25"/>
      <c r="AH32" s="25"/>
      <c r="AI32" s="25"/>
      <c r="AJ32" s="25"/>
      <c r="AK32" s="25"/>
      <c r="AL32" s="158"/>
      <c r="AM32" s="25"/>
      <c r="AN32" s="158"/>
      <c r="AO32" s="25"/>
      <c r="AP32" s="25"/>
      <c r="AQ32" s="158"/>
      <c r="AR32" s="35">
        <f t="shared" si="9"/>
        <v>0</v>
      </c>
      <c r="AS32" s="172" t="str">
        <f t="shared" si="10"/>
        <v/>
      </c>
      <c r="AT32" s="36">
        <f t="shared" si="11"/>
        <v>0</v>
      </c>
      <c r="AU32" s="173"/>
      <c r="AV32" s="82">
        <f t="shared" si="12"/>
        <v>28</v>
      </c>
      <c r="AW32" s="37"/>
      <c r="AX32" s="174" t="str">
        <f t="shared" si="13"/>
        <v/>
      </c>
      <c r="AY32" s="37"/>
      <c r="AZ32" s="174" t="str">
        <f t="shared" si="14"/>
        <v/>
      </c>
      <c r="BA32" s="37"/>
      <c r="BB32" s="174" t="str">
        <f t="shared" si="15"/>
        <v/>
      </c>
      <c r="BC32" s="37"/>
      <c r="BD32" s="174" t="str">
        <f t="shared" si="16"/>
        <v/>
      </c>
      <c r="BE32" s="37"/>
      <c r="BF32" s="174" t="str">
        <f t="shared" si="17"/>
        <v/>
      </c>
      <c r="BG32" s="37"/>
      <c r="BH32" s="174" t="str">
        <f t="shared" si="18"/>
        <v/>
      </c>
      <c r="BI32" s="37"/>
      <c r="BJ32" s="174" t="str">
        <f t="shared" si="19"/>
        <v/>
      </c>
      <c r="BK32" s="37"/>
      <c r="BL32" s="174" t="str">
        <f t="shared" si="20"/>
        <v/>
      </c>
      <c r="BM32" s="37"/>
      <c r="BN32" s="174" t="str">
        <f t="shared" si="21"/>
        <v/>
      </c>
      <c r="BO32" s="37"/>
      <c r="BP32" s="174" t="str">
        <f t="shared" si="22"/>
        <v/>
      </c>
      <c r="BQ32" s="37"/>
      <c r="BR32" s="174" t="str">
        <f t="shared" si="23"/>
        <v/>
      </c>
      <c r="BS32" s="37"/>
      <c r="BT32" s="174" t="str">
        <f t="shared" si="24"/>
        <v/>
      </c>
      <c r="BU32" s="37"/>
      <c r="BV32" s="174" t="str">
        <f t="shared" si="25"/>
        <v/>
      </c>
      <c r="BW32" s="37"/>
      <c r="BX32" s="174" t="str">
        <f t="shared" si="26"/>
        <v/>
      </c>
      <c r="BY32" s="37"/>
      <c r="BZ32" s="174" t="str">
        <f t="shared" si="27"/>
        <v/>
      </c>
      <c r="CA32" s="37"/>
      <c r="CB32" s="174" t="str">
        <f t="shared" si="28"/>
        <v/>
      </c>
      <c r="CC32" s="37"/>
      <c r="CD32" s="174" t="str">
        <f t="shared" si="29"/>
        <v/>
      </c>
      <c r="CE32" s="37"/>
      <c r="CF32" s="174" t="str">
        <f t="shared" si="30"/>
        <v/>
      </c>
      <c r="CG32" s="37"/>
      <c r="CH32" s="174" t="str">
        <f t="shared" si="31"/>
        <v/>
      </c>
      <c r="CI32" s="37"/>
      <c r="CJ32" s="174" t="str">
        <f t="shared" si="32"/>
        <v/>
      </c>
      <c r="CK32" s="37"/>
      <c r="CL32" s="174" t="str">
        <f t="shared" si="33"/>
        <v/>
      </c>
      <c r="CM32" s="37"/>
      <c r="CN32" s="174" t="str">
        <f t="shared" si="34"/>
        <v/>
      </c>
      <c r="CO32" s="37"/>
      <c r="CP32" s="174" t="str">
        <f t="shared" si="35"/>
        <v/>
      </c>
      <c r="CQ32" s="37"/>
      <c r="CR32" s="174" t="str">
        <f t="shared" si="36"/>
        <v/>
      </c>
      <c r="CS32" s="37"/>
      <c r="CT32" s="174" t="str">
        <f t="shared" si="37"/>
        <v/>
      </c>
      <c r="CU32" s="38"/>
      <c r="CV32" s="87"/>
      <c r="CW32" s="90"/>
      <c r="CX32" s="38"/>
      <c r="CY32" s="39"/>
      <c r="CZ32" s="37"/>
      <c r="DA32" s="39"/>
      <c r="DB32" s="24">
        <v>28</v>
      </c>
      <c r="DC32" s="96" t="str">
        <f t="shared" si="38"/>
        <v>月</v>
      </c>
      <c r="DF32" s="125"/>
      <c r="DG32" s="40"/>
      <c r="DH32" s="40"/>
      <c r="DI32" s="40"/>
      <c r="DJ32" s="40"/>
      <c r="DK32" s="40"/>
      <c r="DL32" s="40"/>
      <c r="DM32" s="40"/>
      <c r="DN32" s="40"/>
      <c r="DO32" s="40"/>
      <c r="DP32" s="40">
        <f t="shared" si="39"/>
        <v>0</v>
      </c>
      <c r="DQ32" s="172" t="str">
        <f t="shared" si="40"/>
        <v/>
      </c>
      <c r="DS32" s="189"/>
      <c r="DT32" s="190"/>
      <c r="DU32" s="190"/>
      <c r="DV32" s="191"/>
      <c r="DW32" s="41"/>
      <c r="DX32" s="42"/>
    </row>
    <row r="33" spans="1:128" ht="13.5" customHeight="1" x14ac:dyDescent="0.4">
      <c r="A33" s="104">
        <v>29</v>
      </c>
      <c r="B33" s="141" t="s">
        <v>91</v>
      </c>
      <c r="C33" s="164"/>
      <c r="D33" s="164"/>
      <c r="E33" s="24"/>
      <c r="F33" s="29"/>
      <c r="G33" s="25" t="str">
        <f>IF(SUM($F$5:F33)=0,"",SUM($F$5:F33))</f>
        <v/>
      </c>
      <c r="H33" s="43" t="str">
        <f t="shared" si="0"/>
        <v/>
      </c>
      <c r="I33" s="148" t="e">
        <f t="array" aca="1" ref="I33" ca="1">IF($A34="",$G33/($V33-$U$5+INDIRECT(IF(_xlfn.SHEET()&lt;6,"令和8年"&amp;_xlfn.SHEET()+7&amp;"月","令和9年"&amp;_xlfn.SHEET()-5&amp;"月")&amp;"!$U$5")),$G33/($V34-$U$5))</f>
        <v>#VALUE!</v>
      </c>
      <c r="J33" s="26" t="str">
        <f t="shared" si="1"/>
        <v/>
      </c>
      <c r="K33" s="27"/>
      <c r="L33" s="165">
        <f t="shared" si="2"/>
        <v>0</v>
      </c>
      <c r="M33" s="28" t="str">
        <f t="shared" si="3"/>
        <v/>
      </c>
      <c r="N33" s="166" t="str">
        <f t="shared" si="4"/>
        <v/>
      </c>
      <c r="O33" s="167" t="str">
        <f t="shared" si="5"/>
        <v/>
      </c>
      <c r="P33" s="168"/>
      <c r="Q33" s="169" t="str">
        <f t="shared" si="6"/>
        <v/>
      </c>
      <c r="R33" s="170">
        <v>26</v>
      </c>
      <c r="S33" s="171">
        <v>20</v>
      </c>
      <c r="T33" s="24" t="s">
        <v>106</v>
      </c>
      <c r="U33" s="29">
        <v>294901</v>
      </c>
      <c r="V33" s="30">
        <f t="shared" si="41"/>
        <v>8846246</v>
      </c>
      <c r="W33" s="27">
        <v>145</v>
      </c>
      <c r="X33" s="31">
        <f t="shared" si="7"/>
        <v>2033.8</v>
      </c>
      <c r="Y33" s="29">
        <v>529304</v>
      </c>
      <c r="Z33" s="32">
        <f t="shared" si="42"/>
        <v>8217410</v>
      </c>
      <c r="AA33" s="33">
        <f t="shared" si="8"/>
        <v>1.0765248417688784</v>
      </c>
      <c r="AB33" s="158">
        <v>200000</v>
      </c>
      <c r="AC33" s="34">
        <f t="shared" si="43"/>
        <v>9240000</v>
      </c>
      <c r="AD33" s="158"/>
      <c r="AE33" s="25"/>
      <c r="AF33" s="25"/>
      <c r="AG33" s="25"/>
      <c r="AH33" s="25"/>
      <c r="AI33" s="25"/>
      <c r="AJ33" s="25"/>
      <c r="AK33" s="25"/>
      <c r="AL33" s="158"/>
      <c r="AM33" s="25"/>
      <c r="AN33" s="158"/>
      <c r="AO33" s="25"/>
      <c r="AP33" s="25"/>
      <c r="AQ33" s="158"/>
      <c r="AR33" s="35">
        <f t="shared" si="9"/>
        <v>0</v>
      </c>
      <c r="AS33" s="172" t="str">
        <f t="shared" si="10"/>
        <v/>
      </c>
      <c r="AT33" s="36">
        <f t="shared" si="11"/>
        <v>0</v>
      </c>
      <c r="AU33" s="173"/>
      <c r="AV33" s="82">
        <f t="shared" si="12"/>
        <v>29</v>
      </c>
      <c r="AW33" s="37"/>
      <c r="AX33" s="174" t="str">
        <f t="shared" si="13"/>
        <v/>
      </c>
      <c r="AY33" s="37"/>
      <c r="AZ33" s="174" t="str">
        <f t="shared" si="14"/>
        <v/>
      </c>
      <c r="BA33" s="37"/>
      <c r="BB33" s="174" t="str">
        <f t="shared" si="15"/>
        <v/>
      </c>
      <c r="BC33" s="37"/>
      <c r="BD33" s="174" t="str">
        <f t="shared" si="16"/>
        <v/>
      </c>
      <c r="BE33" s="37"/>
      <c r="BF33" s="174" t="str">
        <f t="shared" si="17"/>
        <v/>
      </c>
      <c r="BG33" s="37"/>
      <c r="BH33" s="174" t="str">
        <f t="shared" si="18"/>
        <v/>
      </c>
      <c r="BI33" s="37"/>
      <c r="BJ33" s="174" t="str">
        <f t="shared" si="19"/>
        <v/>
      </c>
      <c r="BK33" s="37"/>
      <c r="BL33" s="174" t="str">
        <f t="shared" si="20"/>
        <v/>
      </c>
      <c r="BM33" s="37"/>
      <c r="BN33" s="174" t="str">
        <f t="shared" si="21"/>
        <v/>
      </c>
      <c r="BO33" s="37"/>
      <c r="BP33" s="174" t="str">
        <f t="shared" si="22"/>
        <v/>
      </c>
      <c r="BQ33" s="37"/>
      <c r="BR33" s="174" t="str">
        <f t="shared" si="23"/>
        <v/>
      </c>
      <c r="BS33" s="37"/>
      <c r="BT33" s="174" t="str">
        <f t="shared" si="24"/>
        <v/>
      </c>
      <c r="BU33" s="37"/>
      <c r="BV33" s="174" t="str">
        <f t="shared" si="25"/>
        <v/>
      </c>
      <c r="BW33" s="37"/>
      <c r="BX33" s="174" t="str">
        <f t="shared" si="26"/>
        <v/>
      </c>
      <c r="BY33" s="37"/>
      <c r="BZ33" s="174" t="str">
        <f t="shared" si="27"/>
        <v/>
      </c>
      <c r="CA33" s="37"/>
      <c r="CB33" s="174" t="str">
        <f t="shared" si="28"/>
        <v/>
      </c>
      <c r="CC33" s="37"/>
      <c r="CD33" s="174" t="str">
        <f t="shared" si="29"/>
        <v/>
      </c>
      <c r="CE33" s="37"/>
      <c r="CF33" s="174" t="str">
        <f t="shared" si="30"/>
        <v/>
      </c>
      <c r="CG33" s="37"/>
      <c r="CH33" s="174" t="str">
        <f t="shared" si="31"/>
        <v/>
      </c>
      <c r="CI33" s="37"/>
      <c r="CJ33" s="174" t="str">
        <f t="shared" si="32"/>
        <v/>
      </c>
      <c r="CK33" s="37"/>
      <c r="CL33" s="174" t="str">
        <f t="shared" si="33"/>
        <v/>
      </c>
      <c r="CM33" s="37"/>
      <c r="CN33" s="174" t="str">
        <f t="shared" si="34"/>
        <v/>
      </c>
      <c r="CO33" s="37"/>
      <c r="CP33" s="174" t="str">
        <f t="shared" si="35"/>
        <v/>
      </c>
      <c r="CQ33" s="37"/>
      <c r="CR33" s="174" t="str">
        <f t="shared" si="36"/>
        <v/>
      </c>
      <c r="CS33" s="37"/>
      <c r="CT33" s="174" t="str">
        <f t="shared" si="37"/>
        <v/>
      </c>
      <c r="CU33" s="38"/>
      <c r="CV33" s="87"/>
      <c r="CW33" s="90"/>
      <c r="CX33" s="38"/>
      <c r="CY33" s="39"/>
      <c r="CZ33" s="37"/>
      <c r="DA33" s="39"/>
      <c r="DB33" s="24">
        <v>29</v>
      </c>
      <c r="DC33" s="96" t="str">
        <f t="shared" si="38"/>
        <v>火</v>
      </c>
      <c r="DF33" s="125"/>
      <c r="DG33" s="40"/>
      <c r="DH33" s="40"/>
      <c r="DI33" s="40"/>
      <c r="DJ33" s="40"/>
      <c r="DK33" s="40"/>
      <c r="DL33" s="40"/>
      <c r="DM33" s="40"/>
      <c r="DN33" s="40"/>
      <c r="DO33" s="40"/>
      <c r="DP33" s="40">
        <f t="shared" si="39"/>
        <v>0</v>
      </c>
      <c r="DQ33" s="172" t="str">
        <f t="shared" si="40"/>
        <v/>
      </c>
      <c r="DS33" s="189"/>
      <c r="DT33" s="190"/>
      <c r="DU33" s="190"/>
      <c r="DV33" s="191"/>
      <c r="DW33" s="41"/>
      <c r="DX33" s="42"/>
    </row>
    <row r="34" spans="1:128" ht="13.5" customHeight="1" thickBot="1" x14ac:dyDescent="0.45">
      <c r="A34" s="104">
        <v>30</v>
      </c>
      <c r="B34" s="141" t="s">
        <v>83</v>
      </c>
      <c r="C34" s="164"/>
      <c r="D34" s="164"/>
      <c r="E34" s="24"/>
      <c r="F34" s="29"/>
      <c r="G34" s="25" t="str">
        <f>IF(SUM($F$5:F34)=0,"",SUM($F$5:F34))</f>
        <v/>
      </c>
      <c r="H34" s="43" t="str">
        <f t="shared" si="0"/>
        <v/>
      </c>
      <c r="I34" s="148" t="e">
        <f t="array" aca="1" ref="I34" ca="1">IF($A35="",$G34/($V34-$U$5+INDIRECT(IF(_xlfn.SHEET()&lt;6,"令和8年"&amp;_xlfn.SHEET()+7&amp;"月","令和9年"&amp;_xlfn.SHEET()-5&amp;"月")&amp;"!$U$5")),$G34/($V35-$U$5))</f>
        <v>#VALUE!</v>
      </c>
      <c r="J34" s="26" t="str">
        <f t="shared" si="1"/>
        <v/>
      </c>
      <c r="K34" s="27"/>
      <c r="L34" s="165">
        <f t="shared" si="2"/>
        <v>0</v>
      </c>
      <c r="M34" s="28" t="str">
        <f t="shared" si="3"/>
        <v/>
      </c>
      <c r="N34" s="166" t="str">
        <f t="shared" si="4"/>
        <v/>
      </c>
      <c r="O34" s="167" t="str">
        <f t="shared" si="5"/>
        <v/>
      </c>
      <c r="P34" s="168"/>
      <c r="Q34" s="169" t="str">
        <f t="shared" si="6"/>
        <v/>
      </c>
      <c r="R34" s="170">
        <v>28</v>
      </c>
      <c r="S34" s="171">
        <v>1</v>
      </c>
      <c r="T34" s="24"/>
      <c r="U34" s="29">
        <v>239455</v>
      </c>
      <c r="V34" s="30">
        <f t="shared" si="41"/>
        <v>9085701</v>
      </c>
      <c r="W34" s="27">
        <v>135</v>
      </c>
      <c r="X34" s="31">
        <f t="shared" si="7"/>
        <v>1773.7407407407406</v>
      </c>
      <c r="Y34" s="29">
        <v>268595</v>
      </c>
      <c r="Z34" s="32">
        <f t="shared" si="42"/>
        <v>8486005</v>
      </c>
      <c r="AA34" s="33">
        <f t="shared" si="8"/>
        <v>1.0706688247296579</v>
      </c>
      <c r="AB34" s="158">
        <v>200000</v>
      </c>
      <c r="AC34" s="34">
        <f t="shared" si="43"/>
        <v>9440000</v>
      </c>
      <c r="AD34" s="158"/>
      <c r="AE34" s="25"/>
      <c r="AF34" s="25"/>
      <c r="AG34" s="25"/>
      <c r="AH34" s="25"/>
      <c r="AI34" s="25"/>
      <c r="AJ34" s="25"/>
      <c r="AK34" s="25"/>
      <c r="AL34" s="158"/>
      <c r="AM34" s="25"/>
      <c r="AN34" s="158"/>
      <c r="AO34" s="25"/>
      <c r="AP34" s="25"/>
      <c r="AQ34" s="158"/>
      <c r="AR34" s="35">
        <f t="shared" si="9"/>
        <v>0</v>
      </c>
      <c r="AS34" s="172" t="str">
        <f t="shared" si="10"/>
        <v/>
      </c>
      <c r="AT34" s="36">
        <f t="shared" si="11"/>
        <v>0</v>
      </c>
      <c r="AU34" s="173"/>
      <c r="AV34" s="82">
        <f t="shared" si="12"/>
        <v>30</v>
      </c>
      <c r="AW34" s="37"/>
      <c r="AX34" s="174" t="str">
        <f t="shared" si="13"/>
        <v/>
      </c>
      <c r="AY34" s="37"/>
      <c r="AZ34" s="174" t="str">
        <f t="shared" si="14"/>
        <v/>
      </c>
      <c r="BA34" s="37"/>
      <c r="BB34" s="174" t="str">
        <f t="shared" si="15"/>
        <v/>
      </c>
      <c r="BC34" s="37"/>
      <c r="BD34" s="174" t="str">
        <f t="shared" si="16"/>
        <v/>
      </c>
      <c r="BE34" s="37"/>
      <c r="BF34" s="174" t="str">
        <f t="shared" si="17"/>
        <v/>
      </c>
      <c r="BG34" s="37"/>
      <c r="BH34" s="174" t="str">
        <f t="shared" si="18"/>
        <v/>
      </c>
      <c r="BI34" s="37"/>
      <c r="BJ34" s="174" t="str">
        <f t="shared" si="19"/>
        <v/>
      </c>
      <c r="BK34" s="37"/>
      <c r="BL34" s="174" t="str">
        <f t="shared" si="20"/>
        <v/>
      </c>
      <c r="BM34" s="37"/>
      <c r="BN34" s="174" t="str">
        <f t="shared" si="21"/>
        <v/>
      </c>
      <c r="BO34" s="37"/>
      <c r="BP34" s="174" t="str">
        <f t="shared" si="22"/>
        <v/>
      </c>
      <c r="BQ34" s="37"/>
      <c r="BR34" s="174" t="str">
        <f t="shared" si="23"/>
        <v/>
      </c>
      <c r="BS34" s="37"/>
      <c r="BT34" s="174" t="str">
        <f t="shared" si="24"/>
        <v/>
      </c>
      <c r="BU34" s="37"/>
      <c r="BV34" s="174" t="str">
        <f t="shared" si="25"/>
        <v/>
      </c>
      <c r="BW34" s="37"/>
      <c r="BX34" s="174" t="str">
        <f t="shared" si="26"/>
        <v/>
      </c>
      <c r="BY34" s="37"/>
      <c r="BZ34" s="174" t="str">
        <f t="shared" si="27"/>
        <v/>
      </c>
      <c r="CA34" s="37"/>
      <c r="CB34" s="174" t="str">
        <f t="shared" si="28"/>
        <v/>
      </c>
      <c r="CC34" s="37"/>
      <c r="CD34" s="174" t="str">
        <f t="shared" si="29"/>
        <v/>
      </c>
      <c r="CE34" s="37"/>
      <c r="CF34" s="174" t="str">
        <f t="shared" si="30"/>
        <v/>
      </c>
      <c r="CG34" s="37"/>
      <c r="CH34" s="174" t="str">
        <f t="shared" si="31"/>
        <v/>
      </c>
      <c r="CI34" s="37"/>
      <c r="CJ34" s="174" t="str">
        <f t="shared" si="32"/>
        <v/>
      </c>
      <c r="CK34" s="37"/>
      <c r="CL34" s="174" t="str">
        <f t="shared" si="33"/>
        <v/>
      </c>
      <c r="CM34" s="37"/>
      <c r="CN34" s="174" t="str">
        <f t="shared" si="34"/>
        <v/>
      </c>
      <c r="CO34" s="37"/>
      <c r="CP34" s="174" t="str">
        <f t="shared" si="35"/>
        <v/>
      </c>
      <c r="CQ34" s="37"/>
      <c r="CR34" s="174" t="str">
        <f t="shared" si="36"/>
        <v/>
      </c>
      <c r="CS34" s="37"/>
      <c r="CT34" s="174" t="str">
        <f t="shared" si="37"/>
        <v/>
      </c>
      <c r="CU34" s="38"/>
      <c r="CV34" s="87"/>
      <c r="CW34" s="90"/>
      <c r="CX34" s="38"/>
      <c r="CY34" s="39"/>
      <c r="CZ34" s="37"/>
      <c r="DA34" s="39"/>
      <c r="DB34" s="24">
        <v>30</v>
      </c>
      <c r="DC34" s="96" t="str">
        <f t="shared" si="38"/>
        <v>水</v>
      </c>
      <c r="DF34" s="125"/>
      <c r="DG34" s="40"/>
      <c r="DH34" s="40"/>
      <c r="DI34" s="40"/>
      <c r="DJ34" s="40"/>
      <c r="DK34" s="40"/>
      <c r="DL34" s="40"/>
      <c r="DM34" s="40"/>
      <c r="DN34" s="40"/>
      <c r="DO34" s="40"/>
      <c r="DP34" s="40">
        <f t="shared" si="39"/>
        <v>0</v>
      </c>
      <c r="DQ34" s="172" t="str">
        <f t="shared" si="40"/>
        <v/>
      </c>
      <c r="DS34" s="189"/>
      <c r="DT34" s="190"/>
      <c r="DU34" s="190"/>
      <c r="DV34" s="191"/>
      <c r="DW34" s="41"/>
      <c r="DX34" s="42"/>
    </row>
    <row r="35" spans="1:128" ht="13.5" hidden="1" customHeight="1" thickBot="1" x14ac:dyDescent="0.45">
      <c r="A35" s="105">
        <v>31</v>
      </c>
      <c r="B35" s="23"/>
      <c r="C35" s="175"/>
      <c r="D35" s="175"/>
      <c r="E35" s="24"/>
      <c r="F35" s="29"/>
      <c r="G35" s="25" t="str">
        <f>IF(SUM($F$5:F35)=0,"",SUM($F$5:F35))</f>
        <v/>
      </c>
      <c r="H35" s="43" t="str">
        <f t="shared" si="0"/>
        <v/>
      </c>
      <c r="I35" s="148" t="e">
        <f t="array" aca="1" ref="I35" ca="1">IF($A36="",$G35/($V35-$U$5+INDIRECT(IF(_xlfn.SHEET()&lt;6,"令和8年"&amp;_xlfn.SHEET()+7&amp;"月","令和9年"&amp;_xlfn.SHEET()-5&amp;"月")&amp;"!$U$5")),$G35/($V36-$U$5))</f>
        <v>#VALUE!</v>
      </c>
      <c r="J35" s="26" t="str">
        <f t="shared" si="1"/>
        <v/>
      </c>
      <c r="K35" s="27"/>
      <c r="L35" s="165" t="str">
        <f t="shared" si="2"/>
        <v/>
      </c>
      <c r="M35" s="28" t="str">
        <f t="shared" si="3"/>
        <v/>
      </c>
      <c r="N35" s="166" t="str">
        <f t="shared" si="4"/>
        <v/>
      </c>
      <c r="O35" s="167" t="str">
        <f t="shared" si="5"/>
        <v/>
      </c>
      <c r="P35" s="168"/>
      <c r="Q35" s="169" t="str">
        <f t="shared" si="6"/>
        <v/>
      </c>
      <c r="R35" s="170"/>
      <c r="S35" s="176"/>
      <c r="T35" s="24"/>
      <c r="U35" s="29"/>
      <c r="V35" s="30">
        <f t="shared" si="41"/>
        <v>9085701</v>
      </c>
      <c r="W35" s="27"/>
      <c r="X35" s="31" t="str">
        <f t="shared" si="7"/>
        <v/>
      </c>
      <c r="Y35" s="29"/>
      <c r="Z35" s="32">
        <f t="shared" si="42"/>
        <v>8486005</v>
      </c>
      <c r="AA35" s="33">
        <f t="shared" si="8"/>
        <v>1.0706688247296579</v>
      </c>
      <c r="AB35" s="74">
        <f t="shared" ref="AB35" si="44">AB$36/30</f>
        <v>0</v>
      </c>
      <c r="AC35" s="34">
        <f t="shared" si="43"/>
        <v>9440000</v>
      </c>
      <c r="AD35" s="158"/>
      <c r="AE35" s="25"/>
      <c r="AF35" s="25"/>
      <c r="AG35" s="25"/>
      <c r="AH35" s="25"/>
      <c r="AI35" s="25"/>
      <c r="AJ35" s="25"/>
      <c r="AK35" s="25"/>
      <c r="AL35" s="158"/>
      <c r="AM35" s="25"/>
      <c r="AN35" s="158"/>
      <c r="AO35" s="25"/>
      <c r="AP35" s="25"/>
      <c r="AQ35" s="158"/>
      <c r="AR35" s="35">
        <f t="shared" si="9"/>
        <v>0</v>
      </c>
      <c r="AS35" s="172" t="str">
        <f t="shared" si="10"/>
        <v/>
      </c>
      <c r="AT35" s="36">
        <f t="shared" si="11"/>
        <v>0</v>
      </c>
      <c r="AU35" s="173"/>
      <c r="AV35" s="82">
        <f t="shared" si="12"/>
        <v>31</v>
      </c>
      <c r="AW35" s="37"/>
      <c r="AX35" s="174" t="str">
        <f t="shared" si="13"/>
        <v/>
      </c>
      <c r="AY35" s="37"/>
      <c r="AZ35" s="174" t="str">
        <f t="shared" si="14"/>
        <v/>
      </c>
      <c r="BA35" s="37"/>
      <c r="BB35" s="174" t="str">
        <f t="shared" si="15"/>
        <v/>
      </c>
      <c r="BC35" s="37"/>
      <c r="BD35" s="174" t="str">
        <f t="shared" si="16"/>
        <v/>
      </c>
      <c r="BE35" s="37"/>
      <c r="BF35" s="174" t="str">
        <f t="shared" si="17"/>
        <v/>
      </c>
      <c r="BG35" s="37"/>
      <c r="BH35" s="174" t="str">
        <f t="shared" si="18"/>
        <v/>
      </c>
      <c r="BI35" s="37"/>
      <c r="BJ35" s="174" t="str">
        <f t="shared" si="19"/>
        <v/>
      </c>
      <c r="BK35" s="37"/>
      <c r="BL35" s="174" t="str">
        <f t="shared" si="20"/>
        <v/>
      </c>
      <c r="BM35" s="37"/>
      <c r="BN35" s="174" t="str">
        <f t="shared" si="21"/>
        <v/>
      </c>
      <c r="BO35" s="37"/>
      <c r="BP35" s="174" t="str">
        <f t="shared" si="22"/>
        <v/>
      </c>
      <c r="BQ35" s="37"/>
      <c r="BR35" s="174" t="str">
        <f t="shared" si="23"/>
        <v/>
      </c>
      <c r="BS35" s="37"/>
      <c r="BT35" s="174" t="str">
        <f t="shared" si="24"/>
        <v/>
      </c>
      <c r="BU35" s="37"/>
      <c r="BV35" s="174" t="str">
        <f t="shared" si="25"/>
        <v/>
      </c>
      <c r="BW35" s="37"/>
      <c r="BX35" s="174" t="str">
        <f t="shared" si="26"/>
        <v/>
      </c>
      <c r="BY35" s="37"/>
      <c r="BZ35" s="174" t="str">
        <f t="shared" si="27"/>
        <v/>
      </c>
      <c r="CA35" s="37"/>
      <c r="CB35" s="174" t="str">
        <f t="shared" si="28"/>
        <v/>
      </c>
      <c r="CC35" s="37"/>
      <c r="CD35" s="174" t="str">
        <f t="shared" si="29"/>
        <v/>
      </c>
      <c r="CE35" s="37"/>
      <c r="CF35" s="174" t="str">
        <f t="shared" si="30"/>
        <v/>
      </c>
      <c r="CG35" s="37"/>
      <c r="CH35" s="174" t="str">
        <f t="shared" si="31"/>
        <v/>
      </c>
      <c r="CI35" s="37"/>
      <c r="CJ35" s="174" t="str">
        <f t="shared" si="32"/>
        <v/>
      </c>
      <c r="CK35" s="37"/>
      <c r="CL35" s="174" t="str">
        <f t="shared" si="33"/>
        <v/>
      </c>
      <c r="CM35" s="37"/>
      <c r="CN35" s="174" t="str">
        <f t="shared" si="34"/>
        <v/>
      </c>
      <c r="CO35" s="37"/>
      <c r="CP35" s="174" t="str">
        <f t="shared" si="35"/>
        <v/>
      </c>
      <c r="CQ35" s="37"/>
      <c r="CR35" s="174" t="str">
        <f t="shared" si="36"/>
        <v/>
      </c>
      <c r="CS35" s="37"/>
      <c r="CT35" s="174" t="str">
        <f t="shared" si="37"/>
        <v/>
      </c>
      <c r="CU35" s="38"/>
      <c r="CV35" s="87"/>
      <c r="CW35" s="90"/>
      <c r="CX35" s="38"/>
      <c r="CY35" s="39"/>
      <c r="CZ35" s="37"/>
      <c r="DA35" s="39"/>
      <c r="DB35" s="24">
        <v>31</v>
      </c>
      <c r="DC35" s="96">
        <f t="shared" si="38"/>
        <v>0</v>
      </c>
      <c r="DF35" s="125"/>
      <c r="DG35" s="40"/>
      <c r="DH35" s="40"/>
      <c r="DI35" s="40"/>
      <c r="DJ35" s="40"/>
      <c r="DK35" s="40"/>
      <c r="DL35" s="40"/>
      <c r="DM35" s="40"/>
      <c r="DN35" s="40"/>
      <c r="DO35" s="40"/>
      <c r="DP35" s="40">
        <f t="shared" si="39"/>
        <v>0</v>
      </c>
      <c r="DQ35" s="172" t="str">
        <f t="shared" si="40"/>
        <v/>
      </c>
      <c r="DS35" s="189"/>
      <c r="DT35" s="190"/>
      <c r="DU35" s="190"/>
      <c r="DV35" s="191"/>
      <c r="DW35" s="41"/>
      <c r="DX35" s="42"/>
    </row>
    <row r="36" spans="1:128" ht="18.75" customHeight="1" thickTop="1" thickBot="1" x14ac:dyDescent="0.45">
      <c r="A36" s="62"/>
      <c r="B36" s="103"/>
      <c r="C36" s="103"/>
      <c r="D36" s="103"/>
      <c r="E36" s="44" t="s">
        <v>95</v>
      </c>
      <c r="F36" s="25">
        <f>SUM(F5:F35)</f>
        <v>0</v>
      </c>
      <c r="G36" s="25"/>
      <c r="H36" s="43"/>
      <c r="I36" s="148"/>
      <c r="J36" s="26"/>
      <c r="K36" s="45">
        <f>SUM(K4:K35)</f>
        <v>0</v>
      </c>
      <c r="L36" s="165">
        <f t="shared" si="2"/>
        <v>0</v>
      </c>
      <c r="M36" s="46"/>
      <c r="N36" s="47" t="str">
        <f t="shared" si="4"/>
        <v/>
      </c>
      <c r="O36" s="48"/>
      <c r="P36" s="177"/>
      <c r="Q36" s="178"/>
      <c r="R36" s="49"/>
      <c r="S36" s="156"/>
      <c r="T36" s="50" t="s">
        <v>95</v>
      </c>
      <c r="U36" s="51">
        <f>SUM(U5:U34)</f>
        <v>9085701</v>
      </c>
      <c r="V36" s="30"/>
      <c r="W36" s="52">
        <f>SUM(W5:W35)</f>
        <v>5027</v>
      </c>
      <c r="X36" s="53"/>
      <c r="Y36" s="25">
        <f>SUM(Y5:Y35)</f>
        <v>8486005</v>
      </c>
      <c r="Z36" s="32"/>
      <c r="AA36" s="54"/>
      <c r="AB36" s="55"/>
      <c r="AC36" s="54"/>
      <c r="AD36" s="158">
        <f t="shared" ref="AD36:AR36" si="45">SUM(AD5:AD35)</f>
        <v>10</v>
      </c>
      <c r="AE36" s="25">
        <f t="shared" si="45"/>
        <v>0</v>
      </c>
      <c r="AF36" s="25">
        <f t="shared" si="45"/>
        <v>0</v>
      </c>
      <c r="AG36" s="25">
        <f t="shared" si="45"/>
        <v>0</v>
      </c>
      <c r="AH36" s="25">
        <f t="shared" si="45"/>
        <v>0</v>
      </c>
      <c r="AI36" s="25">
        <f t="shared" si="45"/>
        <v>0</v>
      </c>
      <c r="AJ36" s="25">
        <f t="shared" si="45"/>
        <v>0</v>
      </c>
      <c r="AK36" s="25">
        <f t="shared" si="45"/>
        <v>0</v>
      </c>
      <c r="AL36" s="25">
        <f t="shared" si="45"/>
        <v>0</v>
      </c>
      <c r="AM36" s="25">
        <f t="shared" si="45"/>
        <v>0</v>
      </c>
      <c r="AN36" s="25">
        <f t="shared" si="45"/>
        <v>0</v>
      </c>
      <c r="AO36" s="25">
        <f t="shared" si="45"/>
        <v>0</v>
      </c>
      <c r="AP36" s="25">
        <f t="shared" si="45"/>
        <v>0</v>
      </c>
      <c r="AQ36" s="158">
        <f t="shared" si="45"/>
        <v>0</v>
      </c>
      <c r="AR36" s="56">
        <f t="shared" si="45"/>
        <v>10</v>
      </c>
      <c r="AS36" s="179" t="str">
        <f>IF(ISERROR((AR36/$F36)),"",AR36/$F36)</f>
        <v/>
      </c>
      <c r="AT36" s="77">
        <f>SUM(AT5:AT35)</f>
        <v>-10</v>
      </c>
      <c r="AU36" s="173"/>
      <c r="AV36" s="83" t="s">
        <v>95</v>
      </c>
      <c r="AW36" s="57">
        <f>SUM(AW5:AW35)</f>
        <v>0</v>
      </c>
      <c r="AX36" s="57"/>
      <c r="AY36" s="57">
        <f>SUM(AY5:AY35)</f>
        <v>0</v>
      </c>
      <c r="AZ36" s="57"/>
      <c r="BA36" s="57">
        <f>SUM(BA5:BA35)</f>
        <v>0</v>
      </c>
      <c r="BB36" s="57"/>
      <c r="BC36" s="57">
        <f>SUM(BC5:BC35)</f>
        <v>0</v>
      </c>
      <c r="BD36" s="57"/>
      <c r="BE36" s="57">
        <f>SUM(BE5:BE35)</f>
        <v>0</v>
      </c>
      <c r="BF36" s="57"/>
      <c r="BG36" s="57">
        <f>SUM(BG5:BG35)</f>
        <v>0</v>
      </c>
      <c r="BH36" s="57"/>
      <c r="BI36" s="57">
        <f>SUM(BI5:BI35)</f>
        <v>0</v>
      </c>
      <c r="BJ36" s="57"/>
      <c r="BK36" s="57">
        <f>SUM(BK5:BK35)</f>
        <v>0</v>
      </c>
      <c r="BL36" s="57"/>
      <c r="BM36" s="57">
        <f>SUM(BM5:BM35)</f>
        <v>0</v>
      </c>
      <c r="BN36" s="57"/>
      <c r="BO36" s="57">
        <f>SUM(BO5:BO35)</f>
        <v>0</v>
      </c>
      <c r="BP36" s="57"/>
      <c r="BQ36" s="57">
        <f>SUM(BQ5:BQ35)</f>
        <v>0</v>
      </c>
      <c r="BR36" s="57"/>
      <c r="BS36" s="57">
        <f>SUM(BS5:BS35)</f>
        <v>0</v>
      </c>
      <c r="BT36" s="57"/>
      <c r="BU36" s="57">
        <f>SUM(BU5:BU35)</f>
        <v>0</v>
      </c>
      <c r="BV36" s="57"/>
      <c r="BW36" s="57">
        <f>SUM(BW5:BW35)</f>
        <v>0</v>
      </c>
      <c r="BX36" s="57"/>
      <c r="BY36" s="57">
        <f>SUM(BY5:BY35)</f>
        <v>0</v>
      </c>
      <c r="BZ36" s="57"/>
      <c r="CA36" s="57">
        <f>SUM(CA5:CA35)</f>
        <v>0</v>
      </c>
      <c r="CB36" s="57"/>
      <c r="CC36" s="57">
        <f>SUM(CC5:CC35)</f>
        <v>0</v>
      </c>
      <c r="CD36" s="58"/>
      <c r="CE36" s="57">
        <f>SUM(CE5:CE35)</f>
        <v>0</v>
      </c>
      <c r="CF36" s="58"/>
      <c r="CG36" s="57">
        <f>SUM(CG5:CG35)</f>
        <v>0</v>
      </c>
      <c r="CH36" s="57"/>
      <c r="CI36" s="57">
        <f>SUM(CI5:CI35)</f>
        <v>0</v>
      </c>
      <c r="CJ36" s="58"/>
      <c r="CK36" s="57">
        <f>SUM(CK5:CK35)</f>
        <v>0</v>
      </c>
      <c r="CL36" s="58"/>
      <c r="CM36" s="57">
        <f>SUM(CM5:CM35)</f>
        <v>0</v>
      </c>
      <c r="CN36" s="57"/>
      <c r="CO36" s="57">
        <f>SUM(CO5:CO35)</f>
        <v>0</v>
      </c>
      <c r="CP36" s="58"/>
      <c r="CQ36" s="57">
        <f>SUM(CQ5:CQ35)</f>
        <v>0</v>
      </c>
      <c r="CR36" s="58"/>
      <c r="CS36" s="57">
        <f>SUM(CS5:CS35)</f>
        <v>0</v>
      </c>
      <c r="CT36" s="60"/>
      <c r="CU36" s="59">
        <f>SUM(CU5:CU35)</f>
        <v>0</v>
      </c>
      <c r="CV36" s="60">
        <f>SUM(CV5:CV35)</f>
        <v>0</v>
      </c>
      <c r="CW36" s="91"/>
      <c r="CX36" s="59">
        <f>SUM(CX5:CX35)</f>
        <v>0</v>
      </c>
      <c r="CY36" s="39">
        <f>SUM(CY5:CY35)</f>
        <v>0</v>
      </c>
      <c r="CZ36" s="57">
        <f>SUM(CZ5:CZ35)</f>
        <v>0</v>
      </c>
      <c r="DA36" s="61">
        <f>SUM(DA5:DA35)</f>
        <v>0</v>
      </c>
      <c r="DB36" s="44"/>
      <c r="DC36" s="96"/>
      <c r="DF36" s="125">
        <f t="shared" ref="DF36:DP36" si="46">SUM(DF5:DF35)</f>
        <v>0</v>
      </c>
      <c r="DG36" s="40">
        <f t="shared" si="46"/>
        <v>0</v>
      </c>
      <c r="DH36" s="40">
        <f t="shared" si="46"/>
        <v>0</v>
      </c>
      <c r="DI36" s="40">
        <f t="shared" si="46"/>
        <v>0</v>
      </c>
      <c r="DJ36" s="40">
        <f t="shared" si="46"/>
        <v>0</v>
      </c>
      <c r="DK36" s="40">
        <f t="shared" si="46"/>
        <v>0</v>
      </c>
      <c r="DL36" s="40">
        <f t="shared" si="46"/>
        <v>0</v>
      </c>
      <c r="DM36" s="40">
        <f t="shared" si="46"/>
        <v>0</v>
      </c>
      <c r="DN36" s="40">
        <f t="shared" si="46"/>
        <v>0</v>
      </c>
      <c r="DO36" s="40">
        <f t="shared" si="46"/>
        <v>0</v>
      </c>
      <c r="DP36" s="40">
        <f t="shared" si="46"/>
        <v>0</v>
      </c>
      <c r="DQ36" s="179" t="str">
        <f>IF(ISERROR((DP36/$F36)),"",DP36/$F36)</f>
        <v/>
      </c>
      <c r="DS36" s="198" t="s">
        <v>96</v>
      </c>
      <c r="DT36" s="199"/>
      <c r="DU36" s="199"/>
      <c r="DV36" s="199"/>
      <c r="DW36" s="199"/>
      <c r="DX36" s="199"/>
    </row>
    <row r="37" spans="1:128" ht="19.149999999999999" customHeight="1" thickTop="1" thickBot="1" x14ac:dyDescent="0.45">
      <c r="E37" s="62" t="s">
        <v>97</v>
      </c>
      <c r="F37" s="66" t="str">
        <f>IF(ISERROR(AVERAGE(F5:F35)),"",AVERAGE(F5:F35))</f>
        <v/>
      </c>
      <c r="G37" s="66"/>
      <c r="H37" s="100" t="str">
        <f>IF(ISERROR(F37/U37),"",(F37/U37))</f>
        <v/>
      </c>
      <c r="I37" s="149"/>
      <c r="J37" s="101" t="str">
        <f>IF(ISERROR(F37/AC5),"",(F37/AC5))</f>
        <v/>
      </c>
      <c r="K37" s="102" t="str">
        <f>IF(ISERROR(AVERAGE(K4:K35)),"",AVERAGE(K4:K35))</f>
        <v/>
      </c>
      <c r="L37" s="180" t="str">
        <f t="shared" si="2"/>
        <v/>
      </c>
      <c r="M37" s="102" t="str">
        <f>IF(ISERROR(AVERAGE(M4:M35)),"",AVERAGE(M4:M35))</f>
        <v/>
      </c>
      <c r="N37" s="181" t="str">
        <f t="shared" si="4"/>
        <v/>
      </c>
      <c r="O37" s="182" t="e">
        <f>AVERAGE(O4:O35)</f>
        <v>#DIV/0!</v>
      </c>
      <c r="P37" s="183"/>
      <c r="Q37" s="184" t="e">
        <f>AVERAGE(Q4:Q35)</f>
        <v>#DIV/0!</v>
      </c>
      <c r="T37" s="62" t="s">
        <v>97</v>
      </c>
      <c r="U37" s="63">
        <f>IF(ISERROR(AVERAGE(U5:U35)),"",AVERAGE(U5:U35))</f>
        <v>302856.7</v>
      </c>
      <c r="V37" s="64"/>
      <c r="W37" s="65">
        <f>IF(ISERROR(AVERAGE(W5:W35)),"",AVERAGE(W5:W35))</f>
        <v>167.56666666666666</v>
      </c>
      <c r="X37" s="65">
        <f>IF(ISERROR(AVERAGE(X5:X35)),"",AVERAGE(X5:X35))</f>
        <v>1804.706234163998</v>
      </c>
      <c r="Y37" s="66">
        <f>IF(ISERROR(AVERAGE(Y5:Y35)),"",AVERAGE(Y5:Y35))</f>
        <v>282866.83333333331</v>
      </c>
      <c r="Z37" s="66"/>
      <c r="AA37" s="67"/>
      <c r="AB37" s="201" t="s">
        <v>98</v>
      </c>
      <c r="AC37" s="202"/>
      <c r="AD37" s="68">
        <f t="shared" ref="AD37:AQ37" si="47">IF(ISERROR(AVERAGE(AD5:AD35)),"",AVERAGE(AD5:AD35))</f>
        <v>10</v>
      </c>
      <c r="AE37" s="66" t="str">
        <f t="shared" si="47"/>
        <v/>
      </c>
      <c r="AF37" s="66" t="str">
        <f t="shared" si="47"/>
        <v/>
      </c>
      <c r="AG37" s="66" t="str">
        <f t="shared" si="47"/>
        <v/>
      </c>
      <c r="AH37" s="66" t="str">
        <f t="shared" si="47"/>
        <v/>
      </c>
      <c r="AI37" s="66" t="str">
        <f t="shared" si="47"/>
        <v/>
      </c>
      <c r="AJ37" s="66" t="str">
        <f t="shared" si="47"/>
        <v/>
      </c>
      <c r="AK37" s="66" t="str">
        <f t="shared" si="47"/>
        <v/>
      </c>
      <c r="AL37" s="66" t="str">
        <f t="shared" si="47"/>
        <v/>
      </c>
      <c r="AM37" s="66" t="str">
        <f t="shared" si="47"/>
        <v/>
      </c>
      <c r="AN37" s="66" t="str">
        <f t="shared" si="47"/>
        <v/>
      </c>
      <c r="AO37" s="66" t="str">
        <f t="shared" si="47"/>
        <v/>
      </c>
      <c r="AP37" s="66" t="str">
        <f t="shared" si="47"/>
        <v/>
      </c>
      <c r="AQ37" s="69" t="str">
        <f t="shared" si="47"/>
        <v/>
      </c>
      <c r="AR37" s="70"/>
      <c r="AS37" s="185"/>
      <c r="AT37" s="185"/>
      <c r="AU37" s="186"/>
      <c r="AV37" s="84" t="s">
        <v>97</v>
      </c>
      <c r="AW37" s="72" t="str">
        <f>IF(ISERROR(AVERAGE(AW5:AW35)),"",AVERAGE(AW5:AW35))</f>
        <v/>
      </c>
      <c r="AX37" s="187" t="e">
        <f>AVERAGE(AX5:AX35)</f>
        <v>#DIV/0!</v>
      </c>
      <c r="AY37" s="72" t="str">
        <f>IF(ISERROR(AVERAGE(AY5:AY35)),"",AVERAGE(AY5:AY35))</f>
        <v/>
      </c>
      <c r="AZ37" s="187" t="e">
        <f>AVERAGE(AZ5:AZ35)</f>
        <v>#DIV/0!</v>
      </c>
      <c r="BA37" s="72" t="str">
        <f>IF(ISERROR(AVERAGE(BA5:BA35)),"",AVERAGE(BA5:BA35))</f>
        <v/>
      </c>
      <c r="BB37" s="187" t="e">
        <f>AVERAGE(BB5:BB35)</f>
        <v>#DIV/0!</v>
      </c>
      <c r="BC37" s="72" t="str">
        <f>IF(ISERROR(AVERAGE(BC5:BC35)),"",AVERAGE(BC5:BC35))</f>
        <v/>
      </c>
      <c r="BD37" s="187" t="e">
        <f>AVERAGE(BD5:BD35)</f>
        <v>#DIV/0!</v>
      </c>
      <c r="BE37" s="72" t="str">
        <f>IF(ISERROR(AVERAGE(BE5:BE35)),"",AVERAGE(BE5:BE35))</f>
        <v/>
      </c>
      <c r="BF37" s="187" t="e">
        <f>AVERAGE(BF5:BF35)</f>
        <v>#DIV/0!</v>
      </c>
      <c r="BG37" s="72" t="str">
        <f>IF(ISERROR(AVERAGE(BG5:BG35)),"",AVERAGE(BG5:BG35))</f>
        <v/>
      </c>
      <c r="BH37" s="187" t="e">
        <f>AVERAGE(BH5:BH35)</f>
        <v>#DIV/0!</v>
      </c>
      <c r="BI37" s="72" t="str">
        <f>IF(ISERROR(AVERAGE(BI5:BI35)),"",AVERAGE(BI5:BI35))</f>
        <v/>
      </c>
      <c r="BJ37" s="187" t="e">
        <f>AVERAGE(BJ5:BJ35)</f>
        <v>#DIV/0!</v>
      </c>
      <c r="BK37" s="72" t="str">
        <f>IF(ISERROR(AVERAGE(BK5:BK35)),"",AVERAGE(BK5:BK35))</f>
        <v/>
      </c>
      <c r="BL37" s="187" t="e">
        <f>AVERAGE(BL5:BL35)</f>
        <v>#DIV/0!</v>
      </c>
      <c r="BM37" s="72" t="str">
        <f>IF(ISERROR(AVERAGE(BM5:BM35)),"",AVERAGE(BM5:BM35))</f>
        <v/>
      </c>
      <c r="BN37" s="187" t="e">
        <f>AVERAGE(BN5:BN35)</f>
        <v>#DIV/0!</v>
      </c>
      <c r="BO37" s="72" t="str">
        <f>IF(ISERROR(AVERAGE(BO5:BO35)),"",AVERAGE(BO5:BO35))</f>
        <v/>
      </c>
      <c r="BP37" s="187" t="e">
        <f>AVERAGE(BP5:BP35)</f>
        <v>#DIV/0!</v>
      </c>
      <c r="BQ37" s="72" t="str">
        <f>IF(ISERROR(AVERAGE(BQ5:BQ35)),"",AVERAGE(BQ5:BQ35))</f>
        <v/>
      </c>
      <c r="BR37" s="187" t="e">
        <f>AVERAGE(BR5:BR35)</f>
        <v>#DIV/0!</v>
      </c>
      <c r="BS37" s="72" t="str">
        <f>IF(ISERROR(AVERAGE(BS5:BS35)),"",AVERAGE(BS5:BS35))</f>
        <v/>
      </c>
      <c r="BT37" s="187" t="e">
        <f>AVERAGE(BT5:BT35)</f>
        <v>#DIV/0!</v>
      </c>
      <c r="BU37" s="72" t="str">
        <f>IF(ISERROR(AVERAGE(BU5:BU35)),"",AVERAGE(BU5:BU35))</f>
        <v/>
      </c>
      <c r="BV37" s="187" t="e">
        <f>AVERAGE(BV5:BV35)</f>
        <v>#DIV/0!</v>
      </c>
      <c r="BW37" s="72" t="str">
        <f>IF(ISERROR(AVERAGE(BW5:BW35)),"",AVERAGE(BW5:BW35))</f>
        <v/>
      </c>
      <c r="BX37" s="187" t="e">
        <f>AVERAGE(BX5:BX35)</f>
        <v>#DIV/0!</v>
      </c>
      <c r="BY37" s="72" t="str">
        <f>IF(ISERROR(AVERAGE(BY5:BY35)),"",AVERAGE(BY5:BY35))</f>
        <v/>
      </c>
      <c r="BZ37" s="187" t="e">
        <f>AVERAGE(BZ5:BZ35)</f>
        <v>#DIV/0!</v>
      </c>
      <c r="CA37" s="72" t="str">
        <f>IF(ISERROR(AVERAGE(CA5:CA35)),"",AVERAGE(CA5:CA35))</f>
        <v/>
      </c>
      <c r="CB37" s="187" t="e">
        <f>AVERAGE(CB5:CB35)</f>
        <v>#DIV/0!</v>
      </c>
      <c r="CC37" s="72" t="str">
        <f>IF(ISERROR(AVERAGE(CC5:CC35)),"",AVERAGE(CC5:CC35))</f>
        <v/>
      </c>
      <c r="CD37" s="187" t="e">
        <f>AVERAGE(CD5:CD35)</f>
        <v>#DIV/0!</v>
      </c>
      <c r="CE37" s="72" t="str">
        <f>IF(ISERROR(AVERAGE(CE5:CE35)),"",AVERAGE(CE5:CE35))</f>
        <v/>
      </c>
      <c r="CF37" s="187" t="e">
        <f>AVERAGE(CF5:CF35)</f>
        <v>#DIV/0!</v>
      </c>
      <c r="CG37" s="72" t="str">
        <f>IF(ISERROR(AVERAGE(CG5:CG35)),"",AVERAGE(CG5:CG35))</f>
        <v/>
      </c>
      <c r="CH37" s="187" t="e">
        <f>AVERAGE(CH5:CH35)</f>
        <v>#DIV/0!</v>
      </c>
      <c r="CI37" s="72" t="str">
        <f>IF(ISERROR(AVERAGE(CI5:CI35)),"",AVERAGE(CI5:CI35))</f>
        <v/>
      </c>
      <c r="CJ37" s="187" t="e">
        <f>AVERAGE(CJ5:CJ35)</f>
        <v>#DIV/0!</v>
      </c>
      <c r="CK37" s="72" t="str">
        <f>IF(ISERROR(AVERAGE(CK5:CK35)),"",AVERAGE(CK5:CK35))</f>
        <v/>
      </c>
      <c r="CL37" s="187" t="e">
        <f>AVERAGE(CL5:CL35)</f>
        <v>#DIV/0!</v>
      </c>
      <c r="CM37" s="72" t="str">
        <f>IF(ISERROR(AVERAGE(CM5:CM35)),"",AVERAGE(CM5:CM35))</f>
        <v/>
      </c>
      <c r="CN37" s="187" t="e">
        <f>AVERAGE(CN5:CN35)</f>
        <v>#DIV/0!</v>
      </c>
      <c r="CO37" s="72" t="str">
        <f>IF(ISERROR(AVERAGE(CO5:CO35)),"",AVERAGE(CO5:CO35))</f>
        <v/>
      </c>
      <c r="CP37" s="187" t="e">
        <f>AVERAGE(CP5:CP35)</f>
        <v>#DIV/0!</v>
      </c>
      <c r="CQ37" s="72" t="str">
        <f>IF(ISERROR(AVERAGE(CQ5:CQ35)),"",AVERAGE(CQ5:CQ35))</f>
        <v/>
      </c>
      <c r="CR37" s="187" t="e">
        <f>AVERAGE(CR5:CR35)</f>
        <v>#DIV/0!</v>
      </c>
      <c r="CS37" s="72" t="str">
        <f>IF(ISERROR(AVERAGE(CS5:CS35)),"",AVERAGE(CS5:CS35))</f>
        <v/>
      </c>
      <c r="CT37" s="188" t="e">
        <f>AVERAGE(CT5:CT35)</f>
        <v>#DIV/0!</v>
      </c>
      <c r="CU37" s="71" t="str">
        <f>IF(ISERROR(AVERAGE(CU5:CU35)),"",AVERAGE(CU5:CU35))</f>
        <v/>
      </c>
      <c r="CV37" s="88" t="str">
        <f>IF(ISERROR(AVERAGE(CV5:CV35)),"",AVERAGE(CV5:CV35))</f>
        <v/>
      </c>
      <c r="CW37" s="92"/>
      <c r="CX37" s="71" t="str">
        <f>IF(ISERROR(AVERAGE(CX5:CX35)),"",AVERAGE(CX5:CX35))</f>
        <v/>
      </c>
      <c r="CY37" s="154" t="str">
        <f>IF(ISERROR(AVERAGE(CY5:CY35)),"",AVERAGE(CY5:CY35))</f>
        <v/>
      </c>
      <c r="CZ37" s="72" t="str">
        <f>IF(ISERROR(AVERAGE(CZ5:CZ35)),"",AVERAGE(CZ5:CZ35))</f>
        <v/>
      </c>
      <c r="DA37" s="72" t="str">
        <f>IF(ISERROR(AVERAGE(DA5:DA35)),"",AVERAGE(DA5:DA35))</f>
        <v/>
      </c>
      <c r="DB37" s="98"/>
      <c r="DC37" s="99"/>
      <c r="DF37" s="126" t="e">
        <f t="shared" ref="DF37:DP37" si="48">AVERAGE(DF5:DF35)</f>
        <v>#DIV/0!</v>
      </c>
      <c r="DG37" s="127" t="e">
        <f t="shared" si="48"/>
        <v>#DIV/0!</v>
      </c>
      <c r="DH37" s="127" t="e">
        <f t="shared" si="48"/>
        <v>#DIV/0!</v>
      </c>
      <c r="DI37" s="127" t="e">
        <f t="shared" si="48"/>
        <v>#DIV/0!</v>
      </c>
      <c r="DJ37" s="127" t="e">
        <f t="shared" si="48"/>
        <v>#DIV/0!</v>
      </c>
      <c r="DK37" s="127" t="e">
        <f t="shared" si="48"/>
        <v>#DIV/0!</v>
      </c>
      <c r="DL37" s="127" t="e">
        <f t="shared" si="48"/>
        <v>#DIV/0!</v>
      </c>
      <c r="DM37" s="127" t="e">
        <f t="shared" si="48"/>
        <v>#DIV/0!</v>
      </c>
      <c r="DN37" s="127" t="e">
        <f t="shared" si="48"/>
        <v>#DIV/0!</v>
      </c>
      <c r="DO37" s="127" t="e">
        <f t="shared" si="48"/>
        <v>#DIV/0!</v>
      </c>
      <c r="DP37" s="127">
        <f t="shared" si="48"/>
        <v>0</v>
      </c>
      <c r="DQ37" s="188"/>
      <c r="DS37" s="198" t="s">
        <v>99</v>
      </c>
      <c r="DT37" s="199"/>
      <c r="DU37" s="199"/>
      <c r="DV37" s="199"/>
      <c r="DW37" s="199"/>
      <c r="DX37" s="199"/>
    </row>
    <row r="38" spans="1:128" ht="19.149999999999999" customHeight="1" thickTop="1" thickBot="1" x14ac:dyDescent="0.45">
      <c r="DS38" s="198" t="s">
        <v>100</v>
      </c>
      <c r="DT38" s="199"/>
      <c r="DU38" s="199"/>
      <c r="DV38" s="199"/>
      <c r="DW38" s="199"/>
      <c r="DX38" s="199"/>
    </row>
    <row r="39" spans="1:128" ht="18.75" customHeight="1" thickTop="1" x14ac:dyDescent="0.4">
      <c r="E39" s="196" t="s">
        <v>101</v>
      </c>
      <c r="F39" s="197"/>
      <c r="H39" s="137" t="s">
        <v>12</v>
      </c>
      <c r="T39" s="200" t="s">
        <v>102</v>
      </c>
      <c r="U39" s="197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 spans="1:128" ht="18.75" customHeight="1" thickBot="1" x14ac:dyDescent="0.45">
      <c r="E40" s="133" t="s">
        <v>95</v>
      </c>
      <c r="F40" s="135" t="e">
        <f>(令和9年5月!G35-令和9年5月!G19)+令和9年6月!G19</f>
        <v>#VALUE!</v>
      </c>
      <c r="H40" s="142" t="str">
        <f>IF(ISERROR(F40/U40),"",(F40/U40))</f>
        <v/>
      </c>
      <c r="I40" s="146"/>
      <c r="T40" s="133" t="s">
        <v>95</v>
      </c>
      <c r="U40" s="135">
        <f>(令和9年5月!V35-令和9年5月!V19)+令和9年6月!V19</f>
        <v>9350999</v>
      </c>
    </row>
    <row r="41" spans="1:128" ht="18.75" customHeight="1" thickTop="1" thickBot="1" x14ac:dyDescent="0.45">
      <c r="E41" s="134" t="s">
        <v>97</v>
      </c>
      <c r="F41" s="136" t="e">
        <f>F40/31</f>
        <v>#VALUE!</v>
      </c>
      <c r="T41" s="134" t="s">
        <v>97</v>
      </c>
      <c r="U41" s="136">
        <f>U40/31</f>
        <v>301645.12903225806</v>
      </c>
    </row>
    <row r="42" spans="1:128" ht="13.9" customHeight="1" thickTop="1" x14ac:dyDescent="0.4"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</row>
  </sheetData>
  <mergeCells count="44">
    <mergeCell ref="DS21:DV21"/>
    <mergeCell ref="DS31:DV31"/>
    <mergeCell ref="DS38:DX38"/>
    <mergeCell ref="DS35:DV35"/>
    <mergeCell ref="AB37:AC37"/>
    <mergeCell ref="DS37:DX37"/>
    <mergeCell ref="DS5:DV5"/>
    <mergeCell ref="G1:G2"/>
    <mergeCell ref="DS11:DV11"/>
    <mergeCell ref="AX1:BC2"/>
    <mergeCell ref="DS14:DV14"/>
    <mergeCell ref="DS12:DV12"/>
    <mergeCell ref="E39:F39"/>
    <mergeCell ref="DS8:DV8"/>
    <mergeCell ref="DS27:DV27"/>
    <mergeCell ref="DS29:DV29"/>
    <mergeCell ref="DS19:DV19"/>
    <mergeCell ref="DS10:DV10"/>
    <mergeCell ref="DS13:DV13"/>
    <mergeCell ref="DS9:DV9"/>
    <mergeCell ref="DS34:DV34"/>
    <mergeCell ref="DS28:DV28"/>
    <mergeCell ref="DS24:DV24"/>
    <mergeCell ref="DS15:DV15"/>
    <mergeCell ref="DS23:DV23"/>
    <mergeCell ref="DS17:DV17"/>
    <mergeCell ref="DS36:DX36"/>
    <mergeCell ref="T39:U39"/>
    <mergeCell ref="A1:E2"/>
    <mergeCell ref="DS30:DV30"/>
    <mergeCell ref="DS33:DV33"/>
    <mergeCell ref="DS4:DV4"/>
    <mergeCell ref="DS20:DV20"/>
    <mergeCell ref="DS16:DV16"/>
    <mergeCell ref="DS7:DV7"/>
    <mergeCell ref="DS25:DV25"/>
    <mergeCell ref="DS32:DV32"/>
    <mergeCell ref="DS26:DV26"/>
    <mergeCell ref="DS22:DV22"/>
    <mergeCell ref="F1:F2"/>
    <mergeCell ref="DS18:DV18"/>
    <mergeCell ref="H1:K2"/>
    <mergeCell ref="M1:M2"/>
    <mergeCell ref="DS6:DV6"/>
  </mergeCells>
  <phoneticPr fontId="3"/>
  <conditionalFormatting sqref="B5:D35">
    <cfRule type="expression" dxfId="30" priority="34" stopIfTrue="1">
      <formula>(B5)="土"</formula>
    </cfRule>
    <cfRule type="expression" dxfId="29" priority="35" stopIfTrue="1">
      <formula>(B5)="日"</formula>
    </cfRule>
  </conditionalFormatting>
  <conditionalFormatting sqref="R5:S35">
    <cfRule type="expression" dxfId="28" priority="1" stopIfTrue="1">
      <formula>(R5)="土"</formula>
    </cfRule>
    <cfRule type="expression" dxfId="27" priority="2" stopIfTrue="1">
      <formula>(R5)="日"</formula>
    </cfRule>
  </conditionalFormatting>
  <conditionalFormatting sqref="AX5:AX34">
    <cfRule type="cellIs" dxfId="26" priority="29" operator="equal">
      <formula>0</formula>
    </cfRule>
  </conditionalFormatting>
  <conditionalFormatting sqref="AZ5:AZ34">
    <cfRule type="cellIs" dxfId="25" priority="28" operator="equal">
      <formula>0</formula>
    </cfRule>
  </conditionalFormatting>
  <conditionalFormatting sqref="BB5:BB34">
    <cfRule type="cellIs" dxfId="24" priority="27" operator="equal">
      <formula>0</formula>
    </cfRule>
  </conditionalFormatting>
  <conditionalFormatting sqref="BD5:BD34">
    <cfRule type="cellIs" dxfId="23" priority="26" operator="equal">
      <formula>0</formula>
    </cfRule>
  </conditionalFormatting>
  <conditionalFormatting sqref="BF5:BF34">
    <cfRule type="cellIs" dxfId="22" priority="25" operator="equal">
      <formula>0</formula>
    </cfRule>
  </conditionalFormatting>
  <conditionalFormatting sqref="BH5:BH34">
    <cfRule type="cellIs" dxfId="21" priority="24" operator="equal">
      <formula>0</formula>
    </cfRule>
  </conditionalFormatting>
  <conditionalFormatting sqref="BJ5:BJ34">
    <cfRule type="cellIs" dxfId="20" priority="23" operator="equal">
      <formula>0</formula>
    </cfRule>
  </conditionalFormatting>
  <conditionalFormatting sqref="BL5:BL34">
    <cfRule type="cellIs" dxfId="19" priority="22" operator="equal">
      <formula>0</formula>
    </cfRule>
  </conditionalFormatting>
  <conditionalFormatting sqref="BN5:BN34">
    <cfRule type="cellIs" dxfId="18" priority="21" operator="equal">
      <formula>0</formula>
    </cfRule>
  </conditionalFormatting>
  <conditionalFormatting sqref="BP5:BP34">
    <cfRule type="cellIs" dxfId="17" priority="20" operator="equal">
      <formula>0</formula>
    </cfRule>
  </conditionalFormatting>
  <conditionalFormatting sqref="BR5:BR34">
    <cfRule type="cellIs" dxfId="16" priority="19" operator="equal">
      <formula>0</formula>
    </cfRule>
  </conditionalFormatting>
  <conditionalFormatting sqref="BT5:BT34">
    <cfRule type="cellIs" dxfId="15" priority="18" operator="equal">
      <formula>0</formula>
    </cfRule>
  </conditionalFormatting>
  <conditionalFormatting sqref="BV5:BV34">
    <cfRule type="cellIs" dxfId="14" priority="17" operator="equal">
      <formula>0</formula>
    </cfRule>
  </conditionalFormatting>
  <conditionalFormatting sqref="BX5:BX34">
    <cfRule type="cellIs" dxfId="13" priority="16" operator="equal">
      <formula>0</formula>
    </cfRule>
  </conditionalFormatting>
  <conditionalFormatting sqref="BZ5:BZ34">
    <cfRule type="cellIs" dxfId="12" priority="15" operator="equal">
      <formula>0</formula>
    </cfRule>
  </conditionalFormatting>
  <conditionalFormatting sqref="CB5:CB34">
    <cfRule type="cellIs" dxfId="11" priority="14" operator="equal">
      <formula>0</formula>
    </cfRule>
  </conditionalFormatting>
  <conditionalFormatting sqref="CD5:CD34">
    <cfRule type="cellIs" dxfId="10" priority="13" operator="equal">
      <formula>0</formula>
    </cfRule>
  </conditionalFormatting>
  <conditionalFormatting sqref="CF5:CF34">
    <cfRule type="cellIs" dxfId="9" priority="12" operator="equal">
      <formula>0</formula>
    </cfRule>
  </conditionalFormatting>
  <conditionalFormatting sqref="CH5:CH34">
    <cfRule type="cellIs" dxfId="8" priority="11" operator="equal">
      <formula>0</formula>
    </cfRule>
  </conditionalFormatting>
  <conditionalFormatting sqref="CJ5:CJ34">
    <cfRule type="cellIs" dxfId="7" priority="10" operator="equal">
      <formula>0</formula>
    </cfRule>
  </conditionalFormatting>
  <conditionalFormatting sqref="CL5:CL34">
    <cfRule type="cellIs" dxfId="6" priority="9" operator="equal">
      <formula>0</formula>
    </cfRule>
  </conditionalFormatting>
  <conditionalFormatting sqref="CN5:CN34">
    <cfRule type="cellIs" dxfId="5" priority="8" operator="equal">
      <formula>0</formula>
    </cfRule>
  </conditionalFormatting>
  <conditionalFormatting sqref="CP5:CP34">
    <cfRule type="cellIs" dxfId="4" priority="7" operator="equal">
      <formula>0</formula>
    </cfRule>
  </conditionalFormatting>
  <conditionalFormatting sqref="CR5:CR34">
    <cfRule type="cellIs" dxfId="3" priority="6" operator="equal">
      <formula>0</formula>
    </cfRule>
  </conditionalFormatting>
  <conditionalFormatting sqref="CT5:CT34">
    <cfRule type="cellIs" dxfId="2" priority="5" operator="equal">
      <formula>0</formula>
    </cfRule>
  </conditionalFormatting>
  <conditionalFormatting sqref="DC5:DC36">
    <cfRule type="expression" dxfId="1" priority="30" stopIfTrue="1">
      <formula>(DC5)="土"</formula>
    </cfRule>
    <cfRule type="expression" dxfId="0" priority="31" stopIfTrue="1">
      <formula>(DC5)="日"</formula>
    </cfRule>
  </conditionalFormatting>
  <pageMargins left="0.12" right="0.18" top="0.75" bottom="0.75" header="0.3" footer="0.3"/>
  <pageSetup paperSize="9" orientation="landscape" horizontalDpi="429496729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令和8年7月</vt:lpstr>
      <vt:lpstr>令和8年8月</vt:lpstr>
      <vt:lpstr>令和8年9月 </vt:lpstr>
      <vt:lpstr>令和8年10月</vt:lpstr>
      <vt:lpstr>令和8年11月</vt:lpstr>
      <vt:lpstr>令和8年12月</vt:lpstr>
      <vt:lpstr>令和9年1月</vt:lpstr>
      <vt:lpstr>令和9年2月</vt:lpstr>
      <vt:lpstr>令和9年3月 </vt:lpstr>
      <vt:lpstr>令和9年4月</vt:lpstr>
      <vt:lpstr>令和9年5月</vt:lpstr>
      <vt:lpstr>令和9年6月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剛 青木</dc:creator>
  <cp:lastModifiedBy>よしや 天理</cp:lastModifiedBy>
  <cp:lastPrinted>2025-04-08T02:15:10Z</cp:lastPrinted>
  <dcterms:created xsi:type="dcterms:W3CDTF">2024-06-15T07:27:29Z</dcterms:created>
  <dcterms:modified xsi:type="dcterms:W3CDTF">2026-07-13T00:35:25Z</dcterms:modified>
</cp:coreProperties>
</file>